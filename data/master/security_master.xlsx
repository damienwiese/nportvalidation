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mie\nportvalidation\data\master\"/>
    </mc:Choice>
  </mc:AlternateContent>
  <xr:revisionPtr revIDLastSave="0" documentId="13_ncr:1_{176214D8-9089-4BA0-8E0C-354D63ECBC46}" xr6:coauthVersionLast="47" xr6:coauthVersionMax="47" xr10:uidLastSave="{00000000-0000-0000-0000-000000000000}"/>
  <bookViews>
    <workbookView xWindow="1950" yWindow="1095" windowWidth="27240" windowHeight="20505" xr2:uid="{00000000-000D-0000-FFFF-FFFF00000000}"/>
  </bookViews>
  <sheets>
    <sheet name="master" sheetId="1" r:id="rId1"/>
    <sheet name="custodi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39" i="1" l="1"/>
  <c r="J1339" i="1"/>
  <c r="J1399" i="1"/>
  <c r="E1680" i="1"/>
  <c r="J1203" i="1"/>
  <c r="H812" i="1"/>
  <c r="H94" i="1"/>
  <c r="H1648" i="1"/>
  <c r="H1399" i="1"/>
  <c r="E94" i="1"/>
  <c r="E1648" i="1"/>
  <c r="E812" i="1"/>
  <c r="H1203" i="1"/>
  <c r="E1038" i="1"/>
  <c r="E1850" i="1"/>
  <c r="H1038" i="1"/>
  <c r="H1514" i="1"/>
  <c r="E1182" i="1"/>
  <c r="J1512" i="1"/>
  <c r="E2086" i="1"/>
  <c r="J942" i="1"/>
  <c r="J1932" i="1"/>
  <c r="H1850" i="1"/>
  <c r="E800" i="1"/>
  <c r="E783" i="1"/>
  <c r="E73" i="1"/>
  <c r="E236" i="1"/>
  <c r="E1608" i="1"/>
  <c r="E1782" i="1"/>
  <c r="E1491" i="1"/>
  <c r="J808" i="1"/>
  <c r="H808" i="1"/>
  <c r="E1512" i="1"/>
  <c r="H800" i="1"/>
  <c r="H783" i="1"/>
  <c r="H73" i="1"/>
  <c r="H236" i="1"/>
  <c r="H1608" i="1"/>
  <c r="J1299" i="1"/>
  <c r="H1782" i="1"/>
  <c r="E1130" i="1"/>
  <c r="E1937" i="1"/>
  <c r="E184" i="1"/>
  <c r="E808" i="1"/>
  <c r="J1491" i="1"/>
  <c r="H1299" i="1"/>
  <c r="J1782" i="1"/>
  <c r="E1399" i="1"/>
  <c r="H1512" i="1"/>
  <c r="J1850" i="1"/>
  <c r="J1182" i="1"/>
  <c r="E1299" i="1"/>
  <c r="H2086" i="1"/>
  <c r="E1203" i="1"/>
  <c r="J812" i="1"/>
  <c r="H1339" i="1"/>
  <c r="E942" i="1"/>
  <c r="E1932" i="1"/>
  <c r="J94" i="1"/>
  <c r="J1648" i="1"/>
  <c r="J1514" i="1"/>
  <c r="H1937" i="1"/>
  <c r="H184" i="1"/>
  <c r="H1680" i="1"/>
  <c r="J1130" i="1"/>
  <c r="H1182" i="1"/>
  <c r="J2086" i="1"/>
  <c r="H942" i="1"/>
  <c r="H1932" i="1"/>
  <c r="E1514" i="1"/>
  <c r="J800" i="1"/>
  <c r="J783" i="1"/>
  <c r="J73" i="1"/>
  <c r="J236" i="1"/>
  <c r="J1608" i="1"/>
  <c r="J1038" i="1"/>
  <c r="H1130" i="1"/>
  <c r="J1680" i="1"/>
  <c r="J1937" i="1"/>
  <c r="J184" i="1"/>
  <c r="H1491" i="1"/>
  <c r="E1318" i="1"/>
  <c r="H193" i="1"/>
  <c r="E65" i="1"/>
  <c r="E1590" i="1"/>
  <c r="E1117" i="1"/>
  <c r="J1202" i="1"/>
  <c r="E1520" i="1"/>
  <c r="H65" i="1"/>
  <c r="H1590" i="1"/>
  <c r="H1117" i="1"/>
  <c r="H1691" i="1"/>
  <c r="J1318" i="1"/>
  <c r="J65" i="1"/>
  <c r="J1590" i="1"/>
  <c r="J1117" i="1"/>
  <c r="E1969" i="1"/>
  <c r="H1969" i="1"/>
  <c r="E193" i="1"/>
  <c r="E1748" i="1"/>
  <c r="E1861" i="1"/>
  <c r="J1748" i="1"/>
  <c r="H1861" i="1"/>
  <c r="J1969" i="1"/>
  <c r="J1691" i="1"/>
  <c r="H1520" i="1"/>
  <c r="J1520" i="1"/>
  <c r="J193" i="1"/>
  <c r="E1202" i="1"/>
  <c r="J1861" i="1"/>
  <c r="H1318" i="1"/>
  <c r="H1202" i="1"/>
  <c r="E1691" i="1"/>
  <c r="H1748" i="1"/>
  <c r="H1528" i="1"/>
  <c r="H96" i="1"/>
  <c r="E1381" i="1"/>
  <c r="E1524" i="1"/>
  <c r="H2064" i="1"/>
  <c r="H20" i="1"/>
  <c r="H1853" i="1"/>
  <c r="J1660" i="1"/>
  <c r="J1148" i="1"/>
  <c r="J102" i="1"/>
  <c r="H1524" i="1"/>
  <c r="E1528" i="1"/>
  <c r="J1381" i="1"/>
  <c r="E1376" i="1"/>
  <c r="J96" i="1"/>
  <c r="H1060" i="1"/>
  <c r="E964" i="1"/>
  <c r="H111" i="1"/>
  <c r="H964" i="1"/>
  <c r="E111" i="1"/>
  <c r="H1376" i="1"/>
  <c r="J964" i="1"/>
  <c r="E1660" i="1"/>
  <c r="E1148" i="1"/>
  <c r="E102" i="1"/>
  <c r="E2064" i="1"/>
  <c r="E20" i="1"/>
  <c r="E1853" i="1"/>
  <c r="E1060" i="1"/>
  <c r="H1660" i="1"/>
  <c r="H1148" i="1"/>
  <c r="H102" i="1"/>
  <c r="E96" i="1"/>
  <c r="J2064" i="1"/>
  <c r="J20" i="1"/>
  <c r="J1853" i="1"/>
  <c r="J1376" i="1"/>
  <c r="J1528" i="1"/>
  <c r="J1060" i="1"/>
  <c r="H1381" i="1"/>
  <c r="J111" i="1"/>
  <c r="J1524" i="1"/>
  <c r="E1184" i="1"/>
  <c r="H1184" i="1"/>
  <c r="E981" i="1"/>
  <c r="J1912" i="1"/>
  <c r="H1695" i="1"/>
  <c r="E1912" i="1"/>
  <c r="H1676" i="1"/>
  <c r="E1598" i="1"/>
  <c r="E1123" i="1"/>
  <c r="E781" i="1"/>
  <c r="E228" i="1"/>
  <c r="E1569" i="1"/>
  <c r="E1280" i="1"/>
  <c r="H981" i="1"/>
  <c r="J1598" i="1"/>
  <c r="J1123" i="1"/>
  <c r="J1815" i="1"/>
  <c r="E1350" i="1"/>
  <c r="E1815" i="1"/>
  <c r="J1689" i="1"/>
  <c r="J1655" i="1"/>
  <c r="E1695" i="1"/>
  <c r="E1689" i="1"/>
  <c r="E1655" i="1"/>
  <c r="J1676" i="1"/>
  <c r="H781" i="1"/>
  <c r="H228" i="1"/>
  <c r="H1569" i="1"/>
  <c r="H1280" i="1"/>
  <c r="J981" i="1"/>
  <c r="H1350" i="1"/>
  <c r="J1184" i="1"/>
  <c r="H1912" i="1"/>
  <c r="H1689" i="1"/>
  <c r="H1655" i="1"/>
  <c r="E1676" i="1"/>
  <c r="J1350" i="1"/>
  <c r="H1598" i="1"/>
  <c r="H1123" i="1"/>
  <c r="J1695" i="1"/>
  <c r="J781" i="1"/>
  <c r="J228" i="1"/>
  <c r="J1569" i="1"/>
  <c r="J1280" i="1"/>
  <c r="H1815" i="1"/>
  <c r="J66" i="1"/>
  <c r="E1440" i="1"/>
  <c r="E1400" i="1"/>
  <c r="J953" i="1"/>
  <c r="J112" i="1"/>
  <c r="E1306" i="1"/>
  <c r="J1077" i="1"/>
  <c r="H1540" i="1"/>
  <c r="J1306" i="1"/>
  <c r="E1540" i="1"/>
  <c r="H1941" i="1"/>
  <c r="H66" i="1"/>
  <c r="E148" i="1"/>
  <c r="J1911" i="1"/>
  <c r="E1911" i="1"/>
  <c r="E112" i="1"/>
  <c r="E1941" i="1"/>
  <c r="J1440" i="1"/>
  <c r="J1400" i="1"/>
  <c r="H1077" i="1"/>
  <c r="H953" i="1"/>
  <c r="J148" i="1"/>
  <c r="H1911" i="1"/>
  <c r="H1440" i="1"/>
  <c r="H1400" i="1"/>
  <c r="H112" i="1"/>
  <c r="E1077" i="1"/>
  <c r="H148" i="1"/>
  <c r="J1540" i="1"/>
  <c r="E953" i="1"/>
  <c r="J1941" i="1"/>
  <c r="E66" i="1"/>
  <c r="H1306" i="1"/>
  <c r="J1215" i="1"/>
  <c r="H1788" i="1"/>
  <c r="J1073" i="1"/>
  <c r="H973" i="1"/>
  <c r="J973" i="1"/>
  <c r="J1678" i="1"/>
  <c r="J1592" i="1"/>
  <c r="J1237" i="1"/>
  <c r="H1073" i="1"/>
  <c r="E1215" i="1"/>
  <c r="E1237" i="1"/>
  <c r="J1216" i="1"/>
  <c r="H1592" i="1"/>
  <c r="H1678" i="1"/>
  <c r="H36" i="1"/>
  <c r="H2079" i="1"/>
  <c r="H1871" i="1"/>
  <c r="E1788" i="1"/>
  <c r="H1216" i="1"/>
  <c r="J1647" i="1"/>
  <c r="H1647" i="1"/>
  <c r="J36" i="1"/>
  <c r="J2079" i="1"/>
  <c r="J1871" i="1"/>
  <c r="E1216" i="1"/>
  <c r="E1647" i="1"/>
  <c r="E36" i="1"/>
  <c r="E2079" i="1"/>
  <c r="E1871" i="1"/>
  <c r="H1215" i="1"/>
  <c r="E973" i="1"/>
  <c r="H1237" i="1"/>
  <c r="J1788" i="1"/>
  <c r="E1678" i="1"/>
  <c r="E1073" i="1"/>
  <c r="E1592" i="1"/>
  <c r="E1152" i="1"/>
  <c r="E108" i="1"/>
  <c r="E1261" i="1"/>
  <c r="J809" i="1"/>
  <c r="E1200" i="1"/>
  <c r="E80" i="1"/>
  <c r="E1625" i="1"/>
  <c r="E1044" i="1"/>
  <c r="H1781" i="1"/>
  <c r="H1261" i="1"/>
  <c r="J1827" i="1"/>
  <c r="H1894" i="1"/>
  <c r="H1659" i="1"/>
  <c r="H100" i="1"/>
  <c r="J2100" i="1"/>
  <c r="H38" i="1"/>
  <c r="H183" i="1"/>
  <c r="J38" i="1"/>
  <c r="J183" i="1"/>
  <c r="J80" i="1"/>
  <c r="J1625" i="1"/>
  <c r="J1044" i="1"/>
  <c r="J1200" i="1"/>
  <c r="H1827" i="1"/>
  <c r="E1781" i="1"/>
  <c r="H1152" i="1"/>
  <c r="H108" i="1"/>
  <c r="H809" i="1"/>
  <c r="E2100" i="1"/>
  <c r="J1152" i="1"/>
  <c r="J108" i="1"/>
  <c r="J1261" i="1"/>
  <c r="J1781" i="1"/>
  <c r="E38" i="1"/>
  <c r="E183" i="1"/>
  <c r="J1894" i="1"/>
  <c r="J1659" i="1"/>
  <c r="J100" i="1"/>
  <c r="H1200" i="1"/>
  <c r="E809" i="1"/>
  <c r="H80" i="1"/>
  <c r="H1625" i="1"/>
  <c r="H1044" i="1"/>
  <c r="E1894" i="1"/>
  <c r="E1659" i="1"/>
  <c r="E100" i="1"/>
  <c r="H2100" i="1"/>
  <c r="E1827" i="1"/>
  <c r="E1087" i="1"/>
  <c r="E951" i="1"/>
  <c r="E1094" i="1"/>
  <c r="H1816" i="1"/>
  <c r="H169" i="1"/>
  <c r="E1816" i="1"/>
  <c r="E169" i="1"/>
  <c r="E1264" i="1"/>
  <c r="H951" i="1"/>
  <c r="H1094" i="1"/>
  <c r="J1823" i="1"/>
  <c r="J1127" i="1"/>
  <c r="H1441" i="1"/>
  <c r="H1401" i="1"/>
  <c r="E1127" i="1"/>
  <c r="H1264" i="1"/>
  <c r="E1211" i="1"/>
  <c r="E1974" i="1"/>
  <c r="E1221" i="1"/>
  <c r="E1441" i="1"/>
  <c r="E1401" i="1"/>
  <c r="E1823" i="1"/>
  <c r="H1211" i="1"/>
  <c r="H1974" i="1"/>
  <c r="J1221" i="1"/>
  <c r="J1087" i="1"/>
  <c r="J1211" i="1"/>
  <c r="J1974" i="1"/>
  <c r="H1087" i="1"/>
  <c r="H1127" i="1"/>
  <c r="J1816" i="1"/>
  <c r="J169" i="1"/>
  <c r="J951" i="1"/>
  <c r="J1094" i="1"/>
  <c r="J1441" i="1"/>
  <c r="J1401" i="1"/>
  <c r="H1221" i="1"/>
  <c r="H1823" i="1"/>
  <c r="J1264" i="1"/>
  <c r="E55" i="1"/>
  <c r="E1103" i="1"/>
  <c r="J226" i="1"/>
  <c r="J167" i="1"/>
  <c r="E1663" i="1"/>
  <c r="E1259" i="1"/>
  <c r="E120" i="1"/>
  <c r="H1448" i="1"/>
  <c r="H1413" i="1"/>
  <c r="H140" i="1"/>
  <c r="E1939" i="1"/>
  <c r="E1639" i="1"/>
  <c r="E1137" i="1"/>
  <c r="E1090" i="1"/>
  <c r="H1939" i="1"/>
  <c r="H1639" i="1"/>
  <c r="H1137" i="1"/>
  <c r="H1090" i="1"/>
  <c r="E1778" i="1"/>
  <c r="H2081" i="1"/>
  <c r="H1423" i="1"/>
  <c r="H1938" i="1"/>
  <c r="E1938" i="1"/>
  <c r="E1558" i="1"/>
  <c r="H1558" i="1"/>
  <c r="E1589" i="1"/>
  <c r="H120" i="1"/>
  <c r="J1228" i="1"/>
  <c r="J1131" i="1"/>
  <c r="E1776" i="1"/>
  <c r="H1131" i="1"/>
  <c r="H37" i="1"/>
  <c r="H1930" i="1"/>
  <c r="E1228" i="1"/>
  <c r="J1663" i="1"/>
  <c r="H1589" i="1"/>
  <c r="E2081" i="1"/>
  <c r="J1980" i="1"/>
  <c r="J1391" i="1"/>
  <c r="J1423" i="1"/>
  <c r="H226" i="1"/>
  <c r="H167" i="1"/>
  <c r="J1259" i="1"/>
  <c r="J1149" i="1"/>
  <c r="E1448" i="1"/>
  <c r="E1413" i="1"/>
  <c r="E140" i="1"/>
  <c r="J1776" i="1"/>
  <c r="E1391" i="1"/>
  <c r="J1778" i="1"/>
  <c r="J37" i="1"/>
  <c r="J1930" i="1"/>
  <c r="J1589" i="1"/>
  <c r="E1423" i="1"/>
  <c r="H1228" i="1"/>
  <c r="H1259" i="1"/>
  <c r="H1778" i="1"/>
  <c r="J1939" i="1"/>
  <c r="J1639" i="1"/>
  <c r="J1137" i="1"/>
  <c r="J1090" i="1"/>
  <c r="J120" i="1"/>
  <c r="H1663" i="1"/>
  <c r="E1131" i="1"/>
  <c r="E37" i="1"/>
  <c r="E1930" i="1"/>
  <c r="E1980" i="1"/>
  <c r="H55" i="1"/>
  <c r="H1103" i="1"/>
  <c r="E1149" i="1"/>
  <c r="J1448" i="1"/>
  <c r="J1413" i="1"/>
  <c r="J140" i="1"/>
  <c r="J2081" i="1"/>
  <c r="H1149" i="1"/>
  <c r="E226" i="1"/>
  <c r="E167" i="1"/>
  <c r="J1558" i="1"/>
  <c r="J1938" i="1"/>
  <c r="H1391" i="1"/>
  <c r="J55" i="1"/>
  <c r="J1103" i="1"/>
  <c r="H1980" i="1"/>
  <c r="H1776" i="1"/>
  <c r="E2072" i="1"/>
  <c r="E1195" i="1"/>
  <c r="H2088" i="1"/>
  <c r="E114" i="1"/>
  <c r="J958" i="1"/>
  <c r="H1037" i="1"/>
  <c r="J946" i="1"/>
  <c r="J1944" i="1"/>
  <c r="J1141" i="1"/>
  <c r="J1586" i="1"/>
  <c r="J1059" i="1"/>
  <c r="E1037" i="1"/>
  <c r="E2088" i="1"/>
  <c r="H114" i="1"/>
  <c r="E940" i="1"/>
  <c r="J940" i="1"/>
  <c r="H2072" i="1"/>
  <c r="H1195" i="1"/>
  <c r="H1059" i="1"/>
  <c r="J810" i="1"/>
  <c r="E1586" i="1"/>
  <c r="E810" i="1"/>
  <c r="E946" i="1"/>
  <c r="E1944" i="1"/>
  <c r="E1141" i="1"/>
  <c r="H958" i="1"/>
  <c r="H810" i="1"/>
  <c r="H940" i="1"/>
  <c r="J2072" i="1"/>
  <c r="J1195" i="1"/>
  <c r="H1586" i="1"/>
  <c r="E1059" i="1"/>
  <c r="E958" i="1"/>
  <c r="J1037" i="1"/>
  <c r="J2088" i="1"/>
  <c r="H946" i="1"/>
  <c r="H1944" i="1"/>
  <c r="H1141" i="1"/>
  <c r="J114" i="1"/>
  <c r="H229" i="1"/>
  <c r="J1754" i="1"/>
  <c r="J2082" i="1"/>
  <c r="E2082" i="1"/>
  <c r="E229" i="1"/>
  <c r="H1057" i="1"/>
  <c r="E1683" i="1"/>
  <c r="E121" i="1"/>
  <c r="J121" i="1"/>
  <c r="E1914" i="1"/>
  <c r="H1832" i="1"/>
  <c r="H1260" i="1"/>
  <c r="J1832" i="1"/>
  <c r="H1382" i="1"/>
  <c r="E1754" i="1"/>
  <c r="J1057" i="1"/>
  <c r="J1683" i="1"/>
  <c r="E1382" i="1"/>
  <c r="H1914" i="1"/>
  <c r="E1260" i="1"/>
  <c r="J1914" i="1"/>
  <c r="H121" i="1"/>
  <c r="E1057" i="1"/>
  <c r="J229" i="1"/>
  <c r="J1260" i="1"/>
  <c r="H2082" i="1"/>
  <c r="E1832" i="1"/>
  <c r="H1754" i="1"/>
  <c r="J1382" i="1"/>
  <c r="H1683" i="1"/>
  <c r="J1054" i="1"/>
  <c r="H143" i="1"/>
  <c r="E1868" i="1"/>
  <c r="J1630" i="1"/>
  <c r="J1129" i="1"/>
  <c r="E1630" i="1"/>
  <c r="E1129" i="1"/>
  <c r="E1615" i="1"/>
  <c r="E1508" i="1"/>
  <c r="J1843" i="1"/>
  <c r="J12" i="1"/>
  <c r="H1508" i="1"/>
  <c r="J1374" i="1"/>
  <c r="H1615" i="1"/>
  <c r="E1374" i="1"/>
  <c r="H1439" i="1"/>
  <c r="H1398" i="1"/>
  <c r="J1310" i="1"/>
  <c r="E143" i="1"/>
  <c r="E1439" i="1"/>
  <c r="E1398" i="1"/>
  <c r="H1054" i="1"/>
  <c r="H1310" i="1"/>
  <c r="H1868" i="1"/>
  <c r="E1310" i="1"/>
  <c r="H1374" i="1"/>
  <c r="J1868" i="1"/>
  <c r="H1630" i="1"/>
  <c r="H1129" i="1"/>
  <c r="E1054" i="1"/>
  <c r="J1439" i="1"/>
  <c r="J1398" i="1"/>
  <c r="J1508" i="1"/>
  <c r="J1615" i="1"/>
  <c r="E1843" i="1"/>
  <c r="E12" i="1"/>
  <c r="H1843" i="1"/>
  <c r="H12" i="1"/>
  <c r="J143" i="1"/>
  <c r="J1545" i="1"/>
  <c r="E1024" i="1"/>
  <c r="E2098" i="1"/>
  <c r="H2098" i="1"/>
  <c r="J1771" i="1"/>
  <c r="J1631" i="1"/>
  <c r="J1511" i="1"/>
  <c r="E1529" i="1"/>
  <c r="H1771" i="1"/>
  <c r="J1024" i="1"/>
  <c r="H1631" i="1"/>
  <c r="H1511" i="1"/>
  <c r="J118" i="1"/>
  <c r="J1380" i="1"/>
  <c r="J126" i="1"/>
  <c r="H1181" i="1"/>
  <c r="E1545" i="1"/>
  <c r="E118" i="1"/>
  <c r="E1181" i="1"/>
  <c r="H1173" i="1"/>
  <c r="J1173" i="1"/>
  <c r="J1529" i="1"/>
  <c r="E1380" i="1"/>
  <c r="E126" i="1"/>
  <c r="H1024" i="1"/>
  <c r="H1380" i="1"/>
  <c r="H126" i="1"/>
  <c r="E1771" i="1"/>
  <c r="H1545" i="1"/>
  <c r="E1173" i="1"/>
  <c r="J2098" i="1"/>
  <c r="H118" i="1"/>
  <c r="J1181" i="1"/>
  <c r="E1631" i="1"/>
  <c r="E1511" i="1"/>
  <c r="H1529" i="1"/>
  <c r="E160" i="1"/>
  <c r="H1860" i="1"/>
  <c r="E1213" i="1"/>
  <c r="E46" i="1"/>
  <c r="J42" i="1"/>
  <c r="J1889" i="1"/>
  <c r="H1575" i="1"/>
  <c r="H1107" i="1"/>
  <c r="J1213" i="1"/>
  <c r="H1445" i="1"/>
  <c r="H1286" i="1"/>
  <c r="E1981" i="1"/>
  <c r="H1266" i="1"/>
  <c r="H1157" i="1"/>
  <c r="E1218" i="1"/>
  <c r="H45" i="1"/>
  <c r="H2096" i="1"/>
  <c r="H1893" i="1"/>
  <c r="E1286" i="1"/>
  <c r="H1774" i="1"/>
  <c r="H1981" i="1"/>
  <c r="J45" i="1"/>
  <c r="J2096" i="1"/>
  <c r="J1893" i="1"/>
  <c r="E1774" i="1"/>
  <c r="J2092" i="1"/>
  <c r="E1575" i="1"/>
  <c r="E1107" i="1"/>
  <c r="J1780" i="1"/>
  <c r="H2092" i="1"/>
  <c r="J1239" i="1"/>
  <c r="H1780" i="1"/>
  <c r="H1693" i="1"/>
  <c r="J1157" i="1"/>
  <c r="E1693" i="1"/>
  <c r="E88" i="1"/>
  <c r="E1977" i="1"/>
  <c r="E1637" i="1"/>
  <c r="E1860" i="1"/>
  <c r="H1239" i="1"/>
  <c r="H1602" i="1"/>
  <c r="H1493" i="1"/>
  <c r="H1188" i="1"/>
  <c r="E1266" i="1"/>
  <c r="J1602" i="1"/>
  <c r="J1493" i="1"/>
  <c r="J1188" i="1"/>
  <c r="J160" i="1"/>
  <c r="J88" i="1"/>
  <c r="J1977" i="1"/>
  <c r="J1637" i="1"/>
  <c r="H1218" i="1"/>
  <c r="H88" i="1"/>
  <c r="H1977" i="1"/>
  <c r="H1637" i="1"/>
  <c r="J1575" i="1"/>
  <c r="J1107" i="1"/>
  <c r="E1602" i="1"/>
  <c r="E1493" i="1"/>
  <c r="E1188" i="1"/>
  <c r="E2092" i="1"/>
  <c r="J1693" i="1"/>
  <c r="E1157" i="1"/>
  <c r="J1860" i="1"/>
  <c r="E45" i="1"/>
  <c r="E2096" i="1"/>
  <c r="E1893" i="1"/>
  <c r="J1981" i="1"/>
  <c r="J1286" i="1"/>
  <c r="H46" i="1"/>
  <c r="E42" i="1"/>
  <c r="E1889" i="1"/>
  <c r="E1445" i="1"/>
  <c r="H42" i="1"/>
  <c r="H1889" i="1"/>
  <c r="J1218" i="1"/>
  <c r="E1239" i="1"/>
  <c r="H160" i="1"/>
  <c r="J1266" i="1"/>
  <c r="E1780" i="1"/>
  <c r="J46" i="1"/>
  <c r="J1774" i="1"/>
  <c r="H1213" i="1"/>
  <c r="J1445" i="1"/>
  <c r="H1504" i="1"/>
  <c r="E1833" i="1"/>
  <c r="J51" i="1"/>
  <c r="J1842" i="1"/>
  <c r="J1565" i="1"/>
  <c r="J1102" i="1"/>
  <c r="J247" i="1"/>
  <c r="J1653" i="1"/>
  <c r="J1194" i="1"/>
  <c r="H805" i="1"/>
  <c r="J1859" i="1"/>
  <c r="J1390" i="1"/>
  <c r="H1437" i="1"/>
  <c r="E1542" i="1"/>
  <c r="H1542" i="1"/>
  <c r="E1859" i="1"/>
  <c r="E1390" i="1"/>
  <c r="H939" i="1"/>
  <c r="H34" i="1"/>
  <c r="H1927" i="1"/>
  <c r="H182" i="1"/>
  <c r="H1208" i="1"/>
  <c r="H967" i="1"/>
  <c r="H1285" i="1"/>
  <c r="J1770" i="1"/>
  <c r="E1521" i="1"/>
  <c r="H51" i="1"/>
  <c r="H1842" i="1"/>
  <c r="H1565" i="1"/>
  <c r="H1102" i="1"/>
  <c r="E939" i="1"/>
  <c r="E34" i="1"/>
  <c r="E1927" i="1"/>
  <c r="E182" i="1"/>
  <c r="J173" i="1"/>
  <c r="J1833" i="1"/>
  <c r="E805" i="1"/>
  <c r="J785" i="1"/>
  <c r="H1194" i="1"/>
  <c r="E967" i="1"/>
  <c r="E1285" i="1"/>
  <c r="H785" i="1"/>
  <c r="J2076" i="1"/>
  <c r="J1624" i="1"/>
  <c r="J1437" i="1"/>
  <c r="E173" i="1"/>
  <c r="J1521" i="1"/>
  <c r="H247" i="1"/>
  <c r="H1653" i="1"/>
  <c r="H801" i="1"/>
  <c r="E1504" i="1"/>
  <c r="E1777" i="1"/>
  <c r="E801" i="1"/>
  <c r="J992" i="1"/>
  <c r="E2076" i="1"/>
  <c r="E1624" i="1"/>
  <c r="J1542" i="1"/>
  <c r="J939" i="1"/>
  <c r="J34" i="1"/>
  <c r="J1927" i="1"/>
  <c r="J182" i="1"/>
  <c r="J805" i="1"/>
  <c r="E1194" i="1"/>
  <c r="E247" i="1"/>
  <c r="E1653" i="1"/>
  <c r="H1833" i="1"/>
  <c r="H2076" i="1"/>
  <c r="H1624" i="1"/>
  <c r="H1521" i="1"/>
  <c r="H1777" i="1"/>
  <c r="H173" i="1"/>
  <c r="E1437" i="1"/>
  <c r="J1208" i="1"/>
  <c r="E1770" i="1"/>
  <c r="H992" i="1"/>
  <c r="J1504" i="1"/>
  <c r="J801" i="1"/>
  <c r="E1208" i="1"/>
  <c r="J967" i="1"/>
  <c r="J1285" i="1"/>
  <c r="J1777" i="1"/>
  <c r="E51" i="1"/>
  <c r="E1842" i="1"/>
  <c r="E1565" i="1"/>
  <c r="E1102" i="1"/>
  <c r="E785" i="1"/>
  <c r="E992" i="1"/>
  <c r="H1859" i="1"/>
  <c r="H1390" i="1"/>
  <c r="H1770" i="1"/>
  <c r="J1947" i="1"/>
  <c r="J1632" i="1"/>
  <c r="E175" i="1"/>
  <c r="H1375" i="1"/>
  <c r="E1201" i="1"/>
  <c r="E161" i="1"/>
  <c r="E1375" i="1"/>
  <c r="H1487" i="1"/>
  <c r="H1449" i="1"/>
  <c r="H1419" i="1"/>
  <c r="H1947" i="1"/>
  <c r="J1986" i="1"/>
  <c r="J109" i="1"/>
  <c r="E1487" i="1"/>
  <c r="H1169" i="1"/>
  <c r="E1449" i="1"/>
  <c r="E1419" i="1"/>
  <c r="J161" i="1"/>
  <c r="E1632" i="1"/>
  <c r="J1169" i="1"/>
  <c r="J1201" i="1"/>
  <c r="E1986" i="1"/>
  <c r="E109" i="1"/>
  <c r="H1986" i="1"/>
  <c r="H109" i="1"/>
  <c r="H175" i="1"/>
  <c r="H161" i="1"/>
  <c r="J175" i="1"/>
  <c r="H1201" i="1"/>
  <c r="J1449" i="1"/>
  <c r="J1419" i="1"/>
  <c r="E1947" i="1"/>
  <c r="J1375" i="1"/>
  <c r="J1487" i="1"/>
  <c r="E1169" i="1"/>
  <c r="H1632" i="1"/>
  <c r="E79" i="1"/>
  <c r="E1043" i="1"/>
  <c r="E1347" i="1"/>
  <c r="E1170" i="1"/>
  <c r="H1917" i="1"/>
  <c r="H1752" i="1"/>
  <c r="H1488" i="1"/>
  <c r="H1186" i="1"/>
  <c r="E1917" i="1"/>
  <c r="H1679" i="1"/>
  <c r="J1488" i="1"/>
  <c r="J1186" i="1"/>
  <c r="E1923" i="1"/>
  <c r="H1302" i="1"/>
  <c r="J1302" i="1"/>
  <c r="H2075" i="1"/>
  <c r="H1870" i="1"/>
  <c r="J1347" i="1"/>
  <c r="J1170" i="1"/>
  <c r="J1679" i="1"/>
  <c r="H1923" i="1"/>
  <c r="E2075" i="1"/>
  <c r="E1870" i="1"/>
  <c r="E1985" i="1"/>
  <c r="E1098" i="1"/>
  <c r="H79" i="1"/>
  <c r="H1043" i="1"/>
  <c r="E1752" i="1"/>
  <c r="H1985" i="1"/>
  <c r="H1098" i="1"/>
  <c r="E1488" i="1"/>
  <c r="E1186" i="1"/>
  <c r="J1752" i="1"/>
  <c r="J2075" i="1"/>
  <c r="J1870" i="1"/>
  <c r="J1917" i="1"/>
  <c r="H1347" i="1"/>
  <c r="H1170" i="1"/>
  <c r="E1302" i="1"/>
  <c r="E1679" i="1"/>
  <c r="J79" i="1"/>
  <c r="J1043" i="1"/>
  <c r="J1985" i="1"/>
  <c r="J1098" i="1"/>
  <c r="J1923" i="1"/>
  <c r="H71" i="1"/>
  <c r="H1971" i="1"/>
  <c r="H1606" i="1"/>
  <c r="H1125" i="1"/>
  <c r="J1392" i="1"/>
  <c r="H1392" i="1"/>
  <c r="E1492" i="1"/>
  <c r="E2101" i="1"/>
  <c r="H1386" i="1"/>
  <c r="E1617" i="1"/>
  <c r="E1396" i="1"/>
  <c r="E1053" i="1"/>
  <c r="H2101" i="1"/>
  <c r="E1548" i="1"/>
  <c r="J1617" i="1"/>
  <c r="J1396" i="1"/>
  <c r="J1042" i="1"/>
  <c r="E2084" i="1"/>
  <c r="E1880" i="1"/>
  <c r="H2084" i="1"/>
  <c r="H1880" i="1"/>
  <c r="H1492" i="1"/>
  <c r="J1053" i="1"/>
  <c r="J71" i="1"/>
  <c r="J1971" i="1"/>
  <c r="J1606" i="1"/>
  <c r="J1125" i="1"/>
  <c r="J1386" i="1"/>
  <c r="J1548" i="1"/>
  <c r="J1492" i="1"/>
  <c r="H1548" i="1"/>
  <c r="H1617" i="1"/>
  <c r="H1396" i="1"/>
  <c r="E1392" i="1"/>
  <c r="E71" i="1"/>
  <c r="E1971" i="1"/>
  <c r="E1606" i="1"/>
  <c r="E1125" i="1"/>
  <c r="E1386" i="1"/>
  <c r="E1042" i="1"/>
  <c r="J2084" i="1"/>
  <c r="J1880" i="1"/>
  <c r="H1053" i="1"/>
  <c r="J2101" i="1"/>
  <c r="H1042" i="1"/>
  <c r="E244" i="1"/>
  <c r="E159" i="1"/>
  <c r="E1535" i="1"/>
  <c r="H244" i="1"/>
  <c r="E33" i="1"/>
  <c r="E179" i="1"/>
  <c r="H33" i="1"/>
  <c r="H179" i="1"/>
  <c r="H1029" i="1"/>
  <c r="J1357" i="1"/>
  <c r="H1357" i="1"/>
  <c r="E1476" i="1"/>
  <c r="H1760" i="1"/>
  <c r="H75" i="1"/>
  <c r="J159" i="1"/>
  <c r="J75" i="1"/>
  <c r="J1898" i="1"/>
  <c r="J1760" i="1"/>
  <c r="E1898" i="1"/>
  <c r="J1535" i="1"/>
  <c r="J1476" i="1"/>
  <c r="E1029" i="1"/>
  <c r="H1898" i="1"/>
  <c r="J244" i="1"/>
  <c r="E1357" i="1"/>
  <c r="H159" i="1"/>
  <c r="H1476" i="1"/>
  <c r="E75" i="1"/>
  <c r="J33" i="1"/>
  <c r="J179" i="1"/>
  <c r="H1535" i="1"/>
  <c r="E1760" i="1"/>
  <c r="J1029" i="1"/>
  <c r="E1900" i="1"/>
  <c r="J1658" i="1"/>
  <c r="E1028" i="1"/>
  <c r="J1384" i="1"/>
  <c r="J128" i="1"/>
  <c r="E1080" i="1"/>
  <c r="J1755" i="1"/>
  <c r="E1384" i="1"/>
  <c r="E128" i="1"/>
  <c r="J1765" i="1"/>
  <c r="E1198" i="1"/>
  <c r="H1765" i="1"/>
  <c r="J1594" i="1"/>
  <c r="H1028" i="1"/>
  <c r="J1198" i="1"/>
  <c r="J1900" i="1"/>
  <c r="E1755" i="1"/>
  <c r="E1594" i="1"/>
  <c r="J1828" i="1"/>
  <c r="J1080" i="1"/>
  <c r="H1658" i="1"/>
  <c r="H1828" i="1"/>
  <c r="H1080" i="1"/>
  <c r="H1384" i="1"/>
  <c r="H128" i="1"/>
  <c r="H1900" i="1"/>
  <c r="E1765" i="1"/>
  <c r="H1198" i="1"/>
  <c r="E1828" i="1"/>
  <c r="E1658" i="1"/>
  <c r="H1755" i="1"/>
  <c r="J1028" i="1"/>
  <c r="H1594" i="1"/>
  <c r="H172" i="1"/>
  <c r="H16" i="1"/>
  <c r="H1262" i="1"/>
  <c r="E1262" i="1"/>
  <c r="J1530" i="1"/>
  <c r="H69" i="1"/>
  <c r="E172" i="1"/>
  <c r="E16" i="1"/>
  <c r="J142" i="1"/>
  <c r="H1530" i="1"/>
  <c r="J1652" i="1"/>
  <c r="E996" i="1"/>
  <c r="H2061" i="1"/>
  <c r="J1692" i="1"/>
  <c r="E142" i="1"/>
  <c r="J69" i="1"/>
  <c r="E1553" i="1"/>
  <c r="H1652" i="1"/>
  <c r="E2061" i="1"/>
  <c r="J1553" i="1"/>
  <c r="E1692" i="1"/>
  <c r="H996" i="1"/>
  <c r="E69" i="1"/>
  <c r="J2061" i="1"/>
  <c r="H1553" i="1"/>
  <c r="J1262" i="1"/>
  <c r="J996" i="1"/>
  <c r="E1530" i="1"/>
  <c r="H142" i="1"/>
  <c r="J172" i="1"/>
  <c r="J16" i="1"/>
  <c r="E1652" i="1"/>
  <c r="H1692" i="1"/>
  <c r="J189" i="1"/>
  <c r="J1095" i="1"/>
  <c r="J1056" i="1"/>
  <c r="J1076" i="1"/>
  <c r="E799" i="1"/>
  <c r="E1036" i="1"/>
  <c r="J1830" i="1"/>
  <c r="H1830" i="1"/>
  <c r="E1076" i="1"/>
  <c r="E1867" i="1"/>
  <c r="H970" i="1"/>
  <c r="H24" i="1"/>
  <c r="H1293" i="1"/>
  <c r="H105" i="1"/>
  <c r="J970" i="1"/>
  <c r="J24" i="1"/>
  <c r="J1293" i="1"/>
  <c r="E56" i="1"/>
  <c r="E1567" i="1"/>
  <c r="E1026" i="1"/>
  <c r="J1288" i="1"/>
  <c r="J1315" i="1"/>
  <c r="E1288" i="1"/>
  <c r="H189" i="1"/>
  <c r="H1095" i="1"/>
  <c r="H1056" i="1"/>
  <c r="J1867" i="1"/>
  <c r="J105" i="1"/>
  <c r="H799" i="1"/>
  <c r="H1036" i="1"/>
  <c r="E1315" i="1"/>
  <c r="H56" i="1"/>
  <c r="H1567" i="1"/>
  <c r="H1026" i="1"/>
  <c r="E970" i="1"/>
  <c r="E24" i="1"/>
  <c r="E1293" i="1"/>
  <c r="H1867" i="1"/>
  <c r="H1288" i="1"/>
  <c r="J799" i="1"/>
  <c r="J1036" i="1"/>
  <c r="E1830" i="1"/>
  <c r="H1076" i="1"/>
  <c r="H1315" i="1"/>
  <c r="E105" i="1"/>
  <c r="J56" i="1"/>
  <c r="J1567" i="1"/>
  <c r="J1026" i="1"/>
  <c r="E189" i="1"/>
  <c r="E1095" i="1"/>
  <c r="E1056" i="1"/>
  <c r="J1976" i="1"/>
  <c r="J1408" i="1"/>
  <c r="E1976" i="1"/>
  <c r="E1408" i="1"/>
  <c r="H1415" i="1"/>
  <c r="E117" i="1"/>
  <c r="J997" i="1"/>
  <c r="J1067" i="1"/>
  <c r="J1415" i="1"/>
  <c r="E1067" i="1"/>
  <c r="H240" i="1"/>
  <c r="H1049" i="1"/>
  <c r="E1342" i="1"/>
  <c r="J1342" i="1"/>
  <c r="E999" i="1"/>
  <c r="J240" i="1"/>
  <c r="J1049" i="1"/>
  <c r="H117" i="1"/>
  <c r="J1925" i="1"/>
  <c r="H1925" i="1"/>
  <c r="J1074" i="1"/>
  <c r="H997" i="1"/>
  <c r="H1074" i="1"/>
  <c r="J999" i="1"/>
  <c r="H1067" i="1"/>
  <c r="E1415" i="1"/>
  <c r="J117" i="1"/>
  <c r="H999" i="1"/>
  <c r="H1976" i="1"/>
  <c r="H1408" i="1"/>
  <c r="E1074" i="1"/>
  <c r="E240" i="1"/>
  <c r="E1049" i="1"/>
  <c r="E997" i="1"/>
  <c r="H1342" i="1"/>
  <c r="E1925" i="1"/>
  <c r="E1343" i="1"/>
  <c r="J961" i="1"/>
  <c r="J1162" i="1"/>
  <c r="J1571" i="1"/>
  <c r="J1244" i="1"/>
  <c r="H1343" i="1"/>
  <c r="H1571" i="1"/>
  <c r="J1516" i="1"/>
  <c r="E1220" i="1"/>
  <c r="J123" i="1"/>
  <c r="J1220" i="1"/>
  <c r="E1516" i="1"/>
  <c r="E1244" i="1"/>
  <c r="J1559" i="1"/>
  <c r="J1088" i="1"/>
  <c r="E1636" i="1"/>
  <c r="E1135" i="1"/>
  <c r="E1559" i="1"/>
  <c r="E123" i="1"/>
  <c r="J1636" i="1"/>
  <c r="J1135" i="1"/>
  <c r="H961" i="1"/>
  <c r="H1162" i="1"/>
  <c r="H1088" i="1"/>
  <c r="H1220" i="1"/>
  <c r="E1571" i="1"/>
  <c r="J1343" i="1"/>
  <c r="E961" i="1"/>
  <c r="E1162" i="1"/>
  <c r="H123" i="1"/>
  <c r="H1559" i="1"/>
  <c r="H1244" i="1"/>
  <c r="E1088" i="1"/>
  <c r="H1636" i="1"/>
  <c r="H1135" i="1"/>
  <c r="H1516" i="1"/>
  <c r="H1050" i="1"/>
  <c r="J1775" i="1"/>
  <c r="E1199" i="1"/>
  <c r="H1058" i="1"/>
  <c r="E63" i="1"/>
  <c r="E1587" i="1"/>
  <c r="E1378" i="1"/>
  <c r="E124" i="1"/>
  <c r="E1114" i="1"/>
  <c r="J1281" i="1"/>
  <c r="J1199" i="1"/>
  <c r="E106" i="1"/>
  <c r="J1050" i="1"/>
  <c r="H1775" i="1"/>
  <c r="J1190" i="1"/>
  <c r="J106" i="1"/>
  <c r="H1421" i="1"/>
  <c r="H192" i="1"/>
  <c r="J1421" i="1"/>
  <c r="E1058" i="1"/>
  <c r="H63" i="1"/>
  <c r="H1587" i="1"/>
  <c r="H1378" i="1"/>
  <c r="H124" i="1"/>
  <c r="H1114" i="1"/>
  <c r="H1281" i="1"/>
  <c r="E1190" i="1"/>
  <c r="J192" i="1"/>
  <c r="E1421" i="1"/>
  <c r="H1190" i="1"/>
  <c r="E1281" i="1"/>
  <c r="J1058" i="1"/>
  <c r="E1050" i="1"/>
  <c r="J63" i="1"/>
  <c r="J1587" i="1"/>
  <c r="J1378" i="1"/>
  <c r="J124" i="1"/>
  <c r="J1114" i="1"/>
  <c r="E192" i="1"/>
  <c r="H1199" i="1"/>
  <c r="E1775" i="1"/>
  <c r="H106" i="1"/>
  <c r="E929" i="1"/>
  <c r="E1905" i="1"/>
  <c r="J1031" i="1"/>
  <c r="E1955" i="1"/>
  <c r="E122" i="1"/>
  <c r="J1304" i="1"/>
  <c r="H1572" i="1"/>
  <c r="H1304" i="1"/>
  <c r="E1031" i="1"/>
  <c r="J929" i="1"/>
  <c r="J1905" i="1"/>
  <c r="H991" i="1"/>
  <c r="J1287" i="1"/>
  <c r="J1035" i="1"/>
  <c r="H1035" i="1"/>
  <c r="E1349" i="1"/>
  <c r="H1955" i="1"/>
  <c r="H1287" i="1"/>
  <c r="J122" i="1"/>
  <c r="E1572" i="1"/>
  <c r="J991" i="1"/>
  <c r="J1349" i="1"/>
  <c r="E1287" i="1"/>
  <c r="J1955" i="1"/>
  <c r="H1349" i="1"/>
  <c r="E991" i="1"/>
  <c r="H1031" i="1"/>
  <c r="H122" i="1"/>
  <c r="H929" i="1"/>
  <c r="H1905" i="1"/>
  <c r="E1035" i="1"/>
  <c r="E1304" i="1"/>
  <c r="J1572" i="1"/>
  <c r="E1940" i="1"/>
  <c r="H48" i="1"/>
  <c r="H1179" i="1"/>
  <c r="H1940" i="1"/>
  <c r="E1222" i="1"/>
  <c r="E1485" i="1"/>
  <c r="J1907" i="1"/>
  <c r="J2094" i="1"/>
  <c r="H1235" i="1"/>
  <c r="J48" i="1"/>
  <c r="J1179" i="1"/>
  <c r="E1907" i="1"/>
  <c r="E2094" i="1"/>
  <c r="J1485" i="1"/>
  <c r="H83" i="1"/>
  <c r="H1973" i="1"/>
  <c r="H1132" i="1"/>
  <c r="J1222" i="1"/>
  <c r="E1235" i="1"/>
  <c r="E83" i="1"/>
  <c r="E1973" i="1"/>
  <c r="E1132" i="1"/>
  <c r="H1525" i="1"/>
  <c r="E1667" i="1"/>
  <c r="J1667" i="1"/>
  <c r="E1525" i="1"/>
  <c r="H1907" i="1"/>
  <c r="E48" i="1"/>
  <c r="E1179" i="1"/>
  <c r="J1525" i="1"/>
  <c r="J1235" i="1"/>
  <c r="H1485" i="1"/>
  <c r="H1222" i="1"/>
  <c r="H1667" i="1"/>
  <c r="J83" i="1"/>
  <c r="J1973" i="1"/>
  <c r="J1132" i="1"/>
  <c r="J1940" i="1"/>
  <c r="H2094" i="1"/>
  <c r="E2056" i="1"/>
  <c r="E943" i="1"/>
  <c r="E1048" i="1"/>
  <c r="J1442" i="1"/>
  <c r="J1084" i="1"/>
  <c r="H1312" i="1"/>
  <c r="J1518" i="1"/>
  <c r="J1312" i="1"/>
  <c r="J1787" i="1"/>
  <c r="H943" i="1"/>
  <c r="H1048" i="1"/>
  <c r="H1785" i="1"/>
  <c r="J1785" i="1"/>
  <c r="H1442" i="1"/>
  <c r="H1084" i="1"/>
  <c r="H2057" i="1"/>
  <c r="E2057" i="1"/>
  <c r="E1518" i="1"/>
  <c r="E1751" i="1"/>
  <c r="J1951" i="1"/>
  <c r="E1787" i="1"/>
  <c r="H2056" i="1"/>
  <c r="H1951" i="1"/>
  <c r="H1751" i="1"/>
  <c r="E1951" i="1"/>
  <c r="E1785" i="1"/>
  <c r="J2057" i="1"/>
  <c r="H1518" i="1"/>
  <c r="H1787" i="1"/>
  <c r="J2056" i="1"/>
  <c r="J943" i="1"/>
  <c r="J1048" i="1"/>
  <c r="J1751" i="1"/>
  <c r="E1312" i="1"/>
  <c r="E1442" i="1"/>
  <c r="E1084" i="1"/>
  <c r="E1232" i="1"/>
  <c r="J1818" i="1"/>
  <c r="J1341" i="1"/>
  <c r="J1550" i="1"/>
  <c r="H1550" i="1"/>
  <c r="E1353" i="1"/>
  <c r="H1764" i="1"/>
  <c r="E1450" i="1"/>
  <c r="J1872" i="1"/>
  <c r="J1549" i="1"/>
  <c r="E1818" i="1"/>
  <c r="E1341" i="1"/>
  <c r="J134" i="1"/>
  <c r="E1001" i="1"/>
  <c r="H1353" i="1"/>
  <c r="H1232" i="1"/>
  <c r="H1001" i="1"/>
  <c r="E1249" i="1"/>
  <c r="H134" i="1"/>
  <c r="E1764" i="1"/>
  <c r="H1872" i="1"/>
  <c r="H1549" i="1"/>
  <c r="J1249" i="1"/>
  <c r="J1450" i="1"/>
  <c r="J1353" i="1"/>
  <c r="H1818" i="1"/>
  <c r="H1341" i="1"/>
  <c r="E134" i="1"/>
  <c r="E1872" i="1"/>
  <c r="E1549" i="1"/>
  <c r="H1450" i="1"/>
  <c r="J1232" i="1"/>
  <c r="J1001" i="1"/>
  <c r="H1249" i="1"/>
  <c r="J1764" i="1"/>
  <c r="E1550" i="1"/>
  <c r="E1619" i="1"/>
  <c r="E1501" i="1"/>
  <c r="E1099" i="1"/>
  <c r="E1418" i="1"/>
  <c r="E1091" i="1"/>
  <c r="E1351" i="1"/>
  <c r="E1289" i="1"/>
  <c r="H1099" i="1"/>
  <c r="E2071" i="1"/>
  <c r="E1863" i="1"/>
  <c r="E949" i="1"/>
  <c r="H949" i="1"/>
  <c r="H1418" i="1"/>
  <c r="H1091" i="1"/>
  <c r="H1351" i="1"/>
  <c r="H2071" i="1"/>
  <c r="H1863" i="1"/>
  <c r="H1600" i="1"/>
  <c r="E238" i="1"/>
  <c r="J1454" i="1"/>
  <c r="J1425" i="1"/>
  <c r="J101" i="1"/>
  <c r="H1289" i="1"/>
  <c r="J238" i="1"/>
  <c r="J1619" i="1"/>
  <c r="J1501" i="1"/>
  <c r="H1454" i="1"/>
  <c r="H1425" i="1"/>
  <c r="H101" i="1"/>
  <c r="J1600" i="1"/>
  <c r="J1351" i="1"/>
  <c r="E1600" i="1"/>
  <c r="J1289" i="1"/>
  <c r="H238" i="1"/>
  <c r="H1619" i="1"/>
  <c r="H1501" i="1"/>
  <c r="J1099" i="1"/>
  <c r="E1454" i="1"/>
  <c r="E1425" i="1"/>
  <c r="E101" i="1"/>
  <c r="J2071" i="1"/>
  <c r="J1863" i="1"/>
  <c r="J1418" i="1"/>
  <c r="J1091" i="1"/>
  <c r="J949" i="1"/>
  <c r="E84" i="1"/>
  <c r="E1682" i="1"/>
  <c r="E1633" i="1"/>
  <c r="J984" i="1"/>
  <c r="J1263" i="1"/>
  <c r="H1022" i="1"/>
  <c r="J1387" i="1"/>
  <c r="J927" i="1"/>
  <c r="J1108" i="1"/>
  <c r="J1246" i="1"/>
  <c r="E1022" i="1"/>
  <c r="H971" i="1"/>
  <c r="H932" i="1"/>
  <c r="H925" i="1"/>
  <c r="H830" i="1"/>
  <c r="H823" i="1"/>
  <c r="H816" i="1"/>
  <c r="H798" i="1"/>
  <c r="H794" i="1"/>
  <c r="H782" i="1"/>
  <c r="H771" i="1"/>
  <c r="H764" i="1"/>
  <c r="H70" i="1"/>
  <c r="H7" i="1"/>
  <c r="H562" i="1"/>
  <c r="H471" i="1"/>
  <c r="H4" i="1"/>
  <c r="H277" i="1"/>
  <c r="H253" i="1"/>
  <c r="H25" i="1"/>
  <c r="H234" i="1"/>
  <c r="H224" i="1"/>
  <c r="H2069" i="1"/>
  <c r="H2052" i="1"/>
  <c r="H2049" i="1"/>
  <c r="H2046" i="1"/>
  <c r="H2043" i="1"/>
  <c r="H2040" i="1"/>
  <c r="H2037" i="1"/>
  <c r="H2034" i="1"/>
  <c r="H2031" i="1"/>
  <c r="H2028" i="1"/>
  <c r="H2025" i="1"/>
  <c r="H2022" i="1"/>
  <c r="H2019" i="1"/>
  <c r="H2016" i="1"/>
  <c r="H2013" i="1"/>
  <c r="H2010" i="1"/>
  <c r="H2007" i="1"/>
  <c r="H2004" i="1"/>
  <c r="H2001" i="1"/>
  <c r="H1998" i="1"/>
  <c r="H1995" i="1"/>
  <c r="H1992" i="1"/>
  <c r="H199" i="1"/>
  <c r="H1989" i="1"/>
  <c r="H1970" i="1"/>
  <c r="H1959" i="1"/>
  <c r="H195" i="1"/>
  <c r="H1915" i="1"/>
  <c r="H1857" i="1"/>
  <c r="H1839" i="1"/>
  <c r="H1824" i="1"/>
  <c r="H1811" i="1"/>
  <c r="H1808" i="1"/>
  <c r="H1805" i="1"/>
  <c r="H1802" i="1"/>
  <c r="H1799" i="1"/>
  <c r="H1796" i="1"/>
  <c r="H177" i="1"/>
  <c r="H1759" i="1"/>
  <c r="H1744" i="1"/>
  <c r="H1741" i="1"/>
  <c r="H1734" i="1"/>
  <c r="H1727" i="1"/>
  <c r="H1724" i="1"/>
  <c r="H1717" i="1"/>
  <c r="H1710" i="1"/>
  <c r="H1703" i="1"/>
  <c r="H1674" i="1"/>
  <c r="H165" i="1"/>
  <c r="H1604" i="1"/>
  <c r="H1562" i="1"/>
  <c r="H1543" i="1"/>
  <c r="H150" i="1"/>
  <c r="H1496" i="1"/>
  <c r="H1474" i="1"/>
  <c r="H1471" i="1"/>
  <c r="H1468" i="1"/>
  <c r="H1465" i="1"/>
  <c r="H1458" i="1"/>
  <c r="H1436" i="1"/>
  <c r="H1432" i="1"/>
  <c r="H1385" i="1"/>
  <c r="H1371" i="1"/>
  <c r="H1367" i="1"/>
  <c r="H1364" i="1"/>
  <c r="H1345" i="1"/>
  <c r="H1336" i="1"/>
  <c r="H1329" i="1"/>
  <c r="H1294" i="1"/>
  <c r="H129" i="1"/>
  <c r="H1278" i="1"/>
  <c r="H1272" i="1"/>
  <c r="H1226" i="1"/>
  <c r="H1193" i="1"/>
  <c r="H1166" i="1"/>
  <c r="H1155" i="1"/>
  <c r="H1124" i="1"/>
  <c r="H1079" i="1"/>
  <c r="H1064" i="1"/>
  <c r="H1034" i="1"/>
  <c r="H1020" i="1"/>
  <c r="H1017" i="1"/>
  <c r="H1010" i="1"/>
  <c r="H1387" i="1"/>
  <c r="E1952" i="1"/>
  <c r="H927" i="1"/>
  <c r="H1108" i="1"/>
  <c r="H1758" i="1"/>
  <c r="H1952" i="1"/>
  <c r="H984" i="1"/>
  <c r="J971" i="1"/>
  <c r="J932" i="1"/>
  <c r="J925" i="1"/>
  <c r="J830" i="1"/>
  <c r="J823" i="1"/>
  <c r="J816" i="1"/>
  <c r="J798" i="1"/>
  <c r="J794" i="1"/>
  <c r="J782" i="1"/>
  <c r="J771" i="1"/>
  <c r="J764" i="1"/>
  <c r="J70" i="1"/>
  <c r="J7" i="1"/>
  <c r="J562" i="1"/>
  <c r="J471" i="1"/>
  <c r="J4" i="1"/>
  <c r="J277" i="1"/>
  <c r="J253" i="1"/>
  <c r="J25" i="1"/>
  <c r="J234" i="1"/>
  <c r="J224" i="1"/>
  <c r="J2069" i="1"/>
  <c r="J2052" i="1"/>
  <c r="J2049" i="1"/>
  <c r="J2046" i="1"/>
  <c r="J2043" i="1"/>
  <c r="J2040" i="1"/>
  <c r="J2037" i="1"/>
  <c r="J2034" i="1"/>
  <c r="J2031" i="1"/>
  <c r="J2028" i="1"/>
  <c r="J2025" i="1"/>
  <c r="J2022" i="1"/>
  <c r="J2019" i="1"/>
  <c r="J2016" i="1"/>
  <c r="J2013" i="1"/>
  <c r="J2010" i="1"/>
  <c r="J2007" i="1"/>
  <c r="J2004" i="1"/>
  <c r="J2001" i="1"/>
  <c r="J1998" i="1"/>
  <c r="J1995" i="1"/>
  <c r="J1992" i="1"/>
  <c r="J199" i="1"/>
  <c r="J1989" i="1"/>
  <c r="J1970" i="1"/>
  <c r="J1959" i="1"/>
  <c r="J195" i="1"/>
  <c r="J1915" i="1"/>
  <c r="J1857" i="1"/>
  <c r="J1839" i="1"/>
  <c r="J1824" i="1"/>
  <c r="J1811" i="1"/>
  <c r="J1808" i="1"/>
  <c r="J1805" i="1"/>
  <c r="J1802" i="1"/>
  <c r="J1799" i="1"/>
  <c r="J1796" i="1"/>
  <c r="J177" i="1"/>
  <c r="J1759" i="1"/>
  <c r="J1744" i="1"/>
  <c r="J1741" i="1"/>
  <c r="J1734" i="1"/>
  <c r="J1727" i="1"/>
  <c r="J1724" i="1"/>
  <c r="J1717" i="1"/>
  <c r="J1710" i="1"/>
  <c r="J1703" i="1"/>
  <c r="J1674" i="1"/>
  <c r="J165" i="1"/>
  <c r="J1604" i="1"/>
  <c r="J1562" i="1"/>
  <c r="J1543" i="1"/>
  <c r="J150" i="1"/>
  <c r="J1496" i="1"/>
  <c r="J1474" i="1"/>
  <c r="J1471" i="1"/>
  <c r="J1468" i="1"/>
  <c r="J1465" i="1"/>
  <c r="J1458" i="1"/>
  <c r="J1436" i="1"/>
  <c r="J1432" i="1"/>
  <c r="J1385" i="1"/>
  <c r="J1371" i="1"/>
  <c r="J1367" i="1"/>
  <c r="J1364" i="1"/>
  <c r="J1345" i="1"/>
  <c r="J1336" i="1"/>
  <c r="J1329" i="1"/>
  <c r="J1294" i="1"/>
  <c r="J129" i="1"/>
  <c r="J1278" i="1"/>
  <c r="J1272" i="1"/>
  <c r="J1226" i="1"/>
  <c r="J1193" i="1"/>
  <c r="J1166" i="1"/>
  <c r="J1155" i="1"/>
  <c r="J1124" i="1"/>
  <c r="J1079" i="1"/>
  <c r="J1064" i="1"/>
  <c r="J1034" i="1"/>
  <c r="J1020" i="1"/>
  <c r="J1017" i="1"/>
  <c r="J1010" i="1"/>
  <c r="H1246" i="1"/>
  <c r="J84" i="1"/>
  <c r="J1682" i="1"/>
  <c r="J1633" i="1"/>
  <c r="H84" i="1"/>
  <c r="H1682" i="1"/>
  <c r="H1633" i="1"/>
  <c r="H1263" i="1"/>
  <c r="E971" i="1"/>
  <c r="E932" i="1"/>
  <c r="E925" i="1"/>
  <c r="E830" i="1"/>
  <c r="E823" i="1"/>
  <c r="E816" i="1"/>
  <c r="E798" i="1"/>
  <c r="E794" i="1"/>
  <c r="E782" i="1"/>
  <c r="E771" i="1"/>
  <c r="E764" i="1"/>
  <c r="E70" i="1"/>
  <c r="E7" i="1"/>
  <c r="E562" i="1"/>
  <c r="E471" i="1"/>
  <c r="E4" i="1"/>
  <c r="E277" i="1"/>
  <c r="E253" i="1"/>
  <c r="E25" i="1"/>
  <c r="E234" i="1"/>
  <c r="E224" i="1"/>
  <c r="E2069" i="1"/>
  <c r="E2052" i="1"/>
  <c r="E2049" i="1"/>
  <c r="E2046" i="1"/>
  <c r="E2043" i="1"/>
  <c r="E2040" i="1"/>
  <c r="E2037" i="1"/>
  <c r="E2034" i="1"/>
  <c r="E2031" i="1"/>
  <c r="E2028" i="1"/>
  <c r="E2025" i="1"/>
  <c r="E2022" i="1"/>
  <c r="E2019" i="1"/>
  <c r="E2016" i="1"/>
  <c r="E2013" i="1"/>
  <c r="E2010" i="1"/>
  <c r="E2007" i="1"/>
  <c r="E2004" i="1"/>
  <c r="E2001" i="1"/>
  <c r="E1998" i="1"/>
  <c r="E1995" i="1"/>
  <c r="E1992" i="1"/>
  <c r="E199" i="1"/>
  <c r="E1989" i="1"/>
  <c r="E1970" i="1"/>
  <c r="E1959" i="1"/>
  <c r="E195" i="1"/>
  <c r="E1915" i="1"/>
  <c r="E1857" i="1"/>
  <c r="E1839" i="1"/>
  <c r="E1824" i="1"/>
  <c r="E1811" i="1"/>
  <c r="E1808" i="1"/>
  <c r="E1805" i="1"/>
  <c r="E1802" i="1"/>
  <c r="E1799" i="1"/>
  <c r="E1796" i="1"/>
  <c r="E177" i="1"/>
  <c r="E1759" i="1"/>
  <c r="E1744" i="1"/>
  <c r="E1741" i="1"/>
  <c r="E1734" i="1"/>
  <c r="E1727" i="1"/>
  <c r="E1724" i="1"/>
  <c r="E1717" i="1"/>
  <c r="E1710" i="1"/>
  <c r="E1703" i="1"/>
  <c r="E1674" i="1"/>
  <c r="E165" i="1"/>
  <c r="E1604" i="1"/>
  <c r="E1562" i="1"/>
  <c r="E1543" i="1"/>
  <c r="E150" i="1"/>
  <c r="E1496" i="1"/>
  <c r="E1474" i="1"/>
  <c r="E1471" i="1"/>
  <c r="E1468" i="1"/>
  <c r="E1465" i="1"/>
  <c r="E1458" i="1"/>
  <c r="E1436" i="1"/>
  <c r="E1432" i="1"/>
  <c r="E1385" i="1"/>
  <c r="E1371" i="1"/>
  <c r="E1367" i="1"/>
  <c r="E1364" i="1"/>
  <c r="E1345" i="1"/>
  <c r="E1336" i="1"/>
  <c r="E1329" i="1"/>
  <c r="E1294" i="1"/>
  <c r="E129" i="1"/>
  <c r="E1278" i="1"/>
  <c r="E1272" i="1"/>
  <c r="E1226" i="1"/>
  <c r="E1193" i="1"/>
  <c r="E1166" i="1"/>
  <c r="E1155" i="1"/>
  <c r="E1124" i="1"/>
  <c r="E1079" i="1"/>
  <c r="E1064" i="1"/>
  <c r="E1034" i="1"/>
  <c r="E1020" i="1"/>
  <c r="E1017" i="1"/>
  <c r="E1010" i="1"/>
  <c r="E1263" i="1"/>
  <c r="J1022" i="1"/>
  <c r="E927" i="1"/>
  <c r="E1108" i="1"/>
  <c r="E1758" i="1"/>
  <c r="J1758" i="1"/>
  <c r="E1387" i="1"/>
  <c r="J1952" i="1"/>
  <c r="E1246" i="1"/>
  <c r="E984" i="1"/>
  <c r="J1388" i="1"/>
  <c r="E1144" i="1"/>
  <c r="J1144" i="1"/>
  <c r="E1789" i="1"/>
  <c r="H1661" i="1"/>
  <c r="J1761" i="1"/>
  <c r="E1355" i="1"/>
  <c r="E1661" i="1"/>
  <c r="E1258" i="1"/>
  <c r="H1388" i="1"/>
  <c r="E1908" i="1"/>
  <c r="J1908" i="1"/>
  <c r="H1258" i="1"/>
  <c r="H1256" i="1"/>
  <c r="H1789" i="1"/>
  <c r="E1611" i="1"/>
  <c r="H1355" i="1"/>
  <c r="J1258" i="1"/>
  <c r="J1611" i="1"/>
  <c r="E1761" i="1"/>
  <c r="E1256" i="1"/>
  <c r="H1611" i="1"/>
  <c r="J1661" i="1"/>
  <c r="E1388" i="1"/>
  <c r="H1908" i="1"/>
  <c r="J1256" i="1"/>
  <c r="J1789" i="1"/>
  <c r="H1144" i="1"/>
  <c r="H1761" i="1"/>
  <c r="J1355" i="1"/>
  <c r="H1605" i="1"/>
  <c r="H1497" i="1"/>
  <c r="J1954" i="1"/>
  <c r="E1879" i="1"/>
  <c r="H81" i="1"/>
  <c r="H784" i="1"/>
  <c r="H1628" i="1"/>
  <c r="H1128" i="1"/>
  <c r="J1317" i="1"/>
  <c r="E1687" i="1"/>
  <c r="H968" i="1"/>
  <c r="H1291" i="1"/>
  <c r="E1405" i="1"/>
  <c r="H1443" i="1"/>
  <c r="H1403" i="1"/>
  <c r="J968" i="1"/>
  <c r="J1291" i="1"/>
  <c r="J1687" i="1"/>
  <c r="J1773" i="1"/>
  <c r="J1040" i="1"/>
  <c r="H1317" i="1"/>
  <c r="J2097" i="1"/>
  <c r="J1896" i="1"/>
  <c r="J1245" i="1"/>
  <c r="H1954" i="1"/>
  <c r="H1405" i="1"/>
  <c r="H1876" i="1"/>
  <c r="H1551" i="1"/>
  <c r="E133" i="1"/>
  <c r="E944" i="1"/>
  <c r="E1089" i="1"/>
  <c r="H1688" i="1"/>
  <c r="H1935" i="1"/>
  <c r="H1178" i="1"/>
  <c r="J944" i="1"/>
  <c r="J1089" i="1"/>
  <c r="H1948" i="1"/>
  <c r="J1688" i="1"/>
  <c r="E1605" i="1"/>
  <c r="E1497" i="1"/>
  <c r="J17" i="1"/>
  <c r="H1773" i="1"/>
  <c r="H1879" i="1"/>
  <c r="E2097" i="1"/>
  <c r="E1896" i="1"/>
  <c r="E1040" i="1"/>
  <c r="E81" i="1"/>
  <c r="E784" i="1"/>
  <c r="E1628" i="1"/>
  <c r="E1128" i="1"/>
  <c r="E1245" i="1"/>
  <c r="E1948" i="1"/>
  <c r="E17" i="1"/>
  <c r="H133" i="1"/>
  <c r="E1876" i="1"/>
  <c r="E1551" i="1"/>
  <c r="E1935" i="1"/>
  <c r="E1178" i="1"/>
  <c r="E1443" i="1"/>
  <c r="E1403" i="1"/>
  <c r="E1317" i="1"/>
  <c r="J1876" i="1"/>
  <c r="J1551" i="1"/>
  <c r="E1688" i="1"/>
  <c r="J133" i="1"/>
  <c r="E1773" i="1"/>
  <c r="J1879" i="1"/>
  <c r="E1954" i="1"/>
  <c r="J1443" i="1"/>
  <c r="J1403" i="1"/>
  <c r="J1405" i="1"/>
  <c r="H1245" i="1"/>
  <c r="J1605" i="1"/>
  <c r="J1497" i="1"/>
  <c r="H17" i="1"/>
  <c r="J1948" i="1"/>
  <c r="J1935" i="1"/>
  <c r="J1178" i="1"/>
  <c r="H944" i="1"/>
  <c r="H1089" i="1"/>
  <c r="J81" i="1"/>
  <c r="J784" i="1"/>
  <c r="J1628" i="1"/>
  <c r="J1128" i="1"/>
  <c r="H1687" i="1"/>
  <c r="H1040" i="1"/>
  <c r="E968" i="1"/>
  <c r="E1291" i="1"/>
  <c r="H2097" i="1"/>
  <c r="H1896" i="1"/>
  <c r="H1831" i="1"/>
  <c r="E67" i="1"/>
  <c r="E1596" i="1"/>
  <c r="E1121" i="1"/>
  <c r="H1402" i="1"/>
  <c r="J67" i="1"/>
  <c r="J1596" i="1"/>
  <c r="J1121" i="1"/>
  <c r="J1670" i="1"/>
  <c r="H1910" i="1"/>
  <c r="J1241" i="1"/>
  <c r="H1241" i="1"/>
  <c r="H2074" i="1"/>
  <c r="E91" i="1"/>
  <c r="E1139" i="1"/>
  <c r="E1831" i="1"/>
  <c r="E141" i="1"/>
  <c r="E2074" i="1"/>
  <c r="H91" i="1"/>
  <c r="H1139" i="1"/>
  <c r="H141" i="1"/>
  <c r="J1910" i="1"/>
  <c r="H1242" i="1"/>
  <c r="E1670" i="1"/>
  <c r="J1402" i="1"/>
  <c r="E1242" i="1"/>
  <c r="J2074" i="1"/>
  <c r="J141" i="1"/>
  <c r="J91" i="1"/>
  <c r="J1139" i="1"/>
  <c r="J1242" i="1"/>
  <c r="H1670" i="1"/>
  <c r="H67" i="1"/>
  <c r="H1596" i="1"/>
  <c r="H1121" i="1"/>
  <c r="E1402" i="1"/>
  <c r="E1910" i="1"/>
  <c r="J1831" i="1"/>
  <c r="E1241" i="1"/>
  <c r="H77" i="1"/>
  <c r="H1081" i="1"/>
  <c r="H1966" i="1"/>
  <c r="H1591" i="1"/>
  <c r="H1118" i="1"/>
  <c r="H1000" i="1"/>
  <c r="E82" i="1"/>
  <c r="E1046" i="1"/>
  <c r="H1616" i="1"/>
  <c r="H1234" i="1"/>
  <c r="E77" i="1"/>
  <c r="E1081" i="1"/>
  <c r="E931" i="1"/>
  <c r="H933" i="1"/>
  <c r="E1966" i="1"/>
  <c r="E1591" i="1"/>
  <c r="E1118" i="1"/>
  <c r="J1933" i="1"/>
  <c r="E933" i="1"/>
  <c r="J1616" i="1"/>
  <c r="J1234" i="1"/>
  <c r="H82" i="1"/>
  <c r="H1046" i="1"/>
  <c r="E1204" i="1"/>
  <c r="J1204" i="1"/>
  <c r="H1874" i="1"/>
  <c r="H1626" i="1"/>
  <c r="J1874" i="1"/>
  <c r="J1626" i="1"/>
  <c r="H931" i="1"/>
  <c r="E1933" i="1"/>
  <c r="J1000" i="1"/>
  <c r="J77" i="1"/>
  <c r="J1081" i="1"/>
  <c r="J82" i="1"/>
  <c r="J1046" i="1"/>
  <c r="J933" i="1"/>
  <c r="H1204" i="1"/>
  <c r="J931" i="1"/>
  <c r="H1933" i="1"/>
  <c r="E1616" i="1"/>
  <c r="E1234" i="1"/>
  <c r="J1966" i="1"/>
  <c r="J1591" i="1"/>
  <c r="J1118" i="1"/>
  <c r="E1874" i="1"/>
  <c r="E1626" i="1"/>
  <c r="E1000" i="1"/>
  <c r="J979" i="1"/>
  <c r="E1247" i="1"/>
  <c r="H966" i="1"/>
  <c r="H1499" i="1"/>
  <c r="J1656" i="1"/>
  <c r="J966" i="1"/>
  <c r="E1136" i="1"/>
  <c r="J1499" i="1"/>
  <c r="H1858" i="1"/>
  <c r="H1389" i="1"/>
  <c r="J1858" i="1"/>
  <c r="J1389" i="1"/>
  <c r="E1656" i="1"/>
  <c r="H1039" i="1"/>
  <c r="H937" i="1"/>
  <c r="H1783" i="1"/>
  <c r="H1136" i="1"/>
  <c r="J1039" i="1"/>
  <c r="H1247" i="1"/>
  <c r="E937" i="1"/>
  <c r="H979" i="1"/>
  <c r="E1039" i="1"/>
  <c r="E1783" i="1"/>
  <c r="E1499" i="1"/>
  <c r="E1858" i="1"/>
  <c r="E1389" i="1"/>
  <c r="E979" i="1"/>
  <c r="J1783" i="1"/>
  <c r="E966" i="1"/>
  <c r="J1136" i="1"/>
  <c r="J937" i="1"/>
  <c r="H1656" i="1"/>
  <c r="J1247" i="1"/>
  <c r="E1533" i="1"/>
  <c r="J797" i="1"/>
  <c r="E1163" i="1"/>
  <c r="E1115" i="1"/>
  <c r="E1826" i="1"/>
  <c r="E1171" i="1"/>
  <c r="J1946" i="1"/>
  <c r="J1533" i="1"/>
  <c r="J1163" i="1"/>
  <c r="E1946" i="1"/>
  <c r="J1517" i="1"/>
  <c r="J1115" i="1"/>
  <c r="H39" i="1"/>
  <c r="H1881" i="1"/>
  <c r="E1085" i="1"/>
  <c r="H1826" i="1"/>
  <c r="H1171" i="1"/>
  <c r="H797" i="1"/>
  <c r="J39" i="1"/>
  <c r="J1881" i="1"/>
  <c r="J54" i="1"/>
  <c r="J1434" i="1"/>
  <c r="J1373" i="1"/>
  <c r="E54" i="1"/>
  <c r="E1434" i="1"/>
  <c r="E1373" i="1"/>
  <c r="H1517" i="1"/>
  <c r="H1163" i="1"/>
  <c r="J1085" i="1"/>
  <c r="J1826" i="1"/>
  <c r="J1171" i="1"/>
  <c r="H1946" i="1"/>
  <c r="H1085" i="1"/>
  <c r="E797" i="1"/>
  <c r="H1533" i="1"/>
  <c r="E39" i="1"/>
  <c r="E1881" i="1"/>
  <c r="H54" i="1"/>
  <c r="H1434" i="1"/>
  <c r="H1373" i="1"/>
  <c r="E1517" i="1"/>
  <c r="H1115" i="1"/>
  <c r="H1537" i="1"/>
  <c r="E1509" i="1"/>
  <c r="H1426" i="1"/>
  <c r="E1231" i="1"/>
  <c r="E1618" i="1"/>
  <c r="E1500" i="1"/>
  <c r="J1537" i="1"/>
  <c r="H1338" i="1"/>
  <c r="H89" i="1"/>
  <c r="E1426" i="1"/>
  <c r="H2058" i="1"/>
  <c r="E2058" i="1"/>
  <c r="J89" i="1"/>
  <c r="J1338" i="1"/>
  <c r="H1509" i="1"/>
  <c r="H1672" i="1"/>
  <c r="H1231" i="1"/>
  <c r="J1618" i="1"/>
  <c r="J1500" i="1"/>
  <c r="J983" i="1"/>
  <c r="J1308" i="1"/>
  <c r="J1672" i="1"/>
  <c r="H983" i="1"/>
  <c r="H1308" i="1"/>
  <c r="E1537" i="1"/>
  <c r="E1672" i="1"/>
  <c r="J2058" i="1"/>
  <c r="J1509" i="1"/>
  <c r="J1426" i="1"/>
  <c r="J1231" i="1"/>
  <c r="E89" i="1"/>
  <c r="E983" i="1"/>
  <c r="E1308" i="1"/>
  <c r="H1618" i="1"/>
  <c r="H1500" i="1"/>
  <c r="E1338" i="1"/>
  <c r="E1852" i="1"/>
  <c r="E1541" i="1"/>
  <c r="H1531" i="1"/>
  <c r="J1298" i="1"/>
  <c r="J1225" i="1"/>
  <c r="J1212" i="1"/>
  <c r="E1212" i="1"/>
  <c r="H1298" i="1"/>
  <c r="J1936" i="1"/>
  <c r="H1407" i="1"/>
  <c r="E1407" i="1"/>
  <c r="J1451" i="1"/>
  <c r="J1142" i="1"/>
  <c r="H1877" i="1"/>
  <c r="H1852" i="1"/>
  <c r="H1541" i="1"/>
  <c r="H1225" i="1"/>
  <c r="J1531" i="1"/>
  <c r="J1877" i="1"/>
  <c r="J11" i="1"/>
  <c r="E1451" i="1"/>
  <c r="E1142" i="1"/>
  <c r="E11" i="1"/>
  <c r="H1936" i="1"/>
  <c r="H1212" i="1"/>
  <c r="E1225" i="1"/>
  <c r="E1936" i="1"/>
  <c r="J1852" i="1"/>
  <c r="J1541" i="1"/>
  <c r="J1407" i="1"/>
  <c r="H11" i="1"/>
  <c r="E1877" i="1"/>
  <c r="E1298" i="1"/>
  <c r="E1531" i="1"/>
  <c r="H1451" i="1"/>
  <c r="H1142" i="1"/>
  <c r="E61" i="1"/>
  <c r="E1819" i="1"/>
  <c r="E1110" i="1"/>
  <c r="E1536" i="1"/>
  <c r="H29" i="1"/>
  <c r="H1854" i="1"/>
  <c r="H1671" i="1"/>
  <c r="J1536" i="1"/>
  <c r="H1982" i="1"/>
  <c r="H1092" i="1"/>
  <c r="E1527" i="1"/>
  <c r="H1984" i="1"/>
  <c r="J1507" i="1"/>
  <c r="H1583" i="1"/>
  <c r="H61" i="1"/>
  <c r="H1819" i="1"/>
  <c r="H1110" i="1"/>
  <c r="J1982" i="1"/>
  <c r="J1092" i="1"/>
  <c r="E1507" i="1"/>
  <c r="E29" i="1"/>
  <c r="J1984" i="1"/>
  <c r="J1527" i="1"/>
  <c r="J181" i="1"/>
  <c r="J1083" i="1"/>
  <c r="E181" i="1"/>
  <c r="E1083" i="1"/>
  <c r="E1583" i="1"/>
  <c r="E1854" i="1"/>
  <c r="E1671" i="1"/>
  <c r="E1982" i="1"/>
  <c r="E1092" i="1"/>
  <c r="J1854" i="1"/>
  <c r="J1671" i="1"/>
  <c r="H1536" i="1"/>
  <c r="J29" i="1"/>
  <c r="E1984" i="1"/>
  <c r="H1507" i="1"/>
  <c r="H1527" i="1"/>
  <c r="H181" i="1"/>
  <c r="H1083" i="1"/>
  <c r="J61" i="1"/>
  <c r="J1819" i="1"/>
  <c r="J1110" i="1"/>
  <c r="J1583" i="1"/>
  <c r="H803" i="1"/>
  <c r="H1677" i="1"/>
  <c r="J2083" i="1"/>
  <c r="E1897" i="1"/>
  <c r="J137" i="1"/>
  <c r="E803" i="1"/>
  <c r="E1677" i="1"/>
  <c r="J986" i="1"/>
  <c r="J1635" i="1"/>
  <c r="J1311" i="1"/>
  <c r="E1965" i="1"/>
  <c r="E1890" i="1"/>
  <c r="E104" i="1"/>
  <c r="H2090" i="1"/>
  <c r="H104" i="1"/>
  <c r="H1897" i="1"/>
  <c r="H137" i="1"/>
  <c r="E2090" i="1"/>
  <c r="H986" i="1"/>
  <c r="H1635" i="1"/>
  <c r="H1311" i="1"/>
  <c r="J1890" i="1"/>
  <c r="J1965" i="1"/>
  <c r="J1255" i="1"/>
  <c r="E1255" i="1"/>
  <c r="E2083" i="1"/>
  <c r="J803" i="1"/>
  <c r="J1677" i="1"/>
  <c r="E986" i="1"/>
  <c r="E1635" i="1"/>
  <c r="E1311" i="1"/>
  <c r="H2083" i="1"/>
  <c r="E137" i="1"/>
  <c r="H1255" i="1"/>
  <c r="H1965" i="1"/>
  <c r="J104" i="1"/>
  <c r="J2090" i="1"/>
  <c r="H1890" i="1"/>
  <c r="J1897" i="1"/>
  <c r="H41" i="1"/>
  <c r="H1888" i="1"/>
  <c r="E147" i="1"/>
  <c r="H804" i="1"/>
  <c r="J1848" i="1"/>
  <c r="E1546" i="1"/>
  <c r="J1747" i="1"/>
  <c r="H1779" i="1"/>
  <c r="H1644" i="1"/>
  <c r="H1523" i="1"/>
  <c r="E99" i="1"/>
  <c r="J1979" i="1"/>
  <c r="E1570" i="1"/>
  <c r="E1104" i="1"/>
  <c r="J41" i="1"/>
  <c r="J1888" i="1"/>
  <c r="H1848" i="1"/>
  <c r="E1769" i="1"/>
  <c r="J930" i="1"/>
  <c r="J1601" i="1"/>
  <c r="H72" i="1"/>
  <c r="H1769" i="1"/>
  <c r="H1749" i="1"/>
  <c r="H2089" i="1"/>
  <c r="H99" i="1"/>
  <c r="E930" i="1"/>
  <c r="E1601" i="1"/>
  <c r="J804" i="1"/>
  <c r="E1919" i="1"/>
  <c r="E76" i="1"/>
  <c r="H1979" i="1"/>
  <c r="H1747" i="1"/>
  <c r="H1919" i="1"/>
  <c r="J1749" i="1"/>
  <c r="J147" i="1"/>
  <c r="E1055" i="1"/>
  <c r="J1055" i="1"/>
  <c r="J2089" i="1"/>
  <c r="E1866" i="1"/>
  <c r="J1779" i="1"/>
  <c r="J1644" i="1"/>
  <c r="J1523" i="1"/>
  <c r="J1546" i="1"/>
  <c r="J76" i="1"/>
  <c r="E1599" i="1"/>
  <c r="J1570" i="1"/>
  <c r="J1104" i="1"/>
  <c r="J72" i="1"/>
  <c r="J1599" i="1"/>
  <c r="H1546" i="1"/>
  <c r="E72" i="1"/>
  <c r="H147" i="1"/>
  <c r="H930" i="1"/>
  <c r="H1601" i="1"/>
  <c r="H1866" i="1"/>
  <c r="E804" i="1"/>
  <c r="E1848" i="1"/>
  <c r="E1747" i="1"/>
  <c r="E1749" i="1"/>
  <c r="J1919" i="1"/>
  <c r="H76" i="1"/>
  <c r="E1979" i="1"/>
  <c r="E2089" i="1"/>
  <c r="J1866" i="1"/>
  <c r="J1769" i="1"/>
  <c r="J99" i="1"/>
  <c r="H1055" i="1"/>
  <c r="E41" i="1"/>
  <c r="E1888" i="1"/>
  <c r="E1779" i="1"/>
  <c r="E1644" i="1"/>
  <c r="E1523" i="1"/>
  <c r="H1599" i="1"/>
  <c r="H1570" i="1"/>
  <c r="H1104" i="1"/>
  <c r="E1177" i="1"/>
  <c r="J1555" i="1"/>
  <c r="J115" i="1"/>
  <c r="E1895" i="1"/>
  <c r="E1555" i="1"/>
  <c r="H115" i="1"/>
  <c r="H231" i="1"/>
  <c r="H1584" i="1"/>
  <c r="H1160" i="1"/>
  <c r="H1409" i="1"/>
  <c r="H1352" i="1"/>
  <c r="J174" i="1"/>
  <c r="E1352" i="1"/>
  <c r="H1177" i="1"/>
  <c r="J1825" i="1"/>
  <c r="H174" i="1"/>
  <c r="J231" i="1"/>
  <c r="J1584" i="1"/>
  <c r="J1160" i="1"/>
  <c r="H1825" i="1"/>
  <c r="E1409" i="1"/>
  <c r="E85" i="1"/>
  <c r="J85" i="1"/>
  <c r="H1895" i="1"/>
  <c r="E231" i="1"/>
  <c r="E1584" i="1"/>
  <c r="E1160" i="1"/>
  <c r="E174" i="1"/>
  <c r="J1409" i="1"/>
  <c r="J1177" i="1"/>
  <c r="E115" i="1"/>
  <c r="J1895" i="1"/>
  <c r="J1352" i="1"/>
  <c r="H1555" i="1"/>
  <c r="H85" i="1"/>
  <c r="E1825" i="1"/>
  <c r="J1763" i="1"/>
  <c r="H1862" i="1"/>
  <c r="J1862" i="1"/>
  <c r="J1922" i="1"/>
  <c r="J1620" i="1"/>
  <c r="J1174" i="1"/>
  <c r="J956" i="1"/>
  <c r="J2055" i="1"/>
  <c r="J1416" i="1"/>
  <c r="H956" i="1"/>
  <c r="H1416" i="1"/>
  <c r="H1784" i="1"/>
  <c r="H1526" i="1"/>
  <c r="E1784" i="1"/>
  <c r="E1526" i="1"/>
  <c r="E1763" i="1"/>
  <c r="H1205" i="1"/>
  <c r="E1030" i="1"/>
  <c r="E1205" i="1"/>
  <c r="H1666" i="1"/>
  <c r="H1922" i="1"/>
  <c r="H1620" i="1"/>
  <c r="H1174" i="1"/>
  <c r="H1030" i="1"/>
  <c r="E2055" i="1"/>
  <c r="J1666" i="1"/>
  <c r="E1922" i="1"/>
  <c r="E1620" i="1"/>
  <c r="E1174" i="1"/>
  <c r="E1416" i="1"/>
  <c r="E1666" i="1"/>
  <c r="H1763" i="1"/>
  <c r="J1784" i="1"/>
  <c r="J1526" i="1"/>
  <c r="J1205" i="1"/>
  <c r="H2055" i="1"/>
  <c r="E956" i="1"/>
  <c r="E1862" i="1"/>
  <c r="J1030" i="1"/>
  <c r="J22" i="1"/>
  <c r="J950" i="1"/>
  <c r="E1622" i="1"/>
  <c r="E1502" i="1"/>
  <c r="E1354" i="1"/>
  <c r="E990" i="1"/>
  <c r="H990" i="1"/>
  <c r="H1640" i="1"/>
  <c r="J1354" i="1"/>
  <c r="E22" i="1"/>
  <c r="J2054" i="1"/>
  <c r="H1622" i="1"/>
  <c r="H1502" i="1"/>
  <c r="E969" i="1"/>
  <c r="E23" i="1"/>
  <c r="E1292" i="1"/>
  <c r="E1428" i="1"/>
  <c r="E950" i="1"/>
  <c r="J1428" i="1"/>
  <c r="J1640" i="1"/>
  <c r="H969" i="1"/>
  <c r="H23" i="1"/>
  <c r="H1292" i="1"/>
  <c r="H1167" i="1"/>
  <c r="H2054" i="1"/>
  <c r="J1167" i="1"/>
  <c r="J969" i="1"/>
  <c r="J23" i="1"/>
  <c r="J1292" i="1"/>
  <c r="E2054" i="1"/>
  <c r="H1428" i="1"/>
  <c r="H22" i="1"/>
  <c r="E1167" i="1"/>
  <c r="H1354" i="1"/>
  <c r="J1622" i="1"/>
  <c r="J1502" i="1"/>
  <c r="E1640" i="1"/>
  <c r="J990" i="1"/>
  <c r="H950" i="1"/>
  <c r="H243" i="1"/>
  <c r="H1956" i="1"/>
  <c r="H158" i="1"/>
  <c r="J1446" i="1"/>
  <c r="H1887" i="1"/>
  <c r="J1643" i="1"/>
  <c r="J1140" i="1"/>
  <c r="J1883" i="1"/>
  <c r="E1956" i="1"/>
  <c r="H1883" i="1"/>
  <c r="E1887" i="1"/>
  <c r="H1309" i="1"/>
  <c r="J243" i="1"/>
  <c r="E1446" i="1"/>
  <c r="J227" i="1"/>
  <c r="J1309" i="1"/>
  <c r="E1161" i="1"/>
  <c r="H227" i="1"/>
  <c r="J158" i="1"/>
  <c r="E1643" i="1"/>
  <c r="E1140" i="1"/>
  <c r="H1161" i="1"/>
  <c r="H1643" i="1"/>
  <c r="H1140" i="1"/>
  <c r="H1446" i="1"/>
  <c r="E1309" i="1"/>
  <c r="E227" i="1"/>
  <c r="J1887" i="1"/>
  <c r="E1883" i="1"/>
  <c r="J1956" i="1"/>
  <c r="E158" i="1"/>
  <c r="J1161" i="1"/>
  <c r="E243" i="1"/>
  <c r="H176" i="1"/>
  <c r="E2059" i="1"/>
  <c r="E1847" i="1"/>
  <c r="E1238" i="1"/>
  <c r="E246" i="1"/>
  <c r="E1820" i="1"/>
  <c r="J947" i="1"/>
  <c r="J1093" i="1"/>
  <c r="H86" i="1"/>
  <c r="H786" i="1"/>
  <c r="H241" i="1"/>
  <c r="H1634" i="1"/>
  <c r="H1134" i="1"/>
  <c r="H947" i="1"/>
  <c r="H1093" i="1"/>
  <c r="J60" i="1"/>
  <c r="J1820" i="1"/>
  <c r="E86" i="1"/>
  <c r="E786" i="1"/>
  <c r="E241" i="1"/>
  <c r="E1634" i="1"/>
  <c r="E1134" i="1"/>
  <c r="H130" i="1"/>
  <c r="J176" i="1"/>
  <c r="H2059" i="1"/>
  <c r="H1847" i="1"/>
  <c r="J1227" i="1"/>
  <c r="H1227" i="1"/>
  <c r="E60" i="1"/>
  <c r="J246" i="1"/>
  <c r="J130" i="1"/>
  <c r="H1238" i="1"/>
  <c r="H246" i="1"/>
  <c r="J86" i="1"/>
  <c r="J786" i="1"/>
  <c r="J241" i="1"/>
  <c r="J1634" i="1"/>
  <c r="J1134" i="1"/>
  <c r="E1227" i="1"/>
  <c r="E130" i="1"/>
  <c r="H1820" i="1"/>
  <c r="J2059" i="1"/>
  <c r="J1847" i="1"/>
  <c r="E176" i="1"/>
  <c r="E947" i="1"/>
  <c r="E1093" i="1"/>
  <c r="J1238" i="1"/>
  <c r="H60" i="1"/>
  <c r="J1377" i="1"/>
  <c r="E44" i="1"/>
  <c r="E191" i="1"/>
  <c r="H31" i="1"/>
  <c r="H1921" i="1"/>
  <c r="H178" i="1"/>
  <c r="J1934" i="1"/>
  <c r="E1934" i="1"/>
  <c r="H1851" i="1"/>
  <c r="H18" i="1"/>
  <c r="E2073" i="1"/>
  <c r="E1864" i="1"/>
  <c r="E1613" i="1"/>
  <c r="J44" i="1"/>
  <c r="J191" i="1"/>
  <c r="E31" i="1"/>
  <c r="E1921" i="1"/>
  <c r="E178" i="1"/>
  <c r="E1484" i="1"/>
  <c r="J1851" i="1"/>
  <c r="J18" i="1"/>
  <c r="J1319" i="1"/>
  <c r="J1435" i="1"/>
  <c r="H92" i="1"/>
  <c r="E92" i="1"/>
  <c r="H1319" i="1"/>
  <c r="J2073" i="1"/>
  <c r="J1864" i="1"/>
  <c r="J1613" i="1"/>
  <c r="J1484" i="1"/>
  <c r="E1435" i="1"/>
  <c r="J92" i="1"/>
  <c r="E1319" i="1"/>
  <c r="H2073" i="1"/>
  <c r="H1864" i="1"/>
  <c r="H1613" i="1"/>
  <c r="H1377" i="1"/>
  <c r="H44" i="1"/>
  <c r="H191" i="1"/>
  <c r="H1435" i="1"/>
  <c r="E1851" i="1"/>
  <c r="E18" i="1"/>
  <c r="E1377" i="1"/>
  <c r="J31" i="1"/>
  <c r="J1921" i="1"/>
  <c r="J178" i="1"/>
  <c r="H1484" i="1"/>
  <c r="H1934" i="1"/>
  <c r="H149" i="1"/>
  <c r="J1855" i="1"/>
  <c r="H64" i="1"/>
  <c r="H2063" i="1"/>
  <c r="H1580" i="1"/>
  <c r="H1482" i="1"/>
  <c r="H1111" i="1"/>
  <c r="H2093" i="1"/>
  <c r="J807" i="1"/>
  <c r="J1547" i="1"/>
  <c r="E1116" i="1"/>
  <c r="E1032" i="1"/>
  <c r="H1116" i="1"/>
  <c r="H1032" i="1"/>
  <c r="H1547" i="1"/>
  <c r="E807" i="1"/>
  <c r="E2093" i="1"/>
  <c r="J64" i="1"/>
  <c r="J2063" i="1"/>
  <c r="J1580" i="1"/>
  <c r="J1482" i="1"/>
  <c r="J1111" i="1"/>
  <c r="H1855" i="1"/>
  <c r="H1147" i="1"/>
  <c r="J149" i="1"/>
  <c r="E139" i="1"/>
  <c r="E1147" i="1"/>
  <c r="H139" i="1"/>
  <c r="J139" i="1"/>
  <c r="E149" i="1"/>
  <c r="J1147" i="1"/>
  <c r="E1580" i="1"/>
  <c r="E1482" i="1"/>
  <c r="E1111" i="1"/>
  <c r="E64" i="1"/>
  <c r="E2063" i="1"/>
  <c r="J1116" i="1"/>
  <c r="J1032" i="1"/>
  <c r="H807" i="1"/>
  <c r="J2093" i="1"/>
  <c r="E1855" i="1"/>
  <c r="E1547" i="1"/>
  <c r="E1750" i="1"/>
  <c r="H1817" i="1"/>
  <c r="H1340" i="1"/>
  <c r="J1623" i="1"/>
  <c r="E1192" i="1"/>
  <c r="J1192" i="1"/>
  <c r="H242" i="1"/>
  <c r="J1206" i="1"/>
  <c r="H1519" i="1"/>
  <c r="E1265" i="1"/>
  <c r="E1623" i="1"/>
  <c r="H1251" i="1"/>
  <c r="H1265" i="1"/>
  <c r="H1750" i="1"/>
  <c r="H1621" i="1"/>
  <c r="H154" i="1"/>
  <c r="H993" i="1"/>
  <c r="E1904" i="1"/>
  <c r="E1159" i="1"/>
  <c r="E1588" i="1"/>
  <c r="E1379" i="1"/>
  <c r="H1206" i="1"/>
  <c r="E1756" i="1"/>
  <c r="H1904" i="1"/>
  <c r="H1159" i="1"/>
  <c r="J1395" i="1"/>
  <c r="E242" i="1"/>
  <c r="E1254" i="1"/>
  <c r="E1519" i="1"/>
  <c r="J1621" i="1"/>
  <c r="J154" i="1"/>
  <c r="J1817" i="1"/>
  <c r="J1340" i="1"/>
  <c r="J1950" i="1"/>
  <c r="H1588" i="1"/>
  <c r="H1379" i="1"/>
  <c r="H1756" i="1"/>
  <c r="J1566" i="1"/>
  <c r="E1395" i="1"/>
  <c r="H1950" i="1"/>
  <c r="J1865" i="1"/>
  <c r="J1251" i="1"/>
  <c r="E1061" i="1"/>
  <c r="H1566" i="1"/>
  <c r="E1865" i="1"/>
  <c r="H1254" i="1"/>
  <c r="E993" i="1"/>
  <c r="J1254" i="1"/>
  <c r="J1750" i="1"/>
  <c r="J1756" i="1"/>
  <c r="E1566" i="1"/>
  <c r="J1588" i="1"/>
  <c r="J1379" i="1"/>
  <c r="J1519" i="1"/>
  <c r="E1817" i="1"/>
  <c r="E1340" i="1"/>
  <c r="E1206" i="1"/>
  <c r="J242" i="1"/>
  <c r="J1904" i="1"/>
  <c r="J1159" i="1"/>
  <c r="H1061" i="1"/>
  <c r="H1192" i="1"/>
  <c r="J1265" i="1"/>
  <c r="E1621" i="1"/>
  <c r="E154" i="1"/>
  <c r="H1623" i="1"/>
  <c r="J993" i="1"/>
  <c r="H1395" i="1"/>
  <c r="E1251" i="1"/>
  <c r="J1061" i="1"/>
  <c r="E1950" i="1"/>
  <c r="H1865" i="1"/>
  <c r="E934" i="1"/>
  <c r="E2077" i="1"/>
  <c r="J936" i="1"/>
  <c r="J1609" i="1"/>
  <c r="H52" i="1"/>
  <c r="E113" i="1"/>
  <c r="H1230" i="1"/>
  <c r="H2077" i="1"/>
  <c r="E936" i="1"/>
  <c r="E1609" i="1"/>
  <c r="J1762" i="1"/>
  <c r="E1669" i="1"/>
  <c r="E1230" i="1"/>
  <c r="E1303" i="1"/>
  <c r="H934" i="1"/>
  <c r="E1762" i="1"/>
  <c r="J1552" i="1"/>
  <c r="H1303" i="1"/>
  <c r="E1552" i="1"/>
  <c r="H113" i="1"/>
  <c r="J1303" i="1"/>
  <c r="H1669" i="1"/>
  <c r="E52" i="1"/>
  <c r="J1230" i="1"/>
  <c r="H1552" i="1"/>
  <c r="J1669" i="1"/>
  <c r="J52" i="1"/>
  <c r="J2077" i="1"/>
  <c r="H1762" i="1"/>
  <c r="J113" i="1"/>
  <c r="J934" i="1"/>
  <c r="H936" i="1"/>
  <c r="H1609" i="1"/>
  <c r="H1664" i="1"/>
  <c r="H1455" i="1"/>
  <c r="H144" i="1"/>
  <c r="H1429" i="1"/>
  <c r="H1151" i="1"/>
  <c r="H107" i="1"/>
  <c r="J989" i="1"/>
  <c r="E1964" i="1"/>
  <c r="E1906" i="1"/>
  <c r="E1072" i="1"/>
  <c r="J1348" i="1"/>
  <c r="J1953" i="1"/>
  <c r="E1821" i="1"/>
  <c r="E1316" i="1"/>
  <c r="J1187" i="1"/>
  <c r="H1772" i="1"/>
  <c r="J97" i="1"/>
  <c r="J1420" i="1"/>
  <c r="J1964" i="1"/>
  <c r="J1906" i="1"/>
  <c r="J1072" i="1"/>
  <c r="J1772" i="1"/>
  <c r="E1348" i="1"/>
  <c r="E1664" i="1"/>
  <c r="E1455" i="1"/>
  <c r="E144" i="1"/>
  <c r="E1429" i="1"/>
  <c r="E1151" i="1"/>
  <c r="E107" i="1"/>
  <c r="H1316" i="1"/>
  <c r="E989" i="1"/>
  <c r="H1187" i="1"/>
  <c r="H1953" i="1"/>
  <c r="H1821" i="1"/>
  <c r="H97" i="1"/>
  <c r="H1420" i="1"/>
  <c r="E1772" i="1"/>
  <c r="E1187" i="1"/>
  <c r="H1348" i="1"/>
  <c r="H989" i="1"/>
  <c r="J1664" i="1"/>
  <c r="J1455" i="1"/>
  <c r="J144" i="1"/>
  <c r="J1429" i="1"/>
  <c r="J1151" i="1"/>
  <c r="J107" i="1"/>
  <c r="E1953" i="1"/>
  <c r="H1964" i="1"/>
  <c r="H1906" i="1"/>
  <c r="H1072" i="1"/>
  <c r="J1316" i="1"/>
  <c r="J1821" i="1"/>
  <c r="E97" i="1"/>
  <c r="E1420" i="1"/>
  <c r="J1321" i="1"/>
  <c r="J1002" i="1"/>
  <c r="E802" i="1"/>
  <c r="E2095" i="1"/>
  <c r="E1891" i="1"/>
  <c r="H43" i="1"/>
  <c r="H1949" i="1"/>
  <c r="H1654" i="1"/>
  <c r="H1610" i="1"/>
  <c r="H1498" i="1"/>
  <c r="E1582" i="1"/>
  <c r="E1486" i="1"/>
  <c r="E1112" i="1"/>
  <c r="E43" i="1"/>
  <c r="E1949" i="1"/>
  <c r="E1654" i="1"/>
  <c r="J1582" i="1"/>
  <c r="J1486" i="1"/>
  <c r="J1112" i="1"/>
  <c r="J2095" i="1"/>
  <c r="J1891" i="1"/>
  <c r="E1846" i="1"/>
  <c r="E1479" i="1"/>
  <c r="H1321" i="1"/>
  <c r="H1002" i="1"/>
  <c r="H1790" i="1"/>
  <c r="E1346" i="1"/>
  <c r="J1846" i="1"/>
  <c r="J1479" i="1"/>
  <c r="H1346" i="1"/>
  <c r="J802" i="1"/>
  <c r="E1610" i="1"/>
  <c r="E1498" i="1"/>
  <c r="E1581" i="1"/>
  <c r="E1790" i="1"/>
  <c r="H1581" i="1"/>
  <c r="H1582" i="1"/>
  <c r="H1486" i="1"/>
  <c r="H1112" i="1"/>
  <c r="J43" i="1"/>
  <c r="J1949" i="1"/>
  <c r="J1654" i="1"/>
  <c r="E1321" i="1"/>
  <c r="E1002" i="1"/>
  <c r="H2095" i="1"/>
  <c r="H1891" i="1"/>
  <c r="J1581" i="1"/>
  <c r="J1610" i="1"/>
  <c r="J1498" i="1"/>
  <c r="J1790" i="1"/>
  <c r="H802" i="1"/>
  <c r="H1846" i="1"/>
  <c r="H1479" i="1"/>
  <c r="J1346" i="1"/>
  <c r="H813" i="1"/>
  <c r="E74" i="1"/>
  <c r="E1614" i="1"/>
  <c r="E1394" i="1"/>
  <c r="E136" i="1"/>
  <c r="E1126" i="1"/>
  <c r="J30" i="1"/>
  <c r="J1920" i="1"/>
  <c r="H151" i="1"/>
  <c r="H1197" i="1"/>
  <c r="H1961" i="1"/>
  <c r="H1023" i="1"/>
  <c r="E974" i="1"/>
  <c r="E1300" i="1"/>
  <c r="E30" i="1"/>
  <c r="E1920" i="1"/>
  <c r="E813" i="1"/>
  <c r="E1248" i="1"/>
  <c r="J1047" i="1"/>
  <c r="J1023" i="1"/>
  <c r="E151" i="1"/>
  <c r="E1197" i="1"/>
  <c r="E1224" i="1"/>
  <c r="J1248" i="1"/>
  <c r="H1477" i="1"/>
  <c r="J127" i="1"/>
  <c r="H74" i="1"/>
  <c r="H1614" i="1"/>
  <c r="H1394" i="1"/>
  <c r="H136" i="1"/>
  <c r="H1126" i="1"/>
  <c r="J1025" i="1"/>
  <c r="H1757" i="1"/>
  <c r="J1041" i="1"/>
  <c r="E127" i="1"/>
  <c r="J1189" i="1"/>
  <c r="J185" i="1"/>
  <c r="J1052" i="1"/>
  <c r="E1041" i="1"/>
  <c r="J1757" i="1"/>
  <c r="E955" i="1"/>
  <c r="E1025" i="1"/>
  <c r="E185" i="1"/>
  <c r="E1052" i="1"/>
  <c r="H1189" i="1"/>
  <c r="J1943" i="1"/>
  <c r="J186" i="1"/>
  <c r="J787" i="1"/>
  <c r="J249" i="1"/>
  <c r="J1836" i="1"/>
  <c r="J1657" i="1"/>
  <c r="J1146" i="1"/>
  <c r="J1961" i="1"/>
  <c r="J974" i="1"/>
  <c r="J1300" i="1"/>
  <c r="H955" i="1"/>
  <c r="E787" i="1"/>
  <c r="E249" i="1"/>
  <c r="E1836" i="1"/>
  <c r="E1657" i="1"/>
  <c r="E1146" i="1"/>
  <c r="H1047" i="1"/>
  <c r="J1477" i="1"/>
  <c r="H1943" i="1"/>
  <c r="H186" i="1"/>
  <c r="H1224" i="1"/>
  <c r="E1943" i="1"/>
  <c r="E186" i="1"/>
  <c r="J1224" i="1"/>
  <c r="E1023" i="1"/>
  <c r="E1477" i="1"/>
  <c r="H974" i="1"/>
  <c r="H1300" i="1"/>
  <c r="E1047" i="1"/>
  <c r="E1757" i="1"/>
  <c r="J151" i="1"/>
  <c r="J1197" i="1"/>
  <c r="H1248" i="1"/>
  <c r="H1025" i="1"/>
  <c r="H127" i="1"/>
  <c r="H1041" i="1"/>
  <c r="H185" i="1"/>
  <c r="H1052" i="1"/>
  <c r="E1961" i="1"/>
  <c r="J955" i="1"/>
  <c r="H787" i="1"/>
  <c r="H249" i="1"/>
  <c r="H1836" i="1"/>
  <c r="H1657" i="1"/>
  <c r="H1146" i="1"/>
  <c r="E1189" i="1"/>
  <c r="H30" i="1"/>
  <c r="H1920" i="1"/>
  <c r="J813" i="1"/>
  <c r="J74" i="1"/>
  <c r="J1614" i="1"/>
  <c r="J1394" i="1"/>
  <c r="J136" i="1"/>
  <c r="J1126" i="1"/>
  <c r="H146" i="1"/>
  <c r="E1766" i="1"/>
  <c r="J1223" i="1"/>
  <c r="J1427" i="1"/>
  <c r="H1223" i="1"/>
  <c r="H1892" i="1"/>
  <c r="J93" i="1"/>
  <c r="J1646" i="1"/>
  <c r="J1892" i="1"/>
  <c r="E1383" i="1"/>
  <c r="J1438" i="1"/>
  <c r="H1045" i="1"/>
  <c r="H1427" i="1"/>
  <c r="H1766" i="1"/>
  <c r="H93" i="1"/>
  <c r="H1646" i="1"/>
  <c r="H1645" i="1"/>
  <c r="J1045" i="1"/>
  <c r="H1438" i="1"/>
  <c r="J146" i="1"/>
  <c r="J1383" i="1"/>
  <c r="J1645" i="1"/>
  <c r="E1045" i="1"/>
  <c r="E1438" i="1"/>
  <c r="E1427" i="1"/>
  <c r="E1892" i="1"/>
  <c r="E93" i="1"/>
  <c r="E1646" i="1"/>
  <c r="E1645" i="1"/>
  <c r="H1383" i="1"/>
  <c r="J1766" i="1"/>
  <c r="E1223" i="1"/>
  <c r="E146" i="1"/>
  <c r="H1834" i="1"/>
  <c r="H1494" i="1"/>
  <c r="E1786" i="1"/>
  <c r="J1322" i="1"/>
  <c r="J1003" i="1"/>
  <c r="H1257" i="1"/>
  <c r="H1322" i="1"/>
  <c r="H1003" i="1"/>
  <c r="E1257" i="1"/>
  <c r="H1786" i="1"/>
  <c r="H57" i="1"/>
  <c r="H1568" i="1"/>
  <c r="J963" i="1"/>
  <c r="E1942" i="1"/>
  <c r="E1834" i="1"/>
  <c r="E1097" i="1"/>
  <c r="J1942" i="1"/>
  <c r="H963" i="1"/>
  <c r="E245" i="1"/>
  <c r="E57" i="1"/>
  <c r="E1568" i="1"/>
  <c r="H1097" i="1"/>
  <c r="J1494" i="1"/>
  <c r="J245" i="1"/>
  <c r="J1834" i="1"/>
  <c r="E963" i="1"/>
  <c r="H1942" i="1"/>
  <c r="J57" i="1"/>
  <c r="J1568" i="1"/>
  <c r="E1494" i="1"/>
  <c r="E1322" i="1"/>
  <c r="E1003" i="1"/>
  <c r="J1257" i="1"/>
  <c r="J1786" i="1"/>
  <c r="H245" i="1"/>
  <c r="J1097" i="1"/>
  <c r="H928" i="1"/>
  <c r="H1071" i="1"/>
  <c r="H1967" i="1"/>
  <c r="H1597" i="1"/>
  <c r="H1490" i="1"/>
  <c r="H1122" i="1"/>
  <c r="H1075" i="1"/>
  <c r="E1417" i="1"/>
  <c r="J1684" i="1"/>
  <c r="J1649" i="1"/>
  <c r="E988" i="1"/>
  <c r="J985" i="1"/>
  <c r="H1814" i="1"/>
  <c r="E1410" i="1"/>
  <c r="E928" i="1"/>
  <c r="E1071" i="1"/>
  <c r="H1051" i="1"/>
  <c r="H1417" i="1"/>
  <c r="J1814" i="1"/>
  <c r="E1051" i="1"/>
  <c r="E1967" i="1"/>
  <c r="E1597" i="1"/>
  <c r="E1490" i="1"/>
  <c r="E1122" i="1"/>
  <c r="E1075" i="1"/>
  <c r="H1684" i="1"/>
  <c r="H985" i="1"/>
  <c r="E1649" i="1"/>
  <c r="H988" i="1"/>
  <c r="J1410" i="1"/>
  <c r="E985" i="1"/>
  <c r="H1410" i="1"/>
  <c r="E1814" i="1"/>
  <c r="J1417" i="1"/>
  <c r="J1051" i="1"/>
  <c r="E1684" i="1"/>
  <c r="J1967" i="1"/>
  <c r="J1597" i="1"/>
  <c r="J1490" i="1"/>
  <c r="J1122" i="1"/>
  <c r="J1075" i="1"/>
  <c r="J928" i="1"/>
  <c r="J1071" i="1"/>
  <c r="J988" i="1"/>
  <c r="H1649" i="1"/>
  <c r="J1593" i="1"/>
  <c r="J1120" i="1"/>
  <c r="H977" i="1"/>
  <c r="E1593" i="1"/>
  <c r="E1120" i="1"/>
  <c r="H1505" i="1"/>
  <c r="H965" i="1"/>
  <c r="H1489" i="1"/>
  <c r="E2087" i="1"/>
  <c r="E2078" i="1"/>
  <c r="E965" i="1"/>
  <c r="E1612" i="1"/>
  <c r="E1505" i="1"/>
  <c r="H938" i="1"/>
  <c r="E977" i="1"/>
  <c r="J2078" i="1"/>
  <c r="E938" i="1"/>
  <c r="H2087" i="1"/>
  <c r="J1444" i="1"/>
  <c r="J1406" i="1"/>
  <c r="J1133" i="1"/>
  <c r="H1612" i="1"/>
  <c r="H1444" i="1"/>
  <c r="H1406" i="1"/>
  <c r="H1133" i="1"/>
  <c r="J1489" i="1"/>
  <c r="J1505" i="1"/>
  <c r="E1489" i="1"/>
  <c r="J938" i="1"/>
  <c r="J965" i="1"/>
  <c r="J977" i="1"/>
  <c r="H1593" i="1"/>
  <c r="H1120" i="1"/>
  <c r="H2078" i="1"/>
  <c r="J2087" i="1"/>
  <c r="J1612" i="1"/>
  <c r="E1444" i="1"/>
  <c r="E1406" i="1"/>
  <c r="E1133" i="1"/>
  <c r="J1515" i="1"/>
  <c r="E811" i="1"/>
  <c r="H1829" i="1"/>
  <c r="J188" i="1"/>
  <c r="E10" i="1"/>
  <c r="H1027" i="1"/>
  <c r="E960" i="1"/>
  <c r="E1282" i="1"/>
  <c r="E1027" i="1"/>
  <c r="J935" i="1"/>
  <c r="J811" i="1"/>
  <c r="H1522" i="1"/>
  <c r="J2091" i="1"/>
  <c r="J1885" i="1"/>
  <c r="J1642" i="1"/>
  <c r="J10" i="1"/>
  <c r="H2091" i="1"/>
  <c r="H1885" i="1"/>
  <c r="H1642" i="1"/>
  <c r="J1829" i="1"/>
  <c r="J960" i="1"/>
  <c r="J1282" i="1"/>
  <c r="H1515" i="1"/>
  <c r="E935" i="1"/>
  <c r="E1522" i="1"/>
  <c r="E188" i="1"/>
  <c r="E2091" i="1"/>
  <c r="E1885" i="1"/>
  <c r="E1642" i="1"/>
  <c r="H935" i="1"/>
  <c r="H960" i="1"/>
  <c r="H1282" i="1"/>
  <c r="J1027" i="1"/>
  <c r="E1515" i="1"/>
  <c r="H188" i="1"/>
  <c r="E1829" i="1"/>
  <c r="H811" i="1"/>
  <c r="H10" i="1"/>
  <c r="J1522" i="1"/>
  <c r="H2080" i="1"/>
  <c r="H1875" i="1"/>
  <c r="H1627" i="1"/>
  <c r="J1404" i="1"/>
  <c r="J1662" i="1"/>
  <c r="J1150" i="1"/>
  <c r="J103" i="1"/>
  <c r="E1532" i="1"/>
  <c r="H162" i="1"/>
  <c r="H987" i="1"/>
  <c r="H1638" i="1"/>
  <c r="H59" i="1"/>
  <c r="H1576" i="1"/>
  <c r="J1844" i="1"/>
  <c r="J13" i="1"/>
  <c r="J1236" i="1"/>
  <c r="H1767" i="1"/>
  <c r="E1066" i="1"/>
  <c r="H1662" i="1"/>
  <c r="H1150" i="1"/>
  <c r="H103" i="1"/>
  <c r="H1066" i="1"/>
  <c r="J1918" i="1"/>
  <c r="H1578" i="1"/>
  <c r="H1918" i="1"/>
  <c r="H1884" i="1"/>
  <c r="J2080" i="1"/>
  <c r="J1875" i="1"/>
  <c r="J1627" i="1"/>
  <c r="H1397" i="1"/>
  <c r="J1452" i="1"/>
  <c r="E1452" i="1"/>
  <c r="H1538" i="1"/>
  <c r="E954" i="1"/>
  <c r="E987" i="1"/>
  <c r="E1638" i="1"/>
  <c r="J1767" i="1"/>
  <c r="J1532" i="1"/>
  <c r="E248" i="1"/>
  <c r="H2065" i="1"/>
  <c r="E1191" i="1"/>
  <c r="H1573" i="1"/>
  <c r="H1478" i="1"/>
  <c r="H1105" i="1"/>
  <c r="E1538" i="1"/>
  <c r="E1882" i="1"/>
  <c r="J1313" i="1"/>
  <c r="H1191" i="1"/>
  <c r="E1404" i="1"/>
  <c r="J1573" i="1"/>
  <c r="J1478" i="1"/>
  <c r="J1105" i="1"/>
  <c r="J1882" i="1"/>
  <c r="J998" i="1"/>
  <c r="J47" i="1"/>
  <c r="J1320" i="1"/>
  <c r="J1481" i="1"/>
  <c r="H248" i="1"/>
  <c r="H1164" i="1"/>
  <c r="H995" i="1"/>
  <c r="E162" i="1"/>
  <c r="E1884" i="1"/>
  <c r="J1397" i="1"/>
  <c r="E1236" i="1"/>
  <c r="E1480" i="1"/>
  <c r="J2065" i="1"/>
  <c r="E1844" i="1"/>
  <c r="E13" i="1"/>
  <c r="E995" i="1"/>
  <c r="J1164" i="1"/>
  <c r="E1481" i="1"/>
  <c r="J1480" i="1"/>
  <c r="J954" i="1"/>
  <c r="E153" i="1"/>
  <c r="H998" i="1"/>
  <c r="H47" i="1"/>
  <c r="H1320" i="1"/>
  <c r="H1236" i="1"/>
  <c r="H1404" i="1"/>
  <c r="E998" i="1"/>
  <c r="E47" i="1"/>
  <c r="E1320" i="1"/>
  <c r="E1313" i="1"/>
  <c r="H1480" i="1"/>
  <c r="E2080" i="1"/>
  <c r="E1875" i="1"/>
  <c r="E1627" i="1"/>
  <c r="H954" i="1"/>
  <c r="J1884" i="1"/>
  <c r="E1918" i="1"/>
  <c r="J1191" i="1"/>
  <c r="E1164" i="1"/>
  <c r="E1578" i="1"/>
  <c r="J59" i="1"/>
  <c r="J1576" i="1"/>
  <c r="H153" i="1"/>
  <c r="H1481" i="1"/>
  <c r="E1767" i="1"/>
  <c r="H1452" i="1"/>
  <c r="J162" i="1"/>
  <c r="J153" i="1"/>
  <c r="H1313" i="1"/>
  <c r="J987" i="1"/>
  <c r="J1638" i="1"/>
  <c r="J1538" i="1"/>
  <c r="E2065" i="1"/>
  <c r="J995" i="1"/>
  <c r="H1532" i="1"/>
  <c r="E1573" i="1"/>
  <c r="E1478" i="1"/>
  <c r="E1105" i="1"/>
  <c r="J1578" i="1"/>
  <c r="E1662" i="1"/>
  <c r="E1150" i="1"/>
  <c r="E103" i="1"/>
  <c r="H1844" i="1"/>
  <c r="H13" i="1"/>
  <c r="J248" i="1"/>
  <c r="E59" i="1"/>
  <c r="E1576" i="1"/>
  <c r="E1397" i="1"/>
  <c r="J1066" i="1"/>
  <c r="H1882" i="1"/>
  <c r="H26" i="1"/>
  <c r="J1252" i="1"/>
  <c r="H19" i="1"/>
  <c r="E1447" i="1"/>
  <c r="E1411" i="1"/>
  <c r="H1978" i="1"/>
  <c r="H780" i="1"/>
  <c r="H50" i="1"/>
  <c r="H1564" i="1"/>
  <c r="J1856" i="1"/>
  <c r="J1603" i="1"/>
  <c r="J1629" i="1"/>
  <c r="J155" i="1"/>
  <c r="E1856" i="1"/>
  <c r="E1603" i="1"/>
  <c r="E1968" i="1"/>
  <c r="E1078" i="1"/>
  <c r="E21" i="1"/>
  <c r="H1447" i="1"/>
  <c r="H1411" i="1"/>
  <c r="H1673" i="1"/>
  <c r="J1675" i="1"/>
  <c r="H90" i="1"/>
  <c r="H1138" i="1"/>
  <c r="J32" i="1"/>
  <c r="J1869" i="1"/>
  <c r="E32" i="1"/>
  <c r="E1869" i="1"/>
  <c r="H62" i="1"/>
  <c r="J1033" i="1"/>
  <c r="J90" i="1"/>
  <c r="J1138" i="1"/>
  <c r="H962" i="1"/>
  <c r="H1284" i="1"/>
  <c r="E1673" i="1"/>
  <c r="H1675" i="1"/>
  <c r="E1768" i="1"/>
  <c r="E26" i="1"/>
  <c r="E1629" i="1"/>
  <c r="E155" i="1"/>
  <c r="E962" i="1"/>
  <c r="E1284" i="1"/>
  <c r="J1968" i="1"/>
  <c r="J1078" i="1"/>
  <c r="J976" i="1"/>
  <c r="J1158" i="1"/>
  <c r="J780" i="1"/>
  <c r="J50" i="1"/>
  <c r="J1564" i="1"/>
  <c r="H976" i="1"/>
  <c r="E19" i="1"/>
  <c r="E1158" i="1"/>
  <c r="E1033" i="1"/>
  <c r="J1768" i="1"/>
  <c r="J1978" i="1"/>
  <c r="H21" i="1"/>
  <c r="J62" i="1"/>
  <c r="J19" i="1"/>
  <c r="J1447" i="1"/>
  <c r="J1411" i="1"/>
  <c r="H1629" i="1"/>
  <c r="H155" i="1"/>
  <c r="E780" i="1"/>
  <c r="E50" i="1"/>
  <c r="E1564" i="1"/>
  <c r="H1033" i="1"/>
  <c r="E1978" i="1"/>
  <c r="J1673" i="1"/>
  <c r="H1968" i="1"/>
  <c r="H1078" i="1"/>
  <c r="H1768" i="1"/>
  <c r="J21" i="1"/>
  <c r="J26" i="1"/>
  <c r="E90" i="1"/>
  <c r="E1138" i="1"/>
  <c r="H32" i="1"/>
  <c r="H1869" i="1"/>
  <c r="E62" i="1"/>
  <c r="H1856" i="1"/>
  <c r="H1603" i="1"/>
  <c r="E1675" i="1"/>
  <c r="E1252" i="1"/>
  <c r="E976" i="1"/>
  <c r="H1252" i="1"/>
  <c r="H1158" i="1"/>
  <c r="J962" i="1"/>
  <c r="J1284" i="1"/>
  <c r="J1344" i="1"/>
  <c r="J1165" i="1"/>
  <c r="E1344" i="1"/>
  <c r="E1165" i="1"/>
  <c r="H1963" i="1"/>
  <c r="H1835" i="1"/>
  <c r="H2060" i="1"/>
  <c r="H1168" i="1"/>
  <c r="J2060" i="1"/>
  <c r="J87" i="1"/>
  <c r="J1975" i="1"/>
  <c r="AR2003" i="1"/>
  <c r="AO2006" i="1"/>
  <c r="AO2036" i="1"/>
  <c r="AP2000" i="1"/>
  <c r="J53" i="1"/>
  <c r="AS779" i="1"/>
  <c r="AR2036" i="1"/>
  <c r="AS2000" i="1"/>
  <c r="AP2015" i="1"/>
  <c r="AR1019" i="1"/>
  <c r="AO2039" i="1"/>
  <c r="AP2018" i="1"/>
  <c r="AP1958" i="1"/>
  <c r="AS2018" i="1"/>
  <c r="AO2018" i="1"/>
  <c r="AP2003" i="1"/>
  <c r="AS2039" i="1"/>
  <c r="AR2006" i="1"/>
  <c r="AP779" i="1"/>
  <c r="AO2015" i="1"/>
  <c r="E53" i="1"/>
  <c r="AP1019" i="1"/>
  <c r="E1503" i="1"/>
  <c r="AP2039" i="1"/>
  <c r="AS1019" i="1"/>
  <c r="AS1958" i="1"/>
  <c r="AP2036" i="1"/>
  <c r="AO2003" i="1"/>
  <c r="E1909" i="1"/>
  <c r="E1595" i="1"/>
  <c r="AO2000" i="1"/>
  <c r="AP2006" i="1"/>
  <c r="AR779" i="1"/>
  <c r="J1835" i="1"/>
  <c r="J1909" i="1"/>
  <c r="J1595" i="1"/>
  <c r="H87" i="1"/>
  <c r="H1975" i="1"/>
  <c r="J1793" i="1"/>
  <c r="E1168" i="1"/>
  <c r="H1503" i="1"/>
  <c r="H1793" i="1"/>
  <c r="J1963" i="1"/>
  <c r="E2060" i="1"/>
  <c r="E87" i="1"/>
  <c r="E1975" i="1"/>
  <c r="H1344" i="1"/>
  <c r="H1165" i="1"/>
  <c r="H1909" i="1"/>
  <c r="H1595" i="1"/>
  <c r="H53" i="1"/>
  <c r="E1835" i="1"/>
  <c r="E1963" i="1"/>
  <c r="E1793" i="1"/>
  <c r="J1168" i="1"/>
  <c r="AR1958" i="1"/>
  <c r="AR2015" i="1"/>
  <c r="J1503" i="1"/>
  <c r="AS2006" i="1"/>
  <c r="AS2036" i="1"/>
  <c r="AO1019" i="1"/>
  <c r="AR2000" i="1"/>
  <c r="AO779" i="1"/>
  <c r="AO1958" i="1"/>
  <c r="AR2018" i="1"/>
  <c r="AR2039" i="1"/>
  <c r="AS2003" i="1"/>
  <c r="AS2015" i="1"/>
  <c r="E2067" i="1"/>
  <c r="E1296" i="1"/>
  <c r="E1210" i="1"/>
  <c r="J1845" i="1"/>
  <c r="J14" i="1"/>
  <c r="J978" i="1"/>
  <c r="J1305" i="1"/>
  <c r="E1506" i="1"/>
  <c r="H27" i="1"/>
  <c r="H1916" i="1"/>
  <c r="H1607" i="1"/>
  <c r="E1845" i="1"/>
  <c r="E14" i="1"/>
  <c r="H1296" i="1"/>
  <c r="E27" i="1"/>
  <c r="E1916" i="1"/>
  <c r="E1607" i="1"/>
  <c r="J1217" i="1"/>
  <c r="J1113" i="1"/>
  <c r="J1694" i="1"/>
  <c r="E1176" i="1"/>
  <c r="E1685" i="1"/>
  <c r="J1176" i="1"/>
  <c r="E2085" i="1"/>
  <c r="E1694" i="1"/>
  <c r="E796" i="1"/>
  <c r="E1962" i="1"/>
  <c r="E1172" i="1"/>
  <c r="J1295" i="1"/>
  <c r="H132" i="1"/>
  <c r="J2085" i="1"/>
  <c r="E1641" i="1"/>
  <c r="J1506" i="1"/>
  <c r="H1113" i="1"/>
  <c r="E1554" i="1"/>
  <c r="E1412" i="1"/>
  <c r="J132" i="1"/>
  <c r="H1685" i="1"/>
  <c r="H1217" i="1"/>
  <c r="J1172" i="1"/>
  <c r="J796" i="1"/>
  <c r="J1962" i="1"/>
  <c r="J1210" i="1"/>
  <c r="H1641" i="1"/>
  <c r="J2067" i="1"/>
  <c r="J1554" i="1"/>
  <c r="J1412" i="1"/>
  <c r="H1172" i="1"/>
  <c r="E1295" i="1"/>
  <c r="H1176" i="1"/>
  <c r="E1113" i="1"/>
  <c r="H2067" i="1"/>
  <c r="J1296" i="1"/>
  <c r="H978" i="1"/>
  <c r="H1305" i="1"/>
  <c r="J1641" i="1"/>
  <c r="H1295" i="1"/>
  <c r="H1506" i="1"/>
  <c r="J1685" i="1"/>
  <c r="H2085" i="1"/>
  <c r="E1913" i="1"/>
  <c r="J1913" i="1"/>
  <c r="H1694" i="1"/>
  <c r="H1210" i="1"/>
  <c r="H1554" i="1"/>
  <c r="H1412" i="1"/>
  <c r="E132" i="1"/>
  <c r="H796" i="1"/>
  <c r="H1962" i="1"/>
  <c r="H1913" i="1"/>
  <c r="J27" i="1"/>
  <c r="J1916" i="1"/>
  <c r="J1607" i="1"/>
  <c r="E1217" i="1"/>
  <c r="E978" i="1"/>
  <c r="E1305" i="1"/>
  <c r="H1845" i="1"/>
  <c r="H14" i="1"/>
  <c r="AO1063" i="1"/>
  <c r="AS1838" i="1"/>
  <c r="AP1838" i="1"/>
  <c r="AS164" i="1"/>
  <c r="AO1561" i="1"/>
  <c r="AR1801" i="1"/>
  <c r="AR1063" i="1"/>
  <c r="AR1991" i="1"/>
  <c r="AP164" i="1"/>
  <c r="AO1838" i="1"/>
  <c r="AR1804" i="1"/>
  <c r="AO773" i="1"/>
  <c r="AO1743" i="1"/>
  <c r="AP1063" i="1"/>
  <c r="AS773" i="1"/>
  <c r="AS1991" i="1"/>
  <c r="AR773" i="1"/>
  <c r="AS1743" i="1"/>
  <c r="AP1991" i="1"/>
  <c r="AO164" i="1"/>
  <c r="AS1154" i="1"/>
  <c r="AP1801" i="1"/>
  <c r="AO1154" i="1"/>
  <c r="AO1801" i="1"/>
  <c r="AR1154" i="1"/>
  <c r="AS1804" i="1"/>
  <c r="AP1804" i="1"/>
  <c r="AR1743" i="1"/>
  <c r="AO1991" i="1"/>
  <c r="AS1063" i="1"/>
  <c r="AS1561" i="1"/>
  <c r="AP1154" i="1"/>
  <c r="AR1561" i="1"/>
  <c r="AP773" i="1"/>
  <c r="AP1743" i="1"/>
  <c r="AP1561" i="1"/>
  <c r="AS1801" i="1"/>
  <c r="AO1804" i="1"/>
  <c r="AR1838" i="1"/>
  <c r="AR164" i="1"/>
  <c r="H9" i="1"/>
  <c r="H1841" i="1"/>
  <c r="E1233" i="1"/>
  <c r="J1483" i="1"/>
  <c r="J239" i="1"/>
  <c r="E1924" i="1"/>
  <c r="E180" i="1"/>
  <c r="J1924" i="1"/>
  <c r="J180" i="1"/>
  <c r="E1972" i="1"/>
  <c r="E9" i="1"/>
  <c r="E1841" i="1"/>
  <c r="E2062" i="1"/>
  <c r="E1849" i="1"/>
  <c r="E1585" i="1"/>
  <c r="H1233" i="1"/>
  <c r="H239" i="1"/>
  <c r="E945" i="1"/>
  <c r="E806" i="1"/>
  <c r="J945" i="1"/>
  <c r="E1483" i="1"/>
  <c r="J156" i="1"/>
  <c r="H156" i="1"/>
  <c r="J1972" i="1"/>
  <c r="J806" i="1"/>
  <c r="H806" i="1"/>
  <c r="H2062" i="1"/>
  <c r="H1849" i="1"/>
  <c r="H1585" i="1"/>
  <c r="H1924" i="1"/>
  <c r="H180" i="1"/>
  <c r="H1483" i="1"/>
  <c r="J9" i="1"/>
  <c r="J1841" i="1"/>
  <c r="J2062" i="1"/>
  <c r="J1849" i="1"/>
  <c r="J1585" i="1"/>
  <c r="E156" i="1"/>
  <c r="H1972" i="1"/>
  <c r="H945" i="1"/>
  <c r="J1233" i="1"/>
  <c r="E239" i="1"/>
  <c r="E994" i="1"/>
  <c r="J1229" i="1"/>
  <c r="H994" i="1"/>
  <c r="E1196" i="1"/>
  <c r="H1813" i="1"/>
  <c r="H1314" i="1"/>
  <c r="E98" i="1"/>
  <c r="E1651" i="1"/>
  <c r="E1229" i="1"/>
  <c r="E1393" i="1"/>
  <c r="J1746" i="1"/>
  <c r="H1086" i="1"/>
  <c r="E1746" i="1"/>
  <c r="H1393" i="1"/>
  <c r="J1196" i="1"/>
  <c r="E1314" i="1"/>
  <c r="J98" i="1"/>
  <c r="J1651" i="1"/>
  <c r="J131" i="1"/>
  <c r="AP774" i="1"/>
  <c r="AO196" i="1"/>
  <c r="AO774" i="1"/>
  <c r="AP6" i="1"/>
  <c r="AS1470" i="1"/>
  <c r="J1086" i="1"/>
  <c r="J1813" i="1"/>
  <c r="AR196" i="1"/>
  <c r="AO2045" i="1"/>
  <c r="AS252" i="1"/>
  <c r="AP198" i="1"/>
  <c r="AR6" i="1"/>
  <c r="AS198" i="1"/>
  <c r="AO1470" i="1"/>
  <c r="AR198" i="1"/>
  <c r="AO198" i="1"/>
  <c r="AS2045" i="1"/>
  <c r="AR774" i="1"/>
  <c r="AP2045" i="1"/>
  <c r="H1196" i="1"/>
  <c r="H131" i="1"/>
  <c r="E1813" i="1"/>
  <c r="AP252" i="1"/>
  <c r="AS774" i="1"/>
  <c r="AO6" i="1"/>
  <c r="AS6" i="1"/>
  <c r="E1086" i="1"/>
  <c r="H1229" i="1"/>
  <c r="AS196" i="1"/>
  <c r="AP1470" i="1"/>
  <c r="E131" i="1"/>
  <c r="AR1470" i="1"/>
  <c r="H98" i="1"/>
  <c r="H1651" i="1"/>
  <c r="H1746" i="1"/>
  <c r="AO252" i="1"/>
  <c r="J1314" i="1"/>
  <c r="AR2045" i="1"/>
  <c r="AR252" i="1"/>
  <c r="J1393" i="1"/>
  <c r="J994" i="1"/>
  <c r="AP196" i="1"/>
  <c r="E152" i="1"/>
  <c r="J1983" i="1"/>
  <c r="H2099" i="1"/>
  <c r="E1650" i="1"/>
  <c r="E1145" i="1"/>
  <c r="H1650" i="1"/>
  <c r="H1145" i="1"/>
  <c r="H1183" i="1"/>
  <c r="J125" i="1"/>
  <c r="J2099" i="1"/>
  <c r="H2068" i="1"/>
  <c r="J1183" i="1"/>
  <c r="H35" i="1"/>
  <c r="H1929" i="1"/>
  <c r="E1495" i="1"/>
  <c r="E2068" i="1"/>
  <c r="J35" i="1"/>
  <c r="J1929" i="1"/>
  <c r="J1579" i="1"/>
  <c r="E125" i="1"/>
  <c r="H1579" i="1"/>
  <c r="H1495" i="1"/>
  <c r="H1983" i="1"/>
  <c r="J152" i="1"/>
  <c r="J1650" i="1"/>
  <c r="J1145" i="1"/>
  <c r="H152" i="1"/>
  <c r="E2099" i="1"/>
  <c r="E35" i="1"/>
  <c r="E1929" i="1"/>
  <c r="J2068" i="1"/>
  <c r="E1579" i="1"/>
  <c r="J1495" i="1"/>
  <c r="E1183" i="1"/>
  <c r="H125" i="1"/>
  <c r="E1983" i="1"/>
  <c r="AP815" i="1"/>
  <c r="AO2009" i="1"/>
  <c r="AR2024" i="1"/>
  <c r="AS1807" i="1"/>
  <c r="AP775" i="1"/>
  <c r="AO2051" i="1"/>
  <c r="AO815" i="1"/>
  <c r="AP2024" i="1"/>
  <c r="AS775" i="1"/>
  <c r="AS2021" i="1"/>
  <c r="AO775" i="1"/>
  <c r="AS2024" i="1"/>
  <c r="AS1467" i="1"/>
  <c r="AR2009" i="1"/>
  <c r="AR2048" i="1"/>
  <c r="AS2048" i="1"/>
  <c r="AR1807" i="1"/>
  <c r="AR1795" i="1"/>
  <c r="AS1795" i="1"/>
  <c r="AP2021" i="1"/>
  <c r="AS2051" i="1"/>
  <c r="AS2009" i="1"/>
  <c r="AO2021" i="1"/>
  <c r="AP1467" i="1"/>
  <c r="AR1467" i="1"/>
  <c r="AR815" i="1"/>
  <c r="AP1795" i="1"/>
  <c r="AR2051" i="1"/>
  <c r="AP1807" i="1"/>
  <c r="AP2048" i="1"/>
  <c r="AR2021" i="1"/>
  <c r="AO1807" i="1"/>
  <c r="AP2051" i="1"/>
  <c r="AO2024" i="1"/>
  <c r="AO2048" i="1"/>
  <c r="AS815" i="1"/>
  <c r="AO1795" i="1"/>
  <c r="AP2009" i="1"/>
  <c r="AO1467" i="1"/>
  <c r="AR775" i="1"/>
  <c r="AS778" i="1"/>
  <c r="AO2012" i="1"/>
  <c r="AO1457" i="1"/>
  <c r="AR2030" i="1"/>
  <c r="AP1726" i="1"/>
  <c r="AS1366" i="1"/>
  <c r="AR1726" i="1"/>
  <c r="AO778" i="1"/>
  <c r="AS777" i="1"/>
  <c r="AS1431" i="1"/>
  <c r="AS1370" i="1"/>
  <c r="AS1369" i="1"/>
  <c r="AS1726" i="1"/>
  <c r="AR2012" i="1"/>
  <c r="AP1431" i="1"/>
  <c r="AP777" i="1"/>
  <c r="AP1457" i="1"/>
  <c r="AS1457" i="1"/>
  <c r="AS2042" i="1"/>
  <c r="AP1370" i="1"/>
  <c r="AP1369" i="1"/>
  <c r="AP2030" i="1"/>
  <c r="AR1366" i="1"/>
  <c r="AP2012" i="1"/>
  <c r="AO777" i="1"/>
  <c r="AP1366" i="1"/>
  <c r="AR2042" i="1"/>
  <c r="AP778" i="1"/>
  <c r="AO1431" i="1"/>
  <c r="AO2042" i="1"/>
  <c r="AO2030" i="1"/>
  <c r="AS2030" i="1"/>
  <c r="AO1370" i="1"/>
  <c r="AO1369" i="1"/>
  <c r="AR1431" i="1"/>
  <c r="AR778" i="1"/>
  <c r="AP2042" i="1"/>
  <c r="AR1370" i="1"/>
  <c r="AR1369" i="1"/>
  <c r="AR777" i="1"/>
  <c r="AR1457" i="1"/>
  <c r="AO1726" i="1"/>
  <c r="AO1366" i="1"/>
  <c r="AS2012" i="1"/>
  <c r="J1668" i="1"/>
  <c r="H972" i="1"/>
  <c r="H1926" i="1"/>
  <c r="H1082" i="1"/>
  <c r="J1214" i="1"/>
  <c r="E233" i="1"/>
  <c r="E1356" i="1"/>
  <c r="E95" i="1"/>
  <c r="E1143" i="1"/>
  <c r="H1668" i="1"/>
  <c r="J1681" i="1"/>
  <c r="H233" i="1"/>
  <c r="H1356" i="1"/>
  <c r="J1240" i="1"/>
  <c r="J1886" i="1"/>
  <c r="J1926" i="1"/>
  <c r="J1082" i="1"/>
  <c r="E1681" i="1"/>
  <c r="H1240" i="1"/>
  <c r="H1886" i="1"/>
  <c r="H95" i="1"/>
  <c r="H1143" i="1"/>
  <c r="J972" i="1"/>
  <c r="AR1473" i="1"/>
  <c r="AS2033" i="1"/>
  <c r="AO1798" i="1"/>
  <c r="AP1988" i="1"/>
  <c r="AS1988" i="1"/>
  <c r="AR1994" i="1"/>
  <c r="AO1997" i="1"/>
  <c r="AO3" i="1"/>
  <c r="AP1798" i="1"/>
  <c r="AR1810" i="1"/>
  <c r="AO2033" i="1"/>
  <c r="AO1988" i="1"/>
  <c r="AO2027" i="1"/>
  <c r="AO1473" i="1"/>
  <c r="AS776" i="1"/>
  <c r="AO1810" i="1"/>
  <c r="AS2027" i="1"/>
  <c r="AO1994" i="1"/>
  <c r="AO776" i="1"/>
  <c r="AP1473" i="1"/>
  <c r="AP1997" i="1"/>
  <c r="AP1994" i="1"/>
  <c r="AP2027" i="1"/>
  <c r="AS3" i="1"/>
  <c r="AP776" i="1"/>
  <c r="AP1810" i="1"/>
  <c r="H1214" i="1"/>
  <c r="J1356" i="1"/>
  <c r="J233" i="1"/>
  <c r="E972" i="1"/>
  <c r="E1668" i="1"/>
  <c r="H1681" i="1"/>
  <c r="E1240" i="1"/>
  <c r="E1214" i="1"/>
  <c r="J95" i="1"/>
  <c r="J1143" i="1"/>
  <c r="AS1997" i="1"/>
  <c r="AR3" i="1"/>
  <c r="AP2033" i="1"/>
  <c r="AS1798" i="1"/>
  <c r="AR1988" i="1"/>
  <c r="E1926" i="1"/>
  <c r="E1082" i="1"/>
  <c r="AR776" i="1"/>
  <c r="AR1798" i="1"/>
  <c r="AR2027" i="1"/>
  <c r="AR2033" i="1"/>
  <c r="AS1810" i="1"/>
  <c r="AS1473" i="1"/>
  <c r="E1886" i="1"/>
  <c r="AR1997" i="1"/>
  <c r="AS1994" i="1"/>
  <c r="AP3" i="1"/>
  <c r="J1297" i="1"/>
  <c r="J28" i="1"/>
  <c r="J68" i="1"/>
  <c r="E235" i="1"/>
  <c r="H28" i="1"/>
  <c r="H235" i="1"/>
  <c r="H1686" i="1"/>
  <c r="E232" i="1"/>
  <c r="J1209" i="1"/>
  <c r="E1209" i="1"/>
  <c r="J1873" i="1"/>
  <c r="H168" i="1"/>
  <c r="H157" i="1"/>
  <c r="E68" i="1"/>
  <c r="E168" i="1"/>
  <c r="H1297" i="1"/>
  <c r="J157" i="1"/>
  <c r="J232" i="1"/>
  <c r="J1686" i="1"/>
  <c r="H1873" i="1"/>
  <c r="E28" i="1"/>
  <c r="E157" i="1"/>
  <c r="J235" i="1"/>
  <c r="E1297" i="1"/>
  <c r="E1873" i="1"/>
  <c r="H232" i="1"/>
  <c r="E1686" i="1"/>
  <c r="H68" i="1"/>
  <c r="H1209" i="1"/>
  <c r="J168" i="1"/>
  <c r="E1690" i="1"/>
  <c r="H980" i="1"/>
  <c r="J959" i="1"/>
  <c r="E2070" i="1"/>
  <c r="H135" i="1"/>
  <c r="E1243" i="1"/>
  <c r="J119" i="1"/>
  <c r="H948" i="1"/>
  <c r="H1119" i="1"/>
  <c r="J1283" i="1"/>
  <c r="E230" i="1"/>
  <c r="E1902" i="1"/>
  <c r="E170" i="1"/>
  <c r="E171" i="1"/>
  <c r="E1577" i="1"/>
  <c r="E1109" i="1"/>
  <c r="E1068" i="1"/>
  <c r="J78" i="1"/>
  <c r="J237" i="1"/>
  <c r="J135" i="1"/>
  <c r="H1283" i="1"/>
  <c r="H1690" i="1"/>
  <c r="H959" i="1"/>
  <c r="H1791" i="1"/>
  <c r="E952" i="1"/>
  <c r="E190" i="1"/>
  <c r="E1096" i="1"/>
  <c r="E78" i="1"/>
  <c r="E237" i="1"/>
  <c r="J1253" i="1"/>
  <c r="H1307" i="1"/>
  <c r="J2070" i="1"/>
  <c r="E1422" i="1"/>
  <c r="J1119" i="1"/>
  <c r="H119" i="1"/>
  <c r="E1453" i="1"/>
  <c r="E1424" i="1"/>
  <c r="J1243" i="1"/>
  <c r="E1307" i="1"/>
  <c r="J230" i="1"/>
  <c r="J1902" i="1"/>
  <c r="J170" i="1"/>
  <c r="J171" i="1"/>
  <c r="J1577" i="1"/>
  <c r="J1109" i="1"/>
  <c r="J1068" i="1"/>
  <c r="J1791" i="1"/>
  <c r="J1928" i="1"/>
  <c r="J1175" i="1"/>
  <c r="J948" i="1"/>
  <c r="H1928" i="1"/>
  <c r="H1175" i="1"/>
  <c r="J952" i="1"/>
  <c r="J190" i="1"/>
  <c r="J1096" i="1"/>
  <c r="E1253" i="1"/>
  <c r="H1422" i="1"/>
  <c r="H1453" i="1"/>
  <c r="H1424" i="1"/>
  <c r="E980" i="1"/>
  <c r="J1422" i="1"/>
  <c r="J1453" i="1"/>
  <c r="J1424" i="1"/>
  <c r="E1928" i="1"/>
  <c r="E1175" i="1"/>
  <c r="E135" i="1"/>
  <c r="H1243" i="1"/>
  <c r="H2070" i="1"/>
  <c r="H171" i="1"/>
  <c r="H1577" i="1"/>
  <c r="H1109" i="1"/>
  <c r="H1068" i="1"/>
  <c r="H952" i="1"/>
  <c r="H190" i="1"/>
  <c r="H1096" i="1"/>
  <c r="H230" i="1"/>
  <c r="H1902" i="1"/>
  <c r="H170" i="1"/>
  <c r="J1690" i="1"/>
  <c r="J980" i="1"/>
  <c r="E1119" i="1"/>
  <c r="E1283" i="1"/>
  <c r="H1253" i="1"/>
  <c r="E959" i="1"/>
  <c r="E948" i="1"/>
  <c r="E119" i="1"/>
  <c r="H78" i="1"/>
  <c r="H237" i="1"/>
  <c r="E1791" i="1"/>
  <c r="J1307" i="1"/>
  <c r="J116" i="1"/>
  <c r="H1696" i="1"/>
  <c r="J138" i="1"/>
  <c r="E1539" i="1"/>
  <c r="H982" i="1"/>
  <c r="J250" i="1"/>
  <c r="H1878" i="1"/>
  <c r="J982" i="1"/>
  <c r="J40" i="1"/>
  <c r="J1945" i="1"/>
  <c r="J187" i="1"/>
  <c r="E1878" i="1"/>
  <c r="E975" i="1"/>
  <c r="E1301" i="1"/>
  <c r="J975" i="1"/>
  <c r="J1301" i="1"/>
  <c r="H40" i="1"/>
  <c r="H1945" i="1"/>
  <c r="H187" i="1"/>
  <c r="J1696" i="1"/>
  <c r="E1510" i="1"/>
  <c r="H250" i="1"/>
  <c r="J1539" i="1"/>
  <c r="H116" i="1"/>
  <c r="E138" i="1"/>
  <c r="J1510" i="1"/>
  <c r="J1878" i="1"/>
  <c r="H975" i="1"/>
  <c r="H1301" i="1"/>
  <c r="H138" i="1"/>
  <c r="E982" i="1"/>
  <c r="H1539" i="1"/>
  <c r="E40" i="1"/>
  <c r="E1945" i="1"/>
  <c r="E187" i="1"/>
  <c r="E250" i="1"/>
  <c r="E1696" i="1"/>
  <c r="H1510" i="1"/>
  <c r="E116" i="1"/>
  <c r="H1931" i="1"/>
  <c r="E58" i="1"/>
  <c r="E1574" i="1"/>
  <c r="E1106" i="1"/>
  <c r="E1219" i="1"/>
  <c r="H1513" i="1"/>
  <c r="H1903" i="1"/>
  <c r="H1069" i="1"/>
  <c r="J1901" i="1"/>
  <c r="J15" i="1"/>
  <c r="H58" i="1"/>
  <c r="H1574" i="1"/>
  <c r="H1106" i="1"/>
  <c r="E1290" i="1"/>
  <c r="E1903" i="1"/>
  <c r="E1069" i="1"/>
  <c r="J1931" i="1"/>
  <c r="J1822" i="1"/>
  <c r="H941" i="1"/>
  <c r="E1822" i="1"/>
  <c r="J941" i="1"/>
  <c r="J1100" i="1"/>
  <c r="H1100" i="1"/>
  <c r="H1901" i="1"/>
  <c r="H15" i="1"/>
  <c r="H1290" i="1"/>
  <c r="H1219" i="1"/>
  <c r="E1513" i="1"/>
  <c r="J58" i="1"/>
  <c r="J1574" i="1"/>
  <c r="J1106" i="1"/>
  <c r="H1822" i="1"/>
  <c r="J1219" i="1"/>
  <c r="E1100" i="1"/>
  <c r="E1931" i="1"/>
  <c r="J1513" i="1"/>
  <c r="J1290" i="1"/>
  <c r="E941" i="1"/>
  <c r="E1901" i="1"/>
  <c r="E15" i="1"/>
  <c r="J1903" i="1"/>
  <c r="J1069" i="1"/>
  <c r="E1250" i="1"/>
  <c r="H1544" i="1"/>
  <c r="H1070" i="1"/>
  <c r="J1185" i="1"/>
  <c r="J1792" i="1"/>
  <c r="E1185" i="1"/>
  <c r="J1556" i="1"/>
  <c r="J1070" i="1"/>
  <c r="J1753" i="1"/>
  <c r="H1557" i="1"/>
  <c r="J1557" i="1"/>
  <c r="H1250" i="1"/>
  <c r="J1414" i="1"/>
  <c r="H1556" i="1"/>
  <c r="H1753" i="1"/>
  <c r="H2066" i="1"/>
  <c r="H1414" i="1"/>
  <c r="E2066" i="1"/>
  <c r="E1792" i="1"/>
  <c r="E1544" i="1"/>
  <c r="H1792" i="1"/>
  <c r="E1753" i="1"/>
  <c r="E1414" i="1"/>
  <c r="J1544" i="1"/>
  <c r="E1557" i="1"/>
  <c r="E1070" i="1"/>
  <c r="J1250" i="1"/>
  <c r="J2066" i="1"/>
  <c r="H1185" i="1"/>
  <c r="E1556" i="1"/>
  <c r="E209" i="1"/>
  <c r="E402" i="1"/>
  <c r="AV579" i="1"/>
  <c r="J255" i="1"/>
  <c r="E292" i="1"/>
  <c r="J558" i="1"/>
  <c r="H209" i="1"/>
  <c r="AU402" i="1"/>
  <c r="H597" i="1"/>
  <c r="E698" i="1"/>
  <c r="AV585" i="1"/>
  <c r="AU585" i="1"/>
  <c r="AV402" i="1"/>
  <c r="AV698" i="1"/>
  <c r="AV558" i="1"/>
  <c r="J597" i="1"/>
  <c r="H402" i="1"/>
  <c r="AV255" i="1"/>
  <c r="H698" i="1"/>
  <c r="E597" i="1"/>
  <c r="AV308" i="1"/>
  <c r="H308" i="1"/>
  <c r="AU698" i="1"/>
  <c r="AV292" i="1"/>
  <c r="AU255" i="1"/>
  <c r="AU209" i="1"/>
  <c r="J585" i="1"/>
  <c r="AU579" i="1"/>
  <c r="E579" i="1"/>
  <c r="J579" i="1"/>
  <c r="AU558" i="1"/>
  <c r="E585" i="1"/>
  <c r="J209" i="1"/>
  <c r="E308" i="1"/>
  <c r="H558" i="1"/>
  <c r="AU308" i="1"/>
  <c r="J292" i="1"/>
  <c r="AV597" i="1"/>
  <c r="AU292" i="1"/>
  <c r="H255" i="1"/>
  <c r="E558" i="1"/>
  <c r="AV209" i="1"/>
  <c r="AU597" i="1"/>
  <c r="E255" i="1"/>
  <c r="J402" i="1"/>
  <c r="H292" i="1"/>
  <c r="H579" i="1"/>
  <c r="J308" i="1"/>
  <c r="H585" i="1"/>
  <c r="J698" i="1"/>
  <c r="AU494" i="1"/>
  <c r="H261" i="1"/>
  <c r="H479" i="1"/>
  <c r="E902" i="1"/>
  <c r="H623" i="1"/>
  <c r="J647" i="1"/>
  <c r="AU623" i="1"/>
  <c r="AV476" i="1"/>
  <c r="AV623" i="1"/>
  <c r="AU261" i="1"/>
  <c r="AU647" i="1"/>
  <c r="AV902" i="1"/>
  <c r="H476" i="1"/>
  <c r="H647" i="1"/>
  <c r="J623" i="1"/>
  <c r="AV694" i="1"/>
  <c r="E494" i="1"/>
  <c r="AV494" i="1"/>
  <c r="E647" i="1"/>
  <c r="AU479" i="1"/>
  <c r="E345" i="1"/>
  <c r="AU345" i="1"/>
  <c r="E479" i="1"/>
  <c r="H902" i="1"/>
  <c r="J694" i="1"/>
  <c r="E599" i="1"/>
  <c r="E694" i="1"/>
  <c r="E476" i="1"/>
  <c r="J902" i="1"/>
  <c r="AU599" i="1"/>
  <c r="AV479" i="1"/>
  <c r="AV599" i="1"/>
  <c r="AU476" i="1"/>
  <c r="AV345" i="1"/>
  <c r="AV261" i="1"/>
  <c r="AU694" i="1"/>
  <c r="J494" i="1"/>
  <c r="H599" i="1"/>
  <c r="J345" i="1"/>
  <c r="J261" i="1"/>
  <c r="H494" i="1"/>
  <c r="J599" i="1"/>
  <c r="E261" i="1"/>
  <c r="AV647" i="1"/>
  <c r="AU902" i="1"/>
  <c r="E623" i="1"/>
  <c r="J476" i="1"/>
  <c r="H694" i="1"/>
  <c r="H345" i="1"/>
  <c r="J479" i="1"/>
  <c r="AV708" i="1"/>
  <c r="AV325" i="1"/>
  <c r="AV839" i="1"/>
  <c r="J388" i="1"/>
  <c r="H839" i="1"/>
  <c r="AV388" i="1"/>
  <c r="E871" i="1"/>
  <c r="AV832" i="1"/>
  <c r="AU832" i="1"/>
  <c r="J871" i="1"/>
  <c r="H871" i="1"/>
  <c r="E839" i="1"/>
  <c r="E388" i="1"/>
  <c r="H708" i="1"/>
  <c r="AU871" i="1"/>
  <c r="H832" i="1"/>
  <c r="J338" i="1"/>
  <c r="J325" i="1"/>
  <c r="AU388" i="1"/>
  <c r="J839" i="1"/>
  <c r="E338" i="1"/>
  <c r="AV338" i="1"/>
  <c r="H325" i="1"/>
  <c r="H338" i="1"/>
  <c r="AU338" i="1"/>
  <c r="E832" i="1"/>
  <c r="AV871" i="1"/>
  <c r="H463" i="1"/>
  <c r="J832" i="1"/>
  <c r="AU839" i="1"/>
  <c r="AU463" i="1"/>
  <c r="AV463" i="1"/>
  <c r="J463" i="1"/>
  <c r="H388" i="1"/>
  <c r="J708" i="1"/>
  <c r="E463" i="1"/>
  <c r="E708" i="1"/>
  <c r="E325" i="1"/>
  <c r="AU325" i="1"/>
  <c r="AU708" i="1"/>
  <c r="AU679" i="1"/>
  <c r="AV679" i="1"/>
  <c r="J522" i="1"/>
  <c r="E214" i="1"/>
  <c r="E522" i="1"/>
  <c r="AV654" i="1"/>
  <c r="AU522" i="1"/>
  <c r="E880" i="1"/>
  <c r="AU506" i="1"/>
  <c r="H903" i="1"/>
  <c r="H659" i="1"/>
  <c r="J214" i="1"/>
  <c r="E506" i="1"/>
  <c r="H506" i="1"/>
  <c r="J363" i="1"/>
  <c r="H679" i="1"/>
  <c r="J654" i="1"/>
  <c r="E363" i="1"/>
  <c r="AV214" i="1"/>
  <c r="E477" i="1"/>
  <c r="E654" i="1"/>
  <c r="H880" i="1"/>
  <c r="AU214" i="1"/>
  <c r="AU363" i="1"/>
  <c r="E659" i="1"/>
  <c r="AU659" i="1"/>
  <c r="J659" i="1"/>
  <c r="H363" i="1"/>
  <c r="J880" i="1"/>
  <c r="AV477" i="1"/>
  <c r="H654" i="1"/>
  <c r="J506" i="1"/>
  <c r="J903" i="1"/>
  <c r="E903" i="1"/>
  <c r="AV903" i="1"/>
  <c r="AU880" i="1"/>
  <c r="AU477" i="1"/>
  <c r="AV363" i="1"/>
  <c r="H477" i="1"/>
  <c r="AU654" i="1"/>
  <c r="J477" i="1"/>
  <c r="AV506" i="1"/>
  <c r="AV659" i="1"/>
  <c r="AV880" i="1"/>
  <c r="J679" i="1"/>
  <c r="H214" i="1"/>
  <c r="AU903" i="1"/>
  <c r="H522" i="1"/>
  <c r="E679" i="1"/>
  <c r="AV522" i="1"/>
  <c r="AV757" i="1"/>
  <c r="AU512" i="1"/>
  <c r="AU757" i="1"/>
  <c r="AU534" i="1"/>
  <c r="E725" i="1"/>
  <c r="AV382" i="1"/>
  <c r="H763" i="1"/>
  <c r="H382" i="1"/>
  <c r="E757" i="1"/>
  <c r="AV648" i="1"/>
  <c r="H300" i="1"/>
  <c r="AV512" i="1"/>
  <c r="J763" i="1"/>
  <c r="J757" i="1"/>
  <c r="AU513" i="1"/>
  <c r="E382" i="1"/>
  <c r="AU763" i="1"/>
  <c r="E648" i="1"/>
  <c r="E534" i="1"/>
  <c r="AV763" i="1"/>
  <c r="H512" i="1"/>
  <c r="AV513" i="1"/>
  <c r="J300" i="1"/>
  <c r="J534" i="1"/>
  <c r="AU648" i="1"/>
  <c r="H513" i="1"/>
  <c r="AV725" i="1"/>
  <c r="E829" i="1"/>
  <c r="E1740" i="1"/>
  <c r="E1709" i="1"/>
  <c r="E1335" i="1"/>
  <c r="E1277" i="1"/>
  <c r="E1016" i="1"/>
  <c r="AU300" i="1"/>
  <c r="J513" i="1"/>
  <c r="H829" i="1"/>
  <c r="H1740" i="1"/>
  <c r="H1709" i="1"/>
  <c r="H1335" i="1"/>
  <c r="H1277" i="1"/>
  <c r="H1016" i="1"/>
  <c r="J829" i="1"/>
  <c r="J1740" i="1"/>
  <c r="J1709" i="1"/>
  <c r="J1335" i="1"/>
  <c r="J1277" i="1"/>
  <c r="J1016" i="1"/>
  <c r="J382" i="1"/>
  <c r="J725" i="1"/>
  <c r="E512" i="1"/>
  <c r="H648" i="1"/>
  <c r="H725" i="1"/>
  <c r="AU725" i="1"/>
  <c r="AV534" i="1"/>
  <c r="AV829" i="1"/>
  <c r="AV1740" i="1"/>
  <c r="AV1709" i="1"/>
  <c r="AV1335" i="1"/>
  <c r="AV1277" i="1"/>
  <c r="AV1016" i="1"/>
  <c r="AV300" i="1"/>
  <c r="H757" i="1"/>
  <c r="E513" i="1"/>
  <c r="J648" i="1"/>
  <c r="AU382" i="1"/>
  <c r="E300" i="1"/>
  <c r="E763" i="1"/>
  <c r="AU829" i="1"/>
  <c r="AU1740" i="1"/>
  <c r="AU1709" i="1"/>
  <c r="AU1335" i="1"/>
  <c r="AU1277" i="1"/>
  <c r="AU1016" i="1"/>
  <c r="H534" i="1"/>
  <c r="J512" i="1"/>
  <c r="AU561" i="1"/>
  <c r="E527" i="1"/>
  <c r="AU612" i="1"/>
  <c r="J462" i="1"/>
  <c r="J490" i="1"/>
  <c r="AV746" i="1"/>
  <c r="H490" i="1"/>
  <c r="E490" i="1"/>
  <c r="E462" i="1"/>
  <c r="AU527" i="1"/>
  <c r="AV848" i="1"/>
  <c r="E561" i="1"/>
  <c r="J561" i="1"/>
  <c r="E848" i="1"/>
  <c r="AV527" i="1"/>
  <c r="AV576" i="1"/>
  <c r="H500" i="1"/>
  <c r="AU500" i="1"/>
  <c r="AV612" i="1"/>
  <c r="E515" i="1"/>
  <c r="AU746" i="1"/>
  <c r="AV462" i="1"/>
  <c r="J500" i="1"/>
  <c r="H515" i="1"/>
  <c r="AU490" i="1"/>
  <c r="AV500" i="1"/>
  <c r="H848" i="1"/>
  <c r="J746" i="1"/>
  <c r="AU515" i="1"/>
  <c r="J576" i="1"/>
  <c r="E576" i="1"/>
  <c r="AU848" i="1"/>
  <c r="H612" i="1"/>
  <c r="AV515" i="1"/>
  <c r="H746" i="1"/>
  <c r="J527" i="1"/>
  <c r="AU576" i="1"/>
  <c r="AU462" i="1"/>
  <c r="H576" i="1"/>
  <c r="E612" i="1"/>
  <c r="AV561" i="1"/>
  <c r="J848" i="1"/>
  <c r="H462" i="1"/>
  <c r="AV490" i="1"/>
  <c r="E746" i="1"/>
  <c r="H561" i="1"/>
  <c r="J515" i="1"/>
  <c r="H527" i="1"/>
  <c r="J612" i="1"/>
  <c r="E500" i="1"/>
  <c r="E220" i="1"/>
  <c r="H749" i="1"/>
  <c r="J482" i="1"/>
  <c r="AU220" i="1"/>
  <c r="J449" i="1"/>
  <c r="AV446" i="1"/>
  <c r="AV449" i="1"/>
  <c r="AV749" i="1"/>
  <c r="J319" i="1"/>
  <c r="E548" i="1"/>
  <c r="H548" i="1"/>
  <c r="E314" i="1"/>
  <c r="J322" i="1"/>
  <c r="H322" i="1"/>
  <c r="AV548" i="1"/>
  <c r="H495" i="1"/>
  <c r="AU495" i="1"/>
  <c r="H220" i="1"/>
  <c r="AV495" i="1"/>
  <c r="AU314" i="1"/>
  <c r="J495" i="1"/>
  <c r="E446" i="1"/>
  <c r="E749" i="1"/>
  <c r="AV322" i="1"/>
  <c r="AU482" i="1"/>
  <c r="AU548" i="1"/>
  <c r="AV319" i="1"/>
  <c r="J446" i="1"/>
  <c r="E482" i="1"/>
  <c r="J749" i="1"/>
  <c r="E449" i="1"/>
  <c r="E322" i="1"/>
  <c r="AU319" i="1"/>
  <c r="H449" i="1"/>
  <c r="AV314" i="1"/>
  <c r="J220" i="1"/>
  <c r="H482" i="1"/>
  <c r="H319" i="1"/>
  <c r="H314" i="1"/>
  <c r="H446" i="1"/>
  <c r="E319" i="1"/>
  <c r="J548" i="1"/>
  <c r="AU446" i="1"/>
  <c r="AV482" i="1"/>
  <c r="J314" i="1"/>
  <c r="AU449" i="1"/>
  <c r="AU749" i="1"/>
  <c r="AU322" i="1"/>
  <c r="E495" i="1"/>
  <c r="AV220" i="1"/>
  <c r="H618" i="1"/>
  <c r="AU857" i="1"/>
  <c r="E383" i="1"/>
  <c r="AV677" i="1"/>
  <c r="E410" i="1"/>
  <c r="AV712" i="1"/>
  <c r="H410" i="1"/>
  <c r="H465" i="1"/>
  <c r="AV466" i="1"/>
  <c r="J399" i="1"/>
  <c r="J305" i="1"/>
  <c r="AV399" i="1"/>
  <c r="AU465" i="1"/>
  <c r="AV419" i="1"/>
  <c r="AU297" i="1"/>
  <c r="AU431" i="1"/>
  <c r="J297" i="1"/>
  <c r="E712" i="1"/>
  <c r="H297" i="1"/>
  <c r="J712" i="1"/>
  <c r="J383" i="1"/>
  <c r="E618" i="1"/>
  <c r="E431" i="1"/>
  <c r="AV273" i="1"/>
  <c r="J906" i="1"/>
  <c r="E419" i="1"/>
  <c r="H441" i="1"/>
  <c r="AU383" i="1"/>
  <c r="AV892" i="1"/>
  <c r="AV410" i="1"/>
  <c r="AU419" i="1"/>
  <c r="AU399" i="1"/>
  <c r="H419" i="1"/>
  <c r="AU305" i="1"/>
  <c r="E305" i="1"/>
  <c r="AV441" i="1"/>
  <c r="E906" i="1"/>
  <c r="AV431" i="1"/>
  <c r="H212" i="1"/>
  <c r="J677" i="1"/>
  <c r="AV465" i="1"/>
  <c r="AV305" i="1"/>
  <c r="J431" i="1"/>
  <c r="AU273" i="1"/>
  <c r="E465" i="1"/>
  <c r="H399" i="1"/>
  <c r="J212" i="1"/>
  <c r="AU618" i="1"/>
  <c r="H695" i="1"/>
  <c r="E892" i="1"/>
  <c r="H857" i="1"/>
  <c r="E695" i="1"/>
  <c r="J273" i="1"/>
  <c r="AV695" i="1"/>
  <c r="J618" i="1"/>
  <c r="AU466" i="1"/>
  <c r="E677" i="1"/>
  <c r="AV276" i="1"/>
  <c r="AV221" i="1"/>
  <c r="AU906" i="1"/>
  <c r="AV212" i="1"/>
  <c r="AU212" i="1"/>
  <c r="J695" i="1"/>
  <c r="E441" i="1"/>
  <c r="H712" i="1"/>
  <c r="H466" i="1"/>
  <c r="E857" i="1"/>
  <c r="H906" i="1"/>
  <c r="E212" i="1"/>
  <c r="H276" i="1"/>
  <c r="H221" i="1"/>
  <c r="AU677" i="1"/>
  <c r="H431" i="1"/>
  <c r="H383" i="1"/>
  <c r="AU410" i="1"/>
  <c r="J892" i="1"/>
  <c r="J276" i="1"/>
  <c r="J221" i="1"/>
  <c r="J857" i="1"/>
  <c r="AU276" i="1"/>
  <c r="AU221" i="1"/>
  <c r="E276" i="1"/>
  <c r="E221" i="1"/>
  <c r="AU695" i="1"/>
  <c r="H273" i="1"/>
  <c r="E273" i="1"/>
  <c r="H305" i="1"/>
  <c r="AU712" i="1"/>
  <c r="AV906" i="1"/>
  <c r="J410" i="1"/>
  <c r="E399" i="1"/>
  <c r="H892" i="1"/>
  <c r="J441" i="1"/>
  <c r="E466" i="1"/>
  <c r="AV297" i="1"/>
  <c r="E297" i="1"/>
  <c r="AU441" i="1"/>
  <c r="J419" i="1"/>
  <c r="J465" i="1"/>
  <c r="H677" i="1"/>
  <c r="J466" i="1"/>
  <c r="AV618" i="1"/>
  <c r="AV383" i="1"/>
  <c r="AU892" i="1"/>
  <c r="AV857" i="1"/>
  <c r="E559" i="1"/>
  <c r="H625" i="1"/>
  <c r="AV559" i="1"/>
  <c r="AU330" i="1"/>
  <c r="AV330" i="1"/>
  <c r="AV625" i="1"/>
  <c r="AV729" i="1"/>
  <c r="AU613" i="1"/>
  <c r="AV590" i="1"/>
  <c r="E868" i="1"/>
  <c r="E879" i="1"/>
  <c r="E590" i="1"/>
  <c r="J729" i="1"/>
  <c r="E380" i="1"/>
  <c r="H713" i="1"/>
  <c r="AU868" i="1"/>
  <c r="H613" i="1"/>
  <c r="J380" i="1"/>
  <c r="E729" i="1"/>
  <c r="J330" i="1"/>
  <c r="AV380" i="1"/>
  <c r="J613" i="1"/>
  <c r="J868" i="1"/>
  <c r="AV613" i="1"/>
  <c r="AU729" i="1"/>
  <c r="AU625" i="1"/>
  <c r="AV879" i="1"/>
  <c r="AU559" i="1"/>
  <c r="AU713" i="1"/>
  <c r="AV713" i="1"/>
  <c r="J590" i="1"/>
  <c r="H590" i="1"/>
  <c r="AU879" i="1"/>
  <c r="E713" i="1"/>
  <c r="H330" i="1"/>
  <c r="H559" i="1"/>
  <c r="J625" i="1"/>
  <c r="H380" i="1"/>
  <c r="H879" i="1"/>
  <c r="H868" i="1"/>
  <c r="J559" i="1"/>
  <c r="E625" i="1"/>
  <c r="J713" i="1"/>
  <c r="AV868" i="1"/>
  <c r="E330" i="1"/>
  <c r="H729" i="1"/>
  <c r="E613" i="1"/>
  <c r="J879" i="1"/>
  <c r="AU590" i="1"/>
  <c r="AU380" i="1"/>
  <c r="J211" i="1"/>
  <c r="H631" i="1"/>
  <c r="AU649" i="1"/>
  <c r="J290" i="1"/>
  <c r="H649" i="1"/>
  <c r="AV498" i="1"/>
  <c r="AU211" i="1"/>
  <c r="H549" i="1"/>
  <c r="AV549" i="1"/>
  <c r="J649" i="1"/>
  <c r="AV290" i="1"/>
  <c r="AU355" i="1"/>
  <c r="AV649" i="1"/>
  <c r="AU631" i="1"/>
  <c r="J457" i="1"/>
  <c r="J355" i="1"/>
  <c r="E355" i="1"/>
  <c r="AU549" i="1"/>
  <c r="J498" i="1"/>
  <c r="E631" i="1"/>
  <c r="E457" i="1"/>
  <c r="AU912" i="1"/>
  <c r="AV355" i="1"/>
  <c r="E912" i="1"/>
  <c r="H586" i="1"/>
  <c r="E211" i="1"/>
  <c r="J586" i="1"/>
  <c r="AU586" i="1"/>
  <c r="AU290" i="1"/>
  <c r="AV211" i="1"/>
  <c r="AV912" i="1"/>
  <c r="AV631" i="1"/>
  <c r="AU498" i="1"/>
  <c r="H457" i="1"/>
  <c r="H498" i="1"/>
  <c r="J549" i="1"/>
  <c r="J912" i="1"/>
  <c r="AU457" i="1"/>
  <c r="AV586" i="1"/>
  <c r="H290" i="1"/>
  <c r="AV457" i="1"/>
  <c r="J631" i="1"/>
  <c r="E586" i="1"/>
  <c r="E649" i="1"/>
  <c r="E498" i="1"/>
  <c r="E290" i="1"/>
  <c r="H912" i="1"/>
  <c r="H355" i="1"/>
  <c r="E549" i="1"/>
  <c r="H211" i="1"/>
  <c r="H724" i="1"/>
  <c r="AU693" i="1"/>
  <c r="AU841" i="1"/>
  <c r="E213" i="1"/>
  <c r="AV213" i="1"/>
  <c r="H754" i="1"/>
  <c r="AV693" i="1"/>
  <c r="AV484" i="1"/>
  <c r="E641" i="1"/>
  <c r="E630" i="1"/>
  <c r="E899" i="1"/>
  <c r="AV288" i="1"/>
  <c r="AV348" i="1"/>
  <c r="AU759" i="1"/>
  <c r="AV488" i="1"/>
  <c r="AU455" i="1"/>
  <c r="E488" i="1"/>
  <c r="AU724" i="1"/>
  <c r="J270" i="1"/>
  <c r="J759" i="1"/>
  <c r="J685" i="1"/>
  <c r="J455" i="1"/>
  <c r="AV841" i="1"/>
  <c r="J484" i="1"/>
  <c r="H685" i="1"/>
  <c r="J693" i="1"/>
  <c r="E693" i="1"/>
  <c r="H455" i="1"/>
  <c r="J213" i="1"/>
  <c r="H759" i="1"/>
  <c r="AU899" i="1"/>
  <c r="AV718" i="1"/>
  <c r="AV641" i="1"/>
  <c r="AU641" i="1"/>
  <c r="H361" i="1"/>
  <c r="E484" i="1"/>
  <c r="AU361" i="1"/>
  <c r="H841" i="1"/>
  <c r="J288" i="1"/>
  <c r="AU484" i="1"/>
  <c r="AV361" i="1"/>
  <c r="J718" i="1"/>
  <c r="AV685" i="1"/>
  <c r="H348" i="1"/>
  <c r="AV759" i="1"/>
  <c r="AU348" i="1"/>
  <c r="H213" i="1"/>
  <c r="J885" i="1"/>
  <c r="H899" i="1"/>
  <c r="E685" i="1"/>
  <c r="AV724" i="1"/>
  <c r="J488" i="1"/>
  <c r="AU754" i="1"/>
  <c r="E724" i="1"/>
  <c r="AU270" i="1"/>
  <c r="J754" i="1"/>
  <c r="J348" i="1"/>
  <c r="J841" i="1"/>
  <c r="H288" i="1"/>
  <c r="J641" i="1"/>
  <c r="H885" i="1"/>
  <c r="AV455" i="1"/>
  <c r="AV366" i="1"/>
  <c r="E718" i="1"/>
  <c r="J361" i="1"/>
  <c r="AV754" i="1"/>
  <c r="AV899" i="1"/>
  <c r="E270" i="1"/>
  <c r="E366" i="1"/>
  <c r="AU288" i="1"/>
  <c r="H488" i="1"/>
  <c r="H630" i="1"/>
  <c r="J366" i="1"/>
  <c r="AU885" i="1"/>
  <c r="J630" i="1"/>
  <c r="AU366" i="1"/>
  <c r="E885" i="1"/>
  <c r="AU718" i="1"/>
  <c r="AV630" i="1"/>
  <c r="H270" i="1"/>
  <c r="H641" i="1"/>
  <c r="AV885" i="1"/>
  <c r="J899" i="1"/>
  <c r="E348" i="1"/>
  <c r="AU488" i="1"/>
  <c r="E759" i="1"/>
  <c r="AU685" i="1"/>
  <c r="H718" i="1"/>
  <c r="H484" i="1"/>
  <c r="H366" i="1"/>
  <c r="J724" i="1"/>
  <c r="E361" i="1"/>
  <c r="E455" i="1"/>
  <c r="AU213" i="1"/>
  <c r="E754" i="1"/>
  <c r="AV270" i="1"/>
  <c r="AU630" i="1"/>
  <c r="E841" i="1"/>
  <c r="E288" i="1"/>
  <c r="H693" i="1"/>
  <c r="AU738" i="1"/>
  <c r="AU582" i="1"/>
  <c r="H878" i="1"/>
  <c r="H312" i="1"/>
  <c r="J582" i="1"/>
  <c r="AV567" i="1"/>
  <c r="E738" i="1"/>
  <c r="AU461" i="1"/>
  <c r="H360" i="1"/>
  <c r="AU567" i="1"/>
  <c r="E360" i="1"/>
  <c r="E582" i="1"/>
  <c r="J738" i="1"/>
  <c r="E907" i="1"/>
  <c r="AU312" i="1"/>
  <c r="J207" i="1"/>
  <c r="J312" i="1"/>
  <c r="E207" i="1"/>
  <c r="AV907" i="1"/>
  <c r="E312" i="1"/>
  <c r="J461" i="1"/>
  <c r="AU907" i="1"/>
  <c r="AV690" i="1"/>
  <c r="H567" i="1"/>
  <c r="H738" i="1"/>
  <c r="AV878" i="1"/>
  <c r="H690" i="1"/>
  <c r="AU360" i="1"/>
  <c r="AV207" i="1"/>
  <c r="E690" i="1"/>
  <c r="E461" i="1"/>
  <c r="E567" i="1"/>
  <c r="J907" i="1"/>
  <c r="H207" i="1"/>
  <c r="AV461" i="1"/>
  <c r="AU690" i="1"/>
  <c r="J360" i="1"/>
  <c r="J878" i="1"/>
  <c r="H582" i="1"/>
  <c r="E878" i="1"/>
  <c r="AU878" i="1"/>
  <c r="AU207" i="1"/>
  <c r="AV582" i="1"/>
  <c r="AV738" i="1"/>
  <c r="H907" i="1"/>
  <c r="H461" i="1"/>
  <c r="J690" i="1"/>
  <c r="J567" i="1"/>
  <c r="AV360" i="1"/>
  <c r="AV312" i="1"/>
  <c r="AV727" i="1"/>
  <c r="E584" i="1"/>
  <c r="AU215" i="1"/>
  <c r="AV262" i="1"/>
  <c r="H215" i="1"/>
  <c r="J262" i="1"/>
  <c r="H262" i="1"/>
  <c r="J854" i="1"/>
  <c r="AV546" i="1"/>
  <c r="AU584" i="1"/>
  <c r="E317" i="1"/>
  <c r="AV259" i="1"/>
  <c r="H546" i="1"/>
  <c r="AU259" i="1"/>
  <c r="E259" i="1"/>
  <c r="E262" i="1"/>
  <c r="J669" i="1"/>
  <c r="AU854" i="1"/>
  <c r="J862" i="1"/>
  <c r="AU317" i="1"/>
  <c r="E854" i="1"/>
  <c r="AU669" i="1"/>
  <c r="E727" i="1"/>
  <c r="J259" i="1"/>
  <c r="E215" i="1"/>
  <c r="J546" i="1"/>
  <c r="AU727" i="1"/>
  <c r="E669" i="1"/>
  <c r="AU546" i="1"/>
  <c r="H584" i="1"/>
  <c r="AV854" i="1"/>
  <c r="J727" i="1"/>
  <c r="E862" i="1"/>
  <c r="H317" i="1"/>
  <c r="H862" i="1"/>
  <c r="AV584" i="1"/>
  <c r="AV862" i="1"/>
  <c r="J317" i="1"/>
  <c r="AV669" i="1"/>
  <c r="AV215" i="1"/>
  <c r="E546" i="1"/>
  <c r="J215" i="1"/>
  <c r="H669" i="1"/>
  <c r="AU862" i="1"/>
  <c r="H854" i="1"/>
  <c r="H727" i="1"/>
  <c r="H259" i="1"/>
  <c r="AU262" i="1"/>
  <c r="AV317" i="1"/>
  <c r="J584" i="1"/>
  <c r="AV875" i="1"/>
  <c r="H875" i="1"/>
  <c r="H870" i="1"/>
  <c r="AV697" i="1"/>
  <c r="AV710" i="1"/>
  <c r="AV404" i="1"/>
  <c r="AV740" i="1"/>
  <c r="E578" i="1"/>
  <c r="H740" i="1"/>
  <c r="H287" i="1"/>
  <c r="H470" i="1"/>
  <c r="H876" i="1"/>
  <c r="AU661" i="1"/>
  <c r="H404" i="1"/>
  <c r="J710" i="1"/>
  <c r="AV460" i="1"/>
  <c r="J287" i="1"/>
  <c r="AV644" i="1"/>
  <c r="AV287" i="1"/>
  <c r="E740" i="1"/>
  <c r="AU700" i="1"/>
  <c r="J700" i="1"/>
  <c r="AU470" i="1"/>
  <c r="J334" i="1"/>
  <c r="H460" i="1"/>
  <c r="AV870" i="1"/>
  <c r="J898" i="1"/>
  <c r="H304" i="1"/>
  <c r="E666" i="1"/>
  <c r="AU697" i="1"/>
  <c r="AU876" i="1"/>
  <c r="J666" i="1"/>
  <c r="AV334" i="1"/>
  <c r="E710" i="1"/>
  <c r="H384" i="1"/>
  <c r="J644" i="1"/>
  <c r="AV884" i="1"/>
  <c r="H884" i="1"/>
  <c r="H661" i="1"/>
  <c r="AV898" i="1"/>
  <c r="AV666" i="1"/>
  <c r="J578" i="1"/>
  <c r="E460" i="1"/>
  <c r="H334" i="1"/>
  <c r="J870" i="1"/>
  <c r="AU898" i="1"/>
  <c r="H898" i="1"/>
  <c r="E287" i="1"/>
  <c r="E697" i="1"/>
  <c r="AV470" i="1"/>
  <c r="AU304" i="1"/>
  <c r="E884" i="1"/>
  <c r="AU870" i="1"/>
  <c r="H710" i="1"/>
  <c r="J661" i="1"/>
  <c r="E644" i="1"/>
  <c r="J884" i="1"/>
  <c r="AU875" i="1"/>
  <c r="H697" i="1"/>
  <c r="E404" i="1"/>
  <c r="J460" i="1"/>
  <c r="E384" i="1"/>
  <c r="AU404" i="1"/>
  <c r="AU384" i="1"/>
  <c r="AV661" i="1"/>
  <c r="H666" i="1"/>
  <c r="E875" i="1"/>
  <c r="J470" i="1"/>
  <c r="E876" i="1"/>
  <c r="AV578" i="1"/>
  <c r="AV700" i="1"/>
  <c r="E304" i="1"/>
  <c r="E334" i="1"/>
  <c r="H578" i="1"/>
  <c r="AV384" i="1"/>
  <c r="H700" i="1"/>
  <c r="J875" i="1"/>
  <c r="AU460" i="1"/>
  <c r="E870" i="1"/>
  <c r="J404" i="1"/>
  <c r="E661" i="1"/>
  <c r="J697" i="1"/>
  <c r="AU334" i="1"/>
  <c r="AU666" i="1"/>
  <c r="AU710" i="1"/>
  <c r="J384" i="1"/>
  <c r="J740" i="1"/>
  <c r="J876" i="1"/>
  <c r="AV304" i="1"/>
  <c r="H644" i="1"/>
  <c r="J304" i="1"/>
  <c r="AU644" i="1"/>
  <c r="AU287" i="1"/>
  <c r="AV876" i="1"/>
  <c r="E470" i="1"/>
  <c r="AU740" i="1"/>
  <c r="AU884" i="1"/>
  <c r="E898" i="1"/>
  <c r="E700" i="1"/>
  <c r="AU578" i="1"/>
  <c r="J916" i="1"/>
  <c r="J327" i="1"/>
  <c r="H861" i="1"/>
  <c r="AV510" i="1"/>
  <c r="AV266" i="1"/>
  <c r="H266" i="1"/>
  <c r="AU510" i="1"/>
  <c r="J266" i="1"/>
  <c r="H916" i="1"/>
  <c r="E861" i="1"/>
  <c r="E833" i="1"/>
  <c r="H327" i="1"/>
  <c r="H393" i="1"/>
  <c r="AU393" i="1"/>
  <c r="E327" i="1"/>
  <c r="AU916" i="1"/>
  <c r="AV844" i="1"/>
  <c r="E510" i="1"/>
  <c r="H537" i="1"/>
  <c r="J537" i="1"/>
  <c r="AV327" i="1"/>
  <c r="H844" i="1"/>
  <c r="J635" i="1"/>
  <c r="AU844" i="1"/>
  <c r="AU833" i="1"/>
  <c r="AV393" i="1"/>
  <c r="AU266" i="1"/>
  <c r="H510" i="1"/>
  <c r="J861" i="1"/>
  <c r="AV833" i="1"/>
  <c r="H635" i="1"/>
  <c r="J833" i="1"/>
  <c r="AV537" i="1"/>
  <c r="J844" i="1"/>
  <c r="E916" i="1"/>
  <c r="E537" i="1"/>
  <c r="AV635" i="1"/>
  <c r="AU861" i="1"/>
  <c r="E393" i="1"/>
  <c r="AU635" i="1"/>
  <c r="H833" i="1"/>
  <c r="AU537" i="1"/>
  <c r="AV861" i="1"/>
  <c r="E635" i="1"/>
  <c r="J393" i="1"/>
  <c r="E266" i="1"/>
  <c r="AV916" i="1"/>
  <c r="AU327" i="1"/>
  <c r="J510" i="1"/>
  <c r="E844" i="1"/>
  <c r="AU392" i="1"/>
  <c r="E392" i="1"/>
  <c r="AU688" i="1"/>
  <c r="AU672" i="1"/>
  <c r="AU268" i="1"/>
  <c r="H739" i="1"/>
  <c r="AV392" i="1"/>
  <c r="AV628" i="1"/>
  <c r="E628" i="1"/>
  <c r="J387" i="1"/>
  <c r="J284" i="1"/>
  <c r="H392" i="1"/>
  <c r="J672" i="1"/>
  <c r="E281" i="1"/>
  <c r="AU760" i="1"/>
  <c r="J268" i="1"/>
  <c r="H281" i="1"/>
  <c r="H387" i="1"/>
  <c r="AV760" i="1"/>
  <c r="AV268" i="1"/>
  <c r="E672" i="1"/>
  <c r="J628" i="1"/>
  <c r="H688" i="1"/>
  <c r="H284" i="1"/>
  <c r="AU284" i="1"/>
  <c r="H672" i="1"/>
  <c r="AV387" i="1"/>
  <c r="AV739" i="1"/>
  <c r="E268" i="1"/>
  <c r="E739" i="1"/>
  <c r="H760" i="1"/>
  <c r="J760" i="1"/>
  <c r="J688" i="1"/>
  <c r="E688" i="1"/>
  <c r="H628" i="1"/>
  <c r="AU387" i="1"/>
  <c r="AU281" i="1"/>
  <c r="AU739" i="1"/>
  <c r="AV284" i="1"/>
  <c r="AV281" i="1"/>
  <c r="AU628" i="1"/>
  <c r="J739" i="1"/>
  <c r="E284" i="1"/>
  <c r="E760" i="1"/>
  <c r="AV672" i="1"/>
  <c r="E387" i="1"/>
  <c r="AV688" i="1"/>
  <c r="J281" i="1"/>
  <c r="H268" i="1"/>
  <c r="J392" i="1"/>
  <c r="E866" i="1"/>
  <c r="E486" i="1"/>
  <c r="AV483" i="1"/>
  <c r="E721" i="1"/>
  <c r="AV721" i="1"/>
  <c r="AU699" i="1"/>
  <c r="J483" i="1"/>
  <c r="AU442" i="1"/>
  <c r="AU486" i="1"/>
  <c r="J385" i="1"/>
  <c r="E699" i="1"/>
  <c r="AU326" i="1"/>
  <c r="H699" i="1"/>
  <c r="H486" i="1"/>
  <c r="E442" i="1"/>
  <c r="AU385" i="1"/>
  <c r="AV326" i="1"/>
  <c r="AU721" i="1"/>
  <c r="AV385" i="1"/>
  <c r="J442" i="1"/>
  <c r="AV353" i="1"/>
  <c r="H866" i="1"/>
  <c r="E483" i="1"/>
  <c r="E326" i="1"/>
  <c r="AV299" i="1"/>
  <c r="J353" i="1"/>
  <c r="AU483" i="1"/>
  <c r="J866" i="1"/>
  <c r="AU866" i="1"/>
  <c r="H299" i="1"/>
  <c r="J326" i="1"/>
  <c r="H721" i="1"/>
  <c r="J486" i="1"/>
  <c r="J699" i="1"/>
  <c r="AV442" i="1"/>
  <c r="H353" i="1"/>
  <c r="E385" i="1"/>
  <c r="J299" i="1"/>
  <c r="E353" i="1"/>
  <c r="AU299" i="1"/>
  <c r="AV486" i="1"/>
  <c r="H442" i="1"/>
  <c r="AV866" i="1"/>
  <c r="H385" i="1"/>
  <c r="AV699" i="1"/>
  <c r="H483" i="1"/>
  <c r="J721" i="1"/>
  <c r="E299" i="1"/>
  <c r="AU353" i="1"/>
  <c r="H326" i="1"/>
  <c r="E570" i="1"/>
  <c r="AU344" i="1"/>
  <c r="H570" i="1"/>
  <c r="AV204" i="1"/>
  <c r="AU707" i="1"/>
  <c r="J838" i="1"/>
  <c r="H294" i="1"/>
  <c r="AV838" i="1"/>
  <c r="E707" i="1"/>
  <c r="E591" i="1"/>
  <c r="H204" i="1"/>
  <c r="AV294" i="1"/>
  <c r="AV707" i="1"/>
  <c r="AV591" i="1"/>
  <c r="J294" i="1"/>
  <c r="J591" i="1"/>
  <c r="AU204" i="1"/>
  <c r="AU507" i="1"/>
  <c r="AV751" i="1"/>
  <c r="E344" i="1"/>
  <c r="E751" i="1"/>
  <c r="AV342" i="1"/>
  <c r="AU838" i="1"/>
  <c r="J570" i="1"/>
  <c r="J342" i="1"/>
  <c r="E507" i="1"/>
  <c r="E204" i="1"/>
  <c r="AU570" i="1"/>
  <c r="AV507" i="1"/>
  <c r="AV344" i="1"/>
  <c r="E838" i="1"/>
  <c r="E342" i="1"/>
  <c r="J707" i="1"/>
  <c r="H344" i="1"/>
  <c r="E294" i="1"/>
  <c r="J507" i="1"/>
  <c r="H751" i="1"/>
  <c r="H342" i="1"/>
  <c r="AU751" i="1"/>
  <c r="H591" i="1"/>
  <c r="AV570" i="1"/>
  <c r="H838" i="1"/>
  <c r="AU294" i="1"/>
  <c r="J204" i="1"/>
  <c r="H507" i="1"/>
  <c r="H707" i="1"/>
  <c r="J344" i="1"/>
  <c r="AU591" i="1"/>
  <c r="J751" i="1"/>
  <c r="AU342" i="1"/>
  <c r="E856" i="1"/>
  <c r="AV447" i="1"/>
  <c r="AU711" i="1"/>
  <c r="J274" i="1"/>
  <c r="E274" i="1"/>
  <c r="AU660" i="1"/>
  <c r="E285" i="1"/>
  <c r="J856" i="1"/>
  <c r="AV856" i="1"/>
  <c r="AV274" i="1"/>
  <c r="H856" i="1"/>
  <c r="J285" i="1"/>
  <c r="H543" i="1"/>
  <c r="J447" i="1"/>
  <c r="AV921" i="1"/>
  <c r="AU921" i="1"/>
  <c r="E349" i="1"/>
  <c r="J543" i="1"/>
  <c r="AU543" i="1"/>
  <c r="AV349" i="1"/>
  <c r="E543" i="1"/>
  <c r="J711" i="1"/>
  <c r="AU447" i="1"/>
  <c r="AV711" i="1"/>
  <c r="AU285" i="1"/>
  <c r="J311" i="1"/>
  <c r="E660" i="1"/>
  <c r="E311" i="1"/>
  <c r="H311" i="1"/>
  <c r="H349" i="1"/>
  <c r="E921" i="1"/>
  <c r="H711" i="1"/>
  <c r="J921" i="1"/>
  <c r="J349" i="1"/>
  <c r="AV285" i="1"/>
  <c r="H447" i="1"/>
  <c r="J660" i="1"/>
  <c r="AV660" i="1"/>
  <c r="AU311" i="1"/>
  <c r="H274" i="1"/>
  <c r="H921" i="1"/>
  <c r="H660" i="1"/>
  <c r="AV311" i="1"/>
  <c r="AU349" i="1"/>
  <c r="AU274" i="1"/>
  <c r="E447" i="1"/>
  <c r="AU856" i="1"/>
  <c r="AV543" i="1"/>
  <c r="H285" i="1"/>
  <c r="E711" i="1"/>
  <c r="AV890" i="1"/>
  <c r="AV379" i="1"/>
  <c r="E594" i="1"/>
  <c r="AV864" i="1"/>
  <c r="H530" i="1"/>
  <c r="H264" i="1"/>
  <c r="AU331" i="1"/>
  <c r="H417" i="1"/>
  <c r="J530" i="1"/>
  <c r="E703" i="1"/>
  <c r="AV703" i="1"/>
  <c r="E568" i="1"/>
  <c r="AU264" i="1"/>
  <c r="H645" i="1"/>
  <c r="H890" i="1"/>
  <c r="AV437" i="1"/>
  <c r="E565" i="1"/>
  <c r="H437" i="1"/>
  <c r="H626" i="1"/>
  <c r="AV670" i="1"/>
  <c r="H864" i="1"/>
  <c r="AV333" i="1"/>
  <c r="AV208" i="1"/>
  <c r="J840" i="1"/>
  <c r="AU670" i="1"/>
  <c r="AU840" i="1"/>
  <c r="E364" i="1"/>
  <c r="H568" i="1"/>
  <c r="AU333" i="1"/>
  <c r="E670" i="1"/>
  <c r="H565" i="1"/>
  <c r="AU594" i="1"/>
  <c r="AU364" i="1"/>
  <c r="J379" i="1"/>
  <c r="AV264" i="1"/>
  <c r="AV619" i="1"/>
  <c r="E864" i="1"/>
  <c r="AV626" i="1"/>
  <c r="AU208" i="1"/>
  <c r="E626" i="1"/>
  <c r="AU703" i="1"/>
  <c r="J437" i="1"/>
  <c r="AU530" i="1"/>
  <c r="AU864" i="1"/>
  <c r="J890" i="1"/>
  <c r="E417" i="1"/>
  <c r="J333" i="1"/>
  <c r="H331" i="1"/>
  <c r="AU619" i="1"/>
  <c r="H333" i="1"/>
  <c r="AU890" i="1"/>
  <c r="AV568" i="1"/>
  <c r="AV645" i="1"/>
  <c r="E208" i="1"/>
  <c r="J619" i="1"/>
  <c r="J417" i="1"/>
  <c r="H619" i="1"/>
  <c r="AV417" i="1"/>
  <c r="E840" i="1"/>
  <c r="J645" i="1"/>
  <c r="H594" i="1"/>
  <c r="H208" i="1"/>
  <c r="E530" i="1"/>
  <c r="AV364" i="1"/>
  <c r="E437" i="1"/>
  <c r="J568" i="1"/>
  <c r="J364" i="1"/>
  <c r="J565" i="1"/>
  <c r="AU645" i="1"/>
  <c r="J703" i="1"/>
  <c r="J331" i="1"/>
  <c r="AV331" i="1"/>
  <c r="J670" i="1"/>
  <c r="AV594" i="1"/>
  <c r="H379" i="1"/>
  <c r="AU437" i="1"/>
  <c r="E333" i="1"/>
  <c r="J208" i="1"/>
  <c r="J594" i="1"/>
  <c r="H364" i="1"/>
  <c r="H703" i="1"/>
  <c r="E890" i="1"/>
  <c r="H670" i="1"/>
  <c r="AV530" i="1"/>
  <c r="E619" i="1"/>
  <c r="E379" i="1"/>
  <c r="J264" i="1"/>
  <c r="AU626" i="1"/>
  <c r="J864" i="1"/>
  <c r="AV565" i="1"/>
  <c r="E331" i="1"/>
  <c r="J626" i="1"/>
  <c r="AU565" i="1"/>
  <c r="E645" i="1"/>
  <c r="H840" i="1"/>
  <c r="E264" i="1"/>
  <c r="AU568" i="1"/>
  <c r="AV840" i="1"/>
  <c r="AU417" i="1"/>
  <c r="AU379" i="1"/>
  <c r="J843" i="1"/>
  <c r="H424" i="1"/>
  <c r="H518" i="1"/>
  <c r="AV378" i="1"/>
  <c r="AV736" i="1"/>
  <c r="E424" i="1"/>
  <c r="AV678" i="1"/>
  <c r="J891" i="1"/>
  <c r="H489" i="1"/>
  <c r="AU891" i="1"/>
  <c r="E843" i="1"/>
  <c r="H893" i="1"/>
  <c r="E715" i="1"/>
  <c r="AV843" i="1"/>
  <c r="AV758" i="1"/>
  <c r="H715" i="1"/>
  <c r="AV893" i="1"/>
  <c r="J705" i="1"/>
  <c r="AU514" i="1"/>
  <c r="J370" i="1"/>
  <c r="H891" i="1"/>
  <c r="H514" i="1"/>
  <c r="AU678" i="1"/>
  <c r="H918" i="1"/>
  <c r="J566" i="1"/>
  <c r="AU566" i="1"/>
  <c r="AU843" i="1"/>
  <c r="AU701" i="1"/>
  <c r="AV715" i="1"/>
  <c r="J489" i="1"/>
  <c r="H370" i="1"/>
  <c r="E489" i="1"/>
  <c r="E918" i="1"/>
  <c r="E370" i="1"/>
  <c r="AU881" i="1"/>
  <c r="E378" i="1"/>
  <c r="J847" i="1"/>
  <c r="AV847" i="1"/>
  <c r="J518" i="1"/>
  <c r="J736" i="1"/>
  <c r="J918" i="1"/>
  <c r="J758" i="1"/>
  <c r="AV881" i="1"/>
  <c r="AU758" i="1"/>
  <c r="E893" i="1"/>
  <c r="AV566" i="1"/>
  <c r="AU489" i="1"/>
  <c r="E667" i="1"/>
  <c r="AU518" i="1"/>
  <c r="AU705" i="1"/>
  <c r="H705" i="1"/>
  <c r="AV667" i="1"/>
  <c r="E678" i="1"/>
  <c r="H758" i="1"/>
  <c r="AU715" i="1"/>
  <c r="E701" i="1"/>
  <c r="E705" i="1"/>
  <c r="J881" i="1"/>
  <c r="AV518" i="1"/>
  <c r="J701" i="1"/>
  <c r="H736" i="1"/>
  <c r="AU847" i="1"/>
  <c r="AV424" i="1"/>
  <c r="J667" i="1"/>
  <c r="AV701" i="1"/>
  <c r="H881" i="1"/>
  <c r="J378" i="1"/>
  <c r="J424" i="1"/>
  <c r="AU378" i="1"/>
  <c r="H566" i="1"/>
  <c r="E847" i="1"/>
  <c r="AU370" i="1"/>
  <c r="J514" i="1"/>
  <c r="E736" i="1"/>
  <c r="AV891" i="1"/>
  <c r="H667" i="1"/>
  <c r="H678" i="1"/>
  <c r="J893" i="1"/>
  <c r="AV705" i="1"/>
  <c r="E891" i="1"/>
  <c r="H847" i="1"/>
  <c r="E566" i="1"/>
  <c r="H378" i="1"/>
  <c r="E881" i="1"/>
  <c r="AV489" i="1"/>
  <c r="AV370" i="1"/>
  <c r="J715" i="1"/>
  <c r="AU424" i="1"/>
  <c r="E514" i="1"/>
  <c r="AV918" i="1"/>
  <c r="E758" i="1"/>
  <c r="H843" i="1"/>
  <c r="AV514" i="1"/>
  <c r="AU736" i="1"/>
  <c r="AU893" i="1"/>
  <c r="H701" i="1"/>
  <c r="AU667" i="1"/>
  <c r="AU918" i="1"/>
  <c r="J678" i="1"/>
  <c r="E518" i="1"/>
  <c r="AU487" i="1"/>
  <c r="AV492" i="1"/>
  <c r="H550" i="1"/>
  <c r="E286" i="1"/>
  <c r="H487" i="1"/>
  <c r="AU923" i="1"/>
  <c r="AU369" i="1"/>
  <c r="H897" i="1"/>
  <c r="E550" i="1"/>
  <c r="H369" i="1"/>
  <c r="J469" i="1"/>
  <c r="AV439" i="1"/>
  <c r="E492" i="1"/>
  <c r="AU550" i="1"/>
  <c r="J492" i="1"/>
  <c r="H492" i="1"/>
  <c r="AV550" i="1"/>
  <c r="E439" i="1"/>
  <c r="AU632" i="1"/>
  <c r="J286" i="1"/>
  <c r="AU286" i="1"/>
  <c r="J632" i="1"/>
  <c r="E487" i="1"/>
  <c r="AV923" i="1"/>
  <c r="J487" i="1"/>
  <c r="E897" i="1"/>
  <c r="J369" i="1"/>
  <c r="AU469" i="1"/>
  <c r="J897" i="1"/>
  <c r="H923" i="1"/>
  <c r="E369" i="1"/>
  <c r="J923" i="1"/>
  <c r="H439" i="1"/>
  <c r="H286" i="1"/>
  <c r="AV632" i="1"/>
  <c r="H469" i="1"/>
  <c r="H632" i="1"/>
  <c r="AV897" i="1"/>
  <c r="AV469" i="1"/>
  <c r="J439" i="1"/>
  <c r="AU897" i="1"/>
  <c r="AV286" i="1"/>
  <c r="AU439" i="1"/>
  <c r="E469" i="1"/>
  <c r="E632" i="1"/>
  <c r="AU492" i="1"/>
  <c r="E923" i="1"/>
  <c r="AV369" i="1"/>
  <c r="AV487" i="1"/>
  <c r="J550" i="1"/>
  <c r="AU662" i="1"/>
  <c r="AV615" i="1"/>
  <c r="E639" i="1"/>
  <c r="AU865" i="1"/>
  <c r="H639" i="1"/>
  <c r="H731" i="1"/>
  <c r="H615" i="1"/>
  <c r="E496" i="1"/>
  <c r="AU615" i="1"/>
  <c r="AV662" i="1"/>
  <c r="E865" i="1"/>
  <c r="H496" i="1"/>
  <c r="AU496" i="1"/>
  <c r="E731" i="1"/>
  <c r="E745" i="1"/>
  <c r="AU745" i="1"/>
  <c r="AU639" i="1"/>
  <c r="AV865" i="1"/>
  <c r="H865" i="1"/>
  <c r="AV650" i="1"/>
  <c r="E650" i="1"/>
  <c r="AV496" i="1"/>
  <c r="E640" i="1"/>
  <c r="E524" i="1"/>
  <c r="J639" i="1"/>
  <c r="J640" i="1"/>
  <c r="H524" i="1"/>
  <c r="H745" i="1"/>
  <c r="AU640" i="1"/>
  <c r="J650" i="1"/>
  <c r="J662" i="1"/>
  <c r="AU731" i="1"/>
  <c r="H640" i="1"/>
  <c r="E615" i="1"/>
  <c r="H650" i="1"/>
  <c r="J524" i="1"/>
  <c r="E662" i="1"/>
  <c r="AV524" i="1"/>
  <c r="AV731" i="1"/>
  <c r="AV745" i="1"/>
  <c r="AU650" i="1"/>
  <c r="J745" i="1"/>
  <c r="AU524" i="1"/>
  <c r="AV640" i="1"/>
  <c r="J496" i="1"/>
  <c r="J615" i="1"/>
  <c r="J865" i="1"/>
  <c r="AV639" i="1"/>
  <c r="H662" i="1"/>
  <c r="J731" i="1"/>
  <c r="J922" i="1"/>
  <c r="H583" i="1"/>
  <c r="H408" i="1"/>
  <c r="J580" i="1"/>
  <c r="E922" i="1"/>
  <c r="J493" i="1"/>
  <c r="AV583" i="1"/>
  <c r="H580" i="1"/>
  <c r="E504" i="1"/>
  <c r="AU332" i="1"/>
  <c r="E602" i="1"/>
  <c r="E915" i="1"/>
  <c r="AU643" i="1"/>
  <c r="AU580" i="1"/>
  <c r="J602" i="1"/>
  <c r="AV504" i="1"/>
  <c r="H643" i="1"/>
  <c r="J915" i="1"/>
  <c r="E643" i="1"/>
  <c r="AV408" i="1"/>
  <c r="AU922" i="1"/>
  <c r="E332" i="1"/>
  <c r="AV602" i="1"/>
  <c r="H915" i="1"/>
  <c r="J504" i="1"/>
  <c r="E408" i="1"/>
  <c r="AU583" i="1"/>
  <c r="AV922" i="1"/>
  <c r="E580" i="1"/>
  <c r="AU493" i="1"/>
  <c r="AU408" i="1"/>
  <c r="AU504" i="1"/>
  <c r="E493" i="1"/>
  <c r="H493" i="1"/>
  <c r="H602" i="1"/>
  <c r="E583" i="1"/>
  <c r="H332" i="1"/>
  <c r="AV643" i="1"/>
  <c r="AV915" i="1"/>
  <c r="J643" i="1"/>
  <c r="J332" i="1"/>
  <c r="AU602" i="1"/>
  <c r="AV332" i="1"/>
  <c r="AU915" i="1"/>
  <c r="J408" i="1"/>
  <c r="AV493" i="1"/>
  <c r="AV580" i="1"/>
  <c r="H504" i="1"/>
  <c r="H922" i="1"/>
  <c r="J583" i="1"/>
  <c r="E863" i="1"/>
  <c r="E733" i="1"/>
  <c r="H310" i="1"/>
  <c r="J734" i="1"/>
  <c r="AV354" i="1"/>
  <c r="H734" i="1"/>
  <c r="H474" i="1"/>
  <c r="AU734" i="1"/>
  <c r="AU474" i="1"/>
  <c r="AV413" i="1"/>
  <c r="J620" i="1"/>
  <c r="E589" i="1"/>
  <c r="E573" i="1"/>
  <c r="H733" i="1"/>
  <c r="AU589" i="1"/>
  <c r="E468" i="1"/>
  <c r="AV448" i="1"/>
  <c r="AU260" i="1"/>
  <c r="H720" i="1"/>
  <c r="J539" i="1"/>
  <c r="E310" i="1"/>
  <c r="J468" i="1"/>
  <c r="J413" i="1"/>
  <c r="E545" i="1"/>
  <c r="E539" i="1"/>
  <c r="AU863" i="1"/>
  <c r="AV468" i="1"/>
  <c r="E720" i="1"/>
  <c r="J720" i="1"/>
  <c r="J354" i="1"/>
  <c r="AU733" i="1"/>
  <c r="H448" i="1"/>
  <c r="E474" i="1"/>
  <c r="H863" i="1"/>
  <c r="J863" i="1"/>
  <c r="J733" i="1"/>
  <c r="AV621" i="1"/>
  <c r="H573" i="1"/>
  <c r="AV734" i="1"/>
  <c r="AU310" i="1"/>
  <c r="J448" i="1"/>
  <c r="J621" i="1"/>
  <c r="H793" i="1"/>
  <c r="H1723" i="1"/>
  <c r="H1464" i="1"/>
  <c r="H620" i="1"/>
  <c r="AV620" i="1"/>
  <c r="AV545" i="1"/>
  <c r="AV573" i="1"/>
  <c r="H413" i="1"/>
  <c r="AV883" i="1"/>
  <c r="E621" i="1"/>
  <c r="H539" i="1"/>
  <c r="J883" i="1"/>
  <c r="J589" i="1"/>
  <c r="H883" i="1"/>
  <c r="AU354" i="1"/>
  <c r="AU468" i="1"/>
  <c r="E413" i="1"/>
  <c r="AU793" i="1"/>
  <c r="AU1723" i="1"/>
  <c r="AU1464" i="1"/>
  <c r="H589" i="1"/>
  <c r="AU720" i="1"/>
  <c r="AV310" i="1"/>
  <c r="H372" i="1"/>
  <c r="E372" i="1"/>
  <c r="AU539" i="1"/>
  <c r="AU883" i="1"/>
  <c r="E354" i="1"/>
  <c r="J260" i="1"/>
  <c r="AU573" i="1"/>
  <c r="AV260" i="1"/>
  <c r="AU448" i="1"/>
  <c r="AU372" i="1"/>
  <c r="AV793" i="1"/>
  <c r="AV1723" i="1"/>
  <c r="AV1464" i="1"/>
  <c r="AU620" i="1"/>
  <c r="J793" i="1"/>
  <c r="J1723" i="1"/>
  <c r="J1464" i="1"/>
  <c r="H545" i="1"/>
  <c r="J372" i="1"/>
  <c r="AU545" i="1"/>
  <c r="J474" i="1"/>
  <c r="H260" i="1"/>
  <c r="E620" i="1"/>
  <c r="E734" i="1"/>
  <c r="J545" i="1"/>
  <c r="E260" i="1"/>
  <c r="H621" i="1"/>
  <c r="AV589" i="1"/>
  <c r="AV372" i="1"/>
  <c r="AV474" i="1"/>
  <c r="AV539" i="1"/>
  <c r="AV720" i="1"/>
  <c r="E883" i="1"/>
  <c r="E448" i="1"/>
  <c r="AV863" i="1"/>
  <c r="E793" i="1"/>
  <c r="E1723" i="1"/>
  <c r="E1464" i="1"/>
  <c r="H354" i="1"/>
  <c r="AU621" i="1"/>
  <c r="AU413" i="1"/>
  <c r="J310" i="1"/>
  <c r="H468" i="1"/>
  <c r="AV733" i="1"/>
  <c r="J573" i="1"/>
  <c r="H509" i="1"/>
  <c r="AV638" i="1"/>
  <c r="H761" i="1"/>
  <c r="AU887" i="1"/>
  <c r="J509" i="1"/>
  <c r="E761" i="1"/>
  <c r="E665" i="1"/>
  <c r="E533" i="1"/>
  <c r="E887" i="1"/>
  <c r="H610" i="1"/>
  <c r="AV610" i="1"/>
  <c r="AV887" i="1"/>
  <c r="AU914" i="1"/>
  <c r="AU761" i="1"/>
  <c r="E914" i="1"/>
  <c r="AU665" i="1"/>
  <c r="H452" i="1"/>
  <c r="AV533" i="1"/>
  <c r="E638" i="1"/>
  <c r="H665" i="1"/>
  <c r="J914" i="1"/>
  <c r="E509" i="1"/>
  <c r="AV914" i="1"/>
  <c r="AU638" i="1"/>
  <c r="AU610" i="1"/>
  <c r="H533" i="1"/>
  <c r="AU509" i="1"/>
  <c r="E452" i="1"/>
  <c r="J533" i="1"/>
  <c r="AU452" i="1"/>
  <c r="E610" i="1"/>
  <c r="H373" i="1"/>
  <c r="AV373" i="1"/>
  <c r="E373" i="1"/>
  <c r="J452" i="1"/>
  <c r="AU373" i="1"/>
  <c r="H638" i="1"/>
  <c r="J887" i="1"/>
  <c r="AV761" i="1"/>
  <c r="J665" i="1"/>
  <c r="H914" i="1"/>
  <c r="AV665" i="1"/>
  <c r="J373" i="1"/>
  <c r="J761" i="1"/>
  <c r="AV452" i="1"/>
  <c r="J638" i="1"/>
  <c r="AU533" i="1"/>
  <c r="J610" i="1"/>
  <c r="AV509" i="1"/>
  <c r="H887" i="1"/>
  <c r="E577" i="1"/>
  <c r="J889" i="1"/>
  <c r="AV416" i="1"/>
  <c r="AV634" i="1"/>
  <c r="AU853" i="1"/>
  <c r="J427" i="1"/>
  <c r="AV629" i="1"/>
  <c r="AV427" i="1"/>
  <c r="AU427" i="1"/>
  <c r="E889" i="1"/>
  <c r="AU889" i="1"/>
  <c r="H574" i="1"/>
  <c r="H577" i="1"/>
  <c r="AV574" i="1"/>
  <c r="H853" i="1"/>
  <c r="J634" i="1"/>
  <c r="AU574" i="1"/>
  <c r="E416" i="1"/>
  <c r="AU577" i="1"/>
  <c r="AV910" i="1"/>
  <c r="E853" i="1"/>
  <c r="E427" i="1"/>
  <c r="J910" i="1"/>
  <c r="AU206" i="1"/>
  <c r="AU910" i="1"/>
  <c r="AV853" i="1"/>
  <c r="E206" i="1"/>
  <c r="E574" i="1"/>
  <c r="J206" i="1"/>
  <c r="AU629" i="1"/>
  <c r="H634" i="1"/>
  <c r="H416" i="1"/>
  <c r="J577" i="1"/>
  <c r="H910" i="1"/>
  <c r="H629" i="1"/>
  <c r="J629" i="1"/>
  <c r="AV889" i="1"/>
  <c r="AU634" i="1"/>
  <c r="AV206" i="1"/>
  <c r="AU416" i="1"/>
  <c r="E910" i="1"/>
  <c r="E634" i="1"/>
  <c r="H206" i="1"/>
  <c r="J574" i="1"/>
  <c r="J853" i="1"/>
  <c r="E629" i="1"/>
  <c r="AV577" i="1"/>
  <c r="H427" i="1"/>
  <c r="J416" i="1"/>
  <c r="H889" i="1"/>
  <c r="J440" i="1"/>
  <c r="AU869" i="1"/>
  <c r="H730" i="1"/>
  <c r="E845" i="1"/>
  <c r="E869" i="1"/>
  <c r="AU743" i="1"/>
  <c r="E440" i="1"/>
  <c r="J205" i="1"/>
  <c r="AV406" i="1"/>
  <c r="J869" i="1"/>
  <c r="AU440" i="1"/>
  <c r="E406" i="1"/>
  <c r="E303" i="1"/>
  <c r="H440" i="1"/>
  <c r="H323" i="1"/>
  <c r="H406" i="1"/>
  <c r="J323" i="1"/>
  <c r="H303" i="1"/>
  <c r="AV205" i="1"/>
  <c r="E453" i="1"/>
  <c r="J303" i="1"/>
  <c r="H453" i="1"/>
  <c r="J743" i="1"/>
  <c r="AV743" i="1"/>
  <c r="E730" i="1"/>
  <c r="H205" i="1"/>
  <c r="AV869" i="1"/>
  <c r="AV730" i="1"/>
  <c r="AU303" i="1"/>
  <c r="J453" i="1"/>
  <c r="J845" i="1"/>
  <c r="AU406" i="1"/>
  <c r="AV323" i="1"/>
  <c r="AU205" i="1"/>
  <c r="AV845" i="1"/>
  <c r="H845" i="1"/>
  <c r="AU453" i="1"/>
  <c r="H743" i="1"/>
  <c r="AU323" i="1"/>
  <c r="J730" i="1"/>
  <c r="AV440" i="1"/>
  <c r="AV453" i="1"/>
  <c r="E205" i="1"/>
  <c r="J406" i="1"/>
  <c r="AU730" i="1"/>
  <c r="E323" i="1"/>
  <c r="AV303" i="1"/>
  <c r="H869" i="1"/>
  <c r="E743" i="1"/>
  <c r="AU845" i="1"/>
  <c r="AU337" i="1"/>
  <c r="H218" i="1"/>
  <c r="E337" i="1"/>
  <c r="E218" i="1"/>
  <c r="AV218" i="1"/>
  <c r="AV587" i="1"/>
  <c r="E367" i="1"/>
  <c r="AU295" i="1"/>
  <c r="E600" i="1"/>
  <c r="AV405" i="1"/>
  <c r="H835" i="1"/>
  <c r="E528" i="1"/>
  <c r="J405" i="1"/>
  <c r="J295" i="1"/>
  <c r="J367" i="1"/>
  <c r="H337" i="1"/>
  <c r="AU418" i="1"/>
  <c r="E587" i="1"/>
  <c r="AU405" i="1"/>
  <c r="AU528" i="1"/>
  <c r="J418" i="1"/>
  <c r="AU835" i="1"/>
  <c r="H295" i="1"/>
  <c r="H405" i="1"/>
  <c r="H418" i="1"/>
  <c r="H528" i="1"/>
  <c r="J587" i="1"/>
  <c r="AV600" i="1"/>
  <c r="J337" i="1"/>
  <c r="AU587" i="1"/>
  <c r="AV835" i="1"/>
  <c r="AU367" i="1"/>
  <c r="AU600" i="1"/>
  <c r="AV367" i="1"/>
  <c r="J835" i="1"/>
  <c r="AV528" i="1"/>
  <c r="H600" i="1"/>
  <c r="E295" i="1"/>
  <c r="AV418" i="1"/>
  <c r="J218" i="1"/>
  <c r="AV295" i="1"/>
  <c r="AU218" i="1"/>
  <c r="J600" i="1"/>
  <c r="AV337" i="1"/>
  <c r="H587" i="1"/>
  <c r="E835" i="1"/>
  <c r="J528" i="1"/>
  <c r="E405" i="1"/>
  <c r="H367" i="1"/>
  <c r="E418" i="1"/>
  <c r="AV872" i="1"/>
  <c r="AV752" i="1"/>
  <c r="AU335" i="1"/>
  <c r="AU257" i="1"/>
  <c r="AU201" i="1"/>
  <c r="J872" i="1"/>
  <c r="AV335" i="1"/>
  <c r="AV851" i="1"/>
  <c r="J596" i="1"/>
  <c r="E313" i="1"/>
  <c r="H257" i="1"/>
  <c r="H201" i="1"/>
  <c r="H872" i="1"/>
  <c r="J357" i="1"/>
  <c r="J257" i="1"/>
  <c r="J201" i="1"/>
  <c r="AU596" i="1"/>
  <c r="J752" i="1"/>
  <c r="E257" i="1"/>
  <c r="E201" i="1"/>
  <c r="AU837" i="1"/>
  <c r="AU680" i="1"/>
  <c r="AV313" i="1"/>
  <c r="AU752" i="1"/>
  <c r="E837" i="1"/>
  <c r="H596" i="1"/>
  <c r="AU872" i="1"/>
  <c r="H357" i="1"/>
  <c r="J335" i="1"/>
  <c r="E752" i="1"/>
  <c r="H680" i="1"/>
  <c r="J313" i="1"/>
  <c r="AU313" i="1"/>
  <c r="H851" i="1"/>
  <c r="E357" i="1"/>
  <c r="AU357" i="1"/>
  <c r="E335" i="1"/>
  <c r="AU851" i="1"/>
  <c r="AV680" i="1"/>
  <c r="E680" i="1"/>
  <c r="AV596" i="1"/>
  <c r="H837" i="1"/>
  <c r="E851" i="1"/>
  <c r="E872" i="1"/>
  <c r="AV837" i="1"/>
  <c r="H335" i="1"/>
  <c r="J680" i="1"/>
  <c r="E596" i="1"/>
  <c r="J837" i="1"/>
  <c r="J851" i="1"/>
  <c r="H313" i="1"/>
  <c r="AV257" i="1"/>
  <c r="AV201" i="1"/>
  <c r="H752" i="1"/>
  <c r="AV357" i="1"/>
  <c r="AV422" i="1"/>
  <c r="H904" i="1"/>
  <c r="H339" i="1"/>
  <c r="AV651" i="1"/>
  <c r="AU624" i="1"/>
  <c r="H624" i="1"/>
  <c r="E505" i="1"/>
  <c r="J651" i="1"/>
  <c r="E339" i="1"/>
  <c r="E904" i="1"/>
  <c r="AV637" i="1"/>
  <c r="J499" i="1"/>
  <c r="E637" i="1"/>
  <c r="H505" i="1"/>
  <c r="AU651" i="1"/>
  <c r="H529" i="1"/>
  <c r="E422" i="1"/>
  <c r="AV904" i="1"/>
  <c r="J339" i="1"/>
  <c r="AU637" i="1"/>
  <c r="E624" i="1"/>
  <c r="E651" i="1"/>
  <c r="E301" i="1"/>
  <c r="AU301" i="1"/>
  <c r="AU422" i="1"/>
  <c r="J301" i="1"/>
  <c r="AV529" i="1"/>
  <c r="AV301" i="1"/>
  <c r="AU339" i="1"/>
  <c r="AU499" i="1"/>
  <c r="AV624" i="1"/>
  <c r="AU529" i="1"/>
  <c r="J904" i="1"/>
  <c r="H637" i="1"/>
  <c r="J422" i="1"/>
  <c r="H499" i="1"/>
  <c r="AU505" i="1"/>
  <c r="AV505" i="1"/>
  <c r="E529" i="1"/>
  <c r="E499" i="1"/>
  <c r="J637" i="1"/>
  <c r="AV339" i="1"/>
  <c r="J624" i="1"/>
  <c r="J529" i="1"/>
  <c r="AU904" i="1"/>
  <c r="AV499" i="1"/>
  <c r="H301" i="1"/>
  <c r="H651" i="1"/>
  <c r="H422" i="1"/>
  <c r="J505" i="1"/>
  <c r="J480" i="1"/>
  <c r="AV444" i="1"/>
  <c r="E905" i="1"/>
  <c r="AU671" i="1"/>
  <c r="H671" i="1"/>
  <c r="AU905" i="1"/>
  <c r="AU741" i="1"/>
  <c r="E671" i="1"/>
  <c r="J535" i="1"/>
  <c r="H444" i="1"/>
  <c r="AV467" i="1"/>
  <c r="AU709" i="1"/>
  <c r="AU535" i="1"/>
  <c r="AV480" i="1"/>
  <c r="E467" i="1"/>
  <c r="AU320" i="1"/>
  <c r="AU480" i="1"/>
  <c r="AV741" i="1"/>
  <c r="AV320" i="1"/>
  <c r="J467" i="1"/>
  <c r="H741" i="1"/>
  <c r="E444" i="1"/>
  <c r="E316" i="1"/>
  <c r="H535" i="1"/>
  <c r="J671" i="1"/>
  <c r="AV316" i="1"/>
  <c r="H467" i="1"/>
  <c r="H709" i="1"/>
  <c r="J320" i="1"/>
  <c r="H905" i="1"/>
  <c r="H320" i="1"/>
  <c r="E480" i="1"/>
  <c r="E709" i="1"/>
  <c r="AU444" i="1"/>
  <c r="AV905" i="1"/>
  <c r="J316" i="1"/>
  <c r="E741" i="1"/>
  <c r="E535" i="1"/>
  <c r="AU316" i="1"/>
  <c r="J444" i="1"/>
  <c r="AV671" i="1"/>
  <c r="J905" i="1"/>
  <c r="H480" i="1"/>
  <c r="J741" i="1"/>
  <c r="J709" i="1"/>
  <c r="AV709" i="1"/>
  <c r="AV535" i="1"/>
  <c r="E320" i="1"/>
  <c r="H316" i="1"/>
  <c r="AU467" i="1"/>
  <c r="H289" i="1"/>
  <c r="H842" i="1"/>
  <c r="H822" i="1"/>
  <c r="H770" i="1"/>
  <c r="H1733" i="1"/>
  <c r="H1716" i="1"/>
  <c r="H1702" i="1"/>
  <c r="H1363" i="1"/>
  <c r="H1328" i="1"/>
  <c r="H1271" i="1"/>
  <c r="H1009" i="1"/>
  <c r="E681" i="1"/>
  <c r="H681" i="1"/>
  <c r="AU849" i="1"/>
  <c r="AV289" i="1"/>
  <c r="H279" i="1"/>
  <c r="E714" i="1"/>
  <c r="E436" i="1"/>
  <c r="H434" i="1"/>
  <c r="AV434" i="1"/>
  <c r="AU450" i="1"/>
  <c r="AU289" i="1"/>
  <c r="AV687" i="1"/>
  <c r="E842" i="1"/>
  <c r="E822" i="1"/>
  <c r="E770" i="1"/>
  <c r="E1733" i="1"/>
  <c r="E1716" i="1"/>
  <c r="E1702" i="1"/>
  <c r="E1363" i="1"/>
  <c r="E1328" i="1"/>
  <c r="E1271" i="1"/>
  <c r="E1009" i="1"/>
  <c r="AU436" i="1"/>
  <c r="J279" i="1"/>
  <c r="AU842" i="1"/>
  <c r="AU822" i="1"/>
  <c r="AU770" i="1"/>
  <c r="AU1733" i="1"/>
  <c r="AU1716" i="1"/>
  <c r="AU1702" i="1"/>
  <c r="AU1363" i="1"/>
  <c r="AU1328" i="1"/>
  <c r="AU1271" i="1"/>
  <c r="AU1009" i="1"/>
  <c r="J714" i="1"/>
  <c r="AV714" i="1"/>
  <c r="J434" i="1"/>
  <c r="H849" i="1"/>
  <c r="AV849" i="1"/>
  <c r="J849" i="1"/>
  <c r="H436" i="1"/>
  <c r="AU687" i="1"/>
  <c r="H450" i="1"/>
  <c r="E450" i="1"/>
  <c r="AV681" i="1"/>
  <c r="AU714" i="1"/>
  <c r="J289" i="1"/>
  <c r="J436" i="1"/>
  <c r="AV842" i="1"/>
  <c r="AV822" i="1"/>
  <c r="AV770" i="1"/>
  <c r="AV1733" i="1"/>
  <c r="AV1716" i="1"/>
  <c r="AV1702" i="1"/>
  <c r="AV1363" i="1"/>
  <c r="AV1328" i="1"/>
  <c r="AV1271" i="1"/>
  <c r="AV1009" i="1"/>
  <c r="AV279" i="1"/>
  <c r="AU434" i="1"/>
  <c r="H687" i="1"/>
  <c r="J687" i="1"/>
  <c r="AU681" i="1"/>
  <c r="J450" i="1"/>
  <c r="E279" i="1"/>
  <c r="H714" i="1"/>
  <c r="E289" i="1"/>
  <c r="J681" i="1"/>
  <c r="AV450" i="1"/>
  <c r="AU279" i="1"/>
  <c r="E434" i="1"/>
  <c r="J842" i="1"/>
  <c r="J822" i="1"/>
  <c r="J770" i="1"/>
  <c r="J1733" i="1"/>
  <c r="J1716" i="1"/>
  <c r="J1702" i="1"/>
  <c r="J1363" i="1"/>
  <c r="J1328" i="1"/>
  <c r="J1271" i="1"/>
  <c r="J1009" i="1"/>
  <c r="E849" i="1"/>
  <c r="AV436" i="1"/>
  <c r="E687" i="1"/>
  <c r="J400" i="1"/>
  <c r="AV888" i="1"/>
  <c r="AV742" i="1"/>
  <c r="J742" i="1"/>
  <c r="H309" i="1"/>
  <c r="E895" i="1"/>
  <c r="AU309" i="1"/>
  <c r="AV656" i="1"/>
  <c r="AU888" i="1"/>
  <c r="E888" i="1"/>
  <c r="J656" i="1"/>
  <c r="AV400" i="1"/>
  <c r="E656" i="1"/>
  <c r="H888" i="1"/>
  <c r="E538" i="1"/>
  <c r="E674" i="1"/>
  <c r="AU742" i="1"/>
  <c r="AU511" i="1"/>
  <c r="AV895" i="1"/>
  <c r="AU538" i="1"/>
  <c r="AV309" i="1"/>
  <c r="AV657" i="1"/>
  <c r="H657" i="1"/>
  <c r="E511" i="1"/>
  <c r="H674" i="1"/>
  <c r="H656" i="1"/>
  <c r="AU657" i="1"/>
  <c r="E742" i="1"/>
  <c r="J657" i="1"/>
  <c r="J511" i="1"/>
  <c r="J538" i="1"/>
  <c r="AV674" i="1"/>
  <c r="AU895" i="1"/>
  <c r="J674" i="1"/>
  <c r="J895" i="1"/>
  <c r="H511" i="1"/>
  <c r="J309" i="1"/>
  <c r="AU400" i="1"/>
  <c r="E400" i="1"/>
  <c r="H538" i="1"/>
  <c r="H742" i="1"/>
  <c r="E309" i="1"/>
  <c r="AU674" i="1"/>
  <c r="H895" i="1"/>
  <c r="E657" i="1"/>
  <c r="AV511" i="1"/>
  <c r="AU656" i="1"/>
  <c r="H400" i="1"/>
  <c r="J888" i="1"/>
  <c r="AV538" i="1"/>
  <c r="H502" i="1"/>
  <c r="E423" i="1"/>
  <c r="J258" i="1"/>
  <c r="J456" i="1"/>
  <c r="AV258" i="1"/>
  <c r="AU502" i="1"/>
  <c r="J365" i="1"/>
  <c r="E263" i="1"/>
  <c r="H719" i="1"/>
  <c r="AU652" i="1"/>
  <c r="E664" i="1"/>
  <c r="AV263" i="1"/>
  <c r="H258" i="1"/>
  <c r="J502" i="1"/>
  <c r="J526" i="1"/>
  <c r="AV365" i="1"/>
  <c r="J719" i="1"/>
  <c r="AU664" i="1"/>
  <c r="AU526" i="1"/>
  <c r="AV502" i="1"/>
  <c r="E365" i="1"/>
  <c r="AV423" i="1"/>
  <c r="H664" i="1"/>
  <c r="AV526" i="1"/>
  <c r="H423" i="1"/>
  <c r="AV664" i="1"/>
  <c r="E652" i="1"/>
  <c r="AV652" i="1"/>
  <c r="J263" i="1"/>
  <c r="E526" i="1"/>
  <c r="AV456" i="1"/>
  <c r="AU423" i="1"/>
  <c r="AV719" i="1"/>
  <c r="E456" i="1"/>
  <c r="AU365" i="1"/>
  <c r="AU719" i="1"/>
  <c r="H263" i="1"/>
  <c r="J652" i="1"/>
  <c r="AU456" i="1"/>
  <c r="AU258" i="1"/>
  <c r="H456" i="1"/>
  <c r="J664" i="1"/>
  <c r="J423" i="1"/>
  <c r="H365" i="1"/>
  <c r="E719" i="1"/>
  <c r="AU263" i="1"/>
  <c r="E258" i="1"/>
  <c r="H652" i="1"/>
  <c r="H526" i="1"/>
  <c r="E502" i="1"/>
  <c r="E622" i="1"/>
  <c r="E267" i="1"/>
  <c r="J430" i="1"/>
  <c r="AV421" i="1"/>
  <c r="AU519" i="1"/>
  <c r="H663" i="1"/>
  <c r="AV917" i="1"/>
  <c r="E430" i="1"/>
  <c r="H519" i="1"/>
  <c r="AU917" i="1"/>
  <c r="AV497" i="1"/>
  <c r="H917" i="1"/>
  <c r="AU430" i="1"/>
  <c r="AV663" i="1"/>
  <c r="AU267" i="1"/>
  <c r="E917" i="1"/>
  <c r="AV438" i="1"/>
  <c r="H497" i="1"/>
  <c r="H438" i="1"/>
  <c r="AV430" i="1"/>
  <c r="AU622" i="1"/>
  <c r="AV267" i="1"/>
  <c r="J519" i="1"/>
  <c r="H622" i="1"/>
  <c r="AU421" i="1"/>
  <c r="AV394" i="1"/>
  <c r="H267" i="1"/>
  <c r="AV519" i="1"/>
  <c r="AU497" i="1"/>
  <c r="E663" i="1"/>
  <c r="H421" i="1"/>
  <c r="AV622" i="1"/>
  <c r="E438" i="1"/>
  <c r="AU663" i="1"/>
  <c r="AU438" i="1"/>
  <c r="H394" i="1"/>
  <c r="E421" i="1"/>
  <c r="E394" i="1"/>
  <c r="J394" i="1"/>
  <c r="J497" i="1"/>
  <c r="J267" i="1"/>
  <c r="J622" i="1"/>
  <c r="AU394" i="1"/>
  <c r="J421" i="1"/>
  <c r="J917" i="1"/>
  <c r="H430" i="1"/>
  <c r="J663" i="1"/>
  <c r="E497" i="1"/>
  <c r="J438" i="1"/>
  <c r="E519" i="1"/>
  <c r="E540" i="1"/>
  <c r="E403" i="1"/>
  <c r="J403" i="1"/>
  <c r="E397" i="1"/>
  <c r="AV540" i="1"/>
  <c r="AU873" i="1"/>
  <c r="E203" i="1"/>
  <c r="AU403" i="1"/>
  <c r="AV723" i="1"/>
  <c r="H397" i="1"/>
  <c r="E756" i="1"/>
  <c r="AU397" i="1"/>
  <c r="H756" i="1"/>
  <c r="E723" i="1"/>
  <c r="H605" i="1"/>
  <c r="AU723" i="1"/>
  <c r="H203" i="1"/>
  <c r="E873" i="1"/>
  <c r="AU540" i="1"/>
  <c r="AV873" i="1"/>
  <c r="J756" i="1"/>
  <c r="AV403" i="1"/>
  <c r="J397" i="1"/>
  <c r="AU376" i="1"/>
  <c r="E376" i="1"/>
  <c r="AV919" i="1"/>
  <c r="J919" i="1"/>
  <c r="J203" i="1"/>
  <c r="J605" i="1"/>
  <c r="AV756" i="1"/>
  <c r="AU605" i="1"/>
  <c r="AV605" i="1"/>
  <c r="AV376" i="1"/>
  <c r="H919" i="1"/>
  <c r="H723" i="1"/>
  <c r="H873" i="1"/>
  <c r="J376" i="1"/>
  <c r="H540" i="1"/>
  <c r="AU919" i="1"/>
  <c r="AV203" i="1"/>
  <c r="E919" i="1"/>
  <c r="J873" i="1"/>
  <c r="AU203" i="1"/>
  <c r="J723" i="1"/>
  <c r="AV397" i="1"/>
  <c r="H376" i="1"/>
  <c r="J540" i="1"/>
  <c r="AU756" i="1"/>
  <c r="E605" i="1"/>
  <c r="H403" i="1"/>
  <c r="AT586" i="1"/>
  <c r="AT202" i="1"/>
  <c r="AT345" i="1"/>
  <c r="AT374" i="1"/>
  <c r="AT755" i="1"/>
  <c r="AT367" i="1"/>
  <c r="AT582" i="1"/>
  <c r="AT296" i="1"/>
  <c r="AT298" i="1"/>
  <c r="AT497" i="1"/>
  <c r="J696" i="1"/>
  <c r="E696" i="1"/>
  <c r="J390" i="1"/>
  <c r="AV593" i="1"/>
  <c r="AU336" i="1"/>
  <c r="AU377" i="1"/>
  <c r="J852" i="1"/>
  <c r="AV377" i="1"/>
  <c r="J557" i="1"/>
  <c r="E593" i="1"/>
  <c r="H744" i="1"/>
  <c r="AV696" i="1"/>
  <c r="AU390" i="1"/>
  <c r="AU298" i="1"/>
  <c r="AU744" i="1"/>
  <c r="E377" i="1"/>
  <c r="J689" i="1"/>
  <c r="AU593" i="1"/>
  <c r="H336" i="1"/>
  <c r="E852" i="1"/>
  <c r="J593" i="1"/>
  <c r="E744" i="1"/>
  <c r="AV298" i="1"/>
  <c r="AV689" i="1"/>
  <c r="E390" i="1"/>
  <c r="AV852" i="1"/>
  <c r="AU557" i="1"/>
  <c r="E298" i="1"/>
  <c r="E557" i="1"/>
  <c r="H390" i="1"/>
  <c r="H557" i="1"/>
  <c r="AU689" i="1"/>
  <c r="AU696" i="1"/>
  <c r="H298" i="1"/>
  <c r="AV744" i="1"/>
  <c r="E689" i="1"/>
  <c r="E336" i="1"/>
  <c r="J377" i="1"/>
  <c r="H852" i="1"/>
  <c r="J336" i="1"/>
  <c r="H377" i="1"/>
  <c r="AV336" i="1"/>
  <c r="J744" i="1"/>
  <c r="H689" i="1"/>
  <c r="AV557" i="1"/>
  <c r="H696" i="1"/>
  <c r="H593" i="1"/>
  <c r="AU852" i="1"/>
  <c r="J298" i="1"/>
  <c r="AV390" i="1"/>
  <c r="AU350" i="1"/>
  <c r="H633" i="1"/>
  <c r="J321" i="1"/>
  <c r="E481" i="1"/>
  <c r="J673" i="1"/>
  <c r="AV481" i="1"/>
  <c r="E350" i="1"/>
  <c r="AV581" i="1"/>
  <c r="AV291" i="1"/>
  <c r="AU202" i="1"/>
  <c r="AU321" i="1"/>
  <c r="AU481" i="1"/>
  <c r="E581" i="1"/>
  <c r="H673" i="1"/>
  <c r="AV673" i="1"/>
  <c r="H352" i="1"/>
  <c r="H202" i="1"/>
  <c r="H291" i="1"/>
  <c r="E609" i="1"/>
  <c r="AV352" i="1"/>
  <c r="J633" i="1"/>
  <c r="H609" i="1"/>
  <c r="AV350" i="1"/>
  <c r="H481" i="1"/>
  <c r="J202" i="1"/>
  <c r="E291" i="1"/>
  <c r="AV321" i="1"/>
  <c r="AV633" i="1"/>
  <c r="H581" i="1"/>
  <c r="AV202" i="1"/>
  <c r="AU291" i="1"/>
  <c r="H350" i="1"/>
  <c r="E321" i="1"/>
  <c r="AV609" i="1"/>
  <c r="J581" i="1"/>
  <c r="J609" i="1"/>
  <c r="E633" i="1"/>
  <c r="J352" i="1"/>
  <c r="AU673" i="1"/>
  <c r="AU352" i="1"/>
  <c r="J481" i="1"/>
  <c r="E202" i="1"/>
  <c r="E352" i="1"/>
  <c r="J350" i="1"/>
  <c r="AU581" i="1"/>
  <c r="H321" i="1"/>
  <c r="E673" i="1"/>
  <c r="AU633" i="1"/>
  <c r="J291" i="1"/>
  <c r="AU609" i="1"/>
  <c r="E900" i="1"/>
  <c r="E275" i="1"/>
  <c r="E217" i="1"/>
  <c r="AV275" i="1"/>
  <c r="AV217" i="1"/>
  <c r="J676" i="1"/>
  <c r="AU296" i="1"/>
  <c r="AV296" i="1"/>
  <c r="H391" i="1"/>
  <c r="AU686" i="1"/>
  <c r="E676" i="1"/>
  <c r="J391" i="1"/>
  <c r="AU391" i="1"/>
  <c r="AV900" i="1"/>
  <c r="H676" i="1"/>
  <c r="AU283" i="1"/>
  <c r="E296" i="1"/>
  <c r="E523" i="1"/>
  <c r="H296" i="1"/>
  <c r="AU523" i="1"/>
  <c r="AV283" i="1"/>
  <c r="AV676" i="1"/>
  <c r="AU359" i="1"/>
  <c r="AV391" i="1"/>
  <c r="J686" i="1"/>
  <c r="AV686" i="1"/>
  <c r="E686" i="1"/>
  <c r="AU275" i="1"/>
  <c r="AU217" i="1"/>
  <c r="H523" i="1"/>
  <c r="E283" i="1"/>
  <c r="J523" i="1"/>
  <c r="H913" i="1"/>
  <c r="J275" i="1"/>
  <c r="J217" i="1"/>
  <c r="AV913" i="1"/>
  <c r="J913" i="1"/>
  <c r="H359" i="1"/>
  <c r="AU900" i="1"/>
  <c r="H900" i="1"/>
  <c r="E913" i="1"/>
  <c r="J359" i="1"/>
  <c r="H283" i="1"/>
  <c r="E359" i="1"/>
  <c r="J296" i="1"/>
  <c r="AU913" i="1"/>
  <c r="H275" i="1"/>
  <c r="H217" i="1"/>
  <c r="E391" i="1"/>
  <c r="H686" i="1"/>
  <c r="J900" i="1"/>
  <c r="AV359" i="1"/>
  <c r="J283" i="1"/>
  <c r="AU676" i="1"/>
  <c r="AV523" i="1"/>
  <c r="J458" i="1"/>
  <c r="AV458" i="1"/>
  <c r="AV516" i="1"/>
  <c r="E601" i="1"/>
  <c r="E271" i="1"/>
  <c r="E611" i="1"/>
  <c r="AV508" i="1"/>
  <c r="AV362" i="1"/>
  <c r="AU271" i="1"/>
  <c r="H611" i="1"/>
  <c r="H271" i="1"/>
  <c r="AU692" i="1"/>
  <c r="AU362" i="1"/>
  <c r="E458" i="1"/>
  <c r="H750" i="1"/>
  <c r="E362" i="1"/>
  <c r="H362" i="1"/>
  <c r="AU924" i="1"/>
  <c r="J516" i="1"/>
  <c r="AV692" i="1"/>
  <c r="AU611" i="1"/>
  <c r="E750" i="1"/>
  <c r="J692" i="1"/>
  <c r="AU750" i="1"/>
  <c r="AV924" i="1"/>
  <c r="J601" i="1"/>
  <c r="E692" i="1"/>
  <c r="J271" i="1"/>
  <c r="J924" i="1"/>
  <c r="AU601" i="1"/>
  <c r="AU516" i="1"/>
  <c r="H601" i="1"/>
  <c r="AU458" i="1"/>
  <c r="E924" i="1"/>
  <c r="AU508" i="1"/>
  <c r="E516" i="1"/>
  <c r="AV750" i="1"/>
  <c r="E508" i="1"/>
  <c r="J611" i="1"/>
  <c r="J508" i="1"/>
  <c r="H692" i="1"/>
  <c r="H508" i="1"/>
  <c r="AV611" i="1"/>
  <c r="H458" i="1"/>
  <c r="H924" i="1"/>
  <c r="AV271" i="1"/>
  <c r="J750" i="1"/>
  <c r="J362" i="1"/>
  <c r="H516" i="1"/>
  <c r="AV601" i="1"/>
  <c r="AU302" i="1"/>
  <c r="AV886" i="1"/>
  <c r="AU627" i="1"/>
  <c r="E735" i="1"/>
  <c r="H882" i="1"/>
  <c r="AV542" i="1"/>
  <c r="H302" i="1"/>
  <c r="H737" i="1"/>
  <c r="AV564" i="1"/>
  <c r="E882" i="1"/>
  <c r="E737" i="1"/>
  <c r="AV302" i="1"/>
  <c r="E886" i="1"/>
  <c r="AU435" i="1"/>
  <c r="AU886" i="1"/>
  <c r="J302" i="1"/>
  <c r="AV735" i="1"/>
  <c r="AU735" i="1"/>
  <c r="AU564" i="1"/>
  <c r="E542" i="1"/>
  <c r="H627" i="1"/>
  <c r="E753" i="1"/>
  <c r="E435" i="1"/>
  <c r="H564" i="1"/>
  <c r="AU753" i="1"/>
  <c r="H753" i="1"/>
  <c r="H542" i="1"/>
  <c r="H735" i="1"/>
  <c r="J542" i="1"/>
  <c r="AV737" i="1"/>
  <c r="H435" i="1"/>
  <c r="AU882" i="1"/>
  <c r="J882" i="1"/>
  <c r="J737" i="1"/>
  <c r="E627" i="1"/>
  <c r="E564" i="1"/>
  <c r="J753" i="1"/>
  <c r="AV435" i="1"/>
  <c r="J627" i="1"/>
  <c r="J735" i="1"/>
  <c r="AU737" i="1"/>
  <c r="J564" i="1"/>
  <c r="AV753" i="1"/>
  <c r="AV882" i="1"/>
  <c r="H886" i="1"/>
  <c r="AV627" i="1"/>
  <c r="E302" i="1"/>
  <c r="J886" i="1"/>
  <c r="AU542" i="1"/>
  <c r="J435" i="1"/>
  <c r="J614" i="1"/>
  <c r="AV704" i="1"/>
  <c r="AU704" i="1"/>
  <c r="AU475" i="1"/>
  <c r="E683" i="1"/>
  <c r="J307" i="1"/>
  <c r="AU683" i="1"/>
  <c r="AU614" i="1"/>
  <c r="J717" i="1"/>
  <c r="J588" i="1"/>
  <c r="J412" i="1"/>
  <c r="J475" i="1"/>
  <c r="H588" i="1"/>
  <c r="E588" i="1"/>
  <c r="AV475" i="1"/>
  <c r="AV588" i="1"/>
  <c r="E614" i="1"/>
  <c r="J704" i="1"/>
  <c r="H389" i="1"/>
  <c r="AU717" i="1"/>
  <c r="H475" i="1"/>
  <c r="E412" i="1"/>
  <c r="AV683" i="1"/>
  <c r="H683" i="1"/>
  <c r="H307" i="1"/>
  <c r="AV412" i="1"/>
  <c r="AV614" i="1"/>
  <c r="H702" i="1"/>
  <c r="AU702" i="1"/>
  <c r="E702" i="1"/>
  <c r="H717" i="1"/>
  <c r="E717" i="1"/>
  <c r="E307" i="1"/>
  <c r="AV389" i="1"/>
  <c r="J389" i="1"/>
  <c r="AV307" i="1"/>
  <c r="AU389" i="1"/>
  <c r="H412" i="1"/>
  <c r="AV702" i="1"/>
  <c r="H704" i="1"/>
  <c r="AU412" i="1"/>
  <c r="AU588" i="1"/>
  <c r="J702" i="1"/>
  <c r="H614" i="1"/>
  <c r="AU307" i="1"/>
  <c r="AV717" i="1"/>
  <c r="E475" i="1"/>
  <c r="J683" i="1"/>
  <c r="E389" i="1"/>
  <c r="E704" i="1"/>
  <c r="E491" i="1"/>
  <c r="AU368" i="1"/>
  <c r="E443" i="1"/>
  <c r="AV491" i="1"/>
  <c r="J491" i="1"/>
  <c r="AU328" i="1"/>
  <c r="E386" i="1"/>
  <c r="AU604" i="1"/>
  <c r="H525" i="1"/>
  <c r="AU571" i="1"/>
  <c r="H443" i="1"/>
  <c r="AU525" i="1"/>
  <c r="H351" i="1"/>
  <c r="AV443" i="1"/>
  <c r="J443" i="1"/>
  <c r="J328" i="1"/>
  <c r="H386" i="1"/>
  <c r="AU386" i="1"/>
  <c r="AU896" i="1"/>
  <c r="AV525" i="1"/>
  <c r="E328" i="1"/>
  <c r="H571" i="1"/>
  <c r="J604" i="1"/>
  <c r="E571" i="1"/>
  <c r="E525" i="1"/>
  <c r="AV604" i="1"/>
  <c r="H368" i="1"/>
  <c r="J368" i="1"/>
  <c r="AV386" i="1"/>
  <c r="AV896" i="1"/>
  <c r="AV368" i="1"/>
  <c r="H491" i="1"/>
  <c r="AU351" i="1"/>
  <c r="AV571" i="1"/>
  <c r="E604" i="1"/>
  <c r="E351" i="1"/>
  <c r="H896" i="1"/>
  <c r="H328" i="1"/>
  <c r="AV351" i="1"/>
  <c r="AT851" i="1"/>
  <c r="AT304" i="1"/>
  <c r="AT566" i="1"/>
  <c r="E896" i="1"/>
  <c r="AT463" i="1"/>
  <c r="AT854" i="1"/>
  <c r="AT843" i="1"/>
  <c r="AT861" i="1"/>
  <c r="J571" i="1"/>
  <c r="J525" i="1"/>
  <c r="H604" i="1"/>
  <c r="J386" i="1"/>
  <c r="AT444" i="1"/>
  <c r="J351" i="1"/>
  <c r="E368" i="1"/>
  <c r="AT210" i="1"/>
  <c r="AU491" i="1"/>
  <c r="J896" i="1"/>
  <c r="AV328" i="1"/>
  <c r="AU443" i="1"/>
  <c r="AT294" i="1"/>
  <c r="H728" i="1"/>
  <c r="AU473" i="1"/>
  <c r="H684" i="1"/>
  <c r="J374" i="1"/>
  <c r="E517" i="1"/>
  <c r="AV592" i="1"/>
  <c r="AV374" i="1"/>
  <c r="AV684" i="1"/>
  <c r="E433" i="1"/>
  <c r="AV414" i="1"/>
  <c r="J433" i="1"/>
  <c r="J592" i="1"/>
  <c r="E531" i="1"/>
  <c r="H473" i="1"/>
  <c r="J517" i="1"/>
  <c r="AU459" i="1"/>
  <c r="AU517" i="1"/>
  <c r="H374" i="1"/>
  <c r="H517" i="1"/>
  <c r="J473" i="1"/>
  <c r="H459" i="1"/>
  <c r="E374" i="1"/>
  <c r="AV433" i="1"/>
  <c r="AU684" i="1"/>
  <c r="AV531" i="1"/>
  <c r="AU433" i="1"/>
  <c r="E684" i="1"/>
  <c r="AU728" i="1"/>
  <c r="AU592" i="1"/>
  <c r="H531" i="1"/>
  <c r="AU531" i="1"/>
  <c r="E592" i="1"/>
  <c r="E728" i="1"/>
  <c r="AU414" i="1"/>
  <c r="E473" i="1"/>
  <c r="E414" i="1"/>
  <c r="J459" i="1"/>
  <c r="J414" i="1"/>
  <c r="E459" i="1"/>
  <c r="J728" i="1"/>
  <c r="AU374" i="1"/>
  <c r="AV473" i="1"/>
  <c r="J684" i="1"/>
  <c r="AV728" i="1"/>
  <c r="H433" i="1"/>
  <c r="H414" i="1"/>
  <c r="H592" i="1"/>
  <c r="AV459" i="1"/>
  <c r="AV517" i="1"/>
  <c r="J531" i="1"/>
  <c r="AU216" i="1"/>
  <c r="AV544" i="1"/>
  <c r="E329" i="1"/>
  <c r="AV536" i="1"/>
  <c r="H544" i="1"/>
  <c r="E552" i="1"/>
  <c r="E755" i="1"/>
  <c r="J552" i="1"/>
  <c r="AU552" i="1"/>
  <c r="H603" i="1"/>
  <c r="J616" i="1"/>
  <c r="AV616" i="1"/>
  <c r="J544" i="1"/>
  <c r="AV464" i="1"/>
  <c r="J216" i="1"/>
  <c r="H409" i="1"/>
  <c r="J464" i="1"/>
  <c r="E409" i="1"/>
  <c r="AV603" i="1"/>
  <c r="AU329" i="1"/>
  <c r="J329" i="1"/>
  <c r="J409" i="1"/>
  <c r="AU536" i="1"/>
  <c r="E544" i="1"/>
  <c r="H329" i="1"/>
  <c r="E616" i="1"/>
  <c r="H464" i="1"/>
  <c r="AV755" i="1"/>
  <c r="E536" i="1"/>
  <c r="H216" i="1"/>
  <c r="AV409" i="1"/>
  <c r="H552" i="1"/>
  <c r="J755" i="1"/>
  <c r="H536" i="1"/>
  <c r="J603" i="1"/>
  <c r="AU464" i="1"/>
  <c r="AU603" i="1"/>
  <c r="E216" i="1"/>
  <c r="AU616" i="1"/>
  <c r="AU755" i="1"/>
  <c r="AV216" i="1"/>
  <c r="H616" i="1"/>
  <c r="E603" i="1"/>
  <c r="J536" i="1"/>
  <c r="AU544" i="1"/>
  <c r="AV552" i="1"/>
  <c r="H755" i="1"/>
  <c r="E464" i="1"/>
  <c r="AU409" i="1"/>
  <c r="AV329" i="1"/>
  <c r="E223" i="1"/>
  <c r="E428" i="1"/>
  <c r="AV428" i="1"/>
  <c r="AU607" i="1"/>
  <c r="AV223" i="1"/>
  <c r="J428" i="1"/>
  <c r="AV532" i="1"/>
  <c r="E346" i="1"/>
  <c r="AU415" i="1"/>
  <c r="J556" i="1"/>
  <c r="AU346" i="1"/>
  <c r="AU428" i="1"/>
  <c r="J346" i="1"/>
  <c r="H920" i="1"/>
  <c r="J607" i="1"/>
  <c r="AU556" i="1"/>
  <c r="AV726" i="1"/>
  <c r="AU532" i="1"/>
  <c r="E747" i="1"/>
  <c r="AU223" i="1"/>
  <c r="AV556" i="1"/>
  <c r="J747" i="1"/>
  <c r="E532" i="1"/>
  <c r="J920" i="1"/>
  <c r="AU747" i="1"/>
  <c r="AU726" i="1"/>
  <c r="AV415" i="1"/>
  <c r="AU920" i="1"/>
  <c r="AV346" i="1"/>
  <c r="J415" i="1"/>
  <c r="H532" i="1"/>
  <c r="AV607" i="1"/>
  <c r="H223" i="1"/>
  <c r="H726" i="1"/>
  <c r="H415" i="1"/>
  <c r="E607" i="1"/>
  <c r="H556" i="1"/>
  <c r="E920" i="1"/>
  <c r="J726" i="1"/>
  <c r="H747" i="1"/>
  <c r="H607" i="1"/>
  <c r="AV747" i="1"/>
  <c r="H346" i="1"/>
  <c r="E415" i="1"/>
  <c r="J223" i="1"/>
  <c r="H428" i="1"/>
  <c r="E556" i="1"/>
  <c r="J532" i="1"/>
  <c r="AV920" i="1"/>
  <c r="E726" i="1"/>
  <c r="AU454" i="1"/>
  <c r="E293" i="1"/>
  <c r="H836" i="1"/>
  <c r="AV836" i="1"/>
  <c r="AV551" i="1"/>
  <c r="E642" i="1"/>
  <c r="AU901" i="1"/>
  <c r="AV454" i="1"/>
  <c r="E834" i="1"/>
  <c r="J642" i="1"/>
  <c r="AU210" i="1"/>
  <c r="H901" i="1"/>
  <c r="E901" i="1"/>
  <c r="AU836" i="1"/>
  <c r="AU606" i="1"/>
  <c r="AV606" i="1"/>
  <c r="J454" i="1"/>
  <c r="J551" i="1"/>
  <c r="AV396" i="1"/>
  <c r="H396" i="1"/>
  <c r="H642" i="1"/>
  <c r="H834" i="1"/>
  <c r="J396" i="1"/>
  <c r="AV293" i="1"/>
  <c r="E606" i="1"/>
  <c r="H551" i="1"/>
  <c r="E551" i="1"/>
  <c r="AV901" i="1"/>
  <c r="J210" i="1"/>
  <c r="J834" i="1"/>
  <c r="E454" i="1"/>
  <c r="AU834" i="1"/>
  <c r="H210" i="1"/>
  <c r="J293" i="1"/>
  <c r="E836" i="1"/>
  <c r="H606" i="1"/>
  <c r="AU293" i="1"/>
  <c r="E210" i="1"/>
  <c r="AU396" i="1"/>
  <c r="AU642" i="1"/>
  <c r="AV834" i="1"/>
  <c r="AU551" i="1"/>
  <c r="H454" i="1"/>
  <c r="J836" i="1"/>
  <c r="J901" i="1"/>
  <c r="AV210" i="1"/>
  <c r="H293" i="1"/>
  <c r="J606" i="1"/>
  <c r="AV642" i="1"/>
  <c r="E396" i="1"/>
  <c r="H598" i="1"/>
  <c r="J850" i="1"/>
  <c r="E547" i="1"/>
  <c r="H272" i="1"/>
  <c r="H617" i="1"/>
  <c r="J716" i="1"/>
  <c r="J401" i="1"/>
  <c r="H547" i="1"/>
  <c r="E280" i="1"/>
  <c r="H318" i="1"/>
  <c r="J860" i="1"/>
  <c r="E716" i="1"/>
  <c r="AU850" i="1"/>
  <c r="H867" i="1"/>
  <c r="AU855" i="1"/>
  <c r="E272" i="1"/>
  <c r="H501" i="1"/>
  <c r="AU668" i="1"/>
  <c r="AU716" i="1"/>
  <c r="AU371" i="1"/>
  <c r="J343" i="1"/>
  <c r="AV855" i="1"/>
  <c r="AU282" i="1"/>
  <c r="E401" i="1"/>
  <c r="AU478" i="1"/>
  <c r="H426" i="1"/>
  <c r="AU762" i="1"/>
  <c r="E877" i="1"/>
  <c r="AU318" i="1"/>
  <c r="AV426" i="1"/>
  <c r="H401" i="1"/>
  <c r="H282" i="1"/>
  <c r="AV908" i="1"/>
  <c r="J432" i="1"/>
  <c r="AV850" i="1"/>
  <c r="J617" i="1"/>
  <c r="AU860" i="1"/>
  <c r="AV691" i="1"/>
  <c r="J426" i="1"/>
  <c r="AV547" i="1"/>
  <c r="E908" i="1"/>
  <c r="AV653" i="1"/>
  <c r="H653" i="1"/>
  <c r="AU867" i="1"/>
  <c r="AU706" i="1"/>
  <c r="H850" i="1"/>
  <c r="AV432" i="1"/>
  <c r="AU272" i="1"/>
  <c r="AV598" i="1"/>
  <c r="H874" i="1"/>
  <c r="J272" i="1"/>
  <c r="J598" i="1"/>
  <c r="H706" i="1"/>
  <c r="H691" i="1"/>
  <c r="AU343" i="1"/>
  <c r="AV867" i="1"/>
  <c r="J867" i="1"/>
  <c r="AU340" i="1"/>
  <c r="J547" i="1"/>
  <c r="J340" i="1"/>
  <c r="J908" i="1"/>
  <c r="E341" i="1"/>
  <c r="AU617" i="1"/>
  <c r="E318" i="1"/>
  <c r="AU432" i="1"/>
  <c r="E340" i="1"/>
  <c r="AU877" i="1"/>
  <c r="AV860" i="1"/>
  <c r="AU280" i="1"/>
  <c r="AV343" i="1"/>
  <c r="AU341" i="1"/>
  <c r="AU598" i="1"/>
  <c r="J371" i="1"/>
  <c r="AV877" i="1"/>
  <c r="E855" i="1"/>
  <c r="AV762" i="1"/>
  <c r="AV716" i="1"/>
  <c r="AU501" i="1"/>
  <c r="E371" i="1"/>
  <c r="AV280" i="1"/>
  <c r="H341" i="1"/>
  <c r="J691" i="1"/>
  <c r="AU874" i="1"/>
  <c r="J874" i="1"/>
  <c r="H855" i="1"/>
  <c r="AV874" i="1"/>
  <c r="H908" i="1"/>
  <c r="E501" i="1"/>
  <c r="AV846" i="1"/>
  <c r="AV478" i="1"/>
  <c r="AV371" i="1"/>
  <c r="H846" i="1"/>
  <c r="E426" i="1"/>
  <c r="J846" i="1"/>
  <c r="J282" i="1"/>
  <c r="E432" i="1"/>
  <c r="E478" i="1"/>
  <c r="AU846" i="1"/>
  <c r="J653" i="1"/>
  <c r="H343" i="1"/>
  <c r="H340" i="1"/>
  <c r="H668" i="1"/>
  <c r="J280" i="1"/>
  <c r="AV282" i="1"/>
  <c r="E617" i="1"/>
  <c r="H762" i="1"/>
  <c r="AV318" i="1"/>
  <c r="J877" i="1"/>
  <c r="J706" i="1"/>
  <c r="AV668" i="1"/>
  <c r="J501" i="1"/>
  <c r="E762" i="1"/>
  <c r="E668" i="1"/>
  <c r="J478" i="1"/>
  <c r="AV341" i="1"/>
  <c r="H860" i="1"/>
  <c r="AU653" i="1"/>
  <c r="AU691" i="1"/>
  <c r="E706" i="1"/>
  <c r="H716" i="1"/>
  <c r="AU908" i="1"/>
  <c r="AU426" i="1"/>
  <c r="E282" i="1"/>
  <c r="J668" i="1"/>
  <c r="J318" i="1"/>
  <c r="AV501" i="1"/>
  <c r="J762" i="1"/>
  <c r="E867" i="1"/>
  <c r="AU401" i="1"/>
  <c r="AV617" i="1"/>
  <c r="AU547" i="1"/>
  <c r="AV706" i="1"/>
  <c r="E850" i="1"/>
  <c r="H280" i="1"/>
  <c r="H877" i="1"/>
  <c r="E653" i="1"/>
  <c r="J341" i="1"/>
  <c r="H432" i="1"/>
  <c r="E598" i="1"/>
  <c r="AV340" i="1"/>
  <c r="E874" i="1"/>
  <c r="E860" i="1"/>
  <c r="E846" i="1"/>
  <c r="H371" i="1"/>
  <c r="J855" i="1"/>
  <c r="E691" i="1"/>
  <c r="AV401" i="1"/>
  <c r="AV272" i="1"/>
  <c r="E343" i="1"/>
  <c r="H478" i="1"/>
  <c r="AT891" i="1"/>
  <c r="AT325" i="1"/>
  <c r="AT392" i="1"/>
  <c r="AT349" i="1"/>
  <c r="AT483" i="1"/>
  <c r="AT310" i="1"/>
  <c r="AT630" i="1"/>
  <c r="AT650" i="1"/>
  <c r="AV219" i="1"/>
  <c r="AU560" i="1"/>
  <c r="J306" i="1"/>
  <c r="J398" i="1"/>
  <c r="AU306" i="1"/>
  <c r="AV682" i="1"/>
  <c r="J560" i="1"/>
  <c r="E682" i="1"/>
  <c r="AV521" i="1"/>
  <c r="AU219" i="1"/>
  <c r="AV553" i="1"/>
  <c r="E219" i="1"/>
  <c r="AV445" i="1"/>
  <c r="H445" i="1"/>
  <c r="H521" i="1"/>
  <c r="H347" i="1"/>
  <c r="AV347" i="1"/>
  <c r="J553" i="1"/>
  <c r="AU521" i="1"/>
  <c r="J347" i="1"/>
  <c r="H219" i="1"/>
  <c r="E398" i="1"/>
  <c r="AU398" i="1"/>
  <c r="AU347" i="1"/>
  <c r="J682" i="1"/>
  <c r="H324" i="1"/>
  <c r="H682" i="1"/>
  <c r="H560" i="1"/>
  <c r="AU324" i="1"/>
  <c r="E560" i="1"/>
  <c r="E306" i="1"/>
  <c r="AV306" i="1"/>
  <c r="H553" i="1"/>
  <c r="E324" i="1"/>
  <c r="J445" i="1"/>
  <c r="AV398" i="1"/>
  <c r="AU553" i="1"/>
  <c r="AU445" i="1"/>
  <c r="J521" i="1"/>
  <c r="AV324" i="1"/>
  <c r="AV560" i="1"/>
  <c r="AU682" i="1"/>
  <c r="J324" i="1"/>
  <c r="E445" i="1"/>
  <c r="E521" i="1"/>
  <c r="H306" i="1"/>
  <c r="E347" i="1"/>
  <c r="H398" i="1"/>
  <c r="J219" i="1"/>
  <c r="E553" i="1"/>
  <c r="J485" i="1"/>
  <c r="H911" i="1"/>
  <c r="J541" i="1"/>
  <c r="AV375" i="1"/>
  <c r="J520" i="1"/>
  <c r="J411" i="1"/>
  <c r="AV520" i="1"/>
  <c r="E541" i="1"/>
  <c r="E859" i="1"/>
  <c r="J748" i="1"/>
  <c r="AV541" i="1"/>
  <c r="J859" i="1"/>
  <c r="AU859" i="1"/>
  <c r="H520" i="1"/>
  <c r="AV269" i="1"/>
  <c r="E485" i="1"/>
  <c r="AU269" i="1"/>
  <c r="J269" i="1"/>
  <c r="E911" i="1"/>
  <c r="E894" i="1"/>
  <c r="E748" i="1"/>
  <c r="AU375" i="1"/>
  <c r="AU894" i="1"/>
  <c r="J911" i="1"/>
  <c r="H748" i="1"/>
  <c r="H485" i="1"/>
  <c r="AU541" i="1"/>
  <c r="AV894" i="1"/>
  <c r="AU411" i="1"/>
  <c r="E269" i="1"/>
  <c r="AU520" i="1"/>
  <c r="AV911" i="1"/>
  <c r="E375" i="1"/>
  <c r="H894" i="1"/>
  <c r="AV859" i="1"/>
  <c r="H375" i="1"/>
  <c r="H411" i="1"/>
  <c r="AU485" i="1"/>
  <c r="AV748" i="1"/>
  <c r="AV411" i="1"/>
  <c r="H859" i="1"/>
  <c r="J375" i="1"/>
  <c r="J894" i="1"/>
  <c r="AU748" i="1"/>
  <c r="AU911" i="1"/>
  <c r="E411" i="1"/>
  <c r="H269" i="1"/>
  <c r="AV485" i="1"/>
  <c r="H541" i="1"/>
  <c r="E520" i="1"/>
  <c r="H265" i="1"/>
  <c r="J575" i="1"/>
  <c r="J569" i="1"/>
  <c r="AV503" i="1"/>
  <c r="AU265" i="1"/>
  <c r="E503" i="1"/>
  <c r="E575" i="1"/>
  <c r="AU554" i="1"/>
  <c r="AV395" i="1"/>
  <c r="AV381" i="1"/>
  <c r="H575" i="1"/>
  <c r="E572" i="1"/>
  <c r="J554" i="1"/>
  <c r="AV575" i="1"/>
  <c r="AU858" i="1"/>
  <c r="E265" i="1"/>
  <c r="H569" i="1"/>
  <c r="J420" i="1"/>
  <c r="AV569" i="1"/>
  <c r="AU381" i="1"/>
  <c r="J395" i="1"/>
  <c r="H858" i="1"/>
  <c r="J265" i="1"/>
  <c r="H503" i="1"/>
  <c r="H572" i="1"/>
  <c r="E858" i="1"/>
  <c r="AU572" i="1"/>
  <c r="AU395" i="1"/>
  <c r="E569" i="1"/>
  <c r="H381" i="1"/>
  <c r="E420" i="1"/>
  <c r="AV554" i="1"/>
  <c r="J572" i="1"/>
  <c r="J503" i="1"/>
  <c r="H554" i="1"/>
  <c r="J858" i="1"/>
  <c r="H395" i="1"/>
  <c r="AU420" i="1"/>
  <c r="AV420" i="1"/>
  <c r="J381" i="1"/>
  <c r="AU575" i="1"/>
  <c r="H420" i="1"/>
  <c r="AV572" i="1"/>
  <c r="E395" i="1"/>
  <c r="AU503" i="1"/>
  <c r="AU569" i="1"/>
  <c r="E381" i="1"/>
  <c r="AV265" i="1"/>
  <c r="AV858" i="1"/>
  <c r="E554" i="1"/>
  <c r="AT303" i="1"/>
  <c r="AT707" i="1"/>
  <c r="AT494" i="1"/>
  <c r="AT597" i="1"/>
  <c r="AT893" i="1"/>
  <c r="AT412" i="1"/>
  <c r="AT510" i="1"/>
  <c r="AT266" i="1"/>
  <c r="AT751" i="1"/>
  <c r="AT644" i="1"/>
  <c r="AT358" i="1"/>
  <c r="AT732" i="1"/>
  <c r="AT659" i="1"/>
  <c r="AT290" i="1"/>
  <c r="AT521" i="1"/>
  <c r="AT402" i="1"/>
  <c r="AT658" i="1"/>
  <c r="AT220" i="1"/>
  <c r="AT837" i="1"/>
  <c r="AT314" i="1"/>
  <c r="AT888" i="1"/>
  <c r="AT890" i="1"/>
  <c r="AT282" i="1"/>
  <c r="AT916" i="1"/>
  <c r="AT712" i="1"/>
  <c r="AT704" i="1"/>
  <c r="AT356" i="1"/>
  <c r="AT258" i="1"/>
  <c r="AT913" i="1"/>
  <c r="AT682" i="1"/>
  <c r="AT479" i="1"/>
  <c r="AT300" i="1"/>
  <c r="AT381" i="1"/>
  <c r="AT897" i="1"/>
  <c r="AT397" i="1"/>
  <c r="AT332" i="1"/>
  <c r="AT531" i="1"/>
  <c r="AT285" i="1"/>
  <c r="AT651" i="1"/>
  <c r="AT553" i="1"/>
  <c r="AT654" i="1"/>
  <c r="AT660" i="1"/>
  <c r="AT448" i="1"/>
  <c r="AT339" i="1"/>
  <c r="AT570" i="1"/>
  <c r="AT461" i="1"/>
  <c r="AT370" i="1"/>
  <c r="AT683" i="1"/>
  <c r="AT723" i="1"/>
  <c r="AT212" i="1"/>
  <c r="AT661" i="1"/>
  <c r="AT340" i="1"/>
  <c r="AT377" i="1"/>
  <c r="AT259" i="1"/>
  <c r="AT430" i="1"/>
  <c r="AT727" i="1"/>
  <c r="AT459" i="1"/>
  <c r="AT291" i="1"/>
  <c r="AT360" i="1"/>
  <c r="AT692" i="1"/>
  <c r="AT857" i="1"/>
  <c r="AT490" i="1"/>
  <c r="AT872" i="1"/>
  <c r="AT573" i="1"/>
  <c r="AT517" i="1"/>
  <c r="AT835" i="1"/>
  <c r="AT519" i="1"/>
  <c r="AT902" i="1"/>
  <c r="AT739" i="1"/>
  <c r="AT408" i="1"/>
  <c r="AT438" i="1"/>
  <c r="AT272" i="1"/>
  <c r="AT760" i="1"/>
  <c r="AT271" i="1"/>
  <c r="AT862" i="1"/>
  <c r="AT413" i="1"/>
  <c r="AT538" i="1"/>
  <c r="AT309" i="1"/>
  <c r="AT849" i="1"/>
  <c r="AT887" i="1"/>
  <c r="AT750" i="1"/>
  <c r="AT205" i="1"/>
  <c r="AT473" i="1"/>
  <c r="AT905" i="1"/>
  <c r="AT900" i="1"/>
  <c r="AT457" i="1"/>
  <c r="AT376" i="1"/>
  <c r="AT451" i="1"/>
  <c r="AT445" i="1"/>
  <c r="AT552" i="1"/>
  <c r="AT411" i="1"/>
  <c r="AT558" i="1"/>
  <c r="AT626" i="1"/>
  <c r="AT426" i="1"/>
  <c r="AT527" i="1"/>
  <c r="AT656" i="1"/>
  <c r="AT578" i="1"/>
  <c r="AT689" i="1"/>
  <c r="AT561" i="1"/>
  <c r="AT396" i="1"/>
  <c r="AT666" i="1"/>
  <c r="AT919" i="1"/>
  <c r="AT436" i="1"/>
  <c r="AT512" i="1"/>
  <c r="AT334" i="1"/>
  <c r="AT511" i="1"/>
  <c r="AT628" i="1"/>
  <c r="AT493" i="1"/>
  <c r="AT673" i="1"/>
  <c r="AT829" i="1"/>
  <c r="AT1740" i="1"/>
  <c r="AT1709" i="1"/>
  <c r="AT1335" i="1"/>
  <c r="AT1277" i="1"/>
  <c r="AT1016" i="1"/>
  <c r="AT317" i="1"/>
  <c r="AT724" i="1"/>
  <c r="AT621" i="1"/>
  <c r="AT848" i="1"/>
  <c r="AT530" i="1"/>
  <c r="AT447" i="1"/>
  <c r="AT508" i="1"/>
  <c r="AT759" i="1"/>
  <c r="AT569" i="1"/>
  <c r="AT901" i="1"/>
  <c r="AT695" i="1"/>
  <c r="AT845" i="1"/>
  <c r="AT717" i="1"/>
  <c r="AT439" i="1"/>
  <c r="AT328" i="1"/>
  <c r="AT605" i="1"/>
  <c r="AT450" i="1"/>
  <c r="AT617" i="1"/>
  <c r="AT906" i="1"/>
  <c r="AT885" i="1"/>
  <c r="AT522" i="1"/>
  <c r="AT465" i="1"/>
  <c r="AT329" i="1"/>
  <c r="AT547" i="1"/>
  <c r="AT400" i="1"/>
  <c r="AT852" i="1"/>
  <c r="AT481" i="1"/>
  <c r="AT330" i="1"/>
  <c r="AT467" i="1"/>
  <c r="AT696" i="1"/>
  <c r="AT399" i="1"/>
  <c r="AT752" i="1"/>
  <c r="AT647" i="1"/>
  <c r="AT668" i="1"/>
  <c r="AT622" i="1"/>
  <c r="AT263" i="1"/>
  <c r="AT514" i="1"/>
  <c r="AT680" i="1"/>
  <c r="AT610" i="1"/>
  <c r="AT322" i="1"/>
  <c r="AT375" i="1"/>
  <c r="AT665" i="1"/>
  <c r="AT257" i="1"/>
  <c r="AT201" i="1"/>
  <c r="AT883" i="1"/>
  <c r="AT434" i="1"/>
  <c r="AT373" i="1"/>
  <c r="AT529" i="1"/>
  <c r="AT354" i="1"/>
  <c r="AT735" i="1"/>
  <c r="AT344" i="1"/>
  <c r="AT623" i="1"/>
  <c r="AT671" i="1"/>
  <c r="AT743" i="1"/>
  <c r="AT394" i="1"/>
  <c r="AT909" i="1"/>
  <c r="AT307" i="1"/>
  <c r="AT433" i="1"/>
  <c r="AT640" i="1"/>
  <c r="AT699" i="1"/>
  <c r="AT793" i="1"/>
  <c r="AT1723" i="1"/>
  <c r="AT1464" i="1"/>
  <c r="AT698" i="1"/>
  <c r="AT711" i="1"/>
  <c r="AT380" i="1"/>
  <c r="AT609" i="1"/>
  <c r="AT922" i="1"/>
  <c r="AT702" i="1"/>
  <c r="AT544" i="1"/>
  <c r="AT892" i="1"/>
  <c r="AT736" i="1"/>
  <c r="AT858" i="1"/>
  <c r="H425" i="1"/>
  <c r="E356" i="1"/>
  <c r="H315" i="1"/>
  <c r="E608" i="1"/>
  <c r="AV909" i="1"/>
  <c r="AU407" i="1"/>
  <c r="AV358" i="1"/>
  <c r="AV315" i="1"/>
  <c r="E315" i="1"/>
  <c r="J555" i="1"/>
  <c r="J425" i="1"/>
  <c r="AU909" i="1"/>
  <c r="H407" i="1"/>
  <c r="E358" i="1"/>
  <c r="J358" i="1"/>
  <c r="H356" i="1"/>
  <c r="J315" i="1"/>
  <c r="J909" i="1"/>
  <c r="H608" i="1"/>
  <c r="J356" i="1"/>
  <c r="E555" i="1"/>
  <c r="AV429" i="1"/>
  <c r="AU358" i="1"/>
  <c r="H909" i="1"/>
  <c r="E407" i="1"/>
  <c r="J429" i="1"/>
  <c r="AV555" i="1"/>
  <c r="AU608" i="1"/>
  <c r="AV451" i="1"/>
  <c r="AU451" i="1"/>
  <c r="H429" i="1"/>
  <c r="E429" i="1"/>
  <c r="AV425" i="1"/>
  <c r="E451" i="1"/>
  <c r="AU356" i="1"/>
  <c r="AU555" i="1"/>
  <c r="J608" i="1"/>
  <c r="AV407" i="1"/>
  <c r="E425" i="1"/>
  <c r="H451" i="1"/>
  <c r="AU425" i="1"/>
  <c r="J407" i="1"/>
  <c r="J451" i="1"/>
  <c r="E909" i="1"/>
  <c r="AU429" i="1"/>
  <c r="AV356" i="1"/>
  <c r="H555" i="1"/>
  <c r="AV608" i="1"/>
  <c r="H358" i="1"/>
  <c r="AU315" i="1"/>
  <c r="AT207" i="1"/>
  <c r="AT305" i="1"/>
  <c r="AT612" i="1"/>
  <c r="AT649" i="1"/>
  <c r="AT543" i="1"/>
  <c r="AT390" i="1"/>
  <c r="AT264" i="1"/>
  <c r="AT500" i="1"/>
  <c r="AT279" i="1"/>
  <c r="AT474" i="1"/>
  <c r="AT369" i="1"/>
  <c r="AT286" i="1"/>
  <c r="AT292" i="1"/>
  <c r="AT431" i="1"/>
  <c r="AT721" i="1"/>
  <c r="AT437" i="1"/>
  <c r="AT342" i="1"/>
  <c r="AT677" i="1"/>
  <c r="AT763" i="1"/>
  <c r="AT395" i="1"/>
  <c r="AT462" i="1"/>
  <c r="AT476" i="1"/>
  <c r="AT653" i="1"/>
  <c r="AT206" i="1"/>
  <c r="AT442" i="1"/>
  <c r="AT719" i="1"/>
  <c r="AT839" i="1"/>
  <c r="AT416" i="1"/>
  <c r="AT539" i="1"/>
  <c r="AT635" i="1"/>
  <c r="AT921" i="1"/>
  <c r="AT700" i="1"/>
  <c r="AT409" i="1"/>
  <c r="AT879" i="1"/>
  <c r="AT846" i="1"/>
  <c r="AT368" i="1"/>
  <c r="AT860" i="1"/>
  <c r="AT346" i="1"/>
  <c r="AT875" i="1"/>
  <c r="AT667" i="1"/>
  <c r="AU658" i="1"/>
  <c r="AV655" i="1"/>
  <c r="AV722" i="1"/>
  <c r="AU222" i="1"/>
  <c r="AV222" i="1"/>
  <c r="AV732" i="1"/>
  <c r="H732" i="1"/>
  <c r="H595" i="1"/>
  <c r="J646" i="1"/>
  <c r="J256" i="1"/>
  <c r="E722" i="1"/>
  <c r="AU675" i="1"/>
  <c r="E675" i="1"/>
  <c r="E222" i="1"/>
  <c r="AU636" i="1"/>
  <c r="H636" i="1"/>
  <c r="H655" i="1"/>
  <c r="E655" i="1"/>
  <c r="AU595" i="1"/>
  <c r="J722" i="1"/>
  <c r="J222" i="1"/>
  <c r="E646" i="1"/>
  <c r="AV595" i="1"/>
  <c r="E636" i="1"/>
  <c r="AV675" i="1"/>
  <c r="H646" i="1"/>
  <c r="E658" i="1"/>
  <c r="E732" i="1"/>
  <c r="AT756" i="1"/>
  <c r="J636" i="1"/>
  <c r="AT452" i="1"/>
  <c r="E595" i="1"/>
  <c r="AT509" i="1"/>
  <c r="H256" i="1"/>
  <c r="AV646" i="1"/>
  <c r="J675" i="1"/>
  <c r="AV658" i="1"/>
  <c r="AT709" i="1"/>
  <c r="AV256" i="1"/>
  <c r="AU256" i="1"/>
  <c r="H722" i="1"/>
  <c r="AT468" i="1"/>
  <c r="AT306" i="1"/>
  <c r="AT256" i="1"/>
  <c r="J732" i="1"/>
  <c r="AT618" i="1"/>
  <c r="AT407" i="1"/>
  <c r="J658" i="1"/>
  <c r="AT664" i="1"/>
  <c r="AU655" i="1"/>
  <c r="H658" i="1"/>
  <c r="AV636" i="1"/>
  <c r="AU722" i="1"/>
  <c r="H675" i="1"/>
  <c r="J655" i="1"/>
  <c r="AU646" i="1"/>
  <c r="E256" i="1"/>
  <c r="AU732" i="1"/>
  <c r="J595" i="1"/>
  <c r="H222" i="1"/>
  <c r="AT746" i="1"/>
  <c r="AT876" i="1"/>
  <c r="AT856" i="1"/>
  <c r="AT600" i="1"/>
  <c r="AT470" i="1"/>
  <c r="AT706" i="1"/>
  <c r="AT414" i="1"/>
  <c r="AT652" i="1"/>
  <c r="AT733" i="1"/>
  <c r="AT625" i="1"/>
  <c r="AT581" i="1"/>
  <c r="AT423" i="1"/>
  <c r="AT550" i="1"/>
  <c r="AT464" i="1"/>
  <c r="AT443" i="1"/>
  <c r="AT713" i="1"/>
  <c r="AT506" i="1"/>
  <c r="AT598" i="1"/>
  <c r="AT419" i="1"/>
  <c r="AT685" i="1"/>
  <c r="AT601" i="1"/>
  <c r="AT466" i="1"/>
  <c r="AT889" i="1"/>
  <c r="AT678" i="1"/>
  <c r="AT740" i="1"/>
  <c r="AT484" i="1"/>
  <c r="AT634" i="1"/>
  <c r="AT592" i="1"/>
  <c r="AT213" i="1"/>
  <c r="AT546" i="1"/>
  <c r="AT320" i="1"/>
  <c r="AT863" i="1"/>
  <c r="AT427" i="1"/>
  <c r="AT602" i="1"/>
  <c r="AT486" i="1"/>
  <c r="AT565" i="1"/>
  <c r="AT318" i="1"/>
  <c r="AT701" i="1"/>
  <c r="AT203" i="1"/>
  <c r="AT216" i="1"/>
  <c r="AT867" i="1"/>
  <c r="AT335" i="1"/>
  <c r="AT403" i="1"/>
  <c r="AT440" i="1"/>
  <c r="AT460" i="1"/>
  <c r="AT350" i="1"/>
  <c r="AT662" i="1"/>
  <c r="AT541" i="1"/>
  <c r="AT624" i="1"/>
  <c r="AT415" i="1"/>
  <c r="AT446" i="1"/>
  <c r="AT859" i="1"/>
  <c r="AT357" i="1"/>
  <c r="AT505" i="1"/>
  <c r="AT873" i="1"/>
  <c r="AT631" i="1"/>
  <c r="AT595" i="1"/>
  <c r="AT405" i="1"/>
  <c r="AT920" i="1"/>
  <c r="AT911" i="1"/>
  <c r="AT214" i="1"/>
  <c r="AT518" i="1"/>
  <c r="AT694" i="1"/>
  <c r="AT864" i="1"/>
  <c r="AT738" i="1"/>
  <c r="AT549" i="1"/>
  <c r="AT398" i="1"/>
  <c r="AT418" i="1"/>
  <c r="AT498" i="1"/>
  <c r="AT441" i="1"/>
  <c r="AT878" i="1"/>
  <c r="AT387" i="1"/>
  <c r="AT455" i="1"/>
  <c r="AT501" i="1"/>
  <c r="AT485" i="1"/>
  <c r="AT255" i="1"/>
  <c r="AT313" i="1"/>
  <c r="AT491" i="1"/>
  <c r="AT591" i="1"/>
  <c r="AT599" i="1"/>
  <c r="AT895" i="1"/>
  <c r="AT299" i="1"/>
  <c r="AT211" i="1"/>
  <c r="AT629" i="1"/>
  <c r="AT534" i="1"/>
  <c r="AT281" i="1"/>
  <c r="AT275" i="1"/>
  <c r="AT217" i="1"/>
  <c r="AT716" i="1"/>
  <c r="AT542" i="1"/>
  <c r="AT524" i="1"/>
  <c r="AT372" i="1"/>
  <c r="AT364" i="1"/>
  <c r="AT204" i="1"/>
  <c r="AT571" i="1"/>
  <c r="AT639" i="1"/>
  <c r="AT533" i="1"/>
  <c r="AT365" i="1"/>
  <c r="AT551" i="1"/>
  <c r="AT355" i="1"/>
  <c r="AT555" i="1"/>
  <c r="AT208" i="1"/>
  <c r="AT903" i="1"/>
  <c r="AT842" i="1"/>
  <c r="AT822" i="1"/>
  <c r="AT770" i="1"/>
  <c r="AT1733" i="1"/>
  <c r="AT1716" i="1"/>
  <c r="AT1702" i="1"/>
  <c r="AT1363" i="1"/>
  <c r="AT1328" i="1"/>
  <c r="AT1271" i="1"/>
  <c r="AT1009" i="1"/>
  <c r="AT646" i="1"/>
  <c r="AT607" i="1"/>
  <c r="AT449" i="1"/>
  <c r="AT669" i="1"/>
  <c r="AT502" i="1"/>
  <c r="AT283" i="1"/>
  <c r="AT315" i="1"/>
  <c r="AT572" i="1"/>
  <c r="AT265" i="1"/>
  <c r="AT870" i="1"/>
  <c r="AT754" i="1"/>
  <c r="AT833" i="1"/>
  <c r="AT425" i="1"/>
  <c r="AT274" i="1"/>
  <c r="AT382" i="1"/>
  <c r="AT359" i="1"/>
  <c r="AT585" i="1"/>
  <c r="AT525" i="1"/>
  <c r="AT742" i="1"/>
  <c r="AT477" i="1"/>
  <c r="AT914" i="1"/>
  <c r="AT882" i="1"/>
  <c r="AT429" i="1"/>
  <c r="AT608" i="1"/>
  <c r="AT287" i="1"/>
  <c r="AT333" i="1"/>
  <c r="AT215" i="1"/>
  <c r="AT554" i="1"/>
  <c r="AT728" i="1"/>
  <c r="AT641" i="1"/>
  <c r="AT907" i="1"/>
  <c r="AT327" i="1"/>
  <c r="AT456" i="1"/>
  <c r="AT688" i="1"/>
  <c r="AT338" i="1"/>
  <c r="AT276" i="1"/>
  <c r="AT221" i="1"/>
  <c r="AT613" i="1"/>
  <c r="AT321" i="1"/>
  <c r="AT218" i="1"/>
  <c r="AT311" i="1"/>
  <c r="AT834" i="1"/>
  <c r="AT637" i="1"/>
  <c r="AT910" i="1"/>
  <c r="AT548" i="1"/>
  <c r="AT421" i="1"/>
  <c r="AT838" i="1"/>
  <c r="AT633" i="1"/>
  <c r="AT564" i="1"/>
  <c r="AT884" i="1"/>
  <c r="AT670" i="1"/>
  <c r="AT674" i="1"/>
  <c r="AT424" i="1"/>
  <c r="AT262" i="1"/>
  <c r="AT691" i="1"/>
  <c r="AT435" i="1"/>
  <c r="AT636" i="1"/>
  <c r="AT729" i="1"/>
  <c r="AT679" i="1"/>
  <c r="AT363" i="1"/>
  <c r="AT336" i="1"/>
  <c r="AT391" i="1"/>
  <c r="AT520" i="1"/>
  <c r="AT579" i="1"/>
  <c r="AT580" i="1"/>
  <c r="AT273" i="1"/>
  <c r="AT297" i="1"/>
  <c r="AT853" i="1"/>
  <c r="AT308" i="1"/>
  <c r="AT923" i="1"/>
  <c r="AT480" i="1"/>
  <c r="AT614" i="1"/>
  <c r="AT620" i="1"/>
  <c r="AT747" i="1"/>
  <c r="AT868" i="1"/>
  <c r="AT583" i="1"/>
  <c r="AT268" i="1"/>
  <c r="AT918" i="1"/>
  <c r="AT589" i="1"/>
  <c r="AT841" i="1"/>
  <c r="AT588" i="1"/>
  <c r="AT616" i="1"/>
  <c r="AT312" i="1"/>
  <c r="AT383" i="1"/>
  <c r="AT871" i="1"/>
  <c r="AT316" i="1"/>
  <c r="AT880" i="1"/>
  <c r="AT753" i="1"/>
  <c r="AT638" i="1"/>
  <c r="AT260" i="1"/>
  <c r="AT869" i="1"/>
  <c r="AT737" i="1"/>
  <c r="AT289" i="1"/>
  <c r="AT894" i="1"/>
  <c r="AT720" i="1"/>
  <c r="AT874" i="1"/>
  <c r="AT627" i="1"/>
  <c r="AT915" i="1"/>
  <c r="AT406" i="1"/>
  <c r="AT643" i="1"/>
  <c r="AT604" i="1"/>
  <c r="AT389" i="1"/>
  <c r="AT836" i="1"/>
  <c r="AT648" i="1"/>
  <c r="AT568" i="1"/>
  <c r="AT718" i="1"/>
  <c r="AT489" i="1"/>
  <c r="AT386" i="1"/>
  <c r="AT577" i="1"/>
  <c r="AT734" i="1"/>
  <c r="AT410" i="1"/>
  <c r="AT703" i="1"/>
  <c r="AT269" i="1"/>
  <c r="AT495" i="1"/>
  <c r="AT366" i="1"/>
  <c r="AT657" i="1"/>
  <c r="AT881" i="1"/>
  <c r="AT731" i="1"/>
  <c r="AT516" i="1"/>
  <c r="AT337" i="1"/>
  <c r="AT401" i="1"/>
  <c r="AT908" i="1"/>
  <c r="AT924" i="1"/>
  <c r="AT323" i="1"/>
  <c r="AT556" i="1"/>
  <c r="AT492" i="1"/>
  <c r="AT361" i="1"/>
  <c r="AT432" i="1"/>
  <c r="AT697" i="1"/>
  <c r="AT708" i="1"/>
  <c r="AT513" i="1"/>
  <c r="AT741" i="1"/>
  <c r="AT293" i="1"/>
  <c r="AT865" i="1"/>
  <c r="AT615" i="1"/>
  <c r="AT757" i="1"/>
  <c r="AT487" i="1"/>
  <c r="AT590" i="1"/>
  <c r="AT526" i="1"/>
  <c r="AT379" i="1"/>
  <c r="AT690" i="1"/>
  <c r="AT420" i="1"/>
  <c r="AT899" i="1"/>
  <c r="AT523" i="1"/>
  <c r="AT504" i="1"/>
  <c r="AT284" i="1"/>
  <c r="AT560" i="1"/>
  <c r="AT352" i="1"/>
  <c r="AT496" i="1"/>
  <c r="AT280" i="1"/>
  <c r="AT675" i="1"/>
  <c r="AT632" i="1"/>
  <c r="AT832" i="1"/>
  <c r="AT619" i="1"/>
  <c r="AT528" i="1"/>
  <c r="AT222" i="1"/>
  <c r="AT261" i="1"/>
  <c r="AT745" i="1"/>
  <c r="AT840" i="1"/>
  <c r="AT295" i="1"/>
  <c r="AT575" i="1"/>
  <c r="AT844" i="1"/>
  <c r="AT417" i="1"/>
  <c r="AT744" i="1"/>
  <c r="AT663" i="1"/>
  <c r="AT341" i="1"/>
  <c r="AT898" i="1"/>
  <c r="AT301" i="1"/>
  <c r="AT847" i="1"/>
  <c r="AT748" i="1"/>
  <c r="AT393" i="1"/>
  <c r="AT576" i="1"/>
  <c r="AT758" i="1"/>
  <c r="AT687" i="1"/>
  <c r="AT378" i="1"/>
  <c r="AT896" i="1"/>
  <c r="AT611" i="1"/>
  <c r="AT348" i="1"/>
  <c r="AT270" i="1"/>
  <c r="AT404" i="1"/>
  <c r="AT503" i="1"/>
  <c r="AT749" i="1"/>
  <c r="AT594" i="1"/>
  <c r="AT331" i="1"/>
  <c r="AT532" i="1"/>
  <c r="AT319" i="1"/>
  <c r="AT603" i="1"/>
  <c r="AT557" i="1"/>
  <c r="AT453" i="1"/>
  <c r="AT488" i="1"/>
  <c r="AT267" i="1"/>
  <c r="AT730" i="1"/>
  <c r="AT593" i="1"/>
  <c r="AT574" i="1"/>
  <c r="AT324" i="1"/>
  <c r="AT559" i="1"/>
  <c r="AT584" i="1"/>
  <c r="AT223" i="1"/>
  <c r="AT422" i="1"/>
  <c r="AT535" i="1"/>
  <c r="AT371" i="1"/>
  <c r="AT326" i="1"/>
  <c r="AT606" i="1"/>
  <c r="AT454" i="1"/>
  <c r="AT478" i="1"/>
  <c r="AT850" i="1"/>
  <c r="AT714" i="1"/>
  <c r="AT362" i="1"/>
  <c r="AT469" i="1"/>
  <c r="AT219" i="1"/>
  <c r="AT705" i="1"/>
  <c r="AT886" i="1"/>
  <c r="AT725" i="1"/>
  <c r="AT855" i="1"/>
  <c r="AT676" i="1"/>
  <c r="AT877" i="1"/>
  <c r="AT353" i="1"/>
  <c r="AT710" i="1"/>
  <c r="AT587" i="1"/>
  <c r="AT681" i="1"/>
  <c r="AT912" i="1"/>
  <c r="AT384" i="1"/>
  <c r="AT726" i="1"/>
  <c r="AT347" i="1"/>
  <c r="AT686" i="1"/>
  <c r="AT428" i="1"/>
  <c r="AT567" i="1"/>
  <c r="AT458" i="1"/>
  <c r="AT515" i="1"/>
  <c r="AT715" i="1"/>
  <c r="AT209" i="1"/>
  <c r="AT475" i="1"/>
  <c r="AT351" i="1"/>
  <c r="AT645" i="1"/>
  <c r="AT302" i="1"/>
  <c r="AT761" i="1"/>
  <c r="AT499" i="1"/>
  <c r="AT288" i="1"/>
  <c r="AT904" i="1"/>
  <c r="AT385" i="1"/>
  <c r="AT343" i="1"/>
  <c r="AT536" i="1"/>
  <c r="AT507" i="1"/>
  <c r="AT684" i="1"/>
  <c r="AT537" i="1"/>
  <c r="AT655" i="1"/>
  <c r="AT642" i="1"/>
  <c r="AT482" i="1"/>
  <c r="AT388" i="1"/>
  <c r="AT722" i="1"/>
  <c r="AT762" i="1"/>
  <c r="AT672" i="1"/>
  <c r="AT693" i="1"/>
  <c r="AT917" i="1"/>
  <c r="AT545" i="1"/>
  <c r="AT866" i="1"/>
  <c r="AT596" i="1"/>
  <c r="AT540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<sst xmlns="http://schemas.openxmlformats.org/spreadsheetml/2006/main" count="43294" uniqueCount="12164">
  <si>
    <t>Account</t>
  </si>
  <si>
    <t>bbgid</t>
  </si>
  <si>
    <t>rawTicker</t>
  </si>
  <si>
    <t>name</t>
  </si>
  <si>
    <t>lei</t>
  </si>
  <si>
    <t>title</t>
  </si>
  <si>
    <t>cusip</t>
  </si>
  <si>
    <t>isin</t>
  </si>
  <si>
    <t>ticker</t>
  </si>
  <si>
    <t>invCountry</t>
  </si>
  <si>
    <t>assetCat</t>
  </si>
  <si>
    <t>issuerCat</t>
  </si>
  <si>
    <t>derivCat</t>
  </si>
  <si>
    <t>counterpartyName</t>
  </si>
  <si>
    <t>counterpartyLei</t>
  </si>
  <si>
    <t>putOrCall</t>
  </si>
  <si>
    <t>writtenOrPur</t>
  </si>
  <si>
    <t>exercisePrice</t>
  </si>
  <si>
    <t>exercisePriceCurCd</t>
  </si>
  <si>
    <t>expDt</t>
  </si>
  <si>
    <t>delta</t>
  </si>
  <si>
    <t>refInstType</t>
  </si>
  <si>
    <t>refIndexName</t>
  </si>
  <si>
    <t>refIndexIdentifier</t>
  </si>
  <si>
    <t>swapFlag</t>
  </si>
  <si>
    <t>terminationDt</t>
  </si>
  <si>
    <t>notionalAmt</t>
  </si>
  <si>
    <t>swapCurCd</t>
  </si>
  <si>
    <t>unrealizedAppr</t>
  </si>
  <si>
    <t>valUSD</t>
  </si>
  <si>
    <t>pctVal</t>
  </si>
  <si>
    <t>recFixedOrFloating</t>
  </si>
  <si>
    <t>recDesc</t>
  </si>
  <si>
    <t>pmntFixedOrFloating</t>
  </si>
  <si>
    <t>pmntFloatingRtIndex</t>
  </si>
  <si>
    <t>pmntFloatingRtSpread</t>
  </si>
  <si>
    <t>pmntPmntAmt</t>
  </si>
  <si>
    <t>pmntCurCdLeg</t>
  </si>
  <si>
    <t>pmntRateTenor</t>
  </si>
  <si>
    <t>pmntRateUnit</t>
  </si>
  <si>
    <t>refIssuerName</t>
  </si>
  <si>
    <t>refIssueTitle</t>
  </si>
  <si>
    <t>refCusip</t>
  </si>
  <si>
    <t>refIsin</t>
  </si>
  <si>
    <t>refTicker</t>
  </si>
  <si>
    <t>maturityDt</t>
  </si>
  <si>
    <t>couponKind</t>
  </si>
  <si>
    <t>annualizedRt</t>
  </si>
  <si>
    <t>isDefault</t>
  </si>
  <si>
    <t>areIntrstPmntsInArrs</t>
  </si>
  <si>
    <t>isPaidKind</t>
  </si>
  <si>
    <t>GPTZ</t>
  </si>
  <si>
    <t>Cash&amp;Other</t>
  </si>
  <si>
    <t>ACLZ</t>
  </si>
  <si>
    <t>054540208 Equity</t>
  </si>
  <si>
    <t>054540208-TRS-12/01/27-L-CANT</t>
  </si>
  <si>
    <t>N/A</t>
  </si>
  <si>
    <t>AXCELIS TECHNOLOGIES, INC.-SWAP-CANT-L</t>
  </si>
  <si>
    <t>US</t>
  </si>
  <si>
    <t>DE</t>
  </si>
  <si>
    <t>OTHER</t>
  </si>
  <si>
    <t>SWP</t>
  </si>
  <si>
    <t>Cantor Fitzgerald &amp; Co.</t>
  </si>
  <si>
    <t>5493004J7H4GCPG6OB62</t>
  </si>
  <si>
    <t>otherRefInst</t>
  </si>
  <si>
    <t>Y</t>
  </si>
  <si>
    <t>2027-12-01</t>
  </si>
  <si>
    <t>485785.16</t>
  </si>
  <si>
    <t>USD</t>
  </si>
  <si>
    <t>199.21</t>
  </si>
  <si>
    <t>Other</t>
  </si>
  <si>
    <t>Total return of AXCELIS TECHNOLOGIES, INC.</t>
  </si>
  <si>
    <t>Floating</t>
  </si>
  <si>
    <t>USD-SOFR</t>
  </si>
  <si>
    <t>Month</t>
  </si>
  <si>
    <t>3</t>
  </si>
  <si>
    <t>054540208</t>
  </si>
  <si>
    <t>FGXXX US Equity</t>
  </si>
  <si>
    <t>FGXXX</t>
  </si>
  <si>
    <t>First American Government Obli</t>
  </si>
  <si>
    <t>First American Government Obligations Fund</t>
  </si>
  <si>
    <t>STIV</t>
  </si>
  <si>
    <t>RF</t>
  </si>
  <si>
    <t>ACMM</t>
  </si>
  <si>
    <t>00108J109 Equity</t>
  </si>
  <si>
    <t>00108J109-TRS-07/26/27-L-MREX</t>
  </si>
  <si>
    <t>ACM RESEARCH, INC.-SWAP-MREX-L</t>
  </si>
  <si>
    <t>Marex Capital Markets Inc.</t>
  </si>
  <si>
    <t>5493006BWPDUCYG6EQ34</t>
  </si>
  <si>
    <t>2027-07-26</t>
  </si>
  <si>
    <t>519176.00</t>
  </si>
  <si>
    <t>197.73</t>
  </si>
  <si>
    <t>Total return of ACM RESEARCH, INC.</t>
  </si>
  <si>
    <t>00108J109</t>
  </si>
  <si>
    <t>AV</t>
  </si>
  <si>
    <t>AAL US Equity</t>
  </si>
  <si>
    <t>AAL</t>
  </si>
  <si>
    <t>American Airlines Group Inc</t>
  </si>
  <si>
    <t>EC</t>
  </si>
  <si>
    <t>CORP</t>
  </si>
  <si>
    <t>AER US Equity</t>
  </si>
  <si>
    <t>AER</t>
  </si>
  <si>
    <t>AerCap Holdings NV</t>
  </si>
  <si>
    <t>AIR US Equity</t>
  </si>
  <si>
    <t>AIR</t>
  </si>
  <si>
    <t>AAR Corp</t>
  </si>
  <si>
    <t>ALGT US Equity</t>
  </si>
  <si>
    <t>ALGT</t>
  </si>
  <si>
    <t>Allegiant Travel Co</t>
  </si>
  <si>
    <t>ALK US Equity</t>
  </si>
  <si>
    <t>ALK</t>
  </si>
  <si>
    <t>Alaska Air Group Inc</t>
  </si>
  <si>
    <t>ASR US Equity</t>
  </si>
  <si>
    <t>ASR</t>
  </si>
  <si>
    <t>Grupo Aeroportuario del Surest</t>
  </si>
  <si>
    <t>Grupo Aeroportuario del Sureste SAB de CV</t>
  </si>
  <si>
    <t>ATI US Equity</t>
  </si>
  <si>
    <t>ATI</t>
  </si>
  <si>
    <t>ATI Inc</t>
  </si>
  <si>
    <t>BA US Equity</t>
  </si>
  <si>
    <t>BA</t>
  </si>
  <si>
    <t>Boeing Co/The</t>
  </si>
  <si>
    <t>CAE US Equity</t>
  </si>
  <si>
    <t>CAE</t>
  </si>
  <si>
    <t>CAE Inc</t>
  </si>
  <si>
    <t>CPA US Equity</t>
  </si>
  <si>
    <t>CPA</t>
  </si>
  <si>
    <t>Copa Holdings SA</t>
  </si>
  <si>
    <t>CRS US Equity</t>
  </si>
  <si>
    <t>CRS</t>
  </si>
  <si>
    <t>Carpenter Technology Corp</t>
  </si>
  <si>
    <t>DAL US Equity</t>
  </si>
  <si>
    <t>DAL</t>
  </si>
  <si>
    <t>Delta Air Lines Inc</t>
  </si>
  <si>
    <t>DCO US Equity</t>
  </si>
  <si>
    <t>DCO</t>
  </si>
  <si>
    <t>Ducommun Inc</t>
  </si>
  <si>
    <t>EMBJ US Equity</t>
  </si>
  <si>
    <t>EMBJ</t>
  </si>
  <si>
    <t>Embraer SA</t>
  </si>
  <si>
    <t>FDX US Equity</t>
  </si>
  <si>
    <t>FDX</t>
  </si>
  <si>
    <t>FedEx Corp</t>
  </si>
  <si>
    <t>FDXF US Equity</t>
  </si>
  <si>
    <t>FDXF</t>
  </si>
  <si>
    <t>Fedex Freight Holding Co Inc</t>
  </si>
  <si>
    <t>FTAI US Equity</t>
  </si>
  <si>
    <t>FTAI</t>
  </si>
  <si>
    <t>FTAI Aviation Ltd</t>
  </si>
  <si>
    <t>GD US Equity</t>
  </si>
  <si>
    <t>GD</t>
  </si>
  <si>
    <t>General Dynamics Corp</t>
  </si>
  <si>
    <t>GE US Equity</t>
  </si>
  <si>
    <t>GE</t>
  </si>
  <si>
    <t>GE AEROSPACE</t>
  </si>
  <si>
    <t>HEI US Equity</t>
  </si>
  <si>
    <t>HEI</t>
  </si>
  <si>
    <t>HEICO Corp</t>
  </si>
  <si>
    <t>HWM US Equity</t>
  </si>
  <si>
    <t>HWM</t>
  </si>
  <si>
    <t>Howmet Aerospace Inc</t>
  </si>
  <si>
    <t>HXL US Equity</t>
  </si>
  <si>
    <t>HXL</t>
  </si>
  <si>
    <t>Hexcel Corp</t>
  </si>
  <si>
    <t>JBLU US Equity</t>
  </si>
  <si>
    <t>JBLU</t>
  </si>
  <si>
    <t>JetBlue Airways Corp</t>
  </si>
  <si>
    <t>JOBY US Equity</t>
  </si>
  <si>
    <t>JOBY</t>
  </si>
  <si>
    <t>Joby Aviation Inc</t>
  </si>
  <si>
    <t>LMT US Equity</t>
  </si>
  <si>
    <t>LMT</t>
  </si>
  <si>
    <t>Lockheed Martin Corp</t>
  </si>
  <si>
    <t>LOAR US Equity</t>
  </si>
  <si>
    <t>LOAR</t>
  </si>
  <si>
    <t>Loar Holdings Inc</t>
  </si>
  <si>
    <t>LUV US Equity</t>
  </si>
  <si>
    <t>LUV</t>
  </si>
  <si>
    <t>Southwest Airlines Co</t>
  </si>
  <si>
    <t>MOG/A US Equity</t>
  </si>
  <si>
    <t>MOG/A</t>
  </si>
  <si>
    <t>Moog Inc</t>
  </si>
  <si>
    <t>NOC US Equity</t>
  </si>
  <si>
    <t>NOC</t>
  </si>
  <si>
    <t>Northrop Grumman Corp</t>
  </si>
  <si>
    <t>PAC US Equity</t>
  </si>
  <si>
    <t>PAC</t>
  </si>
  <si>
    <t>Grupo Aeroportuario del Pacifi</t>
  </si>
  <si>
    <t>Grupo Aeroportuario del Pacifico SAB de CV</t>
  </si>
  <si>
    <t>RTX US Equity</t>
  </si>
  <si>
    <t>RTX</t>
  </si>
  <si>
    <t>RTX Corp</t>
  </si>
  <si>
    <t>RYAAY US Equity</t>
  </si>
  <si>
    <t>RYAAY</t>
  </si>
  <si>
    <t>Ryanair Holdings PLC</t>
  </si>
  <si>
    <t>SKYW US Equity</t>
  </si>
  <si>
    <t>SKYW</t>
  </si>
  <si>
    <t>SkyWest Inc</t>
  </si>
  <si>
    <t>TDG US Equity</t>
  </si>
  <si>
    <t>TDG</t>
  </si>
  <si>
    <t>TransDigm Group Inc</t>
  </si>
  <si>
    <t>TXT US Equity</t>
  </si>
  <si>
    <t>TXT</t>
  </si>
  <si>
    <t>Textron Inc</t>
  </si>
  <si>
    <t>UAL US Equity</t>
  </si>
  <si>
    <t>UAL</t>
  </si>
  <si>
    <t>United Airlines Holdings Inc</t>
  </si>
  <si>
    <t>ULCC US Equity</t>
  </si>
  <si>
    <t>ULCC</t>
  </si>
  <si>
    <t>Frontier Group Holdings Inc</t>
  </si>
  <si>
    <t>UPS US Equity</t>
  </si>
  <si>
    <t>UPS</t>
  </si>
  <si>
    <t>United Parcel Service Inc</t>
  </si>
  <si>
    <t>WWD US Equity</t>
  </si>
  <si>
    <t>WWD</t>
  </si>
  <si>
    <t>Woodward Inc</t>
  </si>
  <si>
    <t>BAY</t>
  </si>
  <si>
    <t>AAPL US Equity</t>
  </si>
  <si>
    <t>AAPL</t>
  </si>
  <si>
    <t>Apple Inc</t>
  </si>
  <si>
    <t>ABNB US Equity</t>
  </si>
  <si>
    <t>ABNB</t>
  </si>
  <si>
    <t>Airbnb Inc</t>
  </si>
  <si>
    <t>ADBE US Equity</t>
  </si>
  <si>
    <t>ADBE</t>
  </si>
  <si>
    <t>Adobe Inc</t>
  </si>
  <si>
    <t>ADSK US Equity</t>
  </si>
  <si>
    <t>ADSK</t>
  </si>
  <si>
    <t>Autodesk Inc</t>
  </si>
  <si>
    <t>AFRM US Equity</t>
  </si>
  <si>
    <t>AFRM</t>
  </si>
  <si>
    <t>Affirm Holdings Inc</t>
  </si>
  <si>
    <t>ALAB US Equity</t>
  </si>
  <si>
    <t>ALAB</t>
  </si>
  <si>
    <t>Astera Labs Inc</t>
  </si>
  <si>
    <t>AMAT US Equity</t>
  </si>
  <si>
    <t>AMAT</t>
  </si>
  <si>
    <t>Applied Materials Inc</t>
  </si>
  <si>
    <t>AMD US Equity</t>
  </si>
  <si>
    <t>AMD</t>
  </si>
  <si>
    <t>Advanced Micro Devices Inc</t>
  </si>
  <si>
    <t>APP US Equity</t>
  </si>
  <si>
    <t>APP</t>
  </si>
  <si>
    <t>AppLovin Corp</t>
  </si>
  <si>
    <t>AVGO US Equity</t>
  </si>
  <si>
    <t>AVGO</t>
  </si>
  <si>
    <t>Broadcom Inc</t>
  </si>
  <si>
    <t>BBIO US Equity</t>
  </si>
  <si>
    <t>BBIO</t>
  </si>
  <si>
    <t>Bridgebio Pharma Inc</t>
  </si>
  <si>
    <t>BE US Equity</t>
  </si>
  <si>
    <t>BE</t>
  </si>
  <si>
    <t>Bloom Energy Corp</t>
  </si>
  <si>
    <t>CLX US Equity</t>
  </si>
  <si>
    <t>CLX</t>
  </si>
  <si>
    <t>Clorox Co/The</t>
  </si>
  <si>
    <t>COIN US Equity</t>
  </si>
  <si>
    <t>COIN</t>
  </si>
  <si>
    <t>Coinbase Global Inc</t>
  </si>
  <si>
    <t>COO US Equity</t>
  </si>
  <si>
    <t>COO</t>
  </si>
  <si>
    <t>Cooper Cos Inc/The</t>
  </si>
  <si>
    <t>CRM US Equity</t>
  </si>
  <si>
    <t>CRM</t>
  </si>
  <si>
    <t>Salesforce Inc</t>
  </si>
  <si>
    <t>CSCO US Equity</t>
  </si>
  <si>
    <t>CSCO</t>
  </si>
  <si>
    <t>Cisco Systems Inc</t>
  </si>
  <si>
    <t>DASH US Equity</t>
  </si>
  <si>
    <t>DASH</t>
  </si>
  <si>
    <t>DoorDash Inc</t>
  </si>
  <si>
    <t>EBAY US Equity</t>
  </si>
  <si>
    <t>EBAY</t>
  </si>
  <si>
    <t>eBay Inc</t>
  </si>
  <si>
    <t>ESS US Equity</t>
  </si>
  <si>
    <t>ESS</t>
  </si>
  <si>
    <t>Essex Property Trust Inc</t>
  </si>
  <si>
    <t>FTNT US Equity</t>
  </si>
  <si>
    <t>FTNT</t>
  </si>
  <si>
    <t>Fortinet Inc</t>
  </si>
  <si>
    <t>GILD US Equity</t>
  </si>
  <si>
    <t>GILD</t>
  </si>
  <si>
    <t>Gilead Sciences Inc</t>
  </si>
  <si>
    <t>GOOGL US Equity</t>
  </si>
  <si>
    <t>GOOGL</t>
  </si>
  <si>
    <t>Alphabet Inc</t>
  </si>
  <si>
    <t>HOOD US Equity</t>
  </si>
  <si>
    <t>HOOD</t>
  </si>
  <si>
    <t>Robinhood Markets Inc</t>
  </si>
  <si>
    <t>HPQ US Equity</t>
  </si>
  <si>
    <t>HPQ</t>
  </si>
  <si>
    <t>HP Inc</t>
  </si>
  <si>
    <t>INTC US Equity</t>
  </si>
  <si>
    <t>INTC</t>
  </si>
  <si>
    <t>Intel Corp</t>
  </si>
  <si>
    <t>IOT US Equity</t>
  </si>
  <si>
    <t>IOT</t>
  </si>
  <si>
    <t>Samsara Inc</t>
  </si>
  <si>
    <t>ISRG US Equity</t>
  </si>
  <si>
    <t>ISRG</t>
  </si>
  <si>
    <t>Intuitive Surgical Inc</t>
  </si>
  <si>
    <t>LITE US Equity</t>
  </si>
  <si>
    <t>LITE</t>
  </si>
  <si>
    <t>Lumentum Holdings Inc</t>
  </si>
  <si>
    <t>LRCX US Equity</t>
  </si>
  <si>
    <t>LRCX</t>
  </si>
  <si>
    <t>Lam Research Corp</t>
  </si>
  <si>
    <t>META US Equity</t>
  </si>
  <si>
    <t>META</t>
  </si>
  <si>
    <t>Meta Platforms Inc</t>
  </si>
  <si>
    <t>MRVL US Equity</t>
  </si>
  <si>
    <t>MRVL</t>
  </si>
  <si>
    <t>MARVELL TECHNOLOGY INC</t>
  </si>
  <si>
    <t>NET US Equity</t>
  </si>
  <si>
    <t>NET</t>
  </si>
  <si>
    <t>Cloudflare Inc</t>
  </si>
  <si>
    <t>NFLX US Equity</t>
  </si>
  <si>
    <t>NFLX</t>
  </si>
  <si>
    <t>Netflix Inc</t>
  </si>
  <si>
    <t>NOW US Equity</t>
  </si>
  <si>
    <t>NOW</t>
  </si>
  <si>
    <t>ServiceNow Inc</t>
  </si>
  <si>
    <t>NVDA US Equity</t>
  </si>
  <si>
    <t>NVDA</t>
  </si>
  <si>
    <t>NVIDIA Corp</t>
  </si>
  <si>
    <t>OKTA US Equity</t>
  </si>
  <si>
    <t>OKTA</t>
  </si>
  <si>
    <t>Okta Inc</t>
  </si>
  <si>
    <t>PANW US Equity</t>
  </si>
  <si>
    <t>PANW</t>
  </si>
  <si>
    <t>Palo Alto Networks Inc</t>
  </si>
  <si>
    <t>PCG US Equity</t>
  </si>
  <si>
    <t>PCG</t>
  </si>
  <si>
    <t>PG&amp;E Corp</t>
  </si>
  <si>
    <t>RBLX US Equity</t>
  </si>
  <si>
    <t>RBLX</t>
  </si>
  <si>
    <t>ROBLOX Corp</t>
  </si>
  <si>
    <t>RDDT US Equity</t>
  </si>
  <si>
    <t>RDDT</t>
  </si>
  <si>
    <t>Reddit Inc</t>
  </si>
  <si>
    <t>RIVN US Equity</t>
  </si>
  <si>
    <t>RIVN</t>
  </si>
  <si>
    <t>Rivian Automotive Inc</t>
  </si>
  <si>
    <t>ROST US Equity</t>
  </si>
  <si>
    <t>ROST</t>
  </si>
  <si>
    <t>Ross Stores Inc</t>
  </si>
  <si>
    <t>SMCI US Equity</t>
  </si>
  <si>
    <t>SMCI</t>
  </si>
  <si>
    <t>Super Micro Computer Inc</t>
  </si>
  <si>
    <t>SNOW US Equity</t>
  </si>
  <si>
    <t>SNOW</t>
  </si>
  <si>
    <t>Snowflake Inc</t>
  </si>
  <si>
    <t>SNX US Equity</t>
  </si>
  <si>
    <t>SNX</t>
  </si>
  <si>
    <t>TD SYNNEX Corp</t>
  </si>
  <si>
    <t>SOFI US Equity</t>
  </si>
  <si>
    <t>SOFI</t>
  </si>
  <si>
    <t>SoFi Technologies Inc</t>
  </si>
  <si>
    <t>STX US Equity</t>
  </si>
  <si>
    <t>STX</t>
  </si>
  <si>
    <t>Seagate Technology Holdings PL</t>
  </si>
  <si>
    <t>Seagate Technology Holdings PLC</t>
  </si>
  <si>
    <t>TWLO US Equity</t>
  </si>
  <si>
    <t>TWLO</t>
  </si>
  <si>
    <t>Twilio Inc</t>
  </si>
  <si>
    <t>UBER US Equity</t>
  </si>
  <si>
    <t>UBER</t>
  </si>
  <si>
    <t>Uber Technologies Inc</t>
  </si>
  <si>
    <t>V US Equity</t>
  </si>
  <si>
    <t>V</t>
  </si>
  <si>
    <t>Visa Inc</t>
  </si>
  <si>
    <t>VEEV US Equity</t>
  </si>
  <si>
    <t>VEEV</t>
  </si>
  <si>
    <t>Veeva Systems Inc</t>
  </si>
  <si>
    <t>WDAY US Equity</t>
  </si>
  <si>
    <t>WDAY</t>
  </si>
  <si>
    <t>Workday Inc</t>
  </si>
  <si>
    <t>WDC US Equity</t>
  </si>
  <si>
    <t>WDC</t>
  </si>
  <si>
    <t>Western Digital Corp</t>
  </si>
  <si>
    <t>WFC US Equity</t>
  </si>
  <si>
    <t>WFC</t>
  </si>
  <si>
    <t>Wells Fargo &amp; Co</t>
  </si>
  <si>
    <t>WSM US Equity</t>
  </si>
  <si>
    <t>WSM</t>
  </si>
  <si>
    <t>Williams-Sonoma Inc</t>
  </si>
  <si>
    <t>XYZ US Equity</t>
  </si>
  <si>
    <t>XYZ</t>
  </si>
  <si>
    <t>Block Inc</t>
  </si>
  <si>
    <t>ZM US Equity</t>
  </si>
  <si>
    <t>ZM</t>
  </si>
  <si>
    <t>Zoom Communications Inc</t>
  </si>
  <si>
    <t>ZS US Equity</t>
  </si>
  <si>
    <t>ZS</t>
  </si>
  <si>
    <t>Zscaler Inc</t>
  </si>
  <si>
    <t>BLCK</t>
  </si>
  <si>
    <t>APLD US Equity</t>
  </si>
  <si>
    <t>APLD</t>
  </si>
  <si>
    <t>Applied Digital Corp</t>
  </si>
  <si>
    <t>BKKT US Equity</t>
  </si>
  <si>
    <t>BKKT</t>
  </si>
  <si>
    <t>Bakkt Inc</t>
  </si>
  <si>
    <t>BLSH US Equity</t>
  </si>
  <si>
    <t>BLSH</t>
  </si>
  <si>
    <t>Bullish</t>
  </si>
  <si>
    <t>BMNR US Equity</t>
  </si>
  <si>
    <t>BMNR</t>
  </si>
  <si>
    <t>BitMine Immersion Technologies</t>
  </si>
  <si>
    <t>BitMine Immersion Technologies Inc</t>
  </si>
  <si>
    <t>BTBT US Equity</t>
  </si>
  <si>
    <t>BTBT</t>
  </si>
  <si>
    <t>Bit Digital Inc</t>
  </si>
  <si>
    <t>BTDR US Equity</t>
  </si>
  <si>
    <t>BTDR</t>
  </si>
  <si>
    <t>Bitdeer Technologies Group</t>
  </si>
  <si>
    <t>BTGO US Equity</t>
  </si>
  <si>
    <t>BTGO</t>
  </si>
  <si>
    <t>Bitgo Holdings Inc</t>
  </si>
  <si>
    <t>CANG US Equity</t>
  </si>
  <si>
    <t>CANG</t>
  </si>
  <si>
    <t>Cango Inc/KY</t>
  </si>
  <si>
    <t>CBOE US Equity</t>
  </si>
  <si>
    <t>CBOE</t>
  </si>
  <si>
    <t>Cboe Global Markets Inc</t>
  </si>
  <si>
    <t>CIFR US Equity</t>
  </si>
  <si>
    <t>CIFR</t>
  </si>
  <si>
    <t>Cipher Digital Inc</t>
  </si>
  <si>
    <t>CLSK US Equity</t>
  </si>
  <si>
    <t>CLSK</t>
  </si>
  <si>
    <t>Cleanspark Inc</t>
  </si>
  <si>
    <t>CME US Equity</t>
  </si>
  <si>
    <t>CME</t>
  </si>
  <si>
    <t>CME Group Inc</t>
  </si>
  <si>
    <t>CNCK US Equity</t>
  </si>
  <si>
    <t>CNCK</t>
  </si>
  <si>
    <t>Coincheck Group NV</t>
  </si>
  <si>
    <t>CORZ US Equity</t>
  </si>
  <si>
    <t>CORZ</t>
  </si>
  <si>
    <t>Core Scientific Inc</t>
  </si>
  <si>
    <t>CRCL US Equity</t>
  </si>
  <si>
    <t>CRCL</t>
  </si>
  <si>
    <t>Circle Internet Group Inc</t>
  </si>
  <si>
    <t>CSHR US Equity</t>
  </si>
  <si>
    <t>CSHR</t>
  </si>
  <si>
    <t>CoinShares PLC</t>
  </si>
  <si>
    <t>ETOR US Equity</t>
  </si>
  <si>
    <t>ETOR</t>
  </si>
  <si>
    <t>Etoro Group Ltd</t>
  </si>
  <si>
    <t>FIGR US Equity</t>
  </si>
  <si>
    <t>FIGR</t>
  </si>
  <si>
    <t>Figure Technology Solutions In</t>
  </si>
  <si>
    <t>Figure Technology Solutions Inc</t>
  </si>
  <si>
    <t>FUFU US Equity</t>
  </si>
  <si>
    <t>FUFU</t>
  </si>
  <si>
    <t>BitFuFu Inc</t>
  </si>
  <si>
    <t>GEMI US Equity</t>
  </si>
  <si>
    <t>GEMI</t>
  </si>
  <si>
    <t>Gemini Space Station Inc</t>
  </si>
  <si>
    <t>GLXY US Equity</t>
  </si>
  <si>
    <t>GLXY</t>
  </si>
  <si>
    <t>Galaxy Digital Inc</t>
  </si>
  <si>
    <t>GPGI US Equity</t>
  </si>
  <si>
    <t>GPGI</t>
  </si>
  <si>
    <t>GPGI Inc</t>
  </si>
  <si>
    <t>HIVE US Equity</t>
  </si>
  <si>
    <t>HIVE</t>
  </si>
  <si>
    <t>Hive Digital Technologies Ltd</t>
  </si>
  <si>
    <t>HUT US Equity</t>
  </si>
  <si>
    <t>HUT</t>
  </si>
  <si>
    <t>HUT 8 CORP</t>
  </si>
  <si>
    <t>IREN US Equity</t>
  </si>
  <si>
    <t>IREN</t>
  </si>
  <si>
    <t>IREN Ltd</t>
  </si>
  <si>
    <t>MARA US Equity</t>
  </si>
  <si>
    <t>MARA</t>
  </si>
  <si>
    <t>MARA Holdings Inc</t>
  </si>
  <si>
    <t>PYPL US Equity</t>
  </si>
  <si>
    <t>PYPL</t>
  </si>
  <si>
    <t>PayPal Holdings Inc</t>
  </si>
  <si>
    <t>RIOT US Equity</t>
  </si>
  <si>
    <t>RIOT</t>
  </si>
  <si>
    <t>Riot Platforms Inc</t>
  </si>
  <si>
    <t>SLNH US Equity</t>
  </si>
  <si>
    <t>SLNH</t>
  </si>
  <si>
    <t>Soluna Holdings Inc</t>
  </si>
  <si>
    <t>WULF US Equity</t>
  </si>
  <si>
    <t>WULF</t>
  </si>
  <si>
    <t>Terawulf Inc</t>
  </si>
  <si>
    <t>BREW</t>
  </si>
  <si>
    <t>BRCC US Equity</t>
  </si>
  <si>
    <t>BRCC</t>
  </si>
  <si>
    <t>BRC Inc</t>
  </si>
  <si>
    <t>BROS US Equity</t>
  </si>
  <si>
    <t>BROS</t>
  </si>
  <si>
    <t>Dutch Bros Inc</t>
  </si>
  <si>
    <t>CELH US Equity</t>
  </si>
  <si>
    <t>CELH</t>
  </si>
  <si>
    <t>Celsius Holdings Inc</t>
  </si>
  <si>
    <t>DNUT US Equity</t>
  </si>
  <si>
    <t>DNUT</t>
  </si>
  <si>
    <t>Krispy Kreme Inc</t>
  </si>
  <si>
    <t>IFF US Equity</t>
  </si>
  <si>
    <t>IFF</t>
  </si>
  <si>
    <t>International Flavors &amp; Fragra</t>
  </si>
  <si>
    <t>International Flavors &amp; Fragrances Inc</t>
  </si>
  <si>
    <t>INGR US Equity</t>
  </si>
  <si>
    <t>INGR</t>
  </si>
  <si>
    <t>Ingredion Inc</t>
  </si>
  <si>
    <t>KDP US Equity</t>
  </si>
  <si>
    <t>KDP</t>
  </si>
  <si>
    <t>Keurig Dr Pepper Inc</t>
  </si>
  <si>
    <t>KO US Equity</t>
  </si>
  <si>
    <t>KO</t>
  </si>
  <si>
    <t>Coca-Cola Co/The</t>
  </si>
  <si>
    <t>MNST US Equity</t>
  </si>
  <si>
    <t>MNST</t>
  </si>
  <si>
    <t>Monster Beverage Corp</t>
  </si>
  <si>
    <t>PEP US Equity</t>
  </si>
  <si>
    <t>PEP</t>
  </si>
  <si>
    <t>PepsiCo Inc</t>
  </si>
  <si>
    <t>QSR US Equity</t>
  </si>
  <si>
    <t>QSR</t>
  </si>
  <si>
    <t>Restaurant Brands Internationa</t>
  </si>
  <si>
    <t>Restaurant Brands International Inc</t>
  </si>
  <si>
    <t>SBUX US Equity</t>
  </si>
  <si>
    <t>SBUX</t>
  </si>
  <si>
    <t>Starbucks Corp</t>
  </si>
  <si>
    <t>SJM US Equity</t>
  </si>
  <si>
    <t>SJM</t>
  </si>
  <si>
    <t>J M Smucker Co/The</t>
  </si>
  <si>
    <t>SXT US Equity</t>
  </si>
  <si>
    <t>SXT</t>
  </si>
  <si>
    <t>Sensient Technologies Corp</t>
  </si>
  <si>
    <t>WEST US Equity</t>
  </si>
  <si>
    <t>WEST</t>
  </si>
  <si>
    <t>Westrock Coffee Co</t>
  </si>
  <si>
    <t>ZVIA US Equity</t>
  </si>
  <si>
    <t>ZVIA</t>
  </si>
  <si>
    <t>Zevia PBC</t>
  </si>
  <si>
    <t>BRZX</t>
  </si>
  <si>
    <t>464286400 Equity</t>
  </si>
  <si>
    <t>464286400-TRS-12/01/27-L-CANT</t>
  </si>
  <si>
    <t>ISHARES MSCI BRAZIL ETF-SWAP-CANT-L</t>
  </si>
  <si>
    <t>677270.80</t>
  </si>
  <si>
    <t>199.96</t>
  </si>
  <si>
    <t>Total return of ISHARES MSCI BRAZIL ETF</t>
  </si>
  <si>
    <t>464286400</t>
  </si>
  <si>
    <t>BZZ</t>
  </si>
  <si>
    <t>ACHR US Equity</t>
  </si>
  <si>
    <t>ACHR</t>
  </si>
  <si>
    <t>Archer Aviation Inc</t>
  </si>
  <si>
    <t>AIRO US Equity</t>
  </si>
  <si>
    <t>AIRO</t>
  </si>
  <si>
    <t>AIRO Group Holdings Inc</t>
  </si>
  <si>
    <t>AMPX US Equity</t>
  </si>
  <si>
    <t>AMPX</t>
  </si>
  <si>
    <t>Amprius Technologies Inc</t>
  </si>
  <si>
    <t>AVAV US Equity</t>
  </si>
  <si>
    <t>AVAV</t>
  </si>
  <si>
    <t>AeroVironment Inc</t>
  </si>
  <si>
    <t>AXON US Equity</t>
  </si>
  <si>
    <t>AXON</t>
  </si>
  <si>
    <t>Axon Enterprise Inc</t>
  </si>
  <si>
    <t>BETA US Equity</t>
  </si>
  <si>
    <t>BETA</t>
  </si>
  <si>
    <t>Beta Technologies Inc</t>
  </si>
  <si>
    <t>DPRO US Equity</t>
  </si>
  <si>
    <t>DPRO</t>
  </si>
  <si>
    <t>Draganfly Inc</t>
  </si>
  <si>
    <t>EH US Equity</t>
  </si>
  <si>
    <t>EH</t>
  </si>
  <si>
    <t>EHang Holdings Ltd</t>
  </si>
  <si>
    <t>EVEX US Equity</t>
  </si>
  <si>
    <t>EVEX</t>
  </si>
  <si>
    <t>Eve Holding Inc</t>
  </si>
  <si>
    <t>KTOS US Equity</t>
  </si>
  <si>
    <t>KTOS</t>
  </si>
  <si>
    <t>Kratos Defense &amp; Security Solu</t>
  </si>
  <si>
    <t>Kratos Defense &amp; Security Solutions Inc</t>
  </si>
  <si>
    <t>LHX US Equity</t>
  </si>
  <si>
    <t>LHX</t>
  </si>
  <si>
    <t>L3Harris Technologies Inc</t>
  </si>
  <si>
    <t>ONDS US Equity</t>
  </si>
  <si>
    <t>ONDS</t>
  </si>
  <si>
    <t>Ondas Inc</t>
  </si>
  <si>
    <t>OUST US Equity</t>
  </si>
  <si>
    <t>OUST</t>
  </si>
  <si>
    <t>Ouster Inc</t>
  </si>
  <si>
    <t>RCAT US Equity</t>
  </si>
  <si>
    <t>RCAT</t>
  </si>
  <si>
    <t>Red Cat Holdings Inc</t>
  </si>
  <si>
    <t>SWMR US Equity</t>
  </si>
  <si>
    <t>SWMR</t>
  </si>
  <si>
    <t>Swarmer Inc</t>
  </si>
  <si>
    <t>TDY US Equity</t>
  </si>
  <si>
    <t>TDY</t>
  </si>
  <si>
    <t>Teledyne Technologies Inc</t>
  </si>
  <si>
    <t>TRMB US Equity</t>
  </si>
  <si>
    <t>TRMB</t>
  </si>
  <si>
    <t>Trimble Inc</t>
  </si>
  <si>
    <t>UMAC US Equity</t>
  </si>
  <si>
    <t>UMAC</t>
  </si>
  <si>
    <t>Unusual Machines Inc /US</t>
  </si>
  <si>
    <t>VTOL US Equity</t>
  </si>
  <si>
    <t>VTOL</t>
  </si>
  <si>
    <t>Bristow Group Inc</t>
  </si>
  <si>
    <t>CAMC</t>
  </si>
  <si>
    <t>M20791105 Equity</t>
  </si>
  <si>
    <t>M20791105-TRS-12/01/27-L-CANT</t>
  </si>
  <si>
    <t>CAMTEK LTD.-SWAP-CANT-L</t>
  </si>
  <si>
    <t>485845.90</t>
  </si>
  <si>
    <t>200.12</t>
  </si>
  <si>
    <t>Total return of CAMTEK LTD.</t>
  </si>
  <si>
    <t>M20791105</t>
  </si>
  <si>
    <t>CARX</t>
  </si>
  <si>
    <t>565394103 Equity</t>
  </si>
  <si>
    <t>565394103-TRS-12/01/27-L-CANT</t>
  </si>
  <si>
    <t>MAPLEBEAR INC.-SWAP-CANT-L</t>
  </si>
  <si>
    <t>511528.20</t>
  </si>
  <si>
    <t>Total return of MAPLEBEAR INC.</t>
  </si>
  <si>
    <t>565394103</t>
  </si>
  <si>
    <t>CBIL</t>
  </si>
  <si>
    <t>912797RS8 Govt</t>
  </si>
  <si>
    <t>912797RS8</t>
  </si>
  <si>
    <t>United States Treasury Bill 09</t>
  </si>
  <si>
    <t>United States Treasury Bill 09/03/2026</t>
  </si>
  <si>
    <t>DBT</t>
  </si>
  <si>
    <t>UST</t>
  </si>
  <si>
    <t>912797SA6 Govt</t>
  </si>
  <si>
    <t>912797SA6</t>
  </si>
  <si>
    <t>United States Treasury Bill 10</t>
  </si>
  <si>
    <t>United States Treasury Bill 10/01/2026</t>
  </si>
  <si>
    <t>912797SK4 Govt</t>
  </si>
  <si>
    <t>912797SK4</t>
  </si>
  <si>
    <t>United States Treasury Bill 10/29/2026</t>
  </si>
  <si>
    <t>912797SU2 Govt</t>
  </si>
  <si>
    <t>912797SU2</t>
  </si>
  <si>
    <t>United States Treasury Bill 11</t>
  </si>
  <si>
    <t>United States Treasury Bill 11/27/2026</t>
  </si>
  <si>
    <t>912797TC1 Govt</t>
  </si>
  <si>
    <t>912797TC1</t>
  </si>
  <si>
    <t>United States Treasury Bill 12</t>
  </si>
  <si>
    <t>United States Treasury Bill 12/24/2026</t>
  </si>
  <si>
    <t>912797TM9 Govt</t>
  </si>
  <si>
    <t>912797TM9</t>
  </si>
  <si>
    <t>United States Treasury Bill 01</t>
  </si>
  <si>
    <t>United States Treasury Bill 01/21/2027</t>
  </si>
  <si>
    <t>912797TV9 Govt</t>
  </si>
  <si>
    <t>912797TV9</t>
  </si>
  <si>
    <t>United States Treasury Bill 02</t>
  </si>
  <si>
    <t>United States Treasury Bill 02/18/2027</t>
  </si>
  <si>
    <t>912797UD7 Govt</t>
  </si>
  <si>
    <t>912797UD7</t>
  </si>
  <si>
    <t>United States Treasury Bill 03</t>
  </si>
  <si>
    <t>United States Treasury Bill 03/18/2027</t>
  </si>
  <si>
    <t>912797UE5 Govt</t>
  </si>
  <si>
    <t>912797UE5</t>
  </si>
  <si>
    <t>United States Treasury Bill 04</t>
  </si>
  <si>
    <t>United States Treasury Bill 04/15/2027</t>
  </si>
  <si>
    <t>912797UF2 Govt</t>
  </si>
  <si>
    <t>912797UF2</t>
  </si>
  <si>
    <t>United States Treasury Bill 09/10/2026</t>
  </si>
  <si>
    <t>912797UG0 Govt</t>
  </si>
  <si>
    <t>912797UG0</t>
  </si>
  <si>
    <t>United States Treasury Bill 09/17/2026</t>
  </si>
  <si>
    <t>912797UH8 Govt</t>
  </si>
  <si>
    <t>912797UH8</t>
  </si>
  <si>
    <t>United States Treasury Bill 09/24/2026</t>
  </si>
  <si>
    <t>912797UJ4 Govt</t>
  </si>
  <si>
    <t>912797UJ4</t>
  </si>
  <si>
    <t>United States Treasury Bill 10/08/2026</t>
  </si>
  <si>
    <t>912797UK1 Govt</t>
  </si>
  <si>
    <t>912797UK1</t>
  </si>
  <si>
    <t>United States Treasury Bill 10/15/2026</t>
  </si>
  <si>
    <t>912797UL9 Govt</t>
  </si>
  <si>
    <t>912797UL9</t>
  </si>
  <si>
    <t>United States Treasury Bill 10/22/2026</t>
  </si>
  <si>
    <t>912797UM7 Govt</t>
  </si>
  <si>
    <t>912797UM7</t>
  </si>
  <si>
    <t>United States Treasury Bill 11/05/2026</t>
  </si>
  <si>
    <t>912797UW5 Govt</t>
  </si>
  <si>
    <t>912797UW5</t>
  </si>
  <si>
    <t>United States Treasury Bill 09/01/2026</t>
  </si>
  <si>
    <t>912797UX3 Govt</t>
  </si>
  <si>
    <t>912797UX3</t>
  </si>
  <si>
    <t>United States Treasury Bill 05</t>
  </si>
  <si>
    <t>United States Treasury Bill 05/13/2027</t>
  </si>
  <si>
    <t>912797UY1 Govt</t>
  </si>
  <si>
    <t>912797UY1</t>
  </si>
  <si>
    <t>United States Treasury Bill 11/12/2026</t>
  </si>
  <si>
    <t>912797UZ8 Govt</t>
  </si>
  <si>
    <t>912797UZ8</t>
  </si>
  <si>
    <t>United States Treasury Bill 11/19/2026</t>
  </si>
  <si>
    <t>912797VB0 Govt</t>
  </si>
  <si>
    <t>912797VB0</t>
  </si>
  <si>
    <t>United States Treasury Bill 09/08/2026</t>
  </si>
  <si>
    <t>912797VC8 Govt</t>
  </si>
  <si>
    <t>912797VC8</t>
  </si>
  <si>
    <t>United States Treasury Bill 09/15/2026</t>
  </si>
  <si>
    <t>912797VD6 Govt</t>
  </si>
  <si>
    <t>912797VD6</t>
  </si>
  <si>
    <t>United States Treasury Bill 09/22/2026</t>
  </si>
  <si>
    <t>CBOT</t>
  </si>
  <si>
    <t>AMBA US Equity</t>
  </si>
  <si>
    <t>AMBA</t>
  </si>
  <si>
    <t>Ambarella Inc</t>
  </si>
  <si>
    <t>AMZN US Equity</t>
  </si>
  <si>
    <t>AMZN</t>
  </si>
  <si>
    <t>Amazon.com Inc</t>
  </si>
  <si>
    <t>AUR US Equity</t>
  </si>
  <si>
    <t>AUR</t>
  </si>
  <si>
    <t>Aurora Innovation Inc</t>
  </si>
  <si>
    <t>CAT US Equity</t>
  </si>
  <si>
    <t>CAT</t>
  </si>
  <si>
    <t>Caterpillar Inc</t>
  </si>
  <si>
    <t>CGNX US Equity</t>
  </si>
  <si>
    <t>CGNX</t>
  </si>
  <si>
    <t>Cognex Corp</t>
  </si>
  <si>
    <t>DE US Equity</t>
  </si>
  <si>
    <t>Deere &amp; Co</t>
  </si>
  <si>
    <t>GMED US Equity</t>
  </si>
  <si>
    <t>GMED</t>
  </si>
  <si>
    <t>Globus Medical Inc</t>
  </si>
  <si>
    <t>JBTM US Equity</t>
  </si>
  <si>
    <t>JBTM</t>
  </si>
  <si>
    <t>JBT Marel Corp</t>
  </si>
  <si>
    <t>MBLY US Equity</t>
  </si>
  <si>
    <t>MBLY</t>
  </si>
  <si>
    <t>Mobileye Global Inc</t>
  </si>
  <si>
    <t>NOVT US Equity</t>
  </si>
  <si>
    <t>NOVT</t>
  </si>
  <si>
    <t>Novanta Inc</t>
  </si>
  <si>
    <t>PATH US Equity</t>
  </si>
  <si>
    <t>PATH</t>
  </si>
  <si>
    <t>UiPath Inc</t>
  </si>
  <si>
    <t>PRCT US Equity</t>
  </si>
  <si>
    <t>PRCT</t>
  </si>
  <si>
    <t>Procept Biorobotics Corp</t>
  </si>
  <si>
    <t>PTC US Equity</t>
  </si>
  <si>
    <t>PTC</t>
  </si>
  <si>
    <t>PTC Inc</t>
  </si>
  <si>
    <t>RR US Equity</t>
  </si>
  <si>
    <t>RR</t>
  </si>
  <si>
    <t>Richtech Robotics Inc</t>
  </si>
  <si>
    <t>SERV US Equity</t>
  </si>
  <si>
    <t>SERV</t>
  </si>
  <si>
    <t>Serve Robotics Inc</t>
  </si>
  <si>
    <t>SYK US Equity</t>
  </si>
  <si>
    <t>SYK</t>
  </si>
  <si>
    <t>Stryker Corp</t>
  </si>
  <si>
    <t>SYM US Equity</t>
  </si>
  <si>
    <t>SYM</t>
  </si>
  <si>
    <t>Symbotic Inc</t>
  </si>
  <si>
    <t>TSLA US Equity</t>
  </si>
  <si>
    <t>TSLA</t>
  </si>
  <si>
    <t>Tesla Inc</t>
  </si>
  <si>
    <t>ZBH US Equity</t>
  </si>
  <si>
    <t>ZBH</t>
  </si>
  <si>
    <t>ZIMMER BIOMET HOLDINGS INC</t>
  </si>
  <si>
    <t>CCPX</t>
  </si>
  <si>
    <t>464287184 Equity</t>
  </si>
  <si>
    <t>464287184-TRS-12/01/27-L-CANT</t>
  </si>
  <si>
    <t>ISHARES CHINA LARGE-CAP ETF-SWAP-CANT-L</t>
  </si>
  <si>
    <t>2590353.28</t>
  </si>
  <si>
    <t>199.85</t>
  </si>
  <si>
    <t>Total return of ISHARES CHINA LARGE-CAP ETF</t>
  </si>
  <si>
    <t>464287184</t>
  </si>
  <si>
    <t>CGOV</t>
  </si>
  <si>
    <t>912797RF6 Govt</t>
  </si>
  <si>
    <t>912797RF6</t>
  </si>
  <si>
    <t>United States Treasury Bill 07</t>
  </si>
  <si>
    <t>United States Treasury Bill 07/09/2026</t>
  </si>
  <si>
    <t>912797RG4 Govt</t>
  </si>
  <si>
    <t>912797RG4</t>
  </si>
  <si>
    <t>United States Treasury Bill 08</t>
  </si>
  <si>
    <t>United States Treasury Bill 08/06/2026</t>
  </si>
  <si>
    <t>912797TE7 Govt</t>
  </si>
  <si>
    <t>912797TE7</t>
  </si>
  <si>
    <t>United States Treasury Bill 06</t>
  </si>
  <si>
    <t>United States Treasury Bill 06/25/2026</t>
  </si>
  <si>
    <t>912797TF4 Govt</t>
  </si>
  <si>
    <t>912797TF4</t>
  </si>
  <si>
    <t>United States Treasury Bill 07/02/2026</t>
  </si>
  <si>
    <t>912797TN7 Govt</t>
  </si>
  <si>
    <t>912797TN7</t>
  </si>
  <si>
    <t>United States Treasury Bill 07/16/2026</t>
  </si>
  <si>
    <t>912797TP2 Govt</t>
  </si>
  <si>
    <t>912797TP2</t>
  </si>
  <si>
    <t>United States Treasury Bill 07/23/2026</t>
  </si>
  <si>
    <t>912797TQ0 Govt</t>
  </si>
  <si>
    <t>912797TQ0</t>
  </si>
  <si>
    <t>United States Treasury Bill 07/30/2026</t>
  </si>
  <si>
    <t>912797TW7 Govt</t>
  </si>
  <si>
    <t>912797TW7</t>
  </si>
  <si>
    <t>United States Treasury Bill 08/13/2026</t>
  </si>
  <si>
    <t>912797TX5 Govt</t>
  </si>
  <si>
    <t>912797TX5</t>
  </si>
  <si>
    <t>United States Treasury Bill 08/20/2026</t>
  </si>
  <si>
    <t>912797TY3 Govt</t>
  </si>
  <si>
    <t>912797TY3</t>
  </si>
  <si>
    <t>United States Treasury Bill 08/27/2026</t>
  </si>
  <si>
    <t>912797UC9 Govt</t>
  </si>
  <si>
    <t>912797UC9</t>
  </si>
  <si>
    <t>United States Treasury Bill 06/30/2026</t>
  </si>
  <si>
    <t>912797UN5 Govt</t>
  </si>
  <si>
    <t>912797UN5</t>
  </si>
  <si>
    <t>United States Treasury Bill 07/07/2026</t>
  </si>
  <si>
    <t>912797UP0 Govt</t>
  </si>
  <si>
    <t>912797UP0</t>
  </si>
  <si>
    <t>United States Treasury Bill 07/14/2026</t>
  </si>
  <si>
    <t>912797UQ8 Govt</t>
  </si>
  <si>
    <t>912797UQ8</t>
  </si>
  <si>
    <t>United States Treasury Bill 07/21/2026</t>
  </si>
  <si>
    <t>912797UR6 Govt</t>
  </si>
  <si>
    <t>912797UR6</t>
  </si>
  <si>
    <t>United States Treasury Bill 07/28/2026</t>
  </si>
  <si>
    <t>912797US4 Govt</t>
  </si>
  <si>
    <t>912797US4</t>
  </si>
  <si>
    <t>United States Treasury Bill 08/04/2026</t>
  </si>
  <si>
    <t>912797UT2 Govt</t>
  </si>
  <si>
    <t>912797UT2</t>
  </si>
  <si>
    <t>United States Treasury Bill 08/11/2026</t>
  </si>
  <si>
    <t>912797UU9 Govt</t>
  </si>
  <si>
    <t>912797UU9</t>
  </si>
  <si>
    <t>United States Treasury Bill 08/18/2026</t>
  </si>
  <si>
    <t>912797UV7 Govt</t>
  </si>
  <si>
    <t>912797UV7</t>
  </si>
  <si>
    <t>United States Treasury Bill 08/25/2026</t>
  </si>
  <si>
    <t>CHYG</t>
  </si>
  <si>
    <t>00081TAK4 Corp</t>
  </si>
  <si>
    <t>00081TAK4</t>
  </si>
  <si>
    <t>ACCO Brands Corp 4.25% 03/15/2</t>
  </si>
  <si>
    <t>ACCO Brands Corp 4.25% 03/15/2029</t>
  </si>
  <si>
    <t>00109LAA1 Corp</t>
  </si>
  <si>
    <t>00109LAA1</t>
  </si>
  <si>
    <t>ADT Security Corp/The 4.125% 0</t>
  </si>
  <si>
    <t>ADT Security Corp/The 4.125% 08/01/2029</t>
  </si>
  <si>
    <t>00253XAB7 Corp</t>
  </si>
  <si>
    <t>00253XAB7</t>
  </si>
  <si>
    <t>American Airlines Inc/AAdvanta</t>
  </si>
  <si>
    <t>American Airlines Inc/AAdvantage Loyalty IP Ltd 5.75% 04/20/2029</t>
  </si>
  <si>
    <t>00489LAL7 Corp</t>
  </si>
  <si>
    <t>00489LAL7</t>
  </si>
  <si>
    <t>Acrisure LLC / Acrisure Financ</t>
  </si>
  <si>
    <t>Acrisure LLC / Acrisure Finance Inc 7.5% 11/06/2030</t>
  </si>
  <si>
    <t>00653VAA9 Corp</t>
  </si>
  <si>
    <t>00653VAA9</t>
  </si>
  <si>
    <t>Adapthealth LLC 6.125% 08/01/2</t>
  </si>
  <si>
    <t>Adapthealth LLC 6.125% 08/01/2028</t>
  </si>
  <si>
    <t>00751YAE6 Corp</t>
  </si>
  <si>
    <t>00751YAE6</t>
  </si>
  <si>
    <t>Advance Auto Parts Inc 3.9% 04</t>
  </si>
  <si>
    <t>Advance Auto Parts Inc 3.9% 04/15/2030</t>
  </si>
  <si>
    <t>013092AG6 Corp</t>
  </si>
  <si>
    <t>013092AG6</t>
  </si>
  <si>
    <t>Albertsons Cos Inc / Safeway I</t>
  </si>
  <si>
    <t>Albertsons Cos Inc / Safeway Inc / New Albertsons LP / Albertsons LLC 3.5% 03/15/2029</t>
  </si>
  <si>
    <t>01330AAA4 Corp</t>
  </si>
  <si>
    <t>01330AAA4</t>
  </si>
  <si>
    <t>Albion Financing 1 SARL / Aggr</t>
  </si>
  <si>
    <t>Albion Financing 1 SARL / Aggreko Holdings Inc 7% 05/21/2030</t>
  </si>
  <si>
    <t>01883LAE3 Corp</t>
  </si>
  <si>
    <t>01883LAE3</t>
  </si>
  <si>
    <t xml:space="preserve">Alliant Holdings Intermediate </t>
  </si>
  <si>
    <t>Alliant Holdings Intermediate LLC / Alliant Holdings Co-Issuer 6.75% 04/15/2028</t>
  </si>
  <si>
    <t>019576AD9 Corp</t>
  </si>
  <si>
    <t>019576AD9</t>
  </si>
  <si>
    <t>Allied Universal Holdco LLC 7.</t>
  </si>
  <si>
    <t>Allied Universal Holdco LLC 7.875% 02/15/2031</t>
  </si>
  <si>
    <t>031921AC3 Corp</t>
  </si>
  <si>
    <t>031921AC3</t>
  </si>
  <si>
    <t>AmWINS Group Inc 6.375% 02/15/</t>
  </si>
  <si>
    <t>AmWINS Group Inc 6.375% 02/15/2029</t>
  </si>
  <si>
    <t>03772CAA1 Corp</t>
  </si>
  <si>
    <t>03772CAA1</t>
  </si>
  <si>
    <t>APLD ComputeCo 2 LLC 6.75% 03/</t>
  </si>
  <si>
    <t>APLD ComputeCo 2 LLC 6.75% 03/15/2031</t>
  </si>
  <si>
    <t>039853AA4 Corp</t>
  </si>
  <si>
    <t>039853AA4</t>
  </si>
  <si>
    <t>Ardonagh Finco Ltd 7.75% 02/15</t>
  </si>
  <si>
    <t>Ardonagh Finco Ltd 7.75% 02/15/2031</t>
  </si>
  <si>
    <t>039959AA9 Corp</t>
  </si>
  <si>
    <t>039959AA9</t>
  </si>
  <si>
    <t>Ardagh Group SA 9.5% 12/01/203</t>
  </si>
  <si>
    <t>Ardagh Group SA 9.5% 12/01/2030</t>
  </si>
  <si>
    <t>04288BAB6 Corp</t>
  </si>
  <si>
    <t>04288BAB6</t>
  </si>
  <si>
    <t>Arsenal AIC Parent LLC 8% 10/0</t>
  </si>
  <si>
    <t>Arsenal AIC Parent LLC 8% 10/01/2030</t>
  </si>
  <si>
    <t>045086AP0 Corp</t>
  </si>
  <si>
    <t>045086AP0</t>
  </si>
  <si>
    <t xml:space="preserve">Ashton Woods USA LLC / Ashton </t>
  </si>
  <si>
    <t>Ashton Woods USA LLC / Ashton Woods Finance Co 4.625% 04/01/2030</t>
  </si>
  <si>
    <t>05352TAA7 Corp</t>
  </si>
  <si>
    <t>05352TAA7</t>
  </si>
  <si>
    <t>Avantor Funding Inc 4.625% 07/</t>
  </si>
  <si>
    <t>Avantor Funding Inc 4.625% 07/15/2028</t>
  </si>
  <si>
    <t>058498AW6 Corp</t>
  </si>
  <si>
    <t>058498AW6</t>
  </si>
  <si>
    <t>Ball Corp 2.875% 08/15/2030</t>
  </si>
  <si>
    <t>060335AB2 Corp</t>
  </si>
  <si>
    <t>060335AB2</t>
  </si>
  <si>
    <t>Banijay Entertainment SAS 8.12</t>
  </si>
  <si>
    <t>Banijay Entertainment SAS 8.125% 05/01/2029</t>
  </si>
  <si>
    <t>07831CAA1 Corp</t>
  </si>
  <si>
    <t>07831CAA1</t>
  </si>
  <si>
    <t>BellRing Brands Inc 7% 03/15/2</t>
  </si>
  <si>
    <t>BellRing Brands Inc 7% 03/15/2030</t>
  </si>
  <si>
    <t>080782AA3 Corp</t>
  </si>
  <si>
    <t>080782AA3</t>
  </si>
  <si>
    <t>Belron UK Finance PLC 5.75% 10</t>
  </si>
  <si>
    <t>Belron UK Finance PLC 5.75% 10/15/2029</t>
  </si>
  <si>
    <t>09216NAA8 Corp</t>
  </si>
  <si>
    <t>09216NAA8</t>
  </si>
  <si>
    <t>Black Pearl Compute LLC 6.125%</t>
  </si>
  <si>
    <t>Black Pearl Compute LLC 6.125% 02/15/2031</t>
  </si>
  <si>
    <t>097751CA7 Corp</t>
  </si>
  <si>
    <t>097751CA7</t>
  </si>
  <si>
    <t>Bombardier Inc 8.75% 11/15/203</t>
  </si>
  <si>
    <t>Bombardier Inc 8.75% 11/15/2030</t>
  </si>
  <si>
    <t>10637BAA3 Corp</t>
  </si>
  <si>
    <t>10637BAA3</t>
  </si>
  <si>
    <t>Breakwater Energy Holdings Sar</t>
  </si>
  <si>
    <t>Breakwater Energy Holdings Sarl 9.25% 11/15/2030</t>
  </si>
  <si>
    <t>118230AU5 Corp</t>
  </si>
  <si>
    <t>118230AU5</t>
  </si>
  <si>
    <t>Buckeye Partners LP 4.5% 03/01</t>
  </si>
  <si>
    <t>Buckeye Partners LP 4.5% 03/01/2028</t>
  </si>
  <si>
    <t>1248EPBX0 Corp</t>
  </si>
  <si>
    <t>1248EPBX0</t>
  </si>
  <si>
    <t>CCO Holdings LLC / CCO Holding</t>
  </si>
  <si>
    <t>CCO Holdings LLC / CCO Holdings Capital Corp 5% 02/01/2028</t>
  </si>
  <si>
    <t>12543DBH2 Corp</t>
  </si>
  <si>
    <t>12543DBH2</t>
  </si>
  <si>
    <t>CHS/Community Health Systems I</t>
  </si>
  <si>
    <t>CHS/Community Health Systems Inc 6% 01/15/2029</t>
  </si>
  <si>
    <t>12662PAH1 Corp</t>
  </si>
  <si>
    <t>12662PAH1</t>
  </si>
  <si>
    <t>CVR Energy Inc 7.5% 02/15/2031</t>
  </si>
  <si>
    <t>126650EH9 Corp</t>
  </si>
  <si>
    <t>126650EH9</t>
  </si>
  <si>
    <t>CVS Health Corp 7% 03/10/2055</t>
  </si>
  <si>
    <t>131477BA8 Corp</t>
  </si>
  <si>
    <t>131477BA8</t>
  </si>
  <si>
    <t>Calumet Specialty Products Par</t>
  </si>
  <si>
    <t>Calumet Specialty Products Partners LP / Calumet Finance Corp 9.75% 02/15/2031</t>
  </si>
  <si>
    <t>140944AA7 Corp</t>
  </si>
  <si>
    <t>140944AA7</t>
  </si>
  <si>
    <t>Capstone Borrower Inc 8% 06/15</t>
  </si>
  <si>
    <t>Capstone Borrower Inc 8% 06/15/2030</t>
  </si>
  <si>
    <t>143658CB6 Corp</t>
  </si>
  <si>
    <t>143658CB6</t>
  </si>
  <si>
    <t>Carnival Corp Ltd 5.125% 05/01</t>
  </si>
  <si>
    <t>Carnival Corp Ltd 5.125% 05/01/2029</t>
  </si>
  <si>
    <t>15089QAW4 Corp</t>
  </si>
  <si>
    <t>15089QAW4</t>
  </si>
  <si>
    <t>Celanese US Holdings LLC 6.85%</t>
  </si>
  <si>
    <t>Celanese US Holdings LLC 6.85% 11/15/2028</t>
  </si>
  <si>
    <t>15135BAT8 Corp</t>
  </si>
  <si>
    <t>15135BAT8</t>
  </si>
  <si>
    <t>Centene Corp 4.625% 12/15/2029</t>
  </si>
  <si>
    <t>156686AM9 Corp</t>
  </si>
  <si>
    <t>156686AM9</t>
  </si>
  <si>
    <t xml:space="preserve">Lumen Technologies Inc 6.875% </t>
  </si>
  <si>
    <t>Lumen Technologies Inc 6.875% 01/15/2028</t>
  </si>
  <si>
    <t>172441BF3 Corp</t>
  </si>
  <si>
    <t>172441BF3</t>
  </si>
  <si>
    <t>Cinemark USA Inc 5.25% 07/15/2</t>
  </si>
  <si>
    <t>Cinemark USA Inc 5.25% 07/15/2028</t>
  </si>
  <si>
    <t>17302XAN6 Corp</t>
  </si>
  <si>
    <t>17302XAN6</t>
  </si>
  <si>
    <t>CITGO Petroleum Corp 8.375% 01</t>
  </si>
  <si>
    <t>CITGO Petroleum Corp 8.375% 01/15/2029</t>
  </si>
  <si>
    <t>18064PAD1 Corp</t>
  </si>
  <si>
    <t>18064PAD1</t>
  </si>
  <si>
    <t>Clarivate Science Holdings Cor</t>
  </si>
  <si>
    <t>Clarivate Science Holdings Corp 4.875% 07/01/2029</t>
  </si>
  <si>
    <t>18453HAF3 Corp</t>
  </si>
  <si>
    <t>18453HAF3</t>
  </si>
  <si>
    <t>Clear Channel Outdoor Holdings</t>
  </si>
  <si>
    <t>Clear Channel Outdoor Holdings Inc 7.875% 04/01/2030</t>
  </si>
  <si>
    <t>185899AN1 Corp</t>
  </si>
  <si>
    <t>185899AN1</t>
  </si>
  <si>
    <t>Cleveland-Cliffs Inc 6.75% 04/</t>
  </si>
  <si>
    <t>Cleveland-Cliffs Inc 6.75% 04/15/2030</t>
  </si>
  <si>
    <t>18912UAA0 Corp</t>
  </si>
  <si>
    <t>18912UAA0</t>
  </si>
  <si>
    <t>Cloud Software Group Inc 9% 09</t>
  </si>
  <si>
    <t>Cloud Software Group Inc 9% 09/30/2029</t>
  </si>
  <si>
    <t>18972EAB1 Corp</t>
  </si>
  <si>
    <t>18972EAB1</t>
  </si>
  <si>
    <t>Clydesdale Acquisition Holding</t>
  </si>
  <si>
    <t>Clydesdale Acquisition Holdings Inc 8.75% 04/15/2030</t>
  </si>
  <si>
    <t>20752TAB0 Corp</t>
  </si>
  <si>
    <t>20752TAB0</t>
  </si>
  <si>
    <t>Connect Finco SARL / Connect U</t>
  </si>
  <si>
    <t>Connect Finco SARL / Connect US Finco LLC 9% 09/15/2029</t>
  </si>
  <si>
    <t>20753PAD3 Corp</t>
  </si>
  <si>
    <t>20753PAD3</t>
  </si>
  <si>
    <t>Connect Holding II LLC 10.5% 0</t>
  </si>
  <si>
    <t>Connect Holding II LLC 10.5% 04/03/2031</t>
  </si>
  <si>
    <t>20848VAB1 Corp</t>
  </si>
  <si>
    <t>20848VAB1</t>
  </si>
  <si>
    <t xml:space="preserve">Consensus Cloud Solutions Inc </t>
  </si>
  <si>
    <t>Consensus Cloud Solutions Inc 6.5% 10/15/2028</t>
  </si>
  <si>
    <t>21873SAB4 Corp</t>
  </si>
  <si>
    <t>21873SAB4</t>
  </si>
  <si>
    <t>CoreWeave Inc 9.25% 06/01/2030</t>
  </si>
  <si>
    <t>21874LAA0 Corp</t>
  </si>
  <si>
    <t>21874LAA0</t>
  </si>
  <si>
    <t xml:space="preserve">Core Scientific Finance I LLC </t>
  </si>
  <si>
    <t>Core Scientific Finance I LLC 7.75% 05/15/2031</t>
  </si>
  <si>
    <t>227046AA7 Corp</t>
  </si>
  <si>
    <t>227046AA7</t>
  </si>
  <si>
    <t>Crocs Inc 4.25% 03/15/2029</t>
  </si>
  <si>
    <t>23292NAA6 Corp</t>
  </si>
  <si>
    <t>23292NAA6</t>
  </si>
  <si>
    <t>Cyprium Corp / Cyprium Holding</t>
  </si>
  <si>
    <t>Cyprium Corp / Cyprium Holdings Luxembourg Sarl 6.125% 04/15/2031</t>
  </si>
  <si>
    <t>23918KAS7 Corp</t>
  </si>
  <si>
    <t>23918KAS7</t>
  </si>
  <si>
    <t>DaVita Inc 4.625% 06/01/2030</t>
  </si>
  <si>
    <t>254032AD7 Corp</t>
  </si>
  <si>
    <t>254032AD7</t>
  </si>
  <si>
    <t>Ardshinbank CJSC Via Dilijan F</t>
  </si>
  <si>
    <t>Ardshinbank CJSC Via Dilijan Finance BV 6.6% 01/22/2031</t>
  </si>
  <si>
    <t>25461LAD4 Corp</t>
  </si>
  <si>
    <t>25461LAD4</t>
  </si>
  <si>
    <t>Directv Financing LLC / Direct</t>
  </si>
  <si>
    <t>Directv Financing LLC / Directv Financing Co-Obligor Inc 10% 02/15/2031</t>
  </si>
  <si>
    <t>25470MAG4 Corp</t>
  </si>
  <si>
    <t>25470MAG4</t>
  </si>
  <si>
    <t>DISH Network Corp 11.75% 11/15</t>
  </si>
  <si>
    <t>DISH Network Corp 11.75% 11/15/2027</t>
  </si>
  <si>
    <t>257867BJ9 Corp</t>
  </si>
  <si>
    <t>257867BJ9</t>
  </si>
  <si>
    <t>RR Donnelley &amp; Sons Co 9.5% 08</t>
  </si>
  <si>
    <t>RR Donnelley &amp; Sons Co 9.5% 08/01/2029</t>
  </si>
  <si>
    <t>28414HAG8 Corp</t>
  </si>
  <si>
    <t>28414HAG8</t>
  </si>
  <si>
    <t xml:space="preserve">Elanco Animal Health Inc 6.4% </t>
  </si>
  <si>
    <t>Elanco Animal Health Inc 6.4% 08/28/2028</t>
  </si>
  <si>
    <t>29089QAC9 Corp</t>
  </si>
  <si>
    <t>29089QAC9</t>
  </si>
  <si>
    <t>Emergent BioSolutions Inc 3.87</t>
  </si>
  <si>
    <t>Emergent BioSolutions Inc 3.875% 08/15/2028</t>
  </si>
  <si>
    <t>29103CAA6 Corp</t>
  </si>
  <si>
    <t>29103CAA6</t>
  </si>
  <si>
    <t>EMRLD Borrower LP / Emerald Co</t>
  </si>
  <si>
    <t>EMRLD Borrower LP / Emerald Co-Issuer Inc 6.625% 12/15/2030</t>
  </si>
  <si>
    <t>29163VAG8 Corp</t>
  </si>
  <si>
    <t>29163VAG8</t>
  </si>
  <si>
    <t xml:space="preserve">Empire Communities Corp 9.75% </t>
  </si>
  <si>
    <t>Empire Communities Corp 9.75% 05/01/2029</t>
  </si>
  <si>
    <t>292052AF4 Corp</t>
  </si>
  <si>
    <t>292052AF4</t>
  </si>
  <si>
    <t>Empire Resorts Inc 7.75% 11/01</t>
  </si>
  <si>
    <t>Empire Resorts Inc 7.75% 11/01/2026</t>
  </si>
  <si>
    <t>292554AS1 Corp</t>
  </si>
  <si>
    <t>292554AS1</t>
  </si>
  <si>
    <t>Encore Capital Group Inc 6.625</t>
  </si>
  <si>
    <t>Encore Capital Group Inc 6.625% 04/15/2031</t>
  </si>
  <si>
    <t>29605JAA4 Corp</t>
  </si>
  <si>
    <t>29605JAA4</t>
  </si>
  <si>
    <t>Esab Corp 6.25% 04/15/2029</t>
  </si>
  <si>
    <t>29882DAC7 Corp</t>
  </si>
  <si>
    <t>29882DAC7</t>
  </si>
  <si>
    <t>EUSHI Finance Inc 6.25% 04/01/</t>
  </si>
  <si>
    <t>EUSHI Finance Inc 6.25% 04/01/2056</t>
  </si>
  <si>
    <t>302635AN7 Corp</t>
  </si>
  <si>
    <t>302635AN7</t>
  </si>
  <si>
    <t>FS KKR Capital Corp 6.875% 08/</t>
  </si>
  <si>
    <t>FS KKR Capital Corp 6.875% 08/15/2029</t>
  </si>
  <si>
    <t>315292AU6 Corp</t>
  </si>
  <si>
    <t>315292AU6</t>
  </si>
  <si>
    <t>Ferrellgas LP / Ferrellgas Fin</t>
  </si>
  <si>
    <t>Ferrellgas LP / Ferrellgas Finance Corp 9.25% 01/15/2031</t>
  </si>
  <si>
    <t>34960PAF8 Corp</t>
  </si>
  <si>
    <t>34960PAF8</t>
  </si>
  <si>
    <t>FTAI Aviation Investors LLC 7%</t>
  </si>
  <si>
    <t>FTAI Aviation Investors LLC 7% 05/01/2031</t>
  </si>
  <si>
    <t>35641AAB4 Corp</t>
  </si>
  <si>
    <t>35641AAB4</t>
  </si>
  <si>
    <t xml:space="preserve">Freedom Mortgage Holdings LLC </t>
  </si>
  <si>
    <t>Freedom Mortgage Holdings LLC 9.125% 05/15/2031</t>
  </si>
  <si>
    <t>359694AB2 Corp</t>
  </si>
  <si>
    <t>359694AB2</t>
  </si>
  <si>
    <t>HB Fuller Co 4% 02/15/2027</t>
  </si>
  <si>
    <t>36168QAQ7 Corp</t>
  </si>
  <si>
    <t>36168QAQ7</t>
  </si>
  <si>
    <t>GFL Environmental Inc 6.75% 01</t>
  </si>
  <si>
    <t>GFL Environmental Inc 6.75% 01/15/2031</t>
  </si>
  <si>
    <t>37185LAP7 Corp</t>
  </si>
  <si>
    <t>37185LAP7</t>
  </si>
  <si>
    <t>Genesis Energy LP / Genesis En</t>
  </si>
  <si>
    <t>Genesis Energy LP / Genesis Energy Finance Corp 8.25% 01/15/2029</t>
  </si>
  <si>
    <t>38016LAA3 Corp</t>
  </si>
  <si>
    <t>38016LAA3</t>
  </si>
  <si>
    <t>Go Daddy Operating Co LLC / GD</t>
  </si>
  <si>
    <t>Go Daddy Operating Co LLC / GD Finance Co Inc 5.25% 12/01/2027</t>
  </si>
  <si>
    <t>382550BN0 Corp</t>
  </si>
  <si>
    <t>382550BN0</t>
  </si>
  <si>
    <t xml:space="preserve">Goodyear Tire &amp; Rubber Co/The </t>
  </si>
  <si>
    <t>Goodyear Tire &amp; Rubber Co/The 5% 07/15/2029</t>
  </si>
  <si>
    <t>38869AAB3 Corp</t>
  </si>
  <si>
    <t>38869AAB3</t>
  </si>
  <si>
    <t>Graphic Packaging Internationa</t>
  </si>
  <si>
    <t>Graphic Packaging International LLC 3.5% 03/15/2028</t>
  </si>
  <si>
    <t>39807UAD8 Corp</t>
  </si>
  <si>
    <t>39807UAD8</t>
  </si>
  <si>
    <t xml:space="preserve">Greystar Real Estate Partners </t>
  </si>
  <si>
    <t>Greystar Real Estate Partners LLC 7.75% 09/01/2030</t>
  </si>
  <si>
    <t>398905AN9 Corp</t>
  </si>
  <si>
    <t>398905AN9</t>
  </si>
  <si>
    <t>Group 1 Automotive Inc 4% 08/1</t>
  </si>
  <si>
    <t>Group 1 Automotive Inc 4% 08/15/2028</t>
  </si>
  <si>
    <t>402635AT3 Corp</t>
  </si>
  <si>
    <t>402635AT3</t>
  </si>
  <si>
    <t>Gulfport Energy Operating Corp</t>
  </si>
  <si>
    <t>Gulfport Energy Operating Corp 6.75% 09/01/2029</t>
  </si>
  <si>
    <t>415858AC3 Corp</t>
  </si>
  <si>
    <t>415858AC3</t>
  </si>
  <si>
    <t>Harrow Inc 8.625% 09/15/2030</t>
  </si>
  <si>
    <t>42704LAE4 Corp</t>
  </si>
  <si>
    <t>42704LAE4</t>
  </si>
  <si>
    <t>Herc Holdings Inc 6.625% 06/15</t>
  </si>
  <si>
    <t>Herc Holdings Inc 6.625% 06/15/2029</t>
  </si>
  <si>
    <t>43118DAB6 Corp</t>
  </si>
  <si>
    <t>43118DAB6</t>
  </si>
  <si>
    <t>Hightower Holding LLC 9.125% 0</t>
  </si>
  <si>
    <t>Hightower Holding LLC 9.125% 01/31/2030</t>
  </si>
  <si>
    <t>431318AU8 Corp</t>
  </si>
  <si>
    <t>431318AU8</t>
  </si>
  <si>
    <t xml:space="preserve">Hilcorp Energy I LP / Hilcorp </t>
  </si>
  <si>
    <t>Hilcorp Energy I LP / Hilcorp Finance Co 5.75% 02/01/2029</t>
  </si>
  <si>
    <t>44287GAA4 Corp</t>
  </si>
  <si>
    <t>44287GAA4</t>
  </si>
  <si>
    <t>Howden UK Refinance PLC / Howd</t>
  </si>
  <si>
    <t>Howden UK Refinance PLC / Howden UK Refinance 2 PLC / Howden US Refinance LLC 7.25% 02/15/2031</t>
  </si>
  <si>
    <t>44332PAH4 Corp</t>
  </si>
  <si>
    <t>44332PAH4</t>
  </si>
  <si>
    <t>HUB International Ltd 7.25% 06</t>
  </si>
  <si>
    <t>HUB International Ltd 7.25% 06/15/2030</t>
  </si>
  <si>
    <t>44701QBE1 Corp</t>
  </si>
  <si>
    <t>44701QBE1</t>
  </si>
  <si>
    <t>Huntsman International LLC 4.5</t>
  </si>
  <si>
    <t>Huntsman International LLC 4.5% 05/01/2029</t>
  </si>
  <si>
    <t>449691AC8 Corp</t>
  </si>
  <si>
    <t>449691AC8</t>
  </si>
  <si>
    <t>Iliad Holding SAS 7% 10/15/202</t>
  </si>
  <si>
    <t>Iliad Holding SAS 7% 10/15/2028</t>
  </si>
  <si>
    <t>45074JAA2 Corp</t>
  </si>
  <si>
    <t>45074JAA2</t>
  </si>
  <si>
    <t>ITT Holdings LLC 6.5% 08/01/20</t>
  </si>
  <si>
    <t>ITT Holdings LLC 6.5% 08/01/2029</t>
  </si>
  <si>
    <t>45174HBJ5 Corp</t>
  </si>
  <si>
    <t>45174HBJ5</t>
  </si>
  <si>
    <t>iHeartCommunications Inc 9.125</t>
  </si>
  <si>
    <t>iHeartCommunications Inc 9.125% 05/01/2029</t>
  </si>
  <si>
    <t>45258LAA5 Corp</t>
  </si>
  <si>
    <t>45258LAA5</t>
  </si>
  <si>
    <t>Ingram Micro Inc 4.75% 05/15/2</t>
  </si>
  <si>
    <t>Ingram Micro Inc 4.75% 05/15/2029</t>
  </si>
  <si>
    <t>46284VAF8 Corp</t>
  </si>
  <si>
    <t>46284VAF8</t>
  </si>
  <si>
    <t>Iron Mountain Inc 4.875% 09/15</t>
  </si>
  <si>
    <t>Iron Mountain Inc 4.875% 09/15/2029</t>
  </si>
  <si>
    <t>469815AK0 Corp</t>
  </si>
  <si>
    <t>469815AK0</t>
  </si>
  <si>
    <t>Jacobs Entertainment Inc 6.75%</t>
  </si>
  <si>
    <t>Jacobs Entertainment Inc 6.75% 02/15/2029</t>
  </si>
  <si>
    <t>47077WAC2 Corp</t>
  </si>
  <si>
    <t>47077WAC2</t>
  </si>
  <si>
    <t>Jane Street Group / JSG Financ</t>
  </si>
  <si>
    <t>Jane Street Group / JSG Finance Inc 7.125% 04/30/2031</t>
  </si>
  <si>
    <t>472481AC4 Corp</t>
  </si>
  <si>
    <t>472481AC4</t>
  </si>
  <si>
    <t>Jefferson Capital Holdings LLC</t>
  </si>
  <si>
    <t>Jefferson Capital Holdings LLC 8.25% 05/15/2030</t>
  </si>
  <si>
    <t>48020RAB1 Corp</t>
  </si>
  <si>
    <t>48020RAB1</t>
  </si>
  <si>
    <t>Jones Deslauriers Insurance Ma</t>
  </si>
  <si>
    <t>Jones Deslauriers Insurance Management Inc 8.5% 03/15/2030</t>
  </si>
  <si>
    <t>48250NAC9 Corp</t>
  </si>
  <si>
    <t>48250NAC9</t>
  </si>
  <si>
    <t>KFC Holding Co/Pizza Hut Holdi</t>
  </si>
  <si>
    <t>KFC Holding Co/Pizza Hut Holdings LLC/Taco Bell of America LLC 4.75% 06/01/2027</t>
  </si>
  <si>
    <t>49461MAB6 Corp</t>
  </si>
  <si>
    <t>49461MAB6</t>
  </si>
  <si>
    <t>Kinetik Holdings LP 6.625% 12/</t>
  </si>
  <si>
    <t>Kinetik Holdings LP 6.625% 12/15/2028</t>
  </si>
  <si>
    <t>50067PAA7 Corp</t>
  </si>
  <si>
    <t>50067PAA7</t>
  </si>
  <si>
    <t>Korn Ferry 4.625% 12/15/2027</t>
  </si>
  <si>
    <t>501797AN4 Corp</t>
  </si>
  <si>
    <t>501797AN4</t>
  </si>
  <si>
    <t>Bath &amp; Body Works Inc 5.25% 02</t>
  </si>
  <si>
    <t>Bath &amp; Body Works Inc 5.25% 02/01/2028</t>
  </si>
  <si>
    <t>502160AN4 Corp</t>
  </si>
  <si>
    <t>502160AN4</t>
  </si>
  <si>
    <t>LSB Industries Inc 6.25% 10/15</t>
  </si>
  <si>
    <t>LSB Industries Inc 6.25% 10/15/2028</t>
  </si>
  <si>
    <t>513075BZ3 Corp</t>
  </si>
  <si>
    <t>513075BZ3</t>
  </si>
  <si>
    <t>Lamar Media Corp 3.625% 01/15/</t>
  </si>
  <si>
    <t>Lamar Media Corp 3.625% 01/15/2031</t>
  </si>
  <si>
    <t>536797AJ2 Corp</t>
  </si>
  <si>
    <t>536797AJ2</t>
  </si>
  <si>
    <t>Lithia Motors Inc 5.5% 10/01/2</t>
  </si>
  <si>
    <t>Lithia Motors Inc 5.5% 10/01/2030</t>
  </si>
  <si>
    <t>538034AV1 Corp</t>
  </si>
  <si>
    <t>538034AV1</t>
  </si>
  <si>
    <t xml:space="preserve">Live Nation Entertainment Inc </t>
  </si>
  <si>
    <t>Live Nation Entertainment Inc 6.5% 05/15/2027</t>
  </si>
  <si>
    <t>552953CF6 Corp</t>
  </si>
  <si>
    <t>552953CF6</t>
  </si>
  <si>
    <t>MGM Resorts International 5.5%</t>
  </si>
  <si>
    <t>MGM Resorts International 5.5% 04/15/2027</t>
  </si>
  <si>
    <t>55342UAH7 Corp</t>
  </si>
  <si>
    <t>55342UAH7</t>
  </si>
  <si>
    <t>MPT Operating Partnership LP /</t>
  </si>
  <si>
    <t>MPT Operating Partnership LP / MPT Finance Corp 5% 10/15/2027</t>
  </si>
  <si>
    <t>56085RAA8 Corp</t>
  </si>
  <si>
    <t>56085RAA8</t>
  </si>
  <si>
    <t>MajorDrive Holdings IV LLC 6.3</t>
  </si>
  <si>
    <t>MajorDrive Holdings IV LLC 6.375% 06/01/2029</t>
  </si>
  <si>
    <t>57665RAJ5 Corp</t>
  </si>
  <si>
    <t>57665RAJ5</t>
  </si>
  <si>
    <t>Match Group Holdings II LLC 5.</t>
  </si>
  <si>
    <t>Match Group Holdings II LLC 5.625% 02/15/2029</t>
  </si>
  <si>
    <t>57763RAF4 Corp</t>
  </si>
  <si>
    <t>57763RAF4</t>
  </si>
  <si>
    <t>Mauser Packaging Solutions Hol</t>
  </si>
  <si>
    <t>Mauser Packaging Solutions Holding Co 9.25% 04/15/2030</t>
  </si>
  <si>
    <t>57779EAA6 Corp</t>
  </si>
  <si>
    <t>57779EAA6</t>
  </si>
  <si>
    <t>Maxim Crane Works Holdings Cap</t>
  </si>
  <si>
    <t>Maxim Crane Works Holdings Capital LLC 11.5% 09/01/2028</t>
  </si>
  <si>
    <t>579063AB4 Corp</t>
  </si>
  <si>
    <t>579063AB4</t>
  </si>
  <si>
    <t>McAfee Corp 7.375% 02/15/2030</t>
  </si>
  <si>
    <t>58502BAE6 Corp</t>
  </si>
  <si>
    <t>58502BAE6</t>
  </si>
  <si>
    <t>Pediatrix Medical Group Inc 5.</t>
  </si>
  <si>
    <t>Pediatrix Medical Group Inc 5.375% 02/15/2030</t>
  </si>
  <si>
    <t>58990CAA1 Corp</t>
  </si>
  <si>
    <t>58990CAA1</t>
  </si>
  <si>
    <t xml:space="preserve">Meridian Arc Holdco LLC 6.25% </t>
  </si>
  <si>
    <t>Meridian Arc Holdco LLC 6.25% 04/30/2031</t>
  </si>
  <si>
    <t>601137AA0 Corp</t>
  </si>
  <si>
    <t>601137AA0</t>
  </si>
  <si>
    <t>Millrose Properties Inc 6.375%</t>
  </si>
  <si>
    <t>Millrose Properties Inc 6.375% 08/01/2030</t>
  </si>
  <si>
    <t>603051AF0 Corp</t>
  </si>
  <si>
    <t>603051AF0</t>
  </si>
  <si>
    <t>Mineral Resources Ltd 7% 04/01</t>
  </si>
  <si>
    <t>Mineral Resources Ltd 7% 04/01/2031</t>
  </si>
  <si>
    <t>60337JAA4 Corp</t>
  </si>
  <si>
    <t>60337JAA4</t>
  </si>
  <si>
    <t>AthenaHealth Group Inc 6.5% 02</t>
  </si>
  <si>
    <t>AthenaHealth Group Inc 6.5% 02/15/2030</t>
  </si>
  <si>
    <t>60832QAA8 Corp</t>
  </si>
  <si>
    <t>60832QAA8</t>
  </si>
  <si>
    <t>Mohegan Tribal Gaming Authorit</t>
  </si>
  <si>
    <t>Mohegan Tribal Gaming Authority / MS Digital Entertainment Holdings LLC 8.25% 04/15/2030</t>
  </si>
  <si>
    <t>60855RAJ9 Corp</t>
  </si>
  <si>
    <t>60855RAJ9</t>
  </si>
  <si>
    <t>Molina Healthcare Inc 4.375% 0</t>
  </si>
  <si>
    <t>Molina Healthcare Inc 4.375% 06/15/2028</t>
  </si>
  <si>
    <t>62482BAB8 Corp</t>
  </si>
  <si>
    <t>62482BAB8</t>
  </si>
  <si>
    <t>Medline Borrower LP 5.25% 10/0</t>
  </si>
  <si>
    <t>Medline Borrower LP 5.25% 10/01/2029</t>
  </si>
  <si>
    <t>626738AE8 Corp</t>
  </si>
  <si>
    <t>626738AE8</t>
  </si>
  <si>
    <t>Murphy Oil USA Inc 4.75% 09/15</t>
  </si>
  <si>
    <t>Murphy Oil USA Inc 4.75% 09/15/2029</t>
  </si>
  <si>
    <t>62844JAE8 Corp</t>
  </si>
  <si>
    <t>62844JAE8</t>
  </si>
  <si>
    <t>Muvico LLC 15% 02/19/2029</t>
  </si>
  <si>
    <t>62886HBY6 Corp</t>
  </si>
  <si>
    <t>62886HBY6</t>
  </si>
  <si>
    <t>NCL Corp Ltd 5.875% 01/15/2031</t>
  </si>
  <si>
    <t>629377CH3 Corp</t>
  </si>
  <si>
    <t>629377CH3</t>
  </si>
  <si>
    <t>NRG Energy Inc 5.25% 06/15/202</t>
  </si>
  <si>
    <t>NRG Energy Inc 5.25% 06/15/2029</t>
  </si>
  <si>
    <t>63938CAM0 Corp</t>
  </si>
  <si>
    <t>63938CAM0</t>
  </si>
  <si>
    <t>Navient Corp 5.5% 03/15/2029</t>
  </si>
  <si>
    <t>640695AC6 Corp</t>
  </si>
  <si>
    <t>640695AC6</t>
  </si>
  <si>
    <t>Neptune Bidco US Inc 10.375% 0</t>
  </si>
  <si>
    <t>Neptune Bidco US Inc 10.375% 05/15/2031</t>
  </si>
  <si>
    <t>645370AG2 Corp</t>
  </si>
  <si>
    <t>645370AG2</t>
  </si>
  <si>
    <t>Risewell Homes Inc 8.5% 11/01/</t>
  </si>
  <si>
    <t>Risewell Homes Inc 8.5% 11/01/2030</t>
  </si>
  <si>
    <t>651229BG0 Corp</t>
  </si>
  <si>
    <t>651229BG0</t>
  </si>
  <si>
    <t>Newell Brands Inc 8.5% 06/01/2</t>
  </si>
  <si>
    <t>Newell Brands Inc 8.5% 06/01/2028</t>
  </si>
  <si>
    <t>65336YAN3 Corp</t>
  </si>
  <si>
    <t>65336YAN3</t>
  </si>
  <si>
    <t>Nexstar Media Inc 4.75% 11/01/</t>
  </si>
  <si>
    <t>Nexstar Media Inc 4.75% 11/01/2028</t>
  </si>
  <si>
    <t>65342QAM4 Corp</t>
  </si>
  <si>
    <t>65342QAM4</t>
  </si>
  <si>
    <t xml:space="preserve">XPLR Infrastructure Operating </t>
  </si>
  <si>
    <t>XPLR Infrastructure Operating Partners LP 7.25% 01/15/2029</t>
  </si>
  <si>
    <t>654744AC5 Corp</t>
  </si>
  <si>
    <t>654744AC5</t>
  </si>
  <si>
    <t>Nissan Motor Co Ltd 4.345% 09/</t>
  </si>
  <si>
    <t>Nissan Motor Co Ltd 4.345% 09/17/2027</t>
  </si>
  <si>
    <t>668771AK4 Corp</t>
  </si>
  <si>
    <t>668771AK4</t>
  </si>
  <si>
    <t>Gen Digital Inc 6.75% 09/30/20</t>
  </si>
  <si>
    <t>Gen Digital Inc 6.75% 09/30/2027</t>
  </si>
  <si>
    <t>670001AE6 Corp</t>
  </si>
  <si>
    <t>670001AE6</t>
  </si>
  <si>
    <t>Novelis Corp 4.75% 01/30/2030</t>
  </si>
  <si>
    <t>674215AQ1 Corp</t>
  </si>
  <si>
    <t>674215AQ1</t>
  </si>
  <si>
    <t>Chord Energy Corp 6% 10/01/203</t>
  </si>
  <si>
    <t>Chord Energy Corp 6% 10/01/2030</t>
  </si>
  <si>
    <t>67740QAH9 Corp</t>
  </si>
  <si>
    <t>67740QAH9</t>
  </si>
  <si>
    <t>Constellation Insurance Inc 5.</t>
  </si>
  <si>
    <t>Constellation Insurance Inc 5.8% 01/24/2030</t>
  </si>
  <si>
    <t>68245XAM1 Corp</t>
  </si>
  <si>
    <t>68245XAM1</t>
  </si>
  <si>
    <t>1011778 BC ULC / New Red Finan</t>
  </si>
  <si>
    <t>1011778 BC ULC / New Red Finance Inc 4% 10/15/2030</t>
  </si>
  <si>
    <t>683720AA4 Corp</t>
  </si>
  <si>
    <t>683720AA4</t>
  </si>
  <si>
    <t xml:space="preserve">Open Text Holdings Inc 4.125% </t>
  </si>
  <si>
    <t>Open Text Holdings Inc 4.125% 02/15/2030</t>
  </si>
  <si>
    <t>69331CAH1 Corp</t>
  </si>
  <si>
    <t>69331CAH1</t>
  </si>
  <si>
    <t>PG&amp;E Corp 5% 07/01/2028</t>
  </si>
  <si>
    <t>69354NAE6 Corp</t>
  </si>
  <si>
    <t>69354NAE6</t>
  </si>
  <si>
    <t>PRA Group Inc 8.375% 02/01/202</t>
  </si>
  <si>
    <t>PRA Group Inc 8.375% 02/01/2028</t>
  </si>
  <si>
    <t>69393LAA1 Corp</t>
  </si>
  <si>
    <t>69393LAA1</t>
  </si>
  <si>
    <t>PR RNO Property Owner 1 LLC 6.</t>
  </si>
  <si>
    <t>PR RNO Property Owner 1 LLC 6.5% 05/01/2031</t>
  </si>
  <si>
    <t>70082LAC1 Corp</t>
  </si>
  <si>
    <t>70082LAC1</t>
  </si>
  <si>
    <t>Park River Holdings Inc 8% 03/</t>
  </si>
  <si>
    <t>Park River Holdings Inc 8% 03/15/2031</t>
  </si>
  <si>
    <t>703343AD5 Corp</t>
  </si>
  <si>
    <t>703343AD5</t>
  </si>
  <si>
    <t>Patrick Industries Inc 4.75% 0</t>
  </si>
  <si>
    <t>Patrick Industries Inc 4.75% 05/01/2029</t>
  </si>
  <si>
    <t>70452AAA1 Corp</t>
  </si>
  <si>
    <t>70452AAA1</t>
  </si>
  <si>
    <t xml:space="preserve">Paysafe Finance PLC / Paysafe </t>
  </si>
  <si>
    <t>Paysafe Finance PLC / Paysafe Holdings US Corp 4% 06/15/2029</t>
  </si>
  <si>
    <t>707569AY5 Corp</t>
  </si>
  <si>
    <t>707569AY5</t>
  </si>
  <si>
    <t>Penn Entertainment Inc 6.75% 0</t>
  </si>
  <si>
    <t>Penn Entertainment Inc 6.75% 04/01/2031</t>
  </si>
  <si>
    <t>72815LAA5 Corp</t>
  </si>
  <si>
    <t>72815LAA5</t>
  </si>
  <si>
    <t>Playtika Holding Corp 4.25% 03</t>
  </si>
  <si>
    <t>Playtika Holding Corp 4.25% 03/15/2029</t>
  </si>
  <si>
    <t>740212AM7 Corp</t>
  </si>
  <si>
    <t>740212AM7</t>
  </si>
  <si>
    <t>Precision Drilling Corp 6.875%</t>
  </si>
  <si>
    <t>Precision Drilling Corp 6.875% 01/15/2029</t>
  </si>
  <si>
    <t>74112BAM7 Corp</t>
  </si>
  <si>
    <t>74112BAM7</t>
  </si>
  <si>
    <t>Prestige Brands Inc 3.75% 04/0</t>
  </si>
  <si>
    <t>Prestige Brands Inc 3.75% 04/01/2031</t>
  </si>
  <si>
    <t>74165HAC2 Corp</t>
  </si>
  <si>
    <t>74165HAC2</t>
  </si>
  <si>
    <t xml:space="preserve">Prime Healthcare Services Inc </t>
  </si>
  <si>
    <t>Prime Healthcare Services Inc 9.375% 09/01/2029</t>
  </si>
  <si>
    <t>74841CAB7 Corp</t>
  </si>
  <si>
    <t>74841CAB7</t>
  </si>
  <si>
    <t>Rocket Mortgage LLC / Rocket M</t>
  </si>
  <si>
    <t>Rocket Mortgage LLC / Rocket Mortgage Co-Issuer Inc 3.875% 03/01/2031</t>
  </si>
  <si>
    <t>75102WAK4 Corp</t>
  </si>
  <si>
    <t>75102WAK4</t>
  </si>
  <si>
    <t>Rakuten Group Inc 9.75% 04/15/</t>
  </si>
  <si>
    <t>Rakuten Group Inc 9.75% 04/15/2029</t>
  </si>
  <si>
    <t>753272AA1 Corp</t>
  </si>
  <si>
    <t>753272AA1</t>
  </si>
  <si>
    <t>Rand Parent LLC 8.5% 02/15/203</t>
  </si>
  <si>
    <t>Rand Parent LLC 8.5% 02/15/2030</t>
  </si>
  <si>
    <t>775109DG3 Corp</t>
  </si>
  <si>
    <t>775109DG3</t>
  </si>
  <si>
    <t>Rogers Communications Inc 7% 0</t>
  </si>
  <si>
    <t>Rogers Communications Inc 7% 04/15/2055</t>
  </si>
  <si>
    <t>78410GAD6 Corp</t>
  </si>
  <si>
    <t>78410GAD6</t>
  </si>
  <si>
    <t>SBA Communications Corp 3.875%</t>
  </si>
  <si>
    <t>SBA Communications Corp 3.875% 02/15/2027</t>
  </si>
  <si>
    <t>78412FAX2 Corp</t>
  </si>
  <si>
    <t>78412FAX2</t>
  </si>
  <si>
    <t>SESI LLC 7.875% 09/30/2030</t>
  </si>
  <si>
    <t>78454LAP5 Corp</t>
  </si>
  <si>
    <t>78454LAP5</t>
  </si>
  <si>
    <t>SM Energy Co 6.625% 01/15/2027</t>
  </si>
  <si>
    <t>78488XAA2 Corp</t>
  </si>
  <si>
    <t>78488XAA2</t>
  </si>
  <si>
    <t>SV RNO Property Owner 1 LLC 5.</t>
  </si>
  <si>
    <t>SV RNO Property Owner 1 LLC 5.875% 03/01/2031</t>
  </si>
  <si>
    <t>78573XAA8 Corp</t>
  </si>
  <si>
    <t>78573XAA8</t>
  </si>
  <si>
    <t>Sabre Financial Borrower LLC 1</t>
  </si>
  <si>
    <t>Sabre Financial Borrower LLC 11.125% 06/15/2029</t>
  </si>
  <si>
    <t>808625AA5 Corp</t>
  </si>
  <si>
    <t>808625AA5</t>
  </si>
  <si>
    <t>Science Applications Internati</t>
  </si>
  <si>
    <t>Science Applications International Corp 4.875% 04/01/2028</t>
  </si>
  <si>
    <t>80874YBE9 Corp</t>
  </si>
  <si>
    <t>80874YBE9</t>
  </si>
  <si>
    <t>Light &amp; Wonder International I</t>
  </si>
  <si>
    <t>Light &amp; Wonder International Inc 7.25% 11/15/2029</t>
  </si>
  <si>
    <t>81721MAM1 Corp</t>
  </si>
  <si>
    <t>81721MAM1</t>
  </si>
  <si>
    <t>Diversified Healthcare Trust 4</t>
  </si>
  <si>
    <t>Diversified Healthcare Trust 4.75% 02/15/2028</t>
  </si>
  <si>
    <t>81761LAF9 Corp</t>
  </si>
  <si>
    <t>81761LAF9</t>
  </si>
  <si>
    <t>Service Properties Trust 0% 09</t>
  </si>
  <si>
    <t>Service Properties Trust 0% 09/30/2027</t>
  </si>
  <si>
    <t>82967NBA5 Corp</t>
  </si>
  <si>
    <t>82967NBA5</t>
  </si>
  <si>
    <t>Sirius XM Radio LLC 5% 08/01/2</t>
  </si>
  <si>
    <t>Sirius XM Radio LLC 5% 08/01/2027</t>
  </si>
  <si>
    <t>83001AAD4 Corp</t>
  </si>
  <si>
    <t>83001AAD4</t>
  </si>
  <si>
    <t>Six Flags Entertainment Corp 7</t>
  </si>
  <si>
    <t>Six Flags Entertainment Corp 7.25% 05/15/2031</t>
  </si>
  <si>
    <t>83419YAA4 Corp</t>
  </si>
  <si>
    <t>83419YAA4</t>
  </si>
  <si>
    <t xml:space="preserve">Solaris Energy Infrastructure </t>
  </si>
  <si>
    <t>Solaris Energy Infrastructure LLC 6.375% 05/15/2031</t>
  </si>
  <si>
    <t>835898AJ6 Corp</t>
  </si>
  <si>
    <t>835898AJ6</t>
  </si>
  <si>
    <t>Sotheby's 8.25% 04/15/2031</t>
  </si>
  <si>
    <t>84779MAA2 Corp</t>
  </si>
  <si>
    <t>84779MAA2</t>
  </si>
  <si>
    <t>Speedway Motorsports LLC / Spe</t>
  </si>
  <si>
    <t>Speedway Motorsports LLC / Speedway Funding II Inc 4.875% 11/01/2027</t>
  </si>
  <si>
    <t>85172FAR0 Corp</t>
  </si>
  <si>
    <t>85172FAR0</t>
  </si>
  <si>
    <t>OneMain Finance Corp 5.375% 11</t>
  </si>
  <si>
    <t>OneMain Finance Corp 5.375% 11/15/2029</t>
  </si>
  <si>
    <t>852234AT0 Corp</t>
  </si>
  <si>
    <t>852234AT0</t>
  </si>
  <si>
    <t>Block Inc 5.625% 08/15/2030</t>
  </si>
  <si>
    <t>85236FAA1 Corp</t>
  </si>
  <si>
    <t>85236FAA1</t>
  </si>
  <si>
    <t xml:space="preserve">Smyrna Ready Mix Concrete LLC </t>
  </si>
  <si>
    <t>Smyrna Ready Mix Concrete LLC 6% 11/01/2028</t>
  </si>
  <si>
    <t>853496AG2 Corp</t>
  </si>
  <si>
    <t>853496AG2</t>
  </si>
  <si>
    <t>Standard Industries Inc/NY 4.3</t>
  </si>
  <si>
    <t>Standard Industries Inc/NY 4.375% 07/15/2030</t>
  </si>
  <si>
    <t>85571BBB0 Corp</t>
  </si>
  <si>
    <t>85571BBB0</t>
  </si>
  <si>
    <t>Starwood Property Trust Inc 7.</t>
  </si>
  <si>
    <t>Starwood Property Trust Inc 7.25% 04/01/2029</t>
  </si>
  <si>
    <t>86177CAA7 Corp</t>
  </si>
  <si>
    <t>86177CAA7</t>
  </si>
  <si>
    <t>Stonebriar ABF Issuer LLC 8.12</t>
  </si>
  <si>
    <t>Stonebriar ABF Issuer LLC 8.125% 12/15/2030</t>
  </si>
  <si>
    <t>86184WAA4 Corp</t>
  </si>
  <si>
    <t>86184WAA4</t>
  </si>
  <si>
    <t>StoneMor Inc 8.5% 05/15/2029</t>
  </si>
  <si>
    <t>861896AA6 Corp</t>
  </si>
  <si>
    <t>861896AA6</t>
  </si>
  <si>
    <t>StoneX Group Inc 7.875% 03/01/</t>
  </si>
  <si>
    <t>StoneX Group Inc 7.875% 03/01/2031</t>
  </si>
  <si>
    <t>86614JAA3 Corp</t>
  </si>
  <si>
    <t>86614JAA3</t>
  </si>
  <si>
    <t xml:space="preserve">Summit Midstream Holdings LLC </t>
  </si>
  <si>
    <t>Summit Midstream Holdings LLC 8.625% 10/31/2029</t>
  </si>
  <si>
    <t>86765KAA7 Corp</t>
  </si>
  <si>
    <t>86765KAA7</t>
  </si>
  <si>
    <t>Sunoco LP / Sunoco Finance Cor</t>
  </si>
  <si>
    <t>Sunoco LP / Sunoco Finance Corp 7% 09/15/2028</t>
  </si>
  <si>
    <t>87165BAP8 Corp</t>
  </si>
  <si>
    <t>87165BAP8</t>
  </si>
  <si>
    <t>Synchrony Financial 5.15% 03/1</t>
  </si>
  <si>
    <t>Synchrony Financial 5.15% 03/19/2029</t>
  </si>
  <si>
    <t>87256YAG8 Corp</t>
  </si>
  <si>
    <t>87256YAG8</t>
  </si>
  <si>
    <t>TKC Holdings Inc 12% 02/15/203</t>
  </si>
  <si>
    <t>TKC Holdings Inc 12% 02/15/2031</t>
  </si>
  <si>
    <t>87265HAF6 Corp</t>
  </si>
  <si>
    <t>87265HAF6</t>
  </si>
  <si>
    <t>Tri Pointe Homes Inc 5.25% 06/</t>
  </si>
  <si>
    <t>Tri Pointe Homes Inc 5.25% 06/01/2027</t>
  </si>
  <si>
    <t>87422VAQ1 Corp</t>
  </si>
  <si>
    <t>87422VAQ1</t>
  </si>
  <si>
    <t>Talen Energy Supply LLC 6.125%</t>
  </si>
  <si>
    <t>Talen Energy Supply LLC 6.125% 05/01/2031</t>
  </si>
  <si>
    <t>88023UAH4 Corp</t>
  </si>
  <si>
    <t>88023UAH4</t>
  </si>
  <si>
    <t>Somnigroup International Inc 4</t>
  </si>
  <si>
    <t>Somnigroup International Inc 4% 04/15/2029</t>
  </si>
  <si>
    <t>88033GDK3 Corp</t>
  </si>
  <si>
    <t>88033GDK3</t>
  </si>
  <si>
    <t>Tenet Healthcare Corp 6.125% 1</t>
  </si>
  <si>
    <t>Tenet Healthcare Corp 6.125% 10/01/2028</t>
  </si>
  <si>
    <t>880349AU9 Corp</t>
  </si>
  <si>
    <t>880349AU9</t>
  </si>
  <si>
    <t>Tenneco Inc 8% 11/17/2028</t>
  </si>
  <si>
    <t>88642RAE9 Corp</t>
  </si>
  <si>
    <t>88642RAE9</t>
  </si>
  <si>
    <t>Tidewater Inc 9.125% 07/15/203</t>
  </si>
  <si>
    <t>Tidewater Inc 9.125% 07/15/2030</t>
  </si>
  <si>
    <t>893647BU0 Corp</t>
  </si>
  <si>
    <t>893647BU0</t>
  </si>
  <si>
    <t>TransDigm Inc 6.375% 03/01/202</t>
  </si>
  <si>
    <t>TransDigm Inc 6.375% 03/01/2029</t>
  </si>
  <si>
    <t>893830BY4 Corp</t>
  </si>
  <si>
    <t>893830BY4</t>
  </si>
  <si>
    <t>Transocean International Ltd 8</t>
  </si>
  <si>
    <t>Transocean International Ltd 8.25% 05/15/2029</t>
  </si>
  <si>
    <t>902104AC2 Corp</t>
  </si>
  <si>
    <t>902104AC2</t>
  </si>
  <si>
    <t>Coherent Corp 5% 12/15/2029</t>
  </si>
  <si>
    <t>90279XAA0 Corp</t>
  </si>
  <si>
    <t>90279XAA0</t>
  </si>
  <si>
    <t>UKG Inc 6.875% 02/01/2031</t>
  </si>
  <si>
    <t>910047AM1 Corp</t>
  </si>
  <si>
    <t>910047AM1</t>
  </si>
  <si>
    <t>United Airlines Holdings Inc 4</t>
  </si>
  <si>
    <t>United Airlines Holdings Inc 4.875% 03/01/2029</t>
  </si>
  <si>
    <t>914906AX0 Corp</t>
  </si>
  <si>
    <t>914906AX0</t>
  </si>
  <si>
    <t>Univision Communications Inc 7</t>
  </si>
  <si>
    <t>Univision Communications Inc 7.375% 06/30/2030</t>
  </si>
  <si>
    <t>918204BC1 Corp</t>
  </si>
  <si>
    <t>918204BC1</t>
  </si>
  <si>
    <t>VF Corp 2.95% 04/23/2030</t>
  </si>
  <si>
    <t>91911XAW4 Corp</t>
  </si>
  <si>
    <t>91911XAW4</t>
  </si>
  <si>
    <t>Bausch Health Americas Inc 8.5</t>
  </si>
  <si>
    <t>Bausch Health Americas Inc 8.5% 01/31/2027</t>
  </si>
  <si>
    <t>922966AE6 Corp</t>
  </si>
  <si>
    <t>922966AE6</t>
  </si>
  <si>
    <t>Venture Global Plaquemines LNG</t>
  </si>
  <si>
    <t>Venture Global Plaquemines LNG LLC 6.125% 12/15/2030</t>
  </si>
  <si>
    <t>92769VAJ8 Corp</t>
  </si>
  <si>
    <t>92769VAJ8</t>
  </si>
  <si>
    <t>Virgin Media Finance PLC 5% 07</t>
  </si>
  <si>
    <t>Virgin Media Finance PLC 5% 07/15/2030</t>
  </si>
  <si>
    <t>92840JAB5 Corp</t>
  </si>
  <si>
    <t>92840JAB5</t>
  </si>
  <si>
    <t>VistaJet Malta Finance PLC / V</t>
  </si>
  <si>
    <t>VistaJet Malta Finance PLC / Vista Management Holding Inc 6.375% 02/01/2030</t>
  </si>
  <si>
    <t>92874BAA3 Corp</t>
  </si>
  <si>
    <t>92874BAA3</t>
  </si>
  <si>
    <t>VoltaGrid LLC 7.375% 11/01/203</t>
  </si>
  <si>
    <t>VoltaGrid LLC 7.375% 11/01/2030</t>
  </si>
  <si>
    <t>982911AA7 Corp</t>
  </si>
  <si>
    <t>982911AA7</t>
  </si>
  <si>
    <t>WULF Compute LLC 7.75% 10/15/2</t>
  </si>
  <si>
    <t>WULF Compute LLC 7.75% 10/15/2030</t>
  </si>
  <si>
    <t>983133AC3 Corp</t>
  </si>
  <si>
    <t>983133AC3</t>
  </si>
  <si>
    <t>Wynn Resorts Finance LLC / Wyn</t>
  </si>
  <si>
    <t>Wynn Resorts Finance LLC / Wynn Resorts Capital Corp 7.125% 02/15/2031</t>
  </si>
  <si>
    <t>CIEI</t>
  </si>
  <si>
    <t>912810FM5 Govt</t>
  </si>
  <si>
    <t>912810FM5</t>
  </si>
  <si>
    <t>United States Treasury Note/Bo</t>
  </si>
  <si>
    <t>United States Treasury Note/Bond 6.25% 05/15/2030</t>
  </si>
  <si>
    <t>912810FP8 Govt</t>
  </si>
  <si>
    <t>912810FP8</t>
  </si>
  <si>
    <t>United States Treasury Note/Bond 5.375% 02/15/2031</t>
  </si>
  <si>
    <t>912828YB0 Govt</t>
  </si>
  <si>
    <t>912828YB0</t>
  </si>
  <si>
    <t>United States Treasury Note/Bond 1.625% 08/15/2029</t>
  </si>
  <si>
    <t>912828YS3 Govt</t>
  </si>
  <si>
    <t>912828YS3</t>
  </si>
  <si>
    <t>United States Treasury Note/Bond 1.75% 11/15/2029</t>
  </si>
  <si>
    <t>912828Z94 Govt</t>
  </si>
  <si>
    <t>912828Z94</t>
  </si>
  <si>
    <t>United States Treasury Note/Bond 1.5% 02/15/2030</t>
  </si>
  <si>
    <t>912828ZQ6 Govt</t>
  </si>
  <si>
    <t>912828ZQ6</t>
  </si>
  <si>
    <t>United States Treasury Note/Bond 0.625% 05/15/2030</t>
  </si>
  <si>
    <t>91282CAE1 Govt</t>
  </si>
  <si>
    <t>91282CAE1</t>
  </si>
  <si>
    <t>United States Treasury Note/Bond 0.625% 08/15/2030</t>
  </si>
  <si>
    <t>91282CAV3 Govt</t>
  </si>
  <si>
    <t>91282CAV3</t>
  </si>
  <si>
    <t>United States Treasury Note/Bond 0.875% 11/15/2030</t>
  </si>
  <si>
    <t>91282CBL4 Govt</t>
  </si>
  <si>
    <t>91282CBL4</t>
  </si>
  <si>
    <t>United States Treasury Note/Bond 1.125% 02/15/2031</t>
  </si>
  <si>
    <t>91282CCB5 Govt</t>
  </si>
  <si>
    <t>91282CCB5</t>
  </si>
  <si>
    <t>United States Treasury Note/Bond 1.625% 05/15/2031</t>
  </si>
  <si>
    <t>91282CCS8 Govt</t>
  </si>
  <si>
    <t>91282CCS8</t>
  </si>
  <si>
    <t>United States Treasury Note/Bond 1.25% 08/15/2031</t>
  </si>
  <si>
    <t>91282CDJ7 Govt</t>
  </si>
  <si>
    <t>91282CDJ7</t>
  </si>
  <si>
    <t>United States Treasury Note/Bond 1.375% 11/15/2031</t>
  </si>
  <si>
    <t>91282CDY4 Govt</t>
  </si>
  <si>
    <t>91282CDY4</t>
  </si>
  <si>
    <t>United States Treasury Note/Bond 1.875% 02/15/2032</t>
  </si>
  <si>
    <t>91282CEP2 Govt</t>
  </si>
  <si>
    <t>91282CEP2</t>
  </si>
  <si>
    <t>United States Treasury Note/Bond 2.875% 05/15/2032</t>
  </si>
  <si>
    <t>91282CES6 Govt</t>
  </si>
  <si>
    <t>91282CES6</t>
  </si>
  <si>
    <t>United States Treasury Note/Bond 2.75% 05/31/2029</t>
  </si>
  <si>
    <t>91282CEV9 Govt</t>
  </si>
  <si>
    <t>91282CEV9</t>
  </si>
  <si>
    <t>United States Treasury Note/Bond 3.25% 06/30/2029</t>
  </si>
  <si>
    <t>91282CFC0 Govt</t>
  </si>
  <si>
    <t>91282CFC0</t>
  </si>
  <si>
    <t>United States Treasury Note/Bond 2.625% 07/31/2029</t>
  </si>
  <si>
    <t>91282CFF3 Govt</t>
  </si>
  <si>
    <t>91282CFF3</t>
  </si>
  <si>
    <t>United States Treasury Note/Bond 2.75% 08/15/2032</t>
  </si>
  <si>
    <t>91282CFJ5 Govt</t>
  </si>
  <si>
    <t>91282CFJ5</t>
  </si>
  <si>
    <t>United States Treasury Note/Bond 3.125% 08/31/2029</t>
  </si>
  <si>
    <t>91282CFL0 Govt</t>
  </si>
  <si>
    <t>91282CFL0</t>
  </si>
  <si>
    <t>United States Treasury Note/Bond 3.875% 09/30/2029</t>
  </si>
  <si>
    <t>91282CFT3 Govt</t>
  </si>
  <si>
    <t>91282CFT3</t>
  </si>
  <si>
    <t>United States Treasury Note/Bond 4% 10/31/2029</t>
  </si>
  <si>
    <t>91282CFV8 Govt</t>
  </si>
  <si>
    <t>91282CFV8</t>
  </si>
  <si>
    <t>United States Treasury Note/Bond 4.125% 11/15/2032</t>
  </si>
  <si>
    <t>91282CFY2 Govt</t>
  </si>
  <si>
    <t>91282CFY2</t>
  </si>
  <si>
    <t>United States Treasury Note/Bond 3.875% 11/30/2029</t>
  </si>
  <si>
    <t>91282CGB1 Govt</t>
  </si>
  <si>
    <t>91282CGB1</t>
  </si>
  <si>
    <t>United States Treasury Note/Bond 3.875% 12/31/2029</t>
  </si>
  <si>
    <t>91282CGJ4 Govt</t>
  </si>
  <si>
    <t>91282CGJ4</t>
  </si>
  <si>
    <t>United States Treasury Note/Bond 3.5% 01/31/2030</t>
  </si>
  <si>
    <t>91282CGM7 Govt</t>
  </si>
  <si>
    <t>91282CGM7</t>
  </si>
  <si>
    <t>United States Treasury Note/Bond 3.5% 02/15/2033</t>
  </si>
  <si>
    <t>91282CGQ8 Govt</t>
  </si>
  <si>
    <t>91282CGQ8</t>
  </si>
  <si>
    <t>United States Treasury Note/Bond 4% 02/28/2030</t>
  </si>
  <si>
    <t>91282CGS4 Govt</t>
  </si>
  <si>
    <t>91282CGS4</t>
  </si>
  <si>
    <t>United States Treasury Note/Bond 3.625% 03/31/2030</t>
  </si>
  <si>
    <t>91282CGZ8 Govt</t>
  </si>
  <si>
    <t>91282CGZ8</t>
  </si>
  <si>
    <t>United States Treasury Note/Bond 3.5% 04/30/2030</t>
  </si>
  <si>
    <t>91282CHC8 Govt</t>
  </si>
  <si>
    <t>91282CHC8</t>
  </si>
  <si>
    <t>United States Treasury Note/Bond 3.375% 05/15/2033</t>
  </si>
  <si>
    <t>91282CHF1 Govt</t>
  </si>
  <si>
    <t>91282CHF1</t>
  </si>
  <si>
    <t>United States Treasury Note/Bond 3.75% 05/31/2030</t>
  </si>
  <si>
    <t>91282CHJ3 Govt</t>
  </si>
  <si>
    <t>91282CHJ3</t>
  </si>
  <si>
    <t>United States Treasury Note/Bond 3.75% 06/30/2030</t>
  </si>
  <si>
    <t>91282CHR5 Govt</t>
  </si>
  <si>
    <t>91282CHR5</t>
  </si>
  <si>
    <t>United States Treasury Note/Bond 4% 07/31/2030</t>
  </si>
  <si>
    <t>91282CHW4 Govt</t>
  </si>
  <si>
    <t>91282CHW4</t>
  </si>
  <si>
    <t>United States Treasury Note/Bond 4.125% 08/31/2030</t>
  </si>
  <si>
    <t>91282CHZ7 Govt</t>
  </si>
  <si>
    <t>91282CHZ7</t>
  </si>
  <si>
    <t>United States Treasury Note/Bond 4.625% 09/30/2030</t>
  </si>
  <si>
    <t>91282CJG7 Govt</t>
  </si>
  <si>
    <t>91282CJG7</t>
  </si>
  <si>
    <t>United States Treasury Note/Bond 4.875% 10/31/2030</t>
  </si>
  <si>
    <t>91282CJM4 Govt</t>
  </si>
  <si>
    <t>91282CJM4</t>
  </si>
  <si>
    <t>United States Treasury Note/Bond 4.375% 11/30/2030</t>
  </si>
  <si>
    <t>91282CJQ5 Govt</t>
  </si>
  <si>
    <t>91282CJQ5</t>
  </si>
  <si>
    <t>United States Treasury Note/Bond 3.75% 12/31/2030</t>
  </si>
  <si>
    <t>91282CJX0 Govt</t>
  </si>
  <si>
    <t>91282CJX0</t>
  </si>
  <si>
    <t>United States Treasury Note/Bond 4% 01/31/2031</t>
  </si>
  <si>
    <t>91282CKC4 Govt</t>
  </si>
  <si>
    <t>91282CKC4</t>
  </si>
  <si>
    <t>United States Treasury Note/Bond 4.25% 02/28/2031</t>
  </si>
  <si>
    <t>91282CKF7 Govt</t>
  </si>
  <si>
    <t>91282CKF7</t>
  </si>
  <si>
    <t>United States Treasury Note/Bond 4.125% 03/31/2031</t>
  </si>
  <si>
    <t>91282CKN0 Govt</t>
  </si>
  <si>
    <t>91282CKN0</t>
  </si>
  <si>
    <t>United States Treasury Note/Bond 4.625% 04/30/2031</t>
  </si>
  <si>
    <t>91282CKT7 Govt</t>
  </si>
  <si>
    <t>91282CKT7</t>
  </si>
  <si>
    <t>United States Treasury Note/Bond 4.5% 05/31/2029</t>
  </si>
  <si>
    <t>91282CKU4 Govt</t>
  </si>
  <si>
    <t>91282CKU4</t>
  </si>
  <si>
    <t>United States Treasury Note/Bond 4.625% 05/31/2031</t>
  </si>
  <si>
    <t>91282CKW0 Govt</t>
  </si>
  <si>
    <t>91282CKW0</t>
  </si>
  <si>
    <t>United States Treasury Note/Bond 4.25% 06/30/2031</t>
  </si>
  <si>
    <t>91282CKX8 Govt</t>
  </si>
  <si>
    <t>91282CKX8</t>
  </si>
  <si>
    <t>United States Treasury Note/Bond 4.25% 06/30/2029</t>
  </si>
  <si>
    <t>91282CLC3 Govt</t>
  </si>
  <si>
    <t>91282CLC3</t>
  </si>
  <si>
    <t>United States Treasury Note/Bond 4% 07/31/2029</t>
  </si>
  <si>
    <t>91282CLD1 Govt</t>
  </si>
  <si>
    <t>91282CLD1</t>
  </si>
  <si>
    <t>United States Treasury Note/Bond 4.125% 07/31/2031</t>
  </si>
  <si>
    <t>91282CLJ8 Govt</t>
  </si>
  <si>
    <t>91282CLJ8</t>
  </si>
  <si>
    <t>United States Treasury Note/Bond 3.75% 08/31/2031</t>
  </si>
  <si>
    <t>91282CLK5 Govt</t>
  </si>
  <si>
    <t>91282CLK5</t>
  </si>
  <si>
    <t>United States Treasury Note/Bond 3.625% 08/31/2029</t>
  </si>
  <si>
    <t>91282CLM1 Govt</t>
  </si>
  <si>
    <t>91282CLM1</t>
  </si>
  <si>
    <t>United States Treasury Note/Bond 3.625% 09/30/2031</t>
  </si>
  <si>
    <t>91282CLN9 Govt</t>
  </si>
  <si>
    <t>91282CLN9</t>
  </si>
  <si>
    <t>United States Treasury Note/Bond 3.5% 09/30/2029</t>
  </si>
  <si>
    <t>91282CLR0 Govt</t>
  </si>
  <si>
    <t>91282CLR0</t>
  </si>
  <si>
    <t>United States Treasury Note/Bond 4.125% 10/31/2029</t>
  </si>
  <si>
    <t>91282CLU3 Govt</t>
  </si>
  <si>
    <t>91282CLU3</t>
  </si>
  <si>
    <t>United States Treasury Note/Bond 4.125% 10/31/2031</t>
  </si>
  <si>
    <t>91282CLZ2 Govt</t>
  </si>
  <si>
    <t>91282CLZ2</t>
  </si>
  <si>
    <t>United States Treasury Note/Bond 4.125% 11/30/2031</t>
  </si>
  <si>
    <t>91282CMA6 Govt</t>
  </si>
  <si>
    <t>91282CMA6</t>
  </si>
  <si>
    <t>United States Treasury Note/Bond 4.125% 11/30/2029</t>
  </si>
  <si>
    <t>91282CMC2 Govt</t>
  </si>
  <si>
    <t>91282CMC2</t>
  </si>
  <si>
    <t>United States Treasury Note/Bond 4.5% 12/31/2031</t>
  </si>
  <si>
    <t>91282CMD0 Govt</t>
  </si>
  <si>
    <t>91282CMD0</t>
  </si>
  <si>
    <t>United States Treasury Note/Bond 4.375% 12/31/2029</t>
  </si>
  <si>
    <t>91282CMG3 Govt</t>
  </si>
  <si>
    <t>91282CMG3</t>
  </si>
  <si>
    <t>United States Treasury Note/Bond 4.25% 01/31/2030</t>
  </si>
  <si>
    <t>91282CMK4 Govt</t>
  </si>
  <si>
    <t>91282CMK4</t>
  </si>
  <si>
    <t>United States Treasury Note/Bond 4.375% 01/31/2032</t>
  </si>
  <si>
    <t>91282CMR9 Govt</t>
  </si>
  <si>
    <t>91282CMR9</t>
  </si>
  <si>
    <t>United States Treasury Note/Bond 4.125% 02/29/2032</t>
  </si>
  <si>
    <t>91282CMT5 Govt</t>
  </si>
  <si>
    <t>91282CMT5</t>
  </si>
  <si>
    <t>United States Treasury Note/Bond 4.125% 03/31/2032</t>
  </si>
  <si>
    <t>91282CMU2 Govt</t>
  </si>
  <si>
    <t>91282CMU2</t>
  </si>
  <si>
    <t>United States Treasury Note/Bond 4% 03/31/2030</t>
  </si>
  <si>
    <t>91282CMZ1 Govt</t>
  </si>
  <si>
    <t>91282CMZ1</t>
  </si>
  <si>
    <t>United States Treasury Note/Bond 3.875% 04/30/2030</t>
  </si>
  <si>
    <t>91282CNA5 Govt</t>
  </si>
  <si>
    <t>91282CNA5</t>
  </si>
  <si>
    <t>United States Treasury Note/Bond 4% 04/30/2032</t>
  </si>
  <si>
    <t>91282CNF4 Govt</t>
  </si>
  <si>
    <t>91282CNF4</t>
  </si>
  <si>
    <t>United States Treasury Note/Bond 4.125% 05/31/2032</t>
  </si>
  <si>
    <t>91282CNG2 Govt</t>
  </si>
  <si>
    <t>91282CNG2</t>
  </si>
  <si>
    <t>United States Treasury Note/Bond 4% 05/31/2030</t>
  </si>
  <si>
    <t>91282CNJ6 Govt</t>
  </si>
  <si>
    <t>91282CNJ6</t>
  </si>
  <si>
    <t>United States Treasury Note/Bond 4% 06/30/2032</t>
  </si>
  <si>
    <t>91282CNK3 Govt</t>
  </si>
  <si>
    <t>91282CNK3</t>
  </si>
  <si>
    <t>United States Treasury Note/Bond 3.875% 06/30/2030</t>
  </si>
  <si>
    <t>91282CNN7 Govt</t>
  </si>
  <si>
    <t>91282CNN7</t>
  </si>
  <si>
    <t>United States Treasury Note/Bond 3.875% 07/31/2030</t>
  </si>
  <si>
    <t>91282CNR8 Govt</t>
  </si>
  <si>
    <t>91282CNR8</t>
  </si>
  <si>
    <t>United States Treasury Note/Bond 4% 07/31/2032</t>
  </si>
  <si>
    <t>91282CNW7 Govt</t>
  </si>
  <si>
    <t>91282CNW7</t>
  </si>
  <si>
    <t>United States Treasury Note/Bond 3.875% 08/31/2032</t>
  </si>
  <si>
    <t>91282CNX5 Govt</t>
  </si>
  <si>
    <t>91282CNX5</t>
  </si>
  <si>
    <t>United States Treasury Note/Bond 3.625% 08/31/2030</t>
  </si>
  <si>
    <t>91282CNZ0 Govt</t>
  </si>
  <si>
    <t>91282CNZ0</t>
  </si>
  <si>
    <t>United States Treasury Note/Bond 3.875% 09/30/2032</t>
  </si>
  <si>
    <t>91282CPA3 Govt</t>
  </si>
  <si>
    <t>91282CPA3</t>
  </si>
  <si>
    <t>United States Treasury Note/Bond 3.625% 09/30/2030</t>
  </si>
  <si>
    <t>91282CPD7 Govt</t>
  </si>
  <si>
    <t>91282CPD7</t>
  </si>
  <si>
    <t>United States Treasury Note/Bond 3.625% 10/31/2030</t>
  </si>
  <si>
    <t>91282CPF2 Govt</t>
  </si>
  <si>
    <t>91282CPF2</t>
  </si>
  <si>
    <t>United States Treasury Note/Bond 3.75% 10/31/2032</t>
  </si>
  <si>
    <t>91282CPM7 Govt</t>
  </si>
  <si>
    <t>91282CPM7</t>
  </si>
  <si>
    <t>United States Treasury Note/Bond 3.75% 11/30/2032</t>
  </si>
  <si>
    <t>91282CPN5 Govt</t>
  </si>
  <si>
    <t>91282CPN5</t>
  </si>
  <si>
    <t>United States Treasury Note/Bond 3.5% 11/30/2030</t>
  </si>
  <si>
    <t>91282CPQ8 Govt</t>
  </si>
  <si>
    <t>91282CPQ8</t>
  </si>
  <si>
    <t>United States Treasury Note/Bond 3.875% 12/31/2032</t>
  </si>
  <si>
    <t>91282CPR6 Govt</t>
  </si>
  <si>
    <t>91282CPR6</t>
  </si>
  <si>
    <t>United States Treasury Note/Bond 3.625% 12/31/2030</t>
  </si>
  <si>
    <t>91282CPW5 Govt</t>
  </si>
  <si>
    <t>91282CPW5</t>
  </si>
  <si>
    <t>United States Treasury Note/Bond 3.75% 01/31/2031</t>
  </si>
  <si>
    <t>91282CPY1 Govt</t>
  </si>
  <si>
    <t>91282CPY1</t>
  </si>
  <si>
    <t>United States Treasury Note/Bond 4% 01/31/2033</t>
  </si>
  <si>
    <t>91282CQC8 Govt</t>
  </si>
  <si>
    <t>91282CQC8</t>
  </si>
  <si>
    <t>United States Treasury Note/Bond 3.75% 02/28/2033</t>
  </si>
  <si>
    <t>91282CQD6 Govt</t>
  </si>
  <si>
    <t>91282CQD6</t>
  </si>
  <si>
    <t>United States Treasury Note/Bond 3.5% 02/28/2031</t>
  </si>
  <si>
    <t>91282CQF1 Govt</t>
  </si>
  <si>
    <t>91282CQF1</t>
  </si>
  <si>
    <t>United States Treasury Note/Bond 4.25% 03/31/2033</t>
  </si>
  <si>
    <t>91282CQG9 Govt</t>
  </si>
  <si>
    <t>91282CQG9</t>
  </si>
  <si>
    <t>United States Treasury Note/Bond 3.875% 03/31/2031</t>
  </si>
  <si>
    <t>91282CQK0 Govt</t>
  </si>
  <si>
    <t>91282CQK0</t>
  </si>
  <si>
    <t>United States Treasury Note/Bond 3.875% 04/30/2031</t>
  </si>
  <si>
    <t>91282CQN4 Govt</t>
  </si>
  <si>
    <t>91282CQN4</t>
  </si>
  <si>
    <t>United States Treasury Note/Bond 4.125% 04/30/2033</t>
  </si>
  <si>
    <t>CIVG</t>
  </si>
  <si>
    <t>00206RKG6 Corp</t>
  </si>
  <si>
    <t>00206RKG6</t>
  </si>
  <si>
    <t>AT&amp;T Inc 1.65% 02/01/2028</t>
  </si>
  <si>
    <t>002824BS8 Corp</t>
  </si>
  <si>
    <t>002824BS8</t>
  </si>
  <si>
    <t>Abbott Laboratories 4% 03/15/2</t>
  </si>
  <si>
    <t>Abbott Laboratories 4% 03/15/2031</t>
  </si>
  <si>
    <t>00287YBX6 Corp</t>
  </si>
  <si>
    <t>00287YBX6</t>
  </si>
  <si>
    <t>AbbVie Inc 3.2% 11/21/2029</t>
  </si>
  <si>
    <t>00724PAD1 Corp</t>
  </si>
  <si>
    <t>00724PAD1</t>
  </si>
  <si>
    <t>Adobe Inc 2.3% 02/01/2030</t>
  </si>
  <si>
    <t>015271AU3 Corp</t>
  </si>
  <si>
    <t>015271AU3</t>
  </si>
  <si>
    <t>Alexandria Real Estate Equitie</t>
  </si>
  <si>
    <t>Alexandria Real Estate Equities Inc 4.9% 12/15/2030</t>
  </si>
  <si>
    <t>01609WAT9 Corp</t>
  </si>
  <si>
    <t>01609WAT9</t>
  </si>
  <si>
    <t>Alibaba Group Holding Ltd 3.4%</t>
  </si>
  <si>
    <t>Alibaba Group Holding Ltd 3.4% 12/06/2027</t>
  </si>
  <si>
    <t>017175AE0 Corp</t>
  </si>
  <si>
    <t>017175AE0</t>
  </si>
  <si>
    <t>Alleghany Corp 3.625% 05/15/20</t>
  </si>
  <si>
    <t>Alleghany Corp 3.625% 05/15/2030</t>
  </si>
  <si>
    <t>02079KBK2 Corp</t>
  </si>
  <si>
    <t>02079KBK2</t>
  </si>
  <si>
    <t>Alphabet Inc 4.1% 02/15/2031</t>
  </si>
  <si>
    <t>02209SBD4 Corp</t>
  </si>
  <si>
    <t>02209SBD4</t>
  </si>
  <si>
    <t>Altria Group Inc 4.8% 02/14/20</t>
  </si>
  <si>
    <t>Altria Group Inc 4.8% 02/14/2029</t>
  </si>
  <si>
    <t>023135DD5 Corp</t>
  </si>
  <si>
    <t>023135DD5</t>
  </si>
  <si>
    <t>Amazon.com Inc 4.25% 03/13/203</t>
  </si>
  <si>
    <t>Amazon.com Inc 4.25% 03/13/2031</t>
  </si>
  <si>
    <t>025816ED7 Corp</t>
  </si>
  <si>
    <t>025816ED7</t>
  </si>
  <si>
    <t>American Express Co 4.731% 04/</t>
  </si>
  <si>
    <t>American Express Co 4.731% 04/25/2029</t>
  </si>
  <si>
    <t>03040WAS4 Corp</t>
  </si>
  <si>
    <t>03040WAS4</t>
  </si>
  <si>
    <t>American Water Capital Corp 3.</t>
  </si>
  <si>
    <t>American Water Capital Corp 3.75% 09/01/2028</t>
  </si>
  <si>
    <t>031162DP2 Corp</t>
  </si>
  <si>
    <t>031162DP2</t>
  </si>
  <si>
    <t>Amgen Inc 5.15% 03/02/2028</t>
  </si>
  <si>
    <t>032095AT8 Corp</t>
  </si>
  <si>
    <t>032095AT8</t>
  </si>
  <si>
    <t>Amphenol Corp 4.375% 06/12/202</t>
  </si>
  <si>
    <t>Amphenol Corp 4.375% 06/12/2028</t>
  </si>
  <si>
    <t>035240AV2 Corp</t>
  </si>
  <si>
    <t>035240AV2</t>
  </si>
  <si>
    <t>Anheuser-Busch InBev Worldwide</t>
  </si>
  <si>
    <t>Anheuser-Busch InBev Worldwide Inc 3.5% 06/01/2030</t>
  </si>
  <si>
    <t>036752AP8 Corp</t>
  </si>
  <si>
    <t>036752AP8</t>
  </si>
  <si>
    <t>Elevance Health Inc 2.55% 03/1</t>
  </si>
  <si>
    <t>Elevance Health Inc 2.55% 03/15/2031</t>
  </si>
  <si>
    <t>037833ED8 Corp</t>
  </si>
  <si>
    <t>037833ED8</t>
  </si>
  <si>
    <t>Apple Inc 1.65% 02/08/2031</t>
  </si>
  <si>
    <t>04010LBB8 Corp</t>
  </si>
  <si>
    <t>04010LBB8</t>
  </si>
  <si>
    <t>Ares Capital Corp 2.875% 06/15</t>
  </si>
  <si>
    <t>Ares Capital Corp 2.875% 06/15/2028</t>
  </si>
  <si>
    <t>04010LBF9 Corp</t>
  </si>
  <si>
    <t>04010LBF9</t>
  </si>
  <si>
    <t>Ares Capital Corp 5.875% 03/01</t>
  </si>
  <si>
    <t>Ares Capital Corp 5.875% 03/01/2029</t>
  </si>
  <si>
    <t>04636NAF0 Corp</t>
  </si>
  <si>
    <t>04636NAF0</t>
  </si>
  <si>
    <t>Astrazeneca Finance LLC 4.875%</t>
  </si>
  <si>
    <t>Astrazeneca Finance LLC 4.875% 03/03/2028</t>
  </si>
  <si>
    <t>051473AD8 Corp</t>
  </si>
  <si>
    <t>051473AD8</t>
  </si>
  <si>
    <t>Augusta SpinCo Corp 4.656% 03/</t>
  </si>
  <si>
    <t>Augusta SpinCo Corp 4.656% 03/23/2031</t>
  </si>
  <si>
    <t>05351WAB9 Corp</t>
  </si>
  <si>
    <t>05351WAB9</t>
  </si>
  <si>
    <t>Avangrid Inc 3.8% 06/01/2029</t>
  </si>
  <si>
    <t>054989AA6 Corp</t>
  </si>
  <si>
    <t>054989AA6</t>
  </si>
  <si>
    <t>BAT Capital Corp 6.343% 08/02/</t>
  </si>
  <si>
    <t>BAT Capital Corp 6.343% 08/02/2030</t>
  </si>
  <si>
    <t>05555LAD3 Corp</t>
  </si>
  <si>
    <t>05555LAD3</t>
  </si>
  <si>
    <t>BGC Group Inc 6.15% 04/02/2030</t>
  </si>
  <si>
    <t>05946KAX9 Corp</t>
  </si>
  <si>
    <t>05946KAX9</t>
  </si>
  <si>
    <t>Banco Bilbao Vizcaya Argentari</t>
  </si>
  <si>
    <t>Banco Bilbao Vizcaya Argentaria SA 4.968% 05/08/2031</t>
  </si>
  <si>
    <t>06051GHD4 Corp</t>
  </si>
  <si>
    <t>06051GHD4</t>
  </si>
  <si>
    <t>Bank of America Corp 3.419% 12</t>
  </si>
  <si>
    <t>Bank of America Corp 3.419% 12/20/2028</t>
  </si>
  <si>
    <t>06051GJT7 Corp</t>
  </si>
  <si>
    <t>06051GJT7</t>
  </si>
  <si>
    <t>Bank of America Corp 2.687% 04</t>
  </si>
  <si>
    <t>Bank of America Corp 2.687% 04/22/2032</t>
  </si>
  <si>
    <t>06368LGV2 Corp</t>
  </si>
  <si>
    <t>06368LGV2</t>
  </si>
  <si>
    <t>Bank of Montreal 5.203% 02/01/</t>
  </si>
  <si>
    <t>Bank of Montreal 5.203% 02/01/2028</t>
  </si>
  <si>
    <t>06406RCB1 Corp</t>
  </si>
  <si>
    <t>06406RCB1</t>
  </si>
  <si>
    <t>Bank of New York Mellon Corp/T</t>
  </si>
  <si>
    <t>Bank of New York Mellon Corp/The 4.942% 02/11/2031</t>
  </si>
  <si>
    <t>06418GAQ0 Corp</t>
  </si>
  <si>
    <t>06418GAQ0</t>
  </si>
  <si>
    <t xml:space="preserve">Bank of Nova Scotia/The 5.13% </t>
  </si>
  <si>
    <t>Bank of Nova Scotia/The 5.13% 02/14/2031</t>
  </si>
  <si>
    <t>06738ECY9 Corp</t>
  </si>
  <si>
    <t>06738ECY9</t>
  </si>
  <si>
    <t>Barclays PLC 5.367% 02/25/2031</t>
  </si>
  <si>
    <t>09247XAQ4 Corp</t>
  </si>
  <si>
    <t>09247XAQ4</t>
  </si>
  <si>
    <t>Blackrock Inc 2.4% 04/30/2030</t>
  </si>
  <si>
    <t>09261HCC9 Corp</t>
  </si>
  <si>
    <t>09261HCC9</t>
  </si>
  <si>
    <t>Blackstone Private Credit Fund</t>
  </si>
  <si>
    <t>Blackstone Private Credit Fund 5.95% 05/15/2031</t>
  </si>
  <si>
    <t>09261XAJ1 Corp</t>
  </si>
  <si>
    <t>09261XAJ1</t>
  </si>
  <si>
    <t>Blackstone Secured Lending Fun</t>
  </si>
  <si>
    <t>Blackstone Secured Lending Fund 5.35% 04/13/2028</t>
  </si>
  <si>
    <t>097023CY9 Corp</t>
  </si>
  <si>
    <t>097023CY9</t>
  </si>
  <si>
    <t>Boeing Co/The 5.15% 05/01/2030</t>
  </si>
  <si>
    <t>10112RBD5 Corp</t>
  </si>
  <si>
    <t>10112RBD5</t>
  </si>
  <si>
    <t>Boston Properties LP 3.25% 01/</t>
  </si>
  <si>
    <t>Boston Properties LP 3.25% 01/30/2031</t>
  </si>
  <si>
    <t>10373QAE0 Corp</t>
  </si>
  <si>
    <t>10373QAE0</t>
  </si>
  <si>
    <t>BP Capital Markets America Inc</t>
  </si>
  <si>
    <t>BP Capital Markets America Inc 4.234% 11/06/2028</t>
  </si>
  <si>
    <t>111021AE1 Corp</t>
  </si>
  <si>
    <t>111021AE1</t>
  </si>
  <si>
    <t>British Telecommunications PLC</t>
  </si>
  <si>
    <t>British Telecommunications PLC 9.625% 12/15/2030</t>
  </si>
  <si>
    <t>11120VAH6 Corp</t>
  </si>
  <si>
    <t>11120VAH6</t>
  </si>
  <si>
    <t xml:space="preserve">Brixmor Operating Partnership </t>
  </si>
  <si>
    <t>Brixmor Operating Partnership LP 4.125% 05/15/2029</t>
  </si>
  <si>
    <t>11135FCB5 Corp</t>
  </si>
  <si>
    <t>11135FCB5</t>
  </si>
  <si>
    <t>Broadcom Inc 4.35% 02/15/2030</t>
  </si>
  <si>
    <t>12541WAA8 Corp</t>
  </si>
  <si>
    <t>12541WAA8</t>
  </si>
  <si>
    <t>CH Robinson Worldwide Inc 4.2%</t>
  </si>
  <si>
    <t>CH Robinson Worldwide Inc 4.2% 04/15/2028</t>
  </si>
  <si>
    <t>125523AH3 Corp</t>
  </si>
  <si>
    <t>125523AH3</t>
  </si>
  <si>
    <t>Cigna Group/The 4.375% 10/15/2</t>
  </si>
  <si>
    <t>Cigna Group/The 4.375% 10/15/2028</t>
  </si>
  <si>
    <t>125896BU3 Corp</t>
  </si>
  <si>
    <t>125896BU3</t>
  </si>
  <si>
    <t>CMS Energy Corp 4.75% 06/01/20</t>
  </si>
  <si>
    <t>CMS Energy Corp 4.75% 06/01/2050</t>
  </si>
  <si>
    <t>126650CX6 Corp</t>
  </si>
  <si>
    <t>126650CX6</t>
  </si>
  <si>
    <t>CVS Health Corp 4.3% 03/25/202</t>
  </si>
  <si>
    <t>CVS Health Corp 4.3% 03/25/2028</t>
  </si>
  <si>
    <t>13607LNG4 Corp</t>
  </si>
  <si>
    <t>13607LNG4</t>
  </si>
  <si>
    <t>Canadian Imperial Bank of Comm</t>
  </si>
  <si>
    <t>Canadian Imperial Bank of Commerce 5.001% 04/28/2028</t>
  </si>
  <si>
    <t>13607QWB4 Corp</t>
  </si>
  <si>
    <t>13607QWB4</t>
  </si>
  <si>
    <t>Canadian Imperial Bank of Commerce 4.283% 01/29/2030</t>
  </si>
  <si>
    <t>14040HCN3 Corp</t>
  </si>
  <si>
    <t>14040HCN3</t>
  </si>
  <si>
    <t>Capital One Financial Corp 3.2</t>
  </si>
  <si>
    <t>Capital One Financial Corp 3.273% 03/01/2030</t>
  </si>
  <si>
    <t>14040HCZ6 Corp</t>
  </si>
  <si>
    <t>14040HCZ6</t>
  </si>
  <si>
    <t>Capital One Financial Corp 6.3</t>
  </si>
  <si>
    <t>Capital One Financial Corp 6.312% 06/08/2029</t>
  </si>
  <si>
    <t>14149YBN7 Corp</t>
  </si>
  <si>
    <t>14149YBN7</t>
  </si>
  <si>
    <t>Cardinal Health Inc 5.125% 02/</t>
  </si>
  <si>
    <t>Cardinal Health Inc 5.125% 02/15/2029</t>
  </si>
  <si>
    <t>14913V2D9 Corp</t>
  </si>
  <si>
    <t>14913V2D9</t>
  </si>
  <si>
    <t>Caterpillar Financial Services</t>
  </si>
  <si>
    <t>Caterpillar Financial Services Corp 4.5% 05/15/2031</t>
  </si>
  <si>
    <t>166764BY5 Corp</t>
  </si>
  <si>
    <t>166764BY5</t>
  </si>
  <si>
    <t>Chevron Corp 2.236% 05/11/2030</t>
  </si>
  <si>
    <t>17275RBR2 Corp</t>
  </si>
  <si>
    <t>17275RBR2</t>
  </si>
  <si>
    <t>Cisco Systems Inc 4.85% 02/26/</t>
  </si>
  <si>
    <t>Cisco Systems Inc 4.85% 02/26/2029</t>
  </si>
  <si>
    <t>17275RBS0 Corp</t>
  </si>
  <si>
    <t>17275RBS0</t>
  </si>
  <si>
    <t>Cisco Systems Inc 4.95% 02/26/</t>
  </si>
  <si>
    <t>Cisco Systems Inc 4.95% 02/26/2031</t>
  </si>
  <si>
    <t>172967KA8 Corp</t>
  </si>
  <si>
    <t>172967KA8</t>
  </si>
  <si>
    <t>Citigroup Inc 4.45% 09/29/2027</t>
  </si>
  <si>
    <t>172967MP3 Corp</t>
  </si>
  <si>
    <t>172967MP3</t>
  </si>
  <si>
    <t>Citigroup Inc 4.412% 03/31/203</t>
  </si>
  <si>
    <t>Citigroup Inc 4.412% 03/31/2031</t>
  </si>
  <si>
    <t>174610BF1 Corp</t>
  </si>
  <si>
    <t>174610BF1</t>
  </si>
  <si>
    <t>Citizens Financial Group Inc 5</t>
  </si>
  <si>
    <t>Citizens Financial Group Inc 5.841% 01/23/2030</t>
  </si>
  <si>
    <t>200340AT4 Corp</t>
  </si>
  <si>
    <t>200340AT4</t>
  </si>
  <si>
    <t xml:space="preserve">Fifth Third Financial Corp 4% </t>
  </si>
  <si>
    <t>Fifth Third Financial Corp 4% 02/01/2029</t>
  </si>
  <si>
    <t>205887CC4 Corp</t>
  </si>
  <si>
    <t>205887CC4</t>
  </si>
  <si>
    <t>Conagra Brands Inc 4.85% 11/01</t>
  </si>
  <si>
    <t>Conagra Brands Inc 4.85% 11/01/2028</t>
  </si>
  <si>
    <t>225401AP3 Corp</t>
  </si>
  <si>
    <t>225401AP3</t>
  </si>
  <si>
    <t>UBS Group AG 4.194% 04/01/2031</t>
  </si>
  <si>
    <t>22822VAK7 Corp</t>
  </si>
  <si>
    <t>22822VAK7</t>
  </si>
  <si>
    <t>Crown Castle Inc 3.8% 02/15/20</t>
  </si>
  <si>
    <t>Crown Castle Inc 3.8% 02/15/2028</t>
  </si>
  <si>
    <t>233331BK2 Corp</t>
  </si>
  <si>
    <t>233331BK2</t>
  </si>
  <si>
    <t>DTE Energy Co 5.1% 03/01/2029</t>
  </si>
  <si>
    <t>24422EWR6 Corp</t>
  </si>
  <si>
    <t>24422EWR6</t>
  </si>
  <si>
    <t xml:space="preserve">John Deere Capital Corp 4.75% </t>
  </si>
  <si>
    <t>John Deere Capital Corp 4.75% 01/20/2028</t>
  </si>
  <si>
    <t>251526CU1 Corp</t>
  </si>
  <si>
    <t>251526CU1</t>
  </si>
  <si>
    <t>Deutsche Bank AG/New York NY 6</t>
  </si>
  <si>
    <t>Deutsche Bank AG/New York NY 6.819% 11/20/2029</t>
  </si>
  <si>
    <t>254687FX9 Corp</t>
  </si>
  <si>
    <t>254687FX9</t>
  </si>
  <si>
    <t>Walt Disney Co/The 2.65% 01/13</t>
  </si>
  <si>
    <t>Walt Disney Co/The 2.65% 01/13/2031</t>
  </si>
  <si>
    <t>256677AG0 Corp</t>
  </si>
  <si>
    <t>256677AG0</t>
  </si>
  <si>
    <t>Dollar General Corp 3.5% 04/03</t>
  </si>
  <si>
    <t>Dollar General Corp 3.5% 04/03/2030</t>
  </si>
  <si>
    <t>256746AH1 Corp</t>
  </si>
  <si>
    <t>256746AH1</t>
  </si>
  <si>
    <t>Dollar Tree Inc 4.2% 05/15/202</t>
  </si>
  <si>
    <t>Dollar Tree Inc 4.2% 05/15/2028</t>
  </si>
  <si>
    <t>26442CAX2 Corp</t>
  </si>
  <si>
    <t>26442CAX2</t>
  </si>
  <si>
    <t>Duke Energy Carolinas LLC 3.95</t>
  </si>
  <si>
    <t>Duke Energy Carolinas LLC 3.95% 11/15/2028</t>
  </si>
  <si>
    <t>26884LBD0 Corp</t>
  </si>
  <si>
    <t>26884LBD0</t>
  </si>
  <si>
    <t>EQT Corp 4.75% 01/15/2031</t>
  </si>
  <si>
    <t>277432AZ3 Corp</t>
  </si>
  <si>
    <t>277432AZ3</t>
  </si>
  <si>
    <t>Eastman Chemical Co 5% 08/01/2</t>
  </si>
  <si>
    <t>Eastman Chemical Co 5% 08/01/2029</t>
  </si>
  <si>
    <t>278058DW9 Corp</t>
  </si>
  <si>
    <t>278058DW9</t>
  </si>
  <si>
    <t>Eaton Corp 3.95% 03/06/2029</t>
  </si>
  <si>
    <t>278642AW3 Corp</t>
  </si>
  <si>
    <t>278642AW3</t>
  </si>
  <si>
    <t>eBay Inc 2.7% 03/11/2030</t>
  </si>
  <si>
    <t>29249EAA7 Corp</t>
  </si>
  <si>
    <t>29249EAA7</t>
  </si>
  <si>
    <t>Enact Holdings Inc 6.25% 05/28</t>
  </si>
  <si>
    <t>Enact Holdings Inc 6.25% 05/28/2029</t>
  </si>
  <si>
    <t>29278DAA3 Corp</t>
  </si>
  <si>
    <t>29278DAA3</t>
  </si>
  <si>
    <t>Enel Chile SA 4.875% 06/12/202</t>
  </si>
  <si>
    <t>Enel Chile SA 4.875% 06/12/2028</t>
  </si>
  <si>
    <t>29278NAG8 Corp</t>
  </si>
  <si>
    <t>29278NAG8</t>
  </si>
  <si>
    <t>Energy Transfer LP 5.25% 04/15</t>
  </si>
  <si>
    <t>Energy Transfer LP 5.25% 04/15/2029</t>
  </si>
  <si>
    <t>29379VBV4 Corp</t>
  </si>
  <si>
    <t>29379VBV4</t>
  </si>
  <si>
    <t xml:space="preserve">Enterprise Products Operating </t>
  </si>
  <si>
    <t>Enterprise Products Operating LLC 3.125% 07/31/2029</t>
  </si>
  <si>
    <t>30040WAT5 Corp</t>
  </si>
  <si>
    <t>30040WAT5</t>
  </si>
  <si>
    <t>Eversource Energy 5.45% 03/01/</t>
  </si>
  <si>
    <t>Eversource Energy 5.45% 03/01/2028</t>
  </si>
  <si>
    <t>30225VAK3 Corp</t>
  </si>
  <si>
    <t>30225VAK3</t>
  </si>
  <si>
    <t>Extra Space Storage LP 5.5% 07</t>
  </si>
  <si>
    <t>Extra Space Storage LP 5.5% 07/01/2030</t>
  </si>
  <si>
    <t>30231GBK7 Corp</t>
  </si>
  <si>
    <t>30231GBK7</t>
  </si>
  <si>
    <t>Exxon Mobil Corp 3.482% 03/19/</t>
  </si>
  <si>
    <t>Exxon Mobil Corp 3.482% 03/19/2030</t>
  </si>
  <si>
    <t>30303M8L9 Corp</t>
  </si>
  <si>
    <t>30303M8L9</t>
  </si>
  <si>
    <t>Meta Platforms Inc 4.6% 05/15/</t>
  </si>
  <si>
    <t>Meta Platforms Inc 4.6% 05/15/2028</t>
  </si>
  <si>
    <t>30303MAB8 Corp</t>
  </si>
  <si>
    <t>30303MAB8</t>
  </si>
  <si>
    <t>Meta Platforms Inc 4.2% 11/15/</t>
  </si>
  <si>
    <t>Meta Platforms Inc 4.2% 11/15/2030</t>
  </si>
  <si>
    <t>31488VAB3 Corp</t>
  </si>
  <si>
    <t>31488VAB3</t>
  </si>
  <si>
    <t>Ferguson Enterprises Inc 4.35%</t>
  </si>
  <si>
    <t>Ferguson Enterprises Inc 4.35% 03/15/2031</t>
  </si>
  <si>
    <t>31620MCA2 Corp</t>
  </si>
  <si>
    <t>31620MCA2</t>
  </si>
  <si>
    <t xml:space="preserve">Fidelity National Information </t>
  </si>
  <si>
    <t>Fidelity National Information Services Inc 4.45% 03/10/2028</t>
  </si>
  <si>
    <t>31620MCD6 Corp</t>
  </si>
  <si>
    <t>31620MCD6</t>
  </si>
  <si>
    <t>Fidelity National Information Services Inc 4.55% 03/10/2029</t>
  </si>
  <si>
    <t>320517AE5 Corp</t>
  </si>
  <si>
    <t>320517AE5</t>
  </si>
  <si>
    <t>First Horizon Corp 5.514% 03/0</t>
  </si>
  <si>
    <t>First Horizon Corp 5.514% 03/07/2031</t>
  </si>
  <si>
    <t>337738AU2 Corp</t>
  </si>
  <si>
    <t>337738AU2</t>
  </si>
  <si>
    <t>Fiserv Inc 3.5% 07/01/2029</t>
  </si>
  <si>
    <t>345397ZR7 Corp</t>
  </si>
  <si>
    <t>345397ZR7</t>
  </si>
  <si>
    <t>Ford Motor Credit Co LLC 5.113</t>
  </si>
  <si>
    <t>Ford Motor Credit Co LLC 5.113% 05/03/2029</t>
  </si>
  <si>
    <t>369604BZ5 Corp</t>
  </si>
  <si>
    <t>369604BZ5</t>
  </si>
  <si>
    <t>General Electric Co 4.3% 07/29</t>
  </si>
  <si>
    <t>General Electric Co 4.3% 07/29/2030</t>
  </si>
  <si>
    <t>370334CG7 Corp</t>
  </si>
  <si>
    <t>370334CG7</t>
  </si>
  <si>
    <t>General Mills Inc 4.2% 04/17/2</t>
  </si>
  <si>
    <t>General Mills Inc 4.2% 04/17/2028</t>
  </si>
  <si>
    <t>37045XEB8 Corp</t>
  </si>
  <si>
    <t>37045XEB8</t>
  </si>
  <si>
    <t>General Motors Financial Co In</t>
  </si>
  <si>
    <t>General Motors Financial Co Inc 6% 01/09/2028</t>
  </si>
  <si>
    <t>373334KY6 Corp</t>
  </si>
  <si>
    <t>373334KY6</t>
  </si>
  <si>
    <t>Georgia Power Co 4.55% 03/15/2</t>
  </si>
  <si>
    <t>Georgia Power Co 4.55% 03/15/2030</t>
  </si>
  <si>
    <t>377372AN7 Corp</t>
  </si>
  <si>
    <t>377372AN7</t>
  </si>
  <si>
    <t>GlaxoSmithKline Capital Inc 3.</t>
  </si>
  <si>
    <t>GlaxoSmithKline Capital Inc 3.875% 05/15/2028</t>
  </si>
  <si>
    <t>38141GA87 Corp</t>
  </si>
  <si>
    <t>38141GA87</t>
  </si>
  <si>
    <t>Goldman Sachs Group Inc/The 5.</t>
  </si>
  <si>
    <t>Goldman Sachs Group Inc/The 5.727% 04/25/2030</t>
  </si>
  <si>
    <t>38145GAP5 Corp</t>
  </si>
  <si>
    <t>38145GAP5</t>
  </si>
  <si>
    <t>Goldman Sachs Group Inc/The 4.</t>
  </si>
  <si>
    <t>Goldman Sachs Group Inc/The 4.148% 01/21/2029</t>
  </si>
  <si>
    <t>38152BAH4 Corp</t>
  </si>
  <si>
    <t>38152BAH4</t>
  </si>
  <si>
    <t>Goldman Sachs Private Credit C</t>
  </si>
  <si>
    <t>Goldman Sachs Private Credit Corp 5.875% 01/31/2031</t>
  </si>
  <si>
    <t>404119CA5 Corp</t>
  </si>
  <si>
    <t>404119CA5</t>
  </si>
  <si>
    <t>HCA Inc 3.5% 09/01/2030</t>
  </si>
  <si>
    <t>404280CC1 Corp</t>
  </si>
  <si>
    <t>404280CC1</t>
  </si>
  <si>
    <t>HSBC Holdings PLC 3.973% 05/22</t>
  </si>
  <si>
    <t>HSBC Holdings PLC 3.973% 05/22/2030</t>
  </si>
  <si>
    <t>404280CL1 Corp</t>
  </si>
  <si>
    <t>404280CL1</t>
  </si>
  <si>
    <t>HSBC Holdings PLC 2.013% 09/22</t>
  </si>
  <si>
    <t>HSBC Holdings PLC 2.013% 09/22/2028</t>
  </si>
  <si>
    <t>413875AW5 Corp</t>
  </si>
  <si>
    <t>413875AW5</t>
  </si>
  <si>
    <t>L3Harris Technologies Inc 4.4%</t>
  </si>
  <si>
    <t>L3Harris Technologies Inc 4.4% 06/15/2028</t>
  </si>
  <si>
    <t>42824CBT5 Corp</t>
  </si>
  <si>
    <t>42824CBT5</t>
  </si>
  <si>
    <t xml:space="preserve">Hewlett Packard Enterprise Co </t>
  </si>
  <si>
    <t>Hewlett Packard Enterprise Co 4.55% 10/15/2029</t>
  </si>
  <si>
    <t>437076BY7 Corp</t>
  </si>
  <si>
    <t>437076BY7</t>
  </si>
  <si>
    <t>Home Depot Inc/The 2.95% 06/15</t>
  </si>
  <si>
    <t>Home Depot Inc/The 2.95% 06/15/2029</t>
  </si>
  <si>
    <t>437076CF7 Corp</t>
  </si>
  <si>
    <t>437076CF7</t>
  </si>
  <si>
    <t>Home Depot Inc/The 1.375% 03/1</t>
  </si>
  <si>
    <t>Home Depot Inc/The 1.375% 03/15/2031</t>
  </si>
  <si>
    <t>43849RAE5 Corp</t>
  </si>
  <si>
    <t>43849RAE5</t>
  </si>
  <si>
    <t>Honeywell Aerospace Inc 4.3% 0</t>
  </si>
  <si>
    <t>Honeywell Aerospace Inc 4.3% 03/16/2031</t>
  </si>
  <si>
    <t>443201AB4 Corp</t>
  </si>
  <si>
    <t>443201AB4</t>
  </si>
  <si>
    <t>Howmet Aerospace Inc 3% 01/15/</t>
  </si>
  <si>
    <t>Howmet Aerospace Inc 3% 01/15/2029</t>
  </si>
  <si>
    <t>446150BC7 Corp</t>
  </si>
  <si>
    <t>446150BC7</t>
  </si>
  <si>
    <t>Huntington Bancshares Inc/OH 6</t>
  </si>
  <si>
    <t>Huntington Bancshares Inc/OH 6.208% 08/21/2029</t>
  </si>
  <si>
    <t>456837BU6 Corp</t>
  </si>
  <si>
    <t>456837BU6</t>
  </si>
  <si>
    <t>ING Groep NV 4.803% 03/23/2032</t>
  </si>
  <si>
    <t>45866FAV6 Corp</t>
  </si>
  <si>
    <t>45866FAV6</t>
  </si>
  <si>
    <t xml:space="preserve">Intercontinental Exchange Inc </t>
  </si>
  <si>
    <t>Intercontinental Exchange Inc 4.35% 06/15/2029</t>
  </si>
  <si>
    <t>459200KA8 Corp</t>
  </si>
  <si>
    <t>459200KA8</t>
  </si>
  <si>
    <t>International Business Machine</t>
  </si>
  <si>
    <t>International Business Machines Corp 3.5% 05/15/2029</t>
  </si>
  <si>
    <t>46647PDG8 Corp</t>
  </si>
  <si>
    <t>46647PDG8</t>
  </si>
  <si>
    <t>JPMorgan Chase &amp; Co 4.851% 07/</t>
  </si>
  <si>
    <t>JPMorgan Chase &amp; Co 4.851% 07/25/2028</t>
  </si>
  <si>
    <t>49271VAF7 Corp</t>
  </si>
  <si>
    <t>49271VAF7</t>
  </si>
  <si>
    <t>Keurig Dr Pepper Inc 4.597% 05</t>
  </si>
  <si>
    <t>Keurig Dr Pepper Inc 4.597% 05/25/2028</t>
  </si>
  <si>
    <t>49271VAU4 Corp</t>
  </si>
  <si>
    <t>49271VAU4</t>
  </si>
  <si>
    <t>Keurig Dr Pepper Inc 5.2% 03/1</t>
  </si>
  <si>
    <t>Keurig Dr Pepper Inc 5.2% 03/15/2031</t>
  </si>
  <si>
    <t>49326EEQ2 Corp</t>
  </si>
  <si>
    <t>49326EEQ2</t>
  </si>
  <si>
    <t>KeyCorp 5.121% 04/04/2031</t>
  </si>
  <si>
    <t>52532XAH8 Corp</t>
  </si>
  <si>
    <t>52532XAH8</t>
  </si>
  <si>
    <t>Leidos Inc 2.3% 02/15/2031</t>
  </si>
  <si>
    <t>539439AQ2 Corp</t>
  </si>
  <si>
    <t>539439AQ2</t>
  </si>
  <si>
    <t>Lloyds Banking Group PLC 3.574</t>
  </si>
  <si>
    <t>Lloyds Banking Group PLC 3.574% 11/07/2028</t>
  </si>
  <si>
    <t>548661EA1 Corp</t>
  </si>
  <si>
    <t>548661EA1</t>
  </si>
  <si>
    <t>Lowe's Cos Inc 2.625% 04/01/20</t>
  </si>
  <si>
    <t>Lowe's Cos Inc 2.625% 04/01/2031</t>
  </si>
  <si>
    <t>55261FAS3 Corp</t>
  </si>
  <si>
    <t>55261FAS3</t>
  </si>
  <si>
    <t>M&amp;T Bank Corp 7.413% 10/30/202</t>
  </si>
  <si>
    <t>M&amp;T Bank Corp 7.413% 10/30/2029</t>
  </si>
  <si>
    <t>55261FAT1 Corp</t>
  </si>
  <si>
    <t>55261FAT1</t>
  </si>
  <si>
    <t>M&amp;T Bank Corp 6.082% 03/13/203</t>
  </si>
  <si>
    <t>M&amp;T Bank Corp 6.082% 03/13/2032</t>
  </si>
  <si>
    <t>55336VCA6 Corp</t>
  </si>
  <si>
    <t>55336VCA6</t>
  </si>
  <si>
    <t>MPLX LP 4.8% 02/15/2031</t>
  </si>
  <si>
    <t>571748BG6 Corp</t>
  </si>
  <si>
    <t>571748BG6</t>
  </si>
  <si>
    <t>Marsh &amp; McLennan Cos Inc 4.375</t>
  </si>
  <si>
    <t>Marsh &amp; McLennan Cos Inc 4.375% 03/15/2029</t>
  </si>
  <si>
    <t>571903BE2 Corp</t>
  </si>
  <si>
    <t>571903BE2</t>
  </si>
  <si>
    <t xml:space="preserve">Marriott International Inc/MD </t>
  </si>
  <si>
    <t>Marriott International Inc/MD 4.625% 06/15/2030</t>
  </si>
  <si>
    <t>57636QAM6 Corp</t>
  </si>
  <si>
    <t>57636QAM6</t>
  </si>
  <si>
    <t>Mastercard Inc 2.95% 06/01/202</t>
  </si>
  <si>
    <t>Mastercard Inc 2.95% 06/01/2029</t>
  </si>
  <si>
    <t>58933YAX3 Corp</t>
  </si>
  <si>
    <t>58933YAX3</t>
  </si>
  <si>
    <t>Merck &amp; Co Inc 3.4% 03/07/2029</t>
  </si>
  <si>
    <t>595017BE3 Corp</t>
  </si>
  <si>
    <t>595017BE3</t>
  </si>
  <si>
    <t>Microchip Technology Inc 5.05%</t>
  </si>
  <si>
    <t>Microchip Technology Inc 5.05% 03/15/2029</t>
  </si>
  <si>
    <t>595620AT2 Corp</t>
  </si>
  <si>
    <t>595620AT2</t>
  </si>
  <si>
    <t>MidAmerican Energy Co 3.65% 04</t>
  </si>
  <si>
    <t>MidAmerican Energy Co 3.65% 04/15/2029</t>
  </si>
  <si>
    <t>606822BM5 Corp</t>
  </si>
  <si>
    <t>606822BM5</t>
  </si>
  <si>
    <t>Mitsubishi UFJ Financial Group</t>
  </si>
  <si>
    <t>Mitsubishi UFJ Financial Group Inc 3.195% 07/18/2029</t>
  </si>
  <si>
    <t>606822DW1 Corp</t>
  </si>
  <si>
    <t>606822DW1</t>
  </si>
  <si>
    <t>Mitsubishi UFJ Financial Group Inc 4.847% 04/21/2032</t>
  </si>
  <si>
    <t>60687YCR8 Corp</t>
  </si>
  <si>
    <t>60687YCR8</t>
  </si>
  <si>
    <t>Mizuho Financial Group Inc 5.7</t>
  </si>
  <si>
    <t>Mizuho Financial Group Inc 5.739% 05/27/2031</t>
  </si>
  <si>
    <t>6174468G7 Corp</t>
  </si>
  <si>
    <t>6174468G7</t>
  </si>
  <si>
    <t>Morgan Stanley 4.431% 01/23/20</t>
  </si>
  <si>
    <t>Morgan Stanley 4.431% 01/23/2030</t>
  </si>
  <si>
    <t>61744YAP3 Corp</t>
  </si>
  <si>
    <t>61744YAP3</t>
  </si>
  <si>
    <t>Morgan Stanley 3.772% 01/24/20</t>
  </si>
  <si>
    <t>Morgan Stanley 3.772% 01/24/2029</t>
  </si>
  <si>
    <t>62954HBA5 Corp</t>
  </si>
  <si>
    <t>62954HBA5</t>
  </si>
  <si>
    <t>NXP BV / NXP Funding LLC / NXP</t>
  </si>
  <si>
    <t>NXP BV / NXP Funding LLC / NXP USA Inc 2.5% 05/11/2031</t>
  </si>
  <si>
    <t>637432NP6 Corp</t>
  </si>
  <si>
    <t>637432NP6</t>
  </si>
  <si>
    <t>National Rural Utilities Coope</t>
  </si>
  <si>
    <t>National Rural Utilities Cooperative Finance Corp 3.4% 02/07/2028</t>
  </si>
  <si>
    <t>639057AK4 Corp</t>
  </si>
  <si>
    <t>639057AK4</t>
  </si>
  <si>
    <t>NatWest Group PLC 5.808% 09/13</t>
  </si>
  <si>
    <t>NatWest Group PLC 5.808% 09/13/2029</t>
  </si>
  <si>
    <t>65339KBR0 Corp</t>
  </si>
  <si>
    <t>65339KBR0</t>
  </si>
  <si>
    <t>NextEra Energy Capital Holding</t>
  </si>
  <si>
    <t>NextEra Energy Capital Holdings Inc 2.25% 06/01/2030</t>
  </si>
  <si>
    <t>654106AK9 Corp</t>
  </si>
  <si>
    <t>654106AK9</t>
  </si>
  <si>
    <t>NIKE Inc 2.85% 03/27/2030</t>
  </si>
  <si>
    <t>665859AU8 Corp</t>
  </si>
  <si>
    <t>665859AU8</t>
  </si>
  <si>
    <t>Northern Trust Corp 3.15% 05/0</t>
  </si>
  <si>
    <t>Northern Trust Corp 3.15% 05/03/2029</t>
  </si>
  <si>
    <t>666807BN1 Corp</t>
  </si>
  <si>
    <t>666807BN1</t>
  </si>
  <si>
    <t>Northrop Grumman Corp 3.25% 01</t>
  </si>
  <si>
    <t>Northrop Grumman Corp 3.25% 01/15/2028</t>
  </si>
  <si>
    <t>66989HBF4 Corp</t>
  </si>
  <si>
    <t>66989HBF4</t>
  </si>
  <si>
    <t>Novartis Capital Corp 4.1% 03/</t>
  </si>
  <si>
    <t>Novartis Capital Corp 4.1% 03/16/2029</t>
  </si>
  <si>
    <t>682680CB7 Corp</t>
  </si>
  <si>
    <t>682680CB7</t>
  </si>
  <si>
    <t>ONEOK Inc 4.25% 09/24/2027</t>
  </si>
  <si>
    <t>68389XCE3 Corp</t>
  </si>
  <si>
    <t>68389XCE3</t>
  </si>
  <si>
    <t>Oracle Corp 2.875% 03/25/2031</t>
  </si>
  <si>
    <t>69121KAH7 Corp</t>
  </si>
  <si>
    <t>69121KAH7</t>
  </si>
  <si>
    <t>Blue Owl Capital Corp 5.95% 03</t>
  </si>
  <si>
    <t>Blue Owl Capital Corp 5.95% 03/15/2029</t>
  </si>
  <si>
    <t>693475BX2 Corp</t>
  </si>
  <si>
    <t>693475BX2</t>
  </si>
  <si>
    <t>PNC Financial Services Group I</t>
  </si>
  <si>
    <t>PNC Financial Services Group Inc/The 5.492% 05/14/2030</t>
  </si>
  <si>
    <t>693475CD5 Corp</t>
  </si>
  <si>
    <t>693475CD5</t>
  </si>
  <si>
    <t>PNC Financial Services Group Inc/The 4.899% 05/13/2031</t>
  </si>
  <si>
    <t>694308JM0 Corp</t>
  </si>
  <si>
    <t>694308JM0</t>
  </si>
  <si>
    <t>Pacific Gas and Electric Co 4.</t>
  </si>
  <si>
    <t>Pacific Gas and Electric Co 4.55% 07/01/2030</t>
  </si>
  <si>
    <t>713448GA0 Corp</t>
  </si>
  <si>
    <t>713448GA0</t>
  </si>
  <si>
    <t>PepsiCo Inc 4.45% 02/07/2028</t>
  </si>
  <si>
    <t>716973AD4 Corp</t>
  </si>
  <si>
    <t>716973AD4</t>
  </si>
  <si>
    <t xml:space="preserve">Pfizer Investment Enterprises </t>
  </si>
  <si>
    <t>Pfizer Investment Enterprises Pte Ltd 4.65% 05/19/2030</t>
  </si>
  <si>
    <t>717081EW9 Corp</t>
  </si>
  <si>
    <t>717081EW9</t>
  </si>
  <si>
    <t>Pfizer Inc 2.625% 04/01/2030</t>
  </si>
  <si>
    <t>718172DA4 Corp</t>
  </si>
  <si>
    <t>718172DA4</t>
  </si>
  <si>
    <t>Philip Morris International In</t>
  </si>
  <si>
    <t>Philip Morris International Inc 5.125% 02/15/2030</t>
  </si>
  <si>
    <t>72348NAA7 Corp</t>
  </si>
  <si>
    <t>72348NAA7</t>
  </si>
  <si>
    <t>Pinnacle Financial Partners In</t>
  </si>
  <si>
    <t>Pinnacle Financial Partners Inc 5.596% 05/19/2032</t>
  </si>
  <si>
    <t>742718FH7 Corp</t>
  </si>
  <si>
    <t>742718FH7</t>
  </si>
  <si>
    <t>Procter &amp; Gamble Co/The 3% 03/</t>
  </si>
  <si>
    <t>Procter &amp; Gamble Co/The 3% 03/25/2030</t>
  </si>
  <si>
    <t>74340XBM2 Corp</t>
  </si>
  <si>
    <t>74340XBM2</t>
  </si>
  <si>
    <t>Prologis LP 2.25% 04/15/2030</t>
  </si>
  <si>
    <t>74949LAC6 Corp</t>
  </si>
  <si>
    <t>74949LAC6</t>
  </si>
  <si>
    <t>RELX Capital Inc 4% 03/18/2029</t>
  </si>
  <si>
    <t>756109BR4 Corp</t>
  </si>
  <si>
    <t>756109BR4</t>
  </si>
  <si>
    <t>Realty Income Corp 4.85% 03/15</t>
  </si>
  <si>
    <t>Realty Income Corp 4.85% 03/15/2030</t>
  </si>
  <si>
    <t>75886FAE7 Corp</t>
  </si>
  <si>
    <t>75886FAE7</t>
  </si>
  <si>
    <t xml:space="preserve">Regeneron Pharmaceuticals Inc </t>
  </si>
  <si>
    <t>Regeneron Pharmaceuticals Inc 1.75% 09/15/2030</t>
  </si>
  <si>
    <t>76720AAS5 Corp</t>
  </si>
  <si>
    <t>76720AAS5</t>
  </si>
  <si>
    <t>Rio Tinto Finance USA PLC 4.87</t>
  </si>
  <si>
    <t>Rio Tinto Finance USA PLC 4.875% 03/14/2030</t>
  </si>
  <si>
    <t>775109DE8 Corp</t>
  </si>
  <si>
    <t>775109DE8</t>
  </si>
  <si>
    <t>Rogers Communications Inc 5% 0</t>
  </si>
  <si>
    <t>Rogers Communications Inc 5% 02/15/2029</t>
  </si>
  <si>
    <t>776743AF3 Corp</t>
  </si>
  <si>
    <t>776743AF3</t>
  </si>
  <si>
    <t>Roper Technologies Inc 4.2% 09</t>
  </si>
  <si>
    <t>Roper Technologies Inc 4.2% 09/15/2028</t>
  </si>
  <si>
    <t>78017DAC2 Corp</t>
  </si>
  <si>
    <t>78017DAC2</t>
  </si>
  <si>
    <t>Royal Bank of Canada 5.153% 02</t>
  </si>
  <si>
    <t>Royal Bank of Canada 5.153% 02/04/2031</t>
  </si>
  <si>
    <t>78017DAN8 Corp</t>
  </si>
  <si>
    <t>78017DAN8</t>
  </si>
  <si>
    <t>Royal Bank of Canada 3.995% 11</t>
  </si>
  <si>
    <t>Royal Bank of Canada 3.995% 11/03/2028</t>
  </si>
  <si>
    <t>785592AX4 Corp</t>
  </si>
  <si>
    <t>785592AX4</t>
  </si>
  <si>
    <t>Sabine Pass Liquefaction LLC 4</t>
  </si>
  <si>
    <t>Sabine Pass Liquefaction LLC 4.5% 05/15/2030</t>
  </si>
  <si>
    <t>79466LAQ7 Corp</t>
  </si>
  <si>
    <t>79466LAQ7</t>
  </si>
  <si>
    <t>Salesforce Inc 4.5% 03/15/2028</t>
  </si>
  <si>
    <t>79466LAR5 Corp</t>
  </si>
  <si>
    <t>79466LAR5</t>
  </si>
  <si>
    <t>Salesforce Inc 4.65% 03/15/202</t>
  </si>
  <si>
    <t>Salesforce Inc 4.65% 03/15/2029</t>
  </si>
  <si>
    <t>80282KBF2 Corp</t>
  </si>
  <si>
    <t>80282KBF2</t>
  </si>
  <si>
    <t>Santander Holdings USA Inc 6.4</t>
  </si>
  <si>
    <t>Santander Holdings USA Inc 6.499% 03/09/2029</t>
  </si>
  <si>
    <t>808513CJ2 Corp</t>
  </si>
  <si>
    <t>808513CJ2</t>
  </si>
  <si>
    <t>Charles Schwab Corp/The 6.196%</t>
  </si>
  <si>
    <t>Charles Schwab Corp/The 6.196% 11/17/2029</t>
  </si>
  <si>
    <t>816851BG3 Corp</t>
  </si>
  <si>
    <t>816851BG3</t>
  </si>
  <si>
    <t>Sempra 3.4% 02/01/2028</t>
  </si>
  <si>
    <t>824348BJ4 Corp</t>
  </si>
  <si>
    <t>824348BJ4</t>
  </si>
  <si>
    <t xml:space="preserve">Sherwin-Williams Co/The 2.95% </t>
  </si>
  <si>
    <t>Sherwin-Williams Co/The 2.95% 08/15/2029</t>
  </si>
  <si>
    <t>828807DF1 Corp</t>
  </si>
  <si>
    <t>828807DF1</t>
  </si>
  <si>
    <t xml:space="preserve">Simon Property Group LP 2.45% </t>
  </si>
  <si>
    <t>Simon Property Group LP 2.45% 09/13/2029</t>
  </si>
  <si>
    <t>83444MAP6 Corp</t>
  </si>
  <si>
    <t>83444MAP6</t>
  </si>
  <si>
    <t>Solventum Corp 5.4% 03/01/2029</t>
  </si>
  <si>
    <t>842400JC8 Corp</t>
  </si>
  <si>
    <t>842400JC8</t>
  </si>
  <si>
    <t xml:space="preserve">Southern California Edison Co </t>
  </si>
  <si>
    <t>Southern California Edison Co 5.15% 06/01/2029</t>
  </si>
  <si>
    <t>852060AD4 Corp</t>
  </si>
  <si>
    <t>852060AD4</t>
  </si>
  <si>
    <t>Sprint Capital Corp 6.875% 11/</t>
  </si>
  <si>
    <t>Sprint Capital Corp 6.875% 11/15/2028</t>
  </si>
  <si>
    <t>855244AZ2 Corp</t>
  </si>
  <si>
    <t>855244AZ2</t>
  </si>
  <si>
    <t>Starbucks Corp 2.55% 11/15/203</t>
  </si>
  <si>
    <t>Starbucks Corp 2.55% 11/15/2030</t>
  </si>
  <si>
    <t>857477CU5 Corp</t>
  </si>
  <si>
    <t>857477CU5</t>
  </si>
  <si>
    <t>State Street Corp 4.536% 02/28</t>
  </si>
  <si>
    <t>State Street Corp 4.536% 02/28/2028</t>
  </si>
  <si>
    <t>86562MCG3 Corp</t>
  </si>
  <si>
    <t>86562MCG3</t>
  </si>
  <si>
    <t>Sumitomo Mitsui Financial Grou</t>
  </si>
  <si>
    <t>Sumitomo Mitsui Financial Group Inc 1.902% 09/17/2028</t>
  </si>
  <si>
    <t>86562MED8 Corp</t>
  </si>
  <si>
    <t>86562MED8</t>
  </si>
  <si>
    <t>Sumitomo Mitsui Financial Group Inc 4.494% 01/15/2032</t>
  </si>
  <si>
    <t>87264ABF1 Corp</t>
  </si>
  <si>
    <t>87264ABF1</t>
  </si>
  <si>
    <t>T-Mobile USA Inc 3.875% 04/15/</t>
  </si>
  <si>
    <t>T-Mobile USA Inc 3.875% 04/15/2030</t>
  </si>
  <si>
    <t>873923AC0 Corp</t>
  </si>
  <si>
    <t>873923AC0</t>
  </si>
  <si>
    <t>Sumisho Air Lease Corp 4.5% 03</t>
  </si>
  <si>
    <t>Sumisho Air Lease Corp 4.5% 03/24/2029</t>
  </si>
  <si>
    <t>87612EBH8 Corp</t>
  </si>
  <si>
    <t>87612EBH8</t>
  </si>
  <si>
    <t>Target Corp 3.375% 04/15/2029</t>
  </si>
  <si>
    <t>87612GAE1 Corp</t>
  </si>
  <si>
    <t>87612GAE1</t>
  </si>
  <si>
    <t>Targa Resources Corp 6.15% 03/</t>
  </si>
  <si>
    <t>Targa Resources Corp 6.15% 03/01/2029</t>
  </si>
  <si>
    <t>879360AD7 Corp</t>
  </si>
  <si>
    <t>879360AD7</t>
  </si>
  <si>
    <t>Teledyne Technologies Inc 2.25</t>
  </si>
  <si>
    <t>Teledyne Technologies Inc 2.25% 04/01/2028</t>
  </si>
  <si>
    <t>879385AD4 Corp</t>
  </si>
  <si>
    <t>879385AD4</t>
  </si>
  <si>
    <t>Telefonica Europe BV 8.25% 09/</t>
  </si>
  <si>
    <t>Telefonica Europe BV 8.25% 09/15/2030</t>
  </si>
  <si>
    <t>882508BG8 Corp</t>
  </si>
  <si>
    <t>882508BG8</t>
  </si>
  <si>
    <t>Texas Instruments Inc 2.25% 09</t>
  </si>
  <si>
    <t>Texas Instruments Inc 2.25% 09/04/2029</t>
  </si>
  <si>
    <t>88339WAB2 Corp</t>
  </si>
  <si>
    <t>88339WAB2</t>
  </si>
  <si>
    <t>Williams Cos Inc/The 4.9% 03/1</t>
  </si>
  <si>
    <t>Williams Cos Inc/The 4.9% 03/15/2029</t>
  </si>
  <si>
    <t>89115KAB6 Corp</t>
  </si>
  <si>
    <t>89115KAB6</t>
  </si>
  <si>
    <t>Toronto-Dominion Bank/The 4.80</t>
  </si>
  <si>
    <t>Toronto-Dominion Bank/The 4.808% 06/03/2030</t>
  </si>
  <si>
    <t>89153VAT6 Corp</t>
  </si>
  <si>
    <t>89153VAT6</t>
  </si>
  <si>
    <t>TotalEnergies Capital Internat</t>
  </si>
  <si>
    <t>TotalEnergies Capital International SA 2.829% 01/10/2030</t>
  </si>
  <si>
    <t>89236TLL7 Corp</t>
  </si>
  <si>
    <t>89236TLL7</t>
  </si>
  <si>
    <t>Toyota Motor Credit Corp 4.65%</t>
  </si>
  <si>
    <t>Toyota Motor Credit Corp 4.65% 01/05/2029</t>
  </si>
  <si>
    <t>89352HAW9 Corp</t>
  </si>
  <si>
    <t>89352HAW9</t>
  </si>
  <si>
    <t>TransCanada PipeLines Ltd 4.25</t>
  </si>
  <si>
    <t>TransCanada PipeLines Ltd 4.25% 05/15/2028</t>
  </si>
  <si>
    <t>89788MAQ5 Corp</t>
  </si>
  <si>
    <t>89788MAQ5</t>
  </si>
  <si>
    <t>Truist Financial Corp 7.161% 1</t>
  </si>
  <si>
    <t>Truist Financial Corp 7.161% 10/30/2029</t>
  </si>
  <si>
    <t>89788MAU6 Corp</t>
  </si>
  <si>
    <t>89788MAU6</t>
  </si>
  <si>
    <t>Truist Financial Corp 5.071% 0</t>
  </si>
  <si>
    <t>Truist Financial Corp 5.071% 05/20/2031</t>
  </si>
  <si>
    <t>904764BC0 Corp</t>
  </si>
  <si>
    <t>904764BC0</t>
  </si>
  <si>
    <t>Unilever Capital Corp 3.5% 03/</t>
  </si>
  <si>
    <t>Unilever Capital Corp 3.5% 03/22/2028</t>
  </si>
  <si>
    <t>91159HJK7 Corp</t>
  </si>
  <si>
    <t>91159HJK7</t>
  </si>
  <si>
    <t>US Bancorp 4.653% 02/01/2029</t>
  </si>
  <si>
    <t>91159HJV3 Corp</t>
  </si>
  <si>
    <t>91159HJV3</t>
  </si>
  <si>
    <t>US Bancorp 5.083% 05/15/2031</t>
  </si>
  <si>
    <t>913017CY3 Corp</t>
  </si>
  <si>
    <t>913017CY3</t>
  </si>
  <si>
    <t>RTX Corp 4.125% 11/16/2028</t>
  </si>
  <si>
    <t>91324PEQ1 Corp</t>
  </si>
  <si>
    <t>91324PEQ1</t>
  </si>
  <si>
    <t>UnitedHealth Group Inc 5.3% 02</t>
  </si>
  <si>
    <t>UnitedHealth Group Inc 5.3% 02/15/2030</t>
  </si>
  <si>
    <t>92277GAM9 Corp</t>
  </si>
  <si>
    <t>92277GAM9</t>
  </si>
  <si>
    <t>Ventas Realty LP 4% 03/01/2028</t>
  </si>
  <si>
    <t>92343VGJ7 Corp</t>
  </si>
  <si>
    <t>92343VGJ7</t>
  </si>
  <si>
    <t>Verizon Communications Inc 2.5</t>
  </si>
  <si>
    <t>Verizon Communications Inc 2.55% 03/21/2031</t>
  </si>
  <si>
    <t>92826CAM4 Corp</t>
  </si>
  <si>
    <t>92826CAM4</t>
  </si>
  <si>
    <t>Visa Inc 2.05% 04/15/2030</t>
  </si>
  <si>
    <t>92840VBA9 Corp</t>
  </si>
  <si>
    <t>92840VBA9</t>
  </si>
  <si>
    <t>Vistra Operations Co LLC 5% 04</t>
  </si>
  <si>
    <t>Vistra Operations Co LLC 5% 04/30/2031</t>
  </si>
  <si>
    <t>94106LCB3 Corp</t>
  </si>
  <si>
    <t>94106LCB3</t>
  </si>
  <si>
    <t>Waste Management Inc 4.5% 03/1</t>
  </si>
  <si>
    <t>Waste Management Inc 4.5% 03/15/2028</t>
  </si>
  <si>
    <t>95000U3W1 Corp</t>
  </si>
  <si>
    <t>95000U3W1</t>
  </si>
  <si>
    <t>Wells Fargo &amp; Co 5.15% 04/23/2</t>
  </si>
  <si>
    <t>Wells Fargo &amp; Co 5.15% 04/23/2031</t>
  </si>
  <si>
    <t>961214EF6 Corp</t>
  </si>
  <si>
    <t>961214EF6</t>
  </si>
  <si>
    <t>Westpac Banking Corp 4.11% 07/</t>
  </si>
  <si>
    <t>Westpac Banking Corp 4.11% 07/24/2034</t>
  </si>
  <si>
    <t>961214EW9 Corp</t>
  </si>
  <si>
    <t>961214EW9</t>
  </si>
  <si>
    <t>Westpac Banking Corp 1.953% 11</t>
  </si>
  <si>
    <t>Westpac Banking Corp 1.953% 11/20/2028</t>
  </si>
  <si>
    <t>980236AT0 Corp</t>
  </si>
  <si>
    <t>980236AT0</t>
  </si>
  <si>
    <t>Woodside Finance Ltd 5.4% 05/1</t>
  </si>
  <si>
    <t>Woodside Finance Ltd 5.4% 05/19/2030</t>
  </si>
  <si>
    <t>CJUN</t>
  </si>
  <si>
    <t>2SPY  270528C00151710</t>
  </si>
  <si>
    <t>SPY 05/28/2027 151.71 C</t>
  </si>
  <si>
    <t>SPY-C151.71-20270528</t>
  </si>
  <si>
    <t>OPT</t>
  </si>
  <si>
    <t>The Options Clearing Corporation</t>
  </si>
  <si>
    <t>549300CII6SLYGKNHA04</t>
  </si>
  <si>
    <t>Call</t>
  </si>
  <si>
    <t>Purchased</t>
  </si>
  <si>
    <t>151.71</t>
  </si>
  <si>
    <t>2027-05-28</t>
  </si>
  <si>
    <t>indexBasket</t>
  </si>
  <si>
    <t>S&amp;P 500 Index</t>
  </si>
  <si>
    <t>SPX</t>
  </si>
  <si>
    <t>1057881.99</t>
  </si>
  <si>
    <t>77.65</t>
  </si>
  <si>
    <t>2SPY  270528C00863900</t>
  </si>
  <si>
    <t>SPY 05/28/2027 863.9 C</t>
  </si>
  <si>
    <t>SPY-C863.9-20270528</t>
  </si>
  <si>
    <t>Written</t>
  </si>
  <si>
    <t>863.9</t>
  </si>
  <si>
    <t>-18358.47</t>
  </si>
  <si>
    <t>-1.35</t>
  </si>
  <si>
    <t>2SPY  270528P00644760</t>
  </si>
  <si>
    <t>SPY 05/28/2027 644.76 P</t>
  </si>
  <si>
    <t>SPY-P644.76-20270528</t>
  </si>
  <si>
    <t>Put</t>
  </si>
  <si>
    <t>644.76</t>
  </si>
  <si>
    <t>-36110.67</t>
  </si>
  <si>
    <t>-2.65</t>
  </si>
  <si>
    <t>2SPY  270528P00758540</t>
  </si>
  <si>
    <t>SPY 05/28/2027 758.54 P</t>
  </si>
  <si>
    <t>SPY-P758.54-20270528</t>
  </si>
  <si>
    <t>758.54</t>
  </si>
  <si>
    <t>86069.10</t>
  </si>
  <si>
    <t>6.32</t>
  </si>
  <si>
    <t>912828ZS2 Govt</t>
  </si>
  <si>
    <t>912828ZS2</t>
  </si>
  <si>
    <t>United States Treasury Note/Bond 0.5% 05/31/2027</t>
  </si>
  <si>
    <t>CMAG</t>
  </si>
  <si>
    <t>02079K305 Equity</t>
  </si>
  <si>
    <t>02079K305-TRS-05/31/27-L-CANT</t>
  </si>
  <si>
    <t>ALPHABET INC.-SWAP-CANT-L</t>
  </si>
  <si>
    <t>2027-05-31</t>
  </si>
  <si>
    <t>838709.41</t>
  </si>
  <si>
    <t>9.66</t>
  </si>
  <si>
    <t>Total return of ALPHABET INC.</t>
  </si>
  <si>
    <t>02079K305</t>
  </si>
  <si>
    <t>023135106 Equity</t>
  </si>
  <si>
    <t>023135106-TRS-05/31/27-L-CANT</t>
  </si>
  <si>
    <t>AMAZON.COM, INC.-SWAP-CANT-L</t>
  </si>
  <si>
    <t>476505.18</t>
  </si>
  <si>
    <t>5.49</t>
  </si>
  <si>
    <t>Total return of AMAZON.COM, INC.</t>
  </si>
  <si>
    <t>023135106</t>
  </si>
  <si>
    <t>037833100 Equity</t>
  </si>
  <si>
    <t>037833100-TRS-05/31/27-L-CANT</t>
  </si>
  <si>
    <t>APPLE INC.-SWAP-CANT-L</t>
  </si>
  <si>
    <t>874550.72</t>
  </si>
  <si>
    <t>10.07</t>
  </si>
  <si>
    <t>Total return of APPLE INC.</t>
  </si>
  <si>
    <t>037833100</t>
  </si>
  <si>
    <t>30303M102 Equity</t>
  </si>
  <si>
    <t>30303M102-TRS-05/31/27-L-CANT</t>
  </si>
  <si>
    <t>META PLATFORMS, INC.-SWAP-CANT-L</t>
  </si>
  <si>
    <t>275488.98</t>
  </si>
  <si>
    <t>3.17</t>
  </si>
  <si>
    <t>Total return of META PLATFORMS, INC.</t>
  </si>
  <si>
    <t>30303M102</t>
  </si>
  <si>
    <t>594918104 Equity</t>
  </si>
  <si>
    <t>594918104-TRS-05/31/27-L-CANT</t>
  </si>
  <si>
    <t>MICROSOFT CORPORATION-SWAP-CANT-L</t>
  </si>
  <si>
    <t>560981.10</t>
  </si>
  <si>
    <t>6.46</t>
  </si>
  <si>
    <t>Total return of MICROSOFT CORPORATION</t>
  </si>
  <si>
    <t>594918104</t>
  </si>
  <si>
    <t>67066G104 Equity</t>
  </si>
  <si>
    <t>67066G104-TRS-05/31/27-L-CANT</t>
  </si>
  <si>
    <t>NVIDIA CORPORATION-SWAP-CANT-L</t>
  </si>
  <si>
    <t>954006.00</t>
  </si>
  <si>
    <t>10.99</t>
  </si>
  <si>
    <t>Total return of NVIDIA CORPORATION</t>
  </si>
  <si>
    <t>67066G104</t>
  </si>
  <si>
    <t>88160R101 Equity</t>
  </si>
  <si>
    <t>88160R101-TRS-05/31/27-L-CANT</t>
  </si>
  <si>
    <t>TESLA, INC.-SWAP-CANT-L</t>
  </si>
  <si>
    <t>259491.23</t>
  </si>
  <si>
    <t>2.99</t>
  </si>
  <si>
    <t>Total return of TESLA, INC.</t>
  </si>
  <si>
    <t>88160R101</t>
  </si>
  <si>
    <t>MSFT US Equity</t>
  </si>
  <si>
    <t>MSFT</t>
  </si>
  <si>
    <t>Microsoft Corp</t>
  </si>
  <si>
    <t>CMAY</t>
  </si>
  <si>
    <t>2SPY  270430C00143730</t>
  </si>
  <si>
    <t>SPY 04/30/2027 143.73 C</t>
  </si>
  <si>
    <t>SPY-C143.73-20270430</t>
  </si>
  <si>
    <t>143.73</t>
  </si>
  <si>
    <t>2027-04-30</t>
  </si>
  <si>
    <t>4040466.30</t>
  </si>
  <si>
    <t>81.24</t>
  </si>
  <si>
    <t>2SPY  270430C00797710</t>
  </si>
  <si>
    <t>SPY 04/30/2027 797.71 C</t>
  </si>
  <si>
    <t>SPY-C797.71-20270430</t>
  </si>
  <si>
    <t>797.71</t>
  </si>
  <si>
    <t>-181477.09</t>
  </si>
  <si>
    <t>-3.65</t>
  </si>
  <si>
    <t>2SPY  270430P00610860</t>
  </si>
  <si>
    <t>SPY 04/30/2027 610.86 P</t>
  </si>
  <si>
    <t>SPY-P610.86-20270430</t>
  </si>
  <si>
    <t>610.86</t>
  </si>
  <si>
    <t>-97415.08</t>
  </si>
  <si>
    <t>-1.96</t>
  </si>
  <si>
    <t>2SPY  270430P00718660</t>
  </si>
  <si>
    <t>SPY 04/30/2027 718.66 P</t>
  </si>
  <si>
    <t>SPY-P718.66-20270430</t>
  </si>
  <si>
    <t>718.66</t>
  </si>
  <si>
    <t>229683.21</t>
  </si>
  <si>
    <t>4.62</t>
  </si>
  <si>
    <t>912828ZN3 Govt</t>
  </si>
  <si>
    <t>912828ZN3</t>
  </si>
  <si>
    <t>United States Treasury Note/Bond 0.5% 04/30/2027</t>
  </si>
  <si>
    <t>CQTM</t>
  </si>
  <si>
    <t>ARQQ US Equity</t>
  </si>
  <si>
    <t>ARQQ</t>
  </si>
  <si>
    <t>Arqit Quantum Inc</t>
  </si>
  <si>
    <t>BTQ US Equity</t>
  </si>
  <si>
    <t>BTQ</t>
  </si>
  <si>
    <t>BTQ Technologies Corp</t>
  </si>
  <si>
    <t>FORM US Equity</t>
  </si>
  <si>
    <t>FORM</t>
  </si>
  <si>
    <t>FormFactor Inc</t>
  </si>
  <si>
    <t>HON US Equity</t>
  </si>
  <si>
    <t>HON</t>
  </si>
  <si>
    <t>Honeywell International Inc</t>
  </si>
  <si>
    <t>HQ US Equity</t>
  </si>
  <si>
    <t>HQ</t>
  </si>
  <si>
    <t>Horizon Quantum Holdings LTD</t>
  </si>
  <si>
    <t>IBM US Equity</t>
  </si>
  <si>
    <t>IBM</t>
  </si>
  <si>
    <t>International Business Machines Corp</t>
  </si>
  <si>
    <t>INFQ US Equity</t>
  </si>
  <si>
    <t>INFQ</t>
  </si>
  <si>
    <t>Infleqtion Inc</t>
  </si>
  <si>
    <t>IONQ US Equity</t>
  </si>
  <si>
    <t>IONQ</t>
  </si>
  <si>
    <t>IonQ Inc</t>
  </si>
  <si>
    <t>LAES US Equity</t>
  </si>
  <si>
    <t>LAES</t>
  </si>
  <si>
    <t>SEALSQ Corp</t>
  </si>
  <si>
    <t>QBTS US Equity</t>
  </si>
  <si>
    <t>QBTS</t>
  </si>
  <si>
    <t>D-Wave Quantum Inc</t>
  </si>
  <si>
    <t>QNC US Equity</t>
  </si>
  <si>
    <t>QNC</t>
  </si>
  <si>
    <t>Quantum Emotion Corp</t>
  </si>
  <si>
    <t>QNT US Equity</t>
  </si>
  <si>
    <t>QNT</t>
  </si>
  <si>
    <t>Quantinuum Inc</t>
  </si>
  <si>
    <t>QUBT US Equity</t>
  </si>
  <si>
    <t>QUBT</t>
  </si>
  <si>
    <t>Quantum Computing Inc</t>
  </si>
  <si>
    <t>RGTI US Equity</t>
  </si>
  <si>
    <t>RGTI</t>
  </si>
  <si>
    <t>Rigetti Computing Inc</t>
  </si>
  <si>
    <t>SKYT US Equity</t>
  </si>
  <si>
    <t>SKYT</t>
  </si>
  <si>
    <t>SkyWater Technology Inc</t>
  </si>
  <si>
    <t>XNDU US Equity</t>
  </si>
  <si>
    <t>XNDU</t>
  </si>
  <si>
    <t>Xanadu Quantum Technologies Lt</t>
  </si>
  <si>
    <t>Xanadu Quantum Technologies Ltd</t>
  </si>
  <si>
    <t>CRUC</t>
  </si>
  <si>
    <t>172755100 Equity</t>
  </si>
  <si>
    <t>172755100-TRS-12/01/27-L-CANT</t>
  </si>
  <si>
    <t>CIRRUS LOGIC, INC.-SWAP-CANT-L</t>
  </si>
  <si>
    <t>498552.54</t>
  </si>
  <si>
    <t>199.64</t>
  </si>
  <si>
    <t>Total return of CIRRUS LOGIC, INC.</t>
  </si>
  <si>
    <t>172755100</t>
  </si>
  <si>
    <t>CTJN</t>
  </si>
  <si>
    <t>764025.88</t>
  </si>
  <si>
    <t>77.28</t>
  </si>
  <si>
    <t>2SPY  270528C00865650</t>
  </si>
  <si>
    <t>SPY 05/28/2027 865.65 C</t>
  </si>
  <si>
    <t>SPY-C865.65-20270528</t>
  </si>
  <si>
    <t>865.65</t>
  </si>
  <si>
    <t>-12842.71</t>
  </si>
  <si>
    <t>-1.30</t>
  </si>
  <si>
    <t>2SPY  270528P00493050</t>
  </si>
  <si>
    <t>SPY 05/28/2027 493.05 P</t>
  </si>
  <si>
    <t>SPY-P493.05-20270528</t>
  </si>
  <si>
    <t>493.05</t>
  </si>
  <si>
    <t>-8084.45</t>
  </si>
  <si>
    <t>-0.82</t>
  </si>
  <si>
    <t>2SPY  270528P00720610</t>
  </si>
  <si>
    <t>SPY 05/28/2027 720.61 P</t>
  </si>
  <si>
    <t>SPY-P720.61-20270528</t>
  </si>
  <si>
    <t>720.61</t>
  </si>
  <si>
    <t>46443.29</t>
  </si>
  <si>
    <t>4.70</t>
  </si>
  <si>
    <t>CTMA</t>
  </si>
  <si>
    <t>2SPY  270430C00144740</t>
  </si>
  <si>
    <t>SPY 04/30/2027 144.74 C</t>
  </si>
  <si>
    <t>SPY-C144.74-20270430</t>
  </si>
  <si>
    <t>144.74</t>
  </si>
  <si>
    <t>3796543.93</t>
  </si>
  <si>
    <t>80.98</t>
  </si>
  <si>
    <t>2SPY  270430C00806940</t>
  </si>
  <si>
    <t>SPY 04/30/2027 806.94 C</t>
  </si>
  <si>
    <t>SPY-C806.94-20270430</t>
  </si>
  <si>
    <t>806.94</t>
  </si>
  <si>
    <t>-147350.40</t>
  </si>
  <si>
    <t>-3.14</t>
  </si>
  <si>
    <t>2SPY  270430P00470410</t>
  </si>
  <si>
    <t>SPY 04/30/2027 470.41 P</t>
  </si>
  <si>
    <t>SPY-P470.41-20270430</t>
  </si>
  <si>
    <t>470.41</t>
  </si>
  <si>
    <t>-30340.79</t>
  </si>
  <si>
    <t>-0.65</t>
  </si>
  <si>
    <t>2SPY  270430P00687520</t>
  </si>
  <si>
    <t>SPY 04/30/2027 687.52 P</t>
  </si>
  <si>
    <t>SPY-P687.52-20270430</t>
  </si>
  <si>
    <t>687.52</t>
  </si>
  <si>
    <t>168966.39</t>
  </si>
  <si>
    <t>3.60</t>
  </si>
  <si>
    <t>91282CMY4 Govt</t>
  </si>
  <si>
    <t>91282CMY4</t>
  </si>
  <si>
    <t>United States Treasury Note/Bond 3.75% 04/30/2027</t>
  </si>
  <si>
    <t>CUST</t>
  </si>
  <si>
    <t>912810FB9 Govt</t>
  </si>
  <si>
    <t>912810FB9</t>
  </si>
  <si>
    <t>United States Treasury Note/Bond 6.125% 11/15/2027</t>
  </si>
  <si>
    <t>912810FF0 Govt</t>
  </si>
  <si>
    <t>912810FF0</t>
  </si>
  <si>
    <t>United States Treasury Note/Bond 5.25% 11/15/2028</t>
  </si>
  <si>
    <t>9128282R0 Govt</t>
  </si>
  <si>
    <t>9128282R0</t>
  </si>
  <si>
    <t>United States Treasury Note/Bond 2.25% 08/15/2027</t>
  </si>
  <si>
    <t>9128283F5 Govt</t>
  </si>
  <si>
    <t>9128283F5</t>
  </si>
  <si>
    <t>United States Treasury Note/Bond 2.25% 11/15/2027</t>
  </si>
  <si>
    <t>9128283W8 Govt</t>
  </si>
  <si>
    <t>9128283W8</t>
  </si>
  <si>
    <t>United States Treasury Note/Bond 2.75% 02/15/2028</t>
  </si>
  <si>
    <t>9128284N7 Govt</t>
  </si>
  <si>
    <t>9128284N7</t>
  </si>
  <si>
    <t>United States Treasury Note/Bond 2.875% 05/15/2028</t>
  </si>
  <si>
    <t>9128284V9 Govt</t>
  </si>
  <si>
    <t>9128284V9</t>
  </si>
  <si>
    <t>United States Treasury Note/Bond 2.875% 08/15/2028</t>
  </si>
  <si>
    <t>9128285M8 Govt</t>
  </si>
  <si>
    <t>9128285M8</t>
  </si>
  <si>
    <t>United States Treasury Note/Bond 3.125% 11/15/2028</t>
  </si>
  <si>
    <t>9128286B1 Govt</t>
  </si>
  <si>
    <t>9128286B1</t>
  </si>
  <si>
    <t>United States Treasury Note/Bond 2.625% 02/15/2029</t>
  </si>
  <si>
    <t>9128286T2 Govt</t>
  </si>
  <si>
    <t>9128286T2</t>
  </si>
  <si>
    <t>United States Treasury Note/Bond 2.375% 05/15/2029</t>
  </si>
  <si>
    <t>912828ZV5 Govt</t>
  </si>
  <si>
    <t>912828ZV5</t>
  </si>
  <si>
    <t>United States Treasury Note/Bond 0.5% 06/30/2027</t>
  </si>
  <si>
    <t>91282CAD3 Govt</t>
  </si>
  <si>
    <t>91282CAD3</t>
  </si>
  <si>
    <t>United States Treasury Note/Bond 0.375% 07/31/2027</t>
  </si>
  <si>
    <t>91282CAH4 Govt</t>
  </si>
  <si>
    <t>91282CAH4</t>
  </si>
  <si>
    <t>United States Treasury Note/Bond 0.5% 08/31/2027</t>
  </si>
  <si>
    <t>91282CAL5 Govt</t>
  </si>
  <si>
    <t>91282CAL5</t>
  </si>
  <si>
    <t>United States Treasury Note/Bond 0.375% 09/30/2027</t>
  </si>
  <si>
    <t>91282CAU5 Govt</t>
  </si>
  <si>
    <t>91282CAU5</t>
  </si>
  <si>
    <t>United States Treasury Note/Bond 0.5% 10/31/2027</t>
  </si>
  <si>
    <t>91282CAY7 Govt</t>
  </si>
  <si>
    <t>91282CAY7</t>
  </si>
  <si>
    <t>United States Treasury Note/Bond 0.625% 11/30/2027</t>
  </si>
  <si>
    <t>91282CBB6 Govt</t>
  </si>
  <si>
    <t>91282CBB6</t>
  </si>
  <si>
    <t>United States Treasury Note/Bond 0.625% 12/31/2027</t>
  </si>
  <si>
    <t>91282CBJ9 Govt</t>
  </si>
  <si>
    <t>91282CBJ9</t>
  </si>
  <si>
    <t>United States Treasury Note/Bond 0.75% 01/31/2028</t>
  </si>
  <si>
    <t>91282CBP5 Govt</t>
  </si>
  <si>
    <t>91282CBP5</t>
  </si>
  <si>
    <t>United States Treasury Note/Bond 1.125% 02/29/2028</t>
  </si>
  <si>
    <t>91282CBS9 Govt</t>
  </si>
  <si>
    <t>91282CBS9</t>
  </si>
  <si>
    <t>United States Treasury Note/Bond 1.25% 03/31/2028</t>
  </si>
  <si>
    <t>91282CBZ3 Govt</t>
  </si>
  <si>
    <t>91282CBZ3</t>
  </si>
  <si>
    <t>United States Treasury Note/Bond 1.25% 04/30/2028</t>
  </si>
  <si>
    <t>91282CCE9 Govt</t>
  </si>
  <si>
    <t>91282CCE9</t>
  </si>
  <si>
    <t>United States Treasury Note/Bond 1.25% 05/31/2028</t>
  </si>
  <si>
    <t>91282CCH2 Govt</t>
  </si>
  <si>
    <t>91282CCH2</t>
  </si>
  <si>
    <t>United States Treasury Note/Bond 1.25% 06/30/2028</t>
  </si>
  <si>
    <t>91282CCR0 Govt</t>
  </si>
  <si>
    <t>91282CCR0</t>
  </si>
  <si>
    <t>United States Treasury Note/Bond 1% 07/31/2028</t>
  </si>
  <si>
    <t>91282CCV1 Govt</t>
  </si>
  <si>
    <t>91282CCV1</t>
  </si>
  <si>
    <t>United States Treasury Note/Bond 1.125% 08/31/2028</t>
  </si>
  <si>
    <t>91282CCY5 Govt</t>
  </si>
  <si>
    <t>91282CCY5</t>
  </si>
  <si>
    <t>United States Treasury Note/Bond 1.25% 09/30/2028</t>
  </si>
  <si>
    <t>91282CDF5 Govt</t>
  </si>
  <si>
    <t>91282CDF5</t>
  </si>
  <si>
    <t>United States Treasury Note/Bond 1.375% 10/31/2028</t>
  </si>
  <si>
    <t>91282CDL2 Govt</t>
  </si>
  <si>
    <t>91282CDL2</t>
  </si>
  <si>
    <t>United States Treasury Note/Bond 1.5% 11/30/2028</t>
  </si>
  <si>
    <t>91282CDP3 Govt</t>
  </si>
  <si>
    <t>91282CDP3</t>
  </si>
  <si>
    <t>United States Treasury Note/Bond 1.375% 12/31/2028</t>
  </si>
  <si>
    <t>91282CDW8 Govt</t>
  </si>
  <si>
    <t>91282CDW8</t>
  </si>
  <si>
    <t>United States Treasury Note/Bond 1.75% 01/31/2029</t>
  </si>
  <si>
    <t>91282CEB3 Govt</t>
  </si>
  <si>
    <t>91282CEB3</t>
  </si>
  <si>
    <t>United States Treasury Note/Bond 1.875% 02/28/2029</t>
  </si>
  <si>
    <t>91282CEE7 Govt</t>
  </si>
  <si>
    <t>91282CEE7</t>
  </si>
  <si>
    <t>United States Treasury Note/Bond 2.375% 03/31/2029</t>
  </si>
  <si>
    <t>91282CEM9 Govt</t>
  </si>
  <si>
    <t>91282CEM9</t>
  </si>
  <si>
    <t>United States Treasury Note/Bond 2.875% 04/30/2029</t>
  </si>
  <si>
    <t>91282CET4 Govt</t>
  </si>
  <si>
    <t>91282CET4</t>
  </si>
  <si>
    <t>United States Treasury Note/Bond 2.625% 05/31/2027</t>
  </si>
  <si>
    <t>91282CEW7 Govt</t>
  </si>
  <si>
    <t>91282CEW7</t>
  </si>
  <si>
    <t>United States Treasury Note/Bond 3.25% 06/30/2027</t>
  </si>
  <si>
    <t>91282CFB2 Govt</t>
  </si>
  <si>
    <t>91282CFB2</t>
  </si>
  <si>
    <t>United States Treasury Note/Bond 2.75% 07/31/2027</t>
  </si>
  <si>
    <t>91282CFH9 Govt</t>
  </si>
  <si>
    <t>91282CFH9</t>
  </si>
  <si>
    <t>United States Treasury Note/Bond 3.125% 08/31/2027</t>
  </si>
  <si>
    <t>91282CFM8 Govt</t>
  </si>
  <si>
    <t>91282CFM8</t>
  </si>
  <si>
    <t>United States Treasury Note/Bond 4.125% 09/30/2027</t>
  </si>
  <si>
    <t>91282CFU0 Govt</t>
  </si>
  <si>
    <t>91282CFU0</t>
  </si>
  <si>
    <t>United States Treasury Note/Bond 4.125% 10/31/2027</t>
  </si>
  <si>
    <t>91282CFZ9 Govt</t>
  </si>
  <si>
    <t>91282CFZ9</t>
  </si>
  <si>
    <t>United States Treasury Note/Bond 3.875% 11/30/2027</t>
  </si>
  <si>
    <t>91282CGC9 Govt</t>
  </si>
  <si>
    <t>91282CGC9</t>
  </si>
  <si>
    <t>United States Treasury Note/Bond 3.875% 12/31/2027</t>
  </si>
  <si>
    <t>91282CGH8 Govt</t>
  </si>
  <si>
    <t>91282CGH8</t>
  </si>
  <si>
    <t>United States Treasury Note/Bond 3.5% 01/31/2028</t>
  </si>
  <si>
    <t>91282CGP0 Govt</t>
  </si>
  <si>
    <t>91282CGP0</t>
  </si>
  <si>
    <t>United States Treasury Note/Bond 4% 02/29/2028</t>
  </si>
  <si>
    <t>91282CGT2 Govt</t>
  </si>
  <si>
    <t>91282CGT2</t>
  </si>
  <si>
    <t>United States Treasury Note/Bond 3.625% 03/31/2028</t>
  </si>
  <si>
    <t>91282CHA2 Govt</t>
  </si>
  <si>
    <t>91282CHA2</t>
  </si>
  <si>
    <t>United States Treasury Note/Bond 3.5% 04/30/2028</t>
  </si>
  <si>
    <t>91282CHE4 Govt</t>
  </si>
  <si>
    <t>91282CHE4</t>
  </si>
  <si>
    <t>United States Treasury Note/Bond 3.625% 05/31/2028</t>
  </si>
  <si>
    <t>91282CHK0 Govt</t>
  </si>
  <si>
    <t>91282CHK0</t>
  </si>
  <si>
    <t>United States Treasury Note/Bond 4% 06/30/2028</t>
  </si>
  <si>
    <t>91282CHQ7 Govt</t>
  </si>
  <si>
    <t>91282CHQ7</t>
  </si>
  <si>
    <t>United States Treasury Note/Bond 4.125% 07/31/2028</t>
  </si>
  <si>
    <t>91282CHX2 Govt</t>
  </si>
  <si>
    <t>91282CHX2</t>
  </si>
  <si>
    <t>United States Treasury Note/Bond 4.375% 08/31/2028</t>
  </si>
  <si>
    <t>91282CJA0 Govt</t>
  </si>
  <si>
    <t>91282CJA0</t>
  </si>
  <si>
    <t>United States Treasury Note/Bond 4.625% 09/30/2028</t>
  </si>
  <si>
    <t>91282CJF9 Govt</t>
  </si>
  <si>
    <t>91282CJF9</t>
  </si>
  <si>
    <t>United States Treasury Note/Bond 4.875% 10/31/2028</t>
  </si>
  <si>
    <t>91282CJN2 Govt</t>
  </si>
  <si>
    <t>91282CJN2</t>
  </si>
  <si>
    <t>United States Treasury Note/Bond 4.375% 11/30/2028</t>
  </si>
  <si>
    <t>91282CJR3 Govt</t>
  </si>
  <si>
    <t>91282CJR3</t>
  </si>
  <si>
    <t>United States Treasury Note/Bond 3.75% 12/31/2028</t>
  </si>
  <si>
    <t>91282CJW2 Govt</t>
  </si>
  <si>
    <t>91282CJW2</t>
  </si>
  <si>
    <t>United States Treasury Note/Bond 4% 01/31/2029</t>
  </si>
  <si>
    <t>91282CKD2 Govt</t>
  </si>
  <si>
    <t>91282CKD2</t>
  </si>
  <si>
    <t>United States Treasury Note/Bond 4.25% 02/28/2029</t>
  </si>
  <si>
    <t>91282CKG5 Govt</t>
  </si>
  <si>
    <t>91282CKG5</t>
  </si>
  <si>
    <t>United States Treasury Note/Bond 4.125% 03/31/2029</t>
  </si>
  <si>
    <t>91282CKP5 Govt</t>
  </si>
  <si>
    <t>91282CKP5</t>
  </si>
  <si>
    <t>United States Treasury Note/Bond 4.625% 04/30/2029</t>
  </si>
  <si>
    <t>91282CKV2 Govt</t>
  </si>
  <si>
    <t>91282CKV2</t>
  </si>
  <si>
    <t>United States Treasury Note/Bond 4.625% 06/15/2027</t>
  </si>
  <si>
    <t>91282CKZ3 Govt</t>
  </si>
  <si>
    <t>91282CKZ3</t>
  </si>
  <si>
    <t>United States Treasury Note/Bond 4.375% 07/15/2027</t>
  </si>
  <si>
    <t>91282CLG4 Govt</t>
  </si>
  <si>
    <t>91282CLG4</t>
  </si>
  <si>
    <t>United States Treasury Note/Bond 3.75% 08/15/2027</t>
  </si>
  <si>
    <t>91282CLL3 Govt</t>
  </si>
  <si>
    <t>91282CLL3</t>
  </si>
  <si>
    <t>United States Treasury Note/Bond 3.375% 09/15/2027</t>
  </si>
  <si>
    <t>91282CLQ2 Govt</t>
  </si>
  <si>
    <t>91282CLQ2</t>
  </si>
  <si>
    <t>United States Treasury Note/Bond 3.875% 10/15/2027</t>
  </si>
  <si>
    <t>91282CLX7 Govt</t>
  </si>
  <si>
    <t>91282CLX7</t>
  </si>
  <si>
    <t>United States Treasury Note/Bond 4.125% 11/15/2027</t>
  </si>
  <si>
    <t>91282CMB4 Govt</t>
  </si>
  <si>
    <t>91282CMB4</t>
  </si>
  <si>
    <t>United States Treasury Note/Bond 4% 12/15/2027</t>
  </si>
  <si>
    <t>91282CMF5 Govt</t>
  </si>
  <si>
    <t>91282CMF5</t>
  </si>
  <si>
    <t>United States Treasury Note/Bond 4.25% 01/15/2028</t>
  </si>
  <si>
    <t>91282CMN8 Govt</t>
  </si>
  <si>
    <t>91282CMN8</t>
  </si>
  <si>
    <t>United States Treasury Note/Bond 4.25% 02/15/2028</t>
  </si>
  <si>
    <t>91282CMS7 Govt</t>
  </si>
  <si>
    <t>91282CMS7</t>
  </si>
  <si>
    <t>United States Treasury Note/Bond 3.875% 03/15/2028</t>
  </si>
  <si>
    <t>91282CMW8 Govt</t>
  </si>
  <si>
    <t>91282CMW8</t>
  </si>
  <si>
    <t>United States Treasury Note/Bond 3.75% 04/15/2028</t>
  </si>
  <si>
    <t>91282CND9 Govt</t>
  </si>
  <si>
    <t>91282CND9</t>
  </si>
  <si>
    <t>United States Treasury Note/Bond 3.75% 05/15/2028</t>
  </si>
  <si>
    <t>91282CNE7 Govt</t>
  </si>
  <si>
    <t>91282CNE7</t>
  </si>
  <si>
    <t>United States Treasury Note/Bond 3.875% 05/31/2027</t>
  </si>
  <si>
    <t>91282CNH0 Govt</t>
  </si>
  <si>
    <t>91282CNH0</t>
  </si>
  <si>
    <t>United States Treasury Note/Bond 3.875% 06/15/2028</t>
  </si>
  <si>
    <t>91282CNL1 Govt</t>
  </si>
  <si>
    <t>91282CNL1</t>
  </si>
  <si>
    <t>United States Treasury Note/Bond 3.75% 06/30/2027</t>
  </si>
  <si>
    <t>91282CNM9 Govt</t>
  </si>
  <si>
    <t>91282CNM9</t>
  </si>
  <si>
    <t>United States Treasury Note/Bond 3.875% 07/15/2028</t>
  </si>
  <si>
    <t>91282CNP2 Govt</t>
  </si>
  <si>
    <t>91282CNP2</t>
  </si>
  <si>
    <t>United States Treasury Note/Bond 3.875% 07/31/2027</t>
  </si>
  <si>
    <t>91282CNU1 Govt</t>
  </si>
  <si>
    <t>91282CNU1</t>
  </si>
  <si>
    <t>United States Treasury Note/Bond 3.625% 08/15/2028</t>
  </si>
  <si>
    <t>91282CNV9 Govt</t>
  </si>
  <si>
    <t>91282CNV9</t>
  </si>
  <si>
    <t>United States Treasury Note/Bond 3.625% 08/31/2027</t>
  </si>
  <si>
    <t>91282CNY3 Govt</t>
  </si>
  <si>
    <t>91282CNY3</t>
  </si>
  <si>
    <t>United States Treasury Note/Bond 3.375% 09/15/2028</t>
  </si>
  <si>
    <t>91282CPB1 Govt</t>
  </si>
  <si>
    <t>91282CPB1</t>
  </si>
  <si>
    <t>United States Treasury Note/Bond 3.5% 09/30/2027</t>
  </si>
  <si>
    <t>91282CPC9 Govt</t>
  </si>
  <si>
    <t>91282CPC9</t>
  </si>
  <si>
    <t>United States Treasury Note/Bond 3.5% 10/15/2028</t>
  </si>
  <si>
    <t>91282CPE5 Govt</t>
  </si>
  <si>
    <t>91282CPE5</t>
  </si>
  <si>
    <t>United States Treasury Note/Bond 3.5% 10/31/2027</t>
  </si>
  <si>
    <t>91282CPK1 Govt</t>
  </si>
  <si>
    <t>91282CPK1</t>
  </si>
  <si>
    <t>United States Treasury Note/Bond 3.5% 11/15/2028</t>
  </si>
  <si>
    <t>91282CPL9 Govt</t>
  </si>
  <si>
    <t>91282CPL9</t>
  </si>
  <si>
    <t>United States Treasury Note/Bond 3.375% 11/30/2027</t>
  </si>
  <si>
    <t>91282CPP0 Govt</t>
  </si>
  <si>
    <t>91282CPP0</t>
  </si>
  <si>
    <t>United States Treasury Note/Bond 3.5% 12/15/2028</t>
  </si>
  <si>
    <t>91282CPS4 Govt</t>
  </si>
  <si>
    <t>91282CPS4</t>
  </si>
  <si>
    <t>United States Treasury Note/Bond 3.375% 12/31/2027</t>
  </si>
  <si>
    <t>91282CPT2 Govt</t>
  </si>
  <si>
    <t>91282CPT2</t>
  </si>
  <si>
    <t>United States Treasury Note/Bond 3.5% 01/15/2029</t>
  </si>
  <si>
    <t>91282CQA2 Govt</t>
  </si>
  <si>
    <t>91282CQA2</t>
  </si>
  <si>
    <t>United States Treasury Note/Bond 3.5% 02/15/2029</t>
  </si>
  <si>
    <t>91282CQB0 Govt</t>
  </si>
  <si>
    <t>91282CQB0</t>
  </si>
  <si>
    <t>United States Treasury Note/Bond 3.375% 02/29/2028</t>
  </si>
  <si>
    <t>91282CQE4 Govt</t>
  </si>
  <si>
    <t>91282CQE4</t>
  </si>
  <si>
    <t>United States Treasury Note/Bond 3.5% 03/15/2029</t>
  </si>
  <si>
    <t>91282CQH7 Govt</t>
  </si>
  <si>
    <t>91282CQH7</t>
  </si>
  <si>
    <t>United States Treasury Note/Bond 3.875% 03/31/2028</t>
  </si>
  <si>
    <t>91282CQJ3 Govt</t>
  </si>
  <si>
    <t>91282CQJ3</t>
  </si>
  <si>
    <t>United States Treasury Note/Bond 3.875% 04/15/2029</t>
  </si>
  <si>
    <t>91282CQL8 Govt</t>
  </si>
  <si>
    <t>91282CQL8</t>
  </si>
  <si>
    <t>United States Treasury Note/Bond 3.75% 04/30/2028</t>
  </si>
  <si>
    <t>91282CQR5 Govt</t>
  </si>
  <si>
    <t>91282CQR5</t>
  </si>
  <si>
    <t>United States Treasury Note/Bond 3.875% 05/15/2029</t>
  </si>
  <si>
    <t>DIPR</t>
  </si>
  <si>
    <t>ASTS US Equity</t>
  </si>
  <si>
    <t>ASTS</t>
  </si>
  <si>
    <t>AST SpaceMobile Inc</t>
  </si>
  <si>
    <t>BKSY US Equity</t>
  </si>
  <si>
    <t>BKSY</t>
  </si>
  <si>
    <t>BlackSky Technology Inc</t>
  </si>
  <si>
    <t>BWXT US Equity</t>
  </si>
  <si>
    <t>BWXT</t>
  </si>
  <si>
    <t>BWX Technologies Inc</t>
  </si>
  <si>
    <t>ECHO US Equity</t>
  </si>
  <si>
    <t>ECHO</t>
  </si>
  <si>
    <t>EchoStar Corp</t>
  </si>
  <si>
    <t>FEIM US Equity</t>
  </si>
  <si>
    <t>FEIM</t>
  </si>
  <si>
    <t>Frequency Electronics Inc</t>
  </si>
  <si>
    <t>FLY US Equity</t>
  </si>
  <si>
    <t>FLY</t>
  </si>
  <si>
    <t>Firefly Aerospace Inc</t>
  </si>
  <si>
    <t>GILT US Equity</t>
  </si>
  <si>
    <t>GILT</t>
  </si>
  <si>
    <t>Gilat Satellite Networks Ltd</t>
  </si>
  <si>
    <t>GOGO US Equity</t>
  </si>
  <si>
    <t>GOGO</t>
  </si>
  <si>
    <t>Gogo Inc</t>
  </si>
  <si>
    <t>GRMN US Equity</t>
  </si>
  <si>
    <t>GRMN</t>
  </si>
  <si>
    <t>Garmin Ltd</t>
  </si>
  <si>
    <t>GSAT US Equity</t>
  </si>
  <si>
    <t>GSAT</t>
  </si>
  <si>
    <t>Globalstar Inc</t>
  </si>
  <si>
    <t>IRDM US Equity</t>
  </si>
  <si>
    <t>IRDM</t>
  </si>
  <si>
    <t>Iridium Communications Inc</t>
  </si>
  <si>
    <t>LUNR US Equity</t>
  </si>
  <si>
    <t>LUNR</t>
  </si>
  <si>
    <t>Intuitive Machines Inc</t>
  </si>
  <si>
    <t>MDA US Equity</t>
  </si>
  <si>
    <t>MDA</t>
  </si>
  <si>
    <t>MDA Space Ltd</t>
  </si>
  <si>
    <t>MRCY US Equity</t>
  </si>
  <si>
    <t>MRCY</t>
  </si>
  <si>
    <t>Mercury Systems Inc</t>
  </si>
  <si>
    <t>MTSI US Equity</t>
  </si>
  <si>
    <t>MTSI</t>
  </si>
  <si>
    <t>MACOM Technology Solutions Hol</t>
  </si>
  <si>
    <t>MACOM Technology Solutions Holdings Inc</t>
  </si>
  <si>
    <t>PL US Equity</t>
  </si>
  <si>
    <t>PL</t>
  </si>
  <si>
    <t>Planet Labs PBC</t>
  </si>
  <si>
    <t>RDW US Equity</t>
  </si>
  <si>
    <t>RDW</t>
  </si>
  <si>
    <t>Redwire Corp</t>
  </si>
  <si>
    <t>RKLB US Equity</t>
  </si>
  <si>
    <t>RKLB</t>
  </si>
  <si>
    <t>Rocket Lab Corp</t>
  </si>
  <si>
    <t>SATL US Equity</t>
  </si>
  <si>
    <t>SATL</t>
  </si>
  <si>
    <t>Satellogic Inc</t>
  </si>
  <si>
    <t>SIDU US Equity</t>
  </si>
  <si>
    <t>SIDU</t>
  </si>
  <si>
    <t>Sidus Space Inc</t>
  </si>
  <si>
    <t>SIRI US Equity</t>
  </si>
  <si>
    <t>SIRI</t>
  </si>
  <si>
    <t>Sirius XM Holdings Inc</t>
  </si>
  <si>
    <t>SPCE US Equity</t>
  </si>
  <si>
    <t>SPCE</t>
  </si>
  <si>
    <t>Virgin Galactic Holdings Inc</t>
  </si>
  <si>
    <t>SPIR US Equity</t>
  </si>
  <si>
    <t>SPIR</t>
  </si>
  <si>
    <t>Spire Global Inc</t>
  </si>
  <si>
    <t>TSAT US Equity</t>
  </si>
  <si>
    <t>TSAT</t>
  </si>
  <si>
    <t>Telesat Corp</t>
  </si>
  <si>
    <t>VOYG US Equity</t>
  </si>
  <si>
    <t>VOYG</t>
  </si>
  <si>
    <t>Voyager Technologies Inc</t>
  </si>
  <si>
    <t>VSAT US Equity</t>
  </si>
  <si>
    <t>VSAT</t>
  </si>
  <si>
    <t>Viasat Inc</t>
  </si>
  <si>
    <t>YSS US Equity</t>
  </si>
  <si>
    <t>YSS</t>
  </si>
  <si>
    <t>York Space Systems Inc</t>
  </si>
  <si>
    <t>DOCK</t>
  </si>
  <si>
    <t>ALSN US Equity</t>
  </si>
  <si>
    <t>ALSN</t>
  </si>
  <si>
    <t xml:space="preserve">Allison Transmission Holdings </t>
  </si>
  <si>
    <t>Allison Transmission Holdings Inc</t>
  </si>
  <si>
    <t>ARCB US Equity</t>
  </si>
  <si>
    <t>ARCB</t>
  </si>
  <si>
    <t>ArcBest Corp</t>
  </si>
  <si>
    <t>CHRW US Equity</t>
  </si>
  <si>
    <t>CHRW</t>
  </si>
  <si>
    <t>CH Robinson Worldwide Inc</t>
  </si>
  <si>
    <t>CMI US Equity</t>
  </si>
  <si>
    <t>CMI</t>
  </si>
  <si>
    <t>Cummins Inc</t>
  </si>
  <si>
    <t>CMRE US Equity</t>
  </si>
  <si>
    <t>CMRE</t>
  </si>
  <si>
    <t>Costamare Inc</t>
  </si>
  <si>
    <t>CNI US Equity</t>
  </si>
  <si>
    <t>CNI</t>
  </si>
  <si>
    <t>Canadian National Railway Co</t>
  </si>
  <si>
    <t>CP US Equity</t>
  </si>
  <si>
    <t>CP</t>
  </si>
  <si>
    <t>Canadian Pacific Kansas City L</t>
  </si>
  <si>
    <t>Canadian Pacific Kansas City Ltd</t>
  </si>
  <si>
    <t>CSX US Equity</t>
  </si>
  <si>
    <t>CSX</t>
  </si>
  <si>
    <t>CSX Corp</t>
  </si>
  <si>
    <t>CVLG US Equity</t>
  </si>
  <si>
    <t>CVLG</t>
  </si>
  <si>
    <t>COVENANT TRANS INC - CL A</t>
  </si>
  <si>
    <t>DAC US Equity</t>
  </si>
  <si>
    <t>DAC</t>
  </si>
  <si>
    <t>Danaos Corp</t>
  </si>
  <si>
    <t>EXPD US Equity</t>
  </si>
  <si>
    <t>EXPD</t>
  </si>
  <si>
    <t>Expeditors International of Wa</t>
  </si>
  <si>
    <t>Expeditors International of Washington Inc</t>
  </si>
  <si>
    <t>FWRD US Equity</t>
  </si>
  <si>
    <t>FWRD</t>
  </si>
  <si>
    <t>Forward Air Corp</t>
  </si>
  <si>
    <t>GATX US Equity</t>
  </si>
  <si>
    <t>GATX</t>
  </si>
  <si>
    <t>GATX Corp</t>
  </si>
  <si>
    <t>GSL US Equity</t>
  </si>
  <si>
    <t>GSL</t>
  </si>
  <si>
    <t>Global Ship Lease Inc</t>
  </si>
  <si>
    <t>GXO US Equity</t>
  </si>
  <si>
    <t>GXO</t>
  </si>
  <si>
    <t>GXO Logistics Inc</t>
  </si>
  <si>
    <t>HTLD US Equity</t>
  </si>
  <si>
    <t>HTLD</t>
  </si>
  <si>
    <t>Heartland Express Inc</t>
  </si>
  <si>
    <t>HUBG US Equity</t>
  </si>
  <si>
    <t>HUBG</t>
  </si>
  <si>
    <t>Hub Group Inc</t>
  </si>
  <si>
    <t>JBHT US Equity</t>
  </si>
  <si>
    <t>JBHT</t>
  </si>
  <si>
    <t>JB Hunt Transport Services Inc</t>
  </si>
  <si>
    <t>KEX US Equity</t>
  </si>
  <si>
    <t>KEX</t>
  </si>
  <si>
    <t>Kirby Corp</t>
  </si>
  <si>
    <t>KNX US Equity</t>
  </si>
  <si>
    <t>KNX</t>
  </si>
  <si>
    <t>Knight-Swift Transportation Ho</t>
  </si>
  <si>
    <t>Knight-Swift Transportation Holdings Inc</t>
  </si>
  <si>
    <t>LSTR US Equity</t>
  </si>
  <si>
    <t>LSTR</t>
  </si>
  <si>
    <t>Landstar System Inc</t>
  </si>
  <si>
    <t>MANH US Equity</t>
  </si>
  <si>
    <t>MANH</t>
  </si>
  <si>
    <t>Manhattan Associates Inc</t>
  </si>
  <si>
    <t>MATX US Equity</t>
  </si>
  <si>
    <t>MATX</t>
  </si>
  <si>
    <t>Matson Inc</t>
  </si>
  <si>
    <t>MRTN US Equity</t>
  </si>
  <si>
    <t>MRTN</t>
  </si>
  <si>
    <t>Marten Transport Ltd</t>
  </si>
  <si>
    <t>NSC US Equity</t>
  </si>
  <si>
    <t>NSC</t>
  </si>
  <si>
    <t>Norfolk Southern Corp</t>
  </si>
  <si>
    <t>ODFL US Equity</t>
  </si>
  <si>
    <t>ODFL</t>
  </si>
  <si>
    <t>Old Dominion Freight Line Inc</t>
  </si>
  <si>
    <t>PCAR US Equity</t>
  </si>
  <si>
    <t>PCAR</t>
  </si>
  <si>
    <t>PACCAR Inc</t>
  </si>
  <si>
    <t>R US Equity</t>
  </si>
  <si>
    <t>R</t>
  </si>
  <si>
    <t>Ryder System Inc</t>
  </si>
  <si>
    <t>RAIL US Equity</t>
  </si>
  <si>
    <t>RAIL</t>
  </si>
  <si>
    <t>FreightCar America Inc</t>
  </si>
  <si>
    <t>RLGT US Equity</t>
  </si>
  <si>
    <t>RLGT</t>
  </si>
  <si>
    <t>Radiant Logistics Inc</t>
  </si>
  <si>
    <t>RXO US Equity</t>
  </si>
  <si>
    <t>RXO</t>
  </si>
  <si>
    <t>RXO Inc</t>
  </si>
  <si>
    <t>SAIA US Equity</t>
  </si>
  <si>
    <t>SAIA</t>
  </si>
  <si>
    <t>Saia Inc</t>
  </si>
  <si>
    <t>SNDR US Equity</t>
  </si>
  <si>
    <t>SNDR</t>
  </si>
  <si>
    <t>Schneider National Inc</t>
  </si>
  <si>
    <t>TEX US Equity</t>
  </si>
  <si>
    <t>TEX</t>
  </si>
  <si>
    <t>Terex Corp</t>
  </si>
  <si>
    <t>TFII US Equity</t>
  </si>
  <si>
    <t>TFII</t>
  </si>
  <si>
    <t>TFI International Inc</t>
  </si>
  <si>
    <t>TRN US Equity</t>
  </si>
  <si>
    <t>TRN</t>
  </si>
  <si>
    <t>Trinity Industries Inc</t>
  </si>
  <si>
    <t>UNP US Equity</t>
  </si>
  <si>
    <t>UNP</t>
  </si>
  <si>
    <t>Union Pacific Corp</t>
  </si>
  <si>
    <t>WAB US Equity</t>
  </si>
  <si>
    <t>WAB</t>
  </si>
  <si>
    <t>Westinghouse Air Brake Technol</t>
  </si>
  <si>
    <t>Westinghouse Air Brake Technologies Corp</t>
  </si>
  <si>
    <t>WERN US Equity</t>
  </si>
  <si>
    <t>WERN</t>
  </si>
  <si>
    <t>Werner Enterprises Inc</t>
  </si>
  <si>
    <t>WNC US Equity</t>
  </si>
  <si>
    <t>WNC</t>
  </si>
  <si>
    <t>Wabash National Corp</t>
  </si>
  <si>
    <t>XPO US Equity</t>
  </si>
  <si>
    <t>XPO</t>
  </si>
  <si>
    <t>XPO Inc</t>
  </si>
  <si>
    <t>ZIM US Equity</t>
  </si>
  <si>
    <t>ZIM</t>
  </si>
  <si>
    <t>ZIM Integrated Shipping Servic</t>
  </si>
  <si>
    <t>ZIM Integrated Shipping Services Ltd</t>
  </si>
  <si>
    <t>EMJN</t>
  </si>
  <si>
    <t>2EEM  270528C00014020</t>
  </si>
  <si>
    <t>EEM 05/28/2027 14.02 C</t>
  </si>
  <si>
    <t>EEM-C14.02-20270528</t>
  </si>
  <si>
    <t>14.02</t>
  </si>
  <si>
    <t>MSCI Emerging Markets Index</t>
  </si>
  <si>
    <t>MXEF</t>
  </si>
  <si>
    <t>1149802.88</t>
  </si>
  <si>
    <t>79.14</t>
  </si>
  <si>
    <t>2EEM  270528C00087030</t>
  </si>
  <si>
    <t>EEM 05/28/2027 87.03 C</t>
  </si>
  <si>
    <t>EEM-C87.03-20270528</t>
  </si>
  <si>
    <t>87.03</t>
  </si>
  <si>
    <t>-55348.37</t>
  </si>
  <si>
    <t>-3.81</t>
  </si>
  <si>
    <t>2EEM  270528P00059570</t>
  </si>
  <si>
    <t>EEM 05/28/2027 59.57 P</t>
  </si>
  <si>
    <t>EEM-P59.57-20270528</t>
  </si>
  <si>
    <t>59.57</t>
  </si>
  <si>
    <t>-91640.68</t>
  </si>
  <si>
    <t>-6.31</t>
  </si>
  <si>
    <t>2EEM  270528P00070080</t>
  </si>
  <si>
    <t>EEM 05/28/2027 70.08 P</t>
  </si>
  <si>
    <t>EEM-P70.08-20270528</t>
  </si>
  <si>
    <t>70.08</t>
  </si>
  <si>
    <t>185222.19</t>
  </si>
  <si>
    <t>12.75</t>
  </si>
  <si>
    <t>EMMY</t>
  </si>
  <si>
    <t>2EEM  270430C00013080</t>
  </si>
  <si>
    <t>EEM 04/30/2027 13.08 C</t>
  </si>
  <si>
    <t>EEM-C13.08-20270430</t>
  </si>
  <si>
    <t>13.08</t>
  </si>
  <si>
    <t>4257702.33</t>
  </si>
  <si>
    <t>82.37</t>
  </si>
  <si>
    <t>2EEM  270430C00081100</t>
  </si>
  <si>
    <t>EEM 04/30/2027 81.1 C</t>
  </si>
  <si>
    <t>EEM-C81.1-20270430</t>
  </si>
  <si>
    <t>81.1</t>
  </si>
  <si>
    <t>-288637.49</t>
  </si>
  <si>
    <t>-5.58</t>
  </si>
  <si>
    <t>2EEM  270430P00055590</t>
  </si>
  <si>
    <t>EEM 04/30/2027 55.59 P</t>
  </si>
  <si>
    <t>EEM-P55.59-20270430</t>
  </si>
  <si>
    <t>55.59</t>
  </si>
  <si>
    <t>-240555.76</t>
  </si>
  <si>
    <t>-4.65</t>
  </si>
  <si>
    <t>2EEM  270430P00065400</t>
  </si>
  <si>
    <t>EEM 04/30/2027 65.4 P</t>
  </si>
  <si>
    <t>EEM-P65.4-20270430</t>
  </si>
  <si>
    <t>65.4</t>
  </si>
  <si>
    <t>509559.68</t>
  </si>
  <si>
    <t>9.86</t>
  </si>
  <si>
    <t>EMXX</t>
  </si>
  <si>
    <t>922042858 Equity</t>
  </si>
  <si>
    <t>922042858-TRS-07/07/27-L-CLST</t>
  </si>
  <si>
    <t>VANGUARD EMERGING MARKETS STOCK INDEX FUND-SWAP-CLST-L</t>
  </si>
  <si>
    <t>Clear Street LLC</t>
  </si>
  <si>
    <t>549300KNQS43Y7TO3X67</t>
  </si>
  <si>
    <t>2027-07-07</t>
  </si>
  <si>
    <t>921524.19</t>
  </si>
  <si>
    <t>200.03</t>
  </si>
  <si>
    <t>Total return of VANGUARD EMERGING MARKETS STOCK INDEX FUND</t>
  </si>
  <si>
    <t>922042858</t>
  </si>
  <si>
    <t>EUV</t>
  </si>
  <si>
    <t>AAOI US Equity</t>
  </si>
  <si>
    <t>AAOI</t>
  </si>
  <si>
    <t>Applied Optoelectronics Inc</t>
  </si>
  <si>
    <t>ADTN US Equity</t>
  </si>
  <si>
    <t>ADTN</t>
  </si>
  <si>
    <t>ADTRAN Holdings Inc</t>
  </si>
  <si>
    <t>AEHR US Equity</t>
  </si>
  <si>
    <t>AEHR</t>
  </si>
  <si>
    <t>Aehr Test Systems</t>
  </si>
  <si>
    <t>AEVA US Equity</t>
  </si>
  <si>
    <t>AEVA</t>
  </si>
  <si>
    <t>Aeva Technologies Inc</t>
  </si>
  <si>
    <t>ASML US Equity</t>
  </si>
  <si>
    <t>ASML</t>
  </si>
  <si>
    <t>ASML Holding NV</t>
  </si>
  <si>
    <t>AXTI US Equity</t>
  </si>
  <si>
    <t>AXTI</t>
  </si>
  <si>
    <t>AXT Inc</t>
  </si>
  <si>
    <t>CAMT US Equity</t>
  </si>
  <si>
    <t>CAMT</t>
  </si>
  <si>
    <t>Camtek Ltd/Israel</t>
  </si>
  <si>
    <t>CIEN US Equity</t>
  </si>
  <si>
    <t>CIEN</t>
  </si>
  <si>
    <t>Ciena Corp</t>
  </si>
  <si>
    <t>COHR US Equity</t>
  </si>
  <si>
    <t>COHR</t>
  </si>
  <si>
    <t>Coherent Corp</t>
  </si>
  <si>
    <t>CRDO US Equity</t>
  </si>
  <si>
    <t>CRDO</t>
  </si>
  <si>
    <t>Credo Technology Group Holding</t>
  </si>
  <si>
    <t>Credo Technology Group Holding Ltd</t>
  </si>
  <si>
    <t>ENTG US Equity</t>
  </si>
  <si>
    <t>ENTG</t>
  </si>
  <si>
    <t>Entegris Inc</t>
  </si>
  <si>
    <t>FN US Equity</t>
  </si>
  <si>
    <t>FN</t>
  </si>
  <si>
    <t>Fabrinet</t>
  </si>
  <si>
    <t>GFS US Equity</t>
  </si>
  <si>
    <t>GFS</t>
  </si>
  <si>
    <t>GLOBALFOUNDRIES Inc</t>
  </si>
  <si>
    <t>GLW US Equity</t>
  </si>
  <si>
    <t>GLW</t>
  </si>
  <si>
    <t>Corning Inc</t>
  </si>
  <si>
    <t>HSAI US Equity</t>
  </si>
  <si>
    <t>HSAI</t>
  </si>
  <si>
    <t>Hesai Group</t>
  </si>
  <si>
    <t>IPGP US Equity</t>
  </si>
  <si>
    <t>IPGP</t>
  </si>
  <si>
    <t>IPG Photonics Corp</t>
  </si>
  <si>
    <t>KLAC US Equity</t>
  </si>
  <si>
    <t>KLAC</t>
  </si>
  <si>
    <t>KLA CORP</t>
  </si>
  <si>
    <t>LASR US Equity</t>
  </si>
  <si>
    <t>LASR</t>
  </si>
  <si>
    <t>nLight Inc</t>
  </si>
  <si>
    <t>LWLG US Equity</t>
  </si>
  <si>
    <t>LWLG</t>
  </si>
  <si>
    <t>Lightwave Logic Inc</t>
  </si>
  <si>
    <t>MTRN US Equity</t>
  </si>
  <si>
    <t>MTRN</t>
  </si>
  <si>
    <t>Materion Corp</t>
  </si>
  <si>
    <t>NVMI US Equity</t>
  </si>
  <si>
    <t>NVMI</t>
  </si>
  <si>
    <t>Nova Ltd</t>
  </si>
  <si>
    <t>ONTO US Equity</t>
  </si>
  <si>
    <t>ONTO</t>
  </si>
  <si>
    <t>Onto Innovation Inc</t>
  </si>
  <si>
    <t>PDFS US Equity</t>
  </si>
  <si>
    <t>PDFS</t>
  </si>
  <si>
    <t>PDF Solutions Inc</t>
  </si>
  <si>
    <t>PLAB US Equity</t>
  </si>
  <si>
    <t>PLAB</t>
  </si>
  <si>
    <t>Photronics Inc</t>
  </si>
  <si>
    <t>POET US Equity</t>
  </si>
  <si>
    <t>POET</t>
  </si>
  <si>
    <t>POET Technologies Inc</t>
  </si>
  <si>
    <t>TSEM US Equity</t>
  </si>
  <si>
    <t>TSEM</t>
  </si>
  <si>
    <t>Tower Semiconductor Ltd</t>
  </si>
  <si>
    <t>TSM US Equity</t>
  </si>
  <si>
    <t>TSM</t>
  </si>
  <si>
    <t>Taiwan Semiconductor Manufactu</t>
  </si>
  <si>
    <t>Taiwan Semiconductor Manufacturing Co Ltd</t>
  </si>
  <si>
    <t>UCTT US Equity</t>
  </si>
  <si>
    <t>UCTT</t>
  </si>
  <si>
    <t>Ultra Clean Holdings Inc</t>
  </si>
  <si>
    <t>VECO US Equity</t>
  </si>
  <si>
    <t>VECO</t>
  </si>
  <si>
    <t>Veeco Instruments Inc</t>
  </si>
  <si>
    <t>VIAV US Equity</t>
  </si>
  <si>
    <t>VIAV</t>
  </si>
  <si>
    <t>Viavi Solutions Inc</t>
  </si>
  <si>
    <t>EUVX</t>
  </si>
  <si>
    <t>218946663 Equity</t>
  </si>
  <si>
    <t>218946663-TRS-07/07/27-L-CLST</t>
  </si>
  <si>
    <t>EUROVEST EUV FUND MASTER FIC FIM-SWAP-CLST-L</t>
  </si>
  <si>
    <t>3880404.00</t>
  </si>
  <si>
    <t>199.40</t>
  </si>
  <si>
    <t>Total return of EUROVEST EUV FUND MASTER FIC FIM</t>
  </si>
  <si>
    <t>218946663</t>
  </si>
  <si>
    <t>EYES</t>
  </si>
  <si>
    <t>ADT US Equity</t>
  </si>
  <si>
    <t>ADT</t>
  </si>
  <si>
    <t>ADT Inc</t>
  </si>
  <si>
    <t>AIOT US Equity</t>
  </si>
  <si>
    <t>AIOT</t>
  </si>
  <si>
    <t>Powerfleet Inc NJ</t>
  </si>
  <si>
    <t>BAH US Equity</t>
  </si>
  <si>
    <t>BAH</t>
  </si>
  <si>
    <t>Booz Allen Hamilton Holding Co</t>
  </si>
  <si>
    <t>Booz Allen Hamilton Holding Corp</t>
  </si>
  <si>
    <t>BBAI US Equity</t>
  </si>
  <si>
    <t>BBAI</t>
  </si>
  <si>
    <t>BIGBEAR.AI HOLDINGS INC</t>
  </si>
  <si>
    <t>CACI US Equity</t>
  </si>
  <si>
    <t>CACI</t>
  </si>
  <si>
    <t>CACI International Inc</t>
  </si>
  <si>
    <t>CGNT US Equity</t>
  </si>
  <si>
    <t>CGNT</t>
  </si>
  <si>
    <t>Cognyte Software Ltd</t>
  </si>
  <si>
    <t>CLBT US Equity</t>
  </si>
  <si>
    <t>CLBT</t>
  </si>
  <si>
    <t>Cellebrite DI Ltd</t>
  </si>
  <si>
    <t>DDOG US Equity</t>
  </si>
  <si>
    <t>DDOG</t>
  </si>
  <si>
    <t>Datadog Inc</t>
  </si>
  <si>
    <t>DGII US Equity</t>
  </si>
  <si>
    <t>DGII</t>
  </si>
  <si>
    <t>Digi International Inc</t>
  </si>
  <si>
    <t>DT US Equity</t>
  </si>
  <si>
    <t>DT</t>
  </si>
  <si>
    <t>Dynatrace Inc</t>
  </si>
  <si>
    <t>ESTC US Equity</t>
  </si>
  <si>
    <t>ESTC</t>
  </si>
  <si>
    <t>Elastic NV</t>
  </si>
  <si>
    <t>INVE US Equity</t>
  </si>
  <si>
    <t>INVE</t>
  </si>
  <si>
    <t>Identiv Inc</t>
  </si>
  <si>
    <t>LDOS US Equity</t>
  </si>
  <si>
    <t>LDOS</t>
  </si>
  <si>
    <t>Leidos Holdings Inc</t>
  </si>
  <si>
    <t>MITK US Equity</t>
  </si>
  <si>
    <t>MITK</t>
  </si>
  <si>
    <t>Mitek Systems Inc</t>
  </si>
  <si>
    <t>MSI US Equity</t>
  </si>
  <si>
    <t>MSI</t>
  </si>
  <si>
    <t>Motorola Solutions Inc</t>
  </si>
  <si>
    <t>NIQ US Equity</t>
  </si>
  <si>
    <t>NIQ</t>
  </si>
  <si>
    <t>NIQ Global Intelligence Plc</t>
  </si>
  <si>
    <t>OSIS US Equity</t>
  </si>
  <si>
    <t>OSIS</t>
  </si>
  <si>
    <t>OSI Systems Inc</t>
  </si>
  <si>
    <t>PI US Equity</t>
  </si>
  <si>
    <t>PI</t>
  </si>
  <si>
    <t>Impinj Inc</t>
  </si>
  <si>
    <t>PLTR US Equity</t>
  </si>
  <si>
    <t>PLTR</t>
  </si>
  <si>
    <t>Palantir Technologies Inc</t>
  </si>
  <si>
    <t>RSKD US Equity</t>
  </si>
  <si>
    <t>RSKD</t>
  </si>
  <si>
    <t>Riskified Ltd</t>
  </si>
  <si>
    <t>SAIL US Equity</t>
  </si>
  <si>
    <t>SAIL</t>
  </si>
  <si>
    <t>SailPoint Inc</t>
  </si>
  <si>
    <t>TYL US Equity</t>
  </si>
  <si>
    <t>TYL</t>
  </si>
  <si>
    <t>Tyler Technologies Inc</t>
  </si>
  <si>
    <t>VRNS US Equity</t>
  </si>
  <si>
    <t>VRNS</t>
  </si>
  <si>
    <t>Varonis Systems Inc</t>
  </si>
  <si>
    <t>YOU US Equity</t>
  </si>
  <si>
    <t>YOU</t>
  </si>
  <si>
    <t>Clear Secure Inc</t>
  </si>
  <si>
    <t>ZBRA US Equity</t>
  </si>
  <si>
    <t>ZBRA</t>
  </si>
  <si>
    <t>Zebra Technologies Corp</t>
  </si>
  <si>
    <t>FDRS</t>
  </si>
  <si>
    <t>ANET US Equity</t>
  </si>
  <si>
    <t>ANET</t>
  </si>
  <si>
    <t>Arista Networks Inc</t>
  </si>
  <si>
    <t>APO US Equity</t>
  </si>
  <si>
    <t>APO</t>
  </si>
  <si>
    <t>Apollo Global Management Inc</t>
  </si>
  <si>
    <t>ARES US Equity</t>
  </si>
  <si>
    <t>ARES</t>
  </si>
  <si>
    <t>Ares Management Corp</t>
  </si>
  <si>
    <t>BLK US Equity</t>
  </si>
  <si>
    <t>BLK</t>
  </si>
  <si>
    <t>Blackrock Inc</t>
  </si>
  <si>
    <t>BX US Equity</t>
  </si>
  <si>
    <t>BX</t>
  </si>
  <si>
    <t>Blackstone Inc</t>
  </si>
  <si>
    <t>COF US Equity</t>
  </si>
  <si>
    <t>COF</t>
  </si>
  <si>
    <t>Capital One Financial Corp</t>
  </si>
  <si>
    <t>CPNG US Equity</t>
  </si>
  <si>
    <t>CPNG</t>
  </si>
  <si>
    <t>Coupang Inc</t>
  </si>
  <si>
    <t>CRWD US Equity</t>
  </si>
  <si>
    <t>CRWD</t>
  </si>
  <si>
    <t>Crowdstrike Holdings Inc</t>
  </si>
  <si>
    <t>CRWV US Equity</t>
  </si>
  <si>
    <t>CRWV</t>
  </si>
  <si>
    <t>CoreWeave Inc</t>
  </si>
  <si>
    <t>CVNA US Equity</t>
  </si>
  <si>
    <t>CVNA</t>
  </si>
  <si>
    <t>Carvana Co</t>
  </si>
  <si>
    <t>DELL US Equity</t>
  </si>
  <si>
    <t>DELL</t>
  </si>
  <si>
    <t>Dell Technologies Inc</t>
  </si>
  <si>
    <t>ICE US Equity</t>
  </si>
  <si>
    <t>ICE</t>
  </si>
  <si>
    <t>Intercontinental Exchange Inc</t>
  </si>
  <si>
    <t>MPWR US Equity</t>
  </si>
  <si>
    <t>MPWR</t>
  </si>
  <si>
    <t>Monolithic Power Systems Inc</t>
  </si>
  <si>
    <t>MSTR US Equity</t>
  </si>
  <si>
    <t>MSTR</t>
  </si>
  <si>
    <t>Strategy Inc</t>
  </si>
  <si>
    <t>NBIS US Equity</t>
  </si>
  <si>
    <t>NBIS</t>
  </si>
  <si>
    <t>Nebius Group NV</t>
  </si>
  <si>
    <t>NU US Equity</t>
  </si>
  <si>
    <t>NU</t>
  </si>
  <si>
    <t>NU Holdings Ltd/Cayman Islands</t>
  </si>
  <si>
    <t>ORCL US Equity</t>
  </si>
  <si>
    <t>ORCL</t>
  </si>
  <si>
    <t>Oracle Corp</t>
  </si>
  <si>
    <t>P US Equity</t>
  </si>
  <si>
    <t>P</t>
  </si>
  <si>
    <t>Everpure Inc</t>
  </si>
  <si>
    <t>REGN US Equity</t>
  </si>
  <si>
    <t>REGN</t>
  </si>
  <si>
    <t>Regeneron Pharmaceuticals Inc</t>
  </si>
  <si>
    <t>SHOP US Equity</t>
  </si>
  <si>
    <t>SHOP</t>
  </si>
  <si>
    <t>Shopify Inc</t>
  </si>
  <si>
    <t>SPCX US Equity</t>
  </si>
  <si>
    <t>SPCX</t>
  </si>
  <si>
    <t>Space Exploration Technologies</t>
  </si>
  <si>
    <t>Space Exploration Technologies Corp</t>
  </si>
  <si>
    <t>STLD US Equity</t>
  </si>
  <si>
    <t>STLD</t>
  </si>
  <si>
    <t>Steel Dynamics Inc</t>
  </si>
  <si>
    <t>UTHR US Equity</t>
  </si>
  <si>
    <t>UTHR</t>
  </si>
  <si>
    <t>United Therapeutics Corp</t>
  </si>
  <si>
    <t>WCN US Equity</t>
  </si>
  <si>
    <t>WCN</t>
  </si>
  <si>
    <t>Waste Connections Inc</t>
  </si>
  <si>
    <t>FDRX</t>
  </si>
  <si>
    <t>218946101 Equity</t>
  </si>
  <si>
    <t>218946101-TRS-01/19/28-L</t>
  </si>
  <si>
    <t>CORGI ETF TR SWAP CS</t>
  </si>
  <si>
    <t>2028-01-19</t>
  </si>
  <si>
    <t>33603480.54</t>
  </si>
  <si>
    <t>200.34</t>
  </si>
  <si>
    <t>Total return of CORGI ETF TR</t>
  </si>
  <si>
    <t>218946101</t>
  </si>
  <si>
    <t>GASZ</t>
  </si>
  <si>
    <t>AGX US Equity</t>
  </si>
  <si>
    <t>AGX</t>
  </si>
  <si>
    <t>Argan Inc</t>
  </si>
  <si>
    <t>AROC US Equity</t>
  </si>
  <si>
    <t>AROC</t>
  </si>
  <si>
    <t>Archrock Inc</t>
  </si>
  <si>
    <t>BKR US Equity</t>
  </si>
  <si>
    <t>BKR</t>
  </si>
  <si>
    <t>Baker Hughes Co</t>
  </si>
  <si>
    <t>CLNE US Equity</t>
  </si>
  <si>
    <t>CLNE</t>
  </si>
  <si>
    <t>Clean Energy Fuels Corp</t>
  </si>
  <si>
    <t>CW US Equity</t>
  </si>
  <si>
    <t>CW</t>
  </si>
  <si>
    <t>Curtiss-Wright Corp</t>
  </si>
  <si>
    <t>DCI US Equity</t>
  </si>
  <si>
    <t>DCI</t>
  </si>
  <si>
    <t>Donaldson Co Inc</t>
  </si>
  <si>
    <t>ETN US Equity</t>
  </si>
  <si>
    <t>ETN</t>
  </si>
  <si>
    <t>Eaton Corp PLC</t>
  </si>
  <si>
    <t>FLR US Equity</t>
  </si>
  <si>
    <t>FLR</t>
  </si>
  <si>
    <t>Fluor Corp</t>
  </si>
  <si>
    <t>FLS US Equity</t>
  </si>
  <si>
    <t>FLS</t>
  </si>
  <si>
    <t>Flowserve Corp</t>
  </si>
  <si>
    <t>FTI US Equity</t>
  </si>
  <si>
    <t>FTI</t>
  </si>
  <si>
    <t>TechnipFMC PLC</t>
  </si>
  <si>
    <t>GEV US Equity</t>
  </si>
  <si>
    <t>GEV</t>
  </si>
  <si>
    <t>GE Vernova Inc</t>
  </si>
  <si>
    <t>GNRC US Equity</t>
  </si>
  <si>
    <t>GNRC</t>
  </si>
  <si>
    <t>Generac Holdings Inc</t>
  </si>
  <si>
    <t>GTLS US Equity</t>
  </si>
  <si>
    <t>GTLS</t>
  </si>
  <si>
    <t>Chart Industries Inc</t>
  </si>
  <si>
    <t>KGS US Equity</t>
  </si>
  <si>
    <t>KGS</t>
  </si>
  <si>
    <t>Kodiak Gas Services Inc</t>
  </si>
  <si>
    <t>KMI US Equity</t>
  </si>
  <si>
    <t>KMI</t>
  </si>
  <si>
    <t>Kinder Morgan Inc</t>
  </si>
  <si>
    <t>LNG US Equity</t>
  </si>
  <si>
    <t>LNG</t>
  </si>
  <si>
    <t>Cheniere Energy Inc</t>
  </si>
  <si>
    <t>NFE US Equity</t>
  </si>
  <si>
    <t>NFE</t>
  </si>
  <si>
    <t>New Fortress Energy Inc</t>
  </si>
  <si>
    <t>NGS US Equity</t>
  </si>
  <si>
    <t>NGS</t>
  </si>
  <si>
    <t>Natural Gas Services Group Inc</t>
  </si>
  <si>
    <t>OKE US Equity</t>
  </si>
  <si>
    <t>OKE</t>
  </si>
  <si>
    <t>ONEOK Inc</t>
  </si>
  <si>
    <t>GLAM</t>
  </si>
  <si>
    <t>ABBV US Equity</t>
  </si>
  <si>
    <t>ABBV</t>
  </si>
  <si>
    <t>AbbVie Inc</t>
  </si>
  <si>
    <t>AIRS US Equity</t>
  </si>
  <si>
    <t>AIRS</t>
  </si>
  <si>
    <t>AirSculpt Technologies Inc</t>
  </si>
  <si>
    <t>ALGN US Equity</t>
  </si>
  <si>
    <t>ALGN</t>
  </si>
  <si>
    <t>Align Technology Inc</t>
  </si>
  <si>
    <t>ATR US Equity</t>
  </si>
  <si>
    <t>ATR</t>
  </si>
  <si>
    <t>AptarGroup Inc</t>
  </si>
  <si>
    <t>BBWI US Equity</t>
  </si>
  <si>
    <t>BBWI</t>
  </si>
  <si>
    <t>Bath &amp; Body Works Inc</t>
  </si>
  <si>
    <t>CL US Equity</t>
  </si>
  <si>
    <t>CL</t>
  </si>
  <si>
    <t>Colgate-Palmolive Co</t>
  </si>
  <si>
    <t>COTY US Equity</t>
  </si>
  <si>
    <t>COTY</t>
  </si>
  <si>
    <t>Coty Inc</t>
  </si>
  <si>
    <t>EL US Equity</t>
  </si>
  <si>
    <t>EL</t>
  </si>
  <si>
    <t>Estee Lauder Cos Inc/The</t>
  </si>
  <si>
    <t>ELF US Equity</t>
  </si>
  <si>
    <t>ELF</t>
  </si>
  <si>
    <t>elf Beauty Inc</t>
  </si>
  <si>
    <t>EOLS US Equity</t>
  </si>
  <si>
    <t>EOLS</t>
  </si>
  <si>
    <t>Evolus Inc</t>
  </si>
  <si>
    <t>EPC US Equity</t>
  </si>
  <si>
    <t>EPC</t>
  </si>
  <si>
    <t>Edgewell Personal Care Co</t>
  </si>
  <si>
    <t>ESTA US Equity</t>
  </si>
  <si>
    <t>ESTA</t>
  </si>
  <si>
    <t>Establishment Labs Holdings In</t>
  </si>
  <si>
    <t>Establishment Labs Holdings Inc</t>
  </si>
  <si>
    <t>HELE US Equity</t>
  </si>
  <si>
    <t>HELE</t>
  </si>
  <si>
    <t>Helen of Troy Ltd</t>
  </si>
  <si>
    <t>HIMS US Equity</t>
  </si>
  <si>
    <t>HIMS</t>
  </si>
  <si>
    <t>Hims &amp; Hers Health Inc</t>
  </si>
  <si>
    <t>HNST US Equity</t>
  </si>
  <si>
    <t>HNST</t>
  </si>
  <si>
    <t>Honest Co Inc/The</t>
  </si>
  <si>
    <t>INMD US Equity</t>
  </si>
  <si>
    <t>INMD</t>
  </si>
  <si>
    <t>Inmode Ltd</t>
  </si>
  <si>
    <t>IPAR US Equity</t>
  </si>
  <si>
    <t>IPAR</t>
  </si>
  <si>
    <t>Interparfums Inc</t>
  </si>
  <si>
    <t>KVUE US Equity</t>
  </si>
  <si>
    <t>KVUE</t>
  </si>
  <si>
    <t>Kenvue Inc</t>
  </si>
  <si>
    <t>NUS US Equity</t>
  </si>
  <si>
    <t>NUS</t>
  </si>
  <si>
    <t>Nu Skin Enterprises Inc</t>
  </si>
  <si>
    <t>ODD US Equity</t>
  </si>
  <si>
    <t>ODD</t>
  </si>
  <si>
    <t>Oddity Tech Ltd</t>
  </si>
  <si>
    <t>OLPX US Equity</t>
  </si>
  <si>
    <t>OLPX</t>
  </si>
  <si>
    <t>Olaplex Holdings Inc</t>
  </si>
  <si>
    <t>SBH US Equity</t>
  </si>
  <si>
    <t>SBH</t>
  </si>
  <si>
    <t>Sally Beauty Holdings Inc</t>
  </si>
  <si>
    <t>ULTA US Equity</t>
  </si>
  <si>
    <t>ULTA</t>
  </si>
  <si>
    <t>ULTA BEAUTY INC</t>
  </si>
  <si>
    <t>USNA US Equity</t>
  </si>
  <si>
    <t>USNA</t>
  </si>
  <si>
    <t>USANA Health Sciences Inc</t>
  </si>
  <si>
    <t>GNMX</t>
  </si>
  <si>
    <t>ABSI US Equity</t>
  </si>
  <si>
    <t>ABSI</t>
  </si>
  <si>
    <t>Absci Corp</t>
  </si>
  <si>
    <t>ADPT US Equity</t>
  </si>
  <si>
    <t>ADPT</t>
  </si>
  <si>
    <t>Adaptive Biotechnologies Corp</t>
  </si>
  <si>
    <t>ALNY US Equity</t>
  </si>
  <si>
    <t>ALNY</t>
  </si>
  <si>
    <t>Alnylam Pharmaceuticals Inc</t>
  </si>
  <si>
    <t>ARCT US Equity</t>
  </si>
  <si>
    <t>ARCT</t>
  </si>
  <si>
    <t>Arcturus Therapeutics Holdings</t>
  </si>
  <si>
    <t>Arcturus Therapeutics Holdings Inc</t>
  </si>
  <si>
    <t>ARWR US Equity</t>
  </si>
  <si>
    <t>ARWR</t>
  </si>
  <si>
    <t>Arrowhead Pharmaceuticals Inc</t>
  </si>
  <si>
    <t>AZTA US Equity</t>
  </si>
  <si>
    <t>AZTA</t>
  </si>
  <si>
    <t>Azenta Inc</t>
  </si>
  <si>
    <t>BDSX US Equity</t>
  </si>
  <si>
    <t>BDSX</t>
  </si>
  <si>
    <t>Biodesix Inc</t>
  </si>
  <si>
    <t>BEAM US Equity</t>
  </si>
  <si>
    <t>BEAM</t>
  </si>
  <si>
    <t>Beam Therapeutics Inc</t>
  </si>
  <si>
    <t>BMRN US Equity</t>
  </si>
  <si>
    <t>BMRN</t>
  </si>
  <si>
    <t>BioMarin Pharmaceutical Inc</t>
  </si>
  <si>
    <t>CAI US Equity</t>
  </si>
  <si>
    <t>CAI</t>
  </si>
  <si>
    <t>Caris Life Sciences Inc</t>
  </si>
  <si>
    <t>CDNA US Equity</t>
  </si>
  <si>
    <t>CDNA</t>
  </si>
  <si>
    <t>CareDx Inc</t>
  </si>
  <si>
    <t>CERT US Equity</t>
  </si>
  <si>
    <t>CERT</t>
  </si>
  <si>
    <t>Certara Inc</t>
  </si>
  <si>
    <t>CRBU US Equity</t>
  </si>
  <si>
    <t>CRBU</t>
  </si>
  <si>
    <t>Caribou Biosciences Inc</t>
  </si>
  <si>
    <t>CRSP US Equity</t>
  </si>
  <si>
    <t>CRSP</t>
  </si>
  <si>
    <t>CRISPR Therapeutics AG</t>
  </si>
  <si>
    <t>CSTL US Equity</t>
  </si>
  <si>
    <t>CSTL</t>
  </si>
  <si>
    <t>Castle Biosciences Inc</t>
  </si>
  <si>
    <t>DTIL US Equity</t>
  </si>
  <si>
    <t>DTIL</t>
  </si>
  <si>
    <t>Precision BioSciences Inc</t>
  </si>
  <si>
    <t>EDIT US Equity</t>
  </si>
  <si>
    <t>EDIT</t>
  </si>
  <si>
    <t>Editas Medicine Inc</t>
  </si>
  <si>
    <t>FDMT US Equity</t>
  </si>
  <si>
    <t>FDMT</t>
  </si>
  <si>
    <t>4D Molecular Therapeutics Inc</t>
  </si>
  <si>
    <t>FLGT US Equity</t>
  </si>
  <si>
    <t>FLGT</t>
  </si>
  <si>
    <t>Fulgent Genetics Inc</t>
  </si>
  <si>
    <t>GENB US Equity</t>
  </si>
  <si>
    <t>GENB</t>
  </si>
  <si>
    <t>Generate Biomedicines Inc</t>
  </si>
  <si>
    <t>GH US Equity</t>
  </si>
  <si>
    <t>GH</t>
  </si>
  <si>
    <t>Guardant Health Inc</t>
  </si>
  <si>
    <t>GMAB US Equity</t>
  </si>
  <si>
    <t>GMAB</t>
  </si>
  <si>
    <t>Genmab A/S</t>
  </si>
  <si>
    <t>GRAL US Equity</t>
  </si>
  <si>
    <t>GRAL</t>
  </si>
  <si>
    <t>GRAIL Inc</t>
  </si>
  <si>
    <t>IDYA US Equity</t>
  </si>
  <si>
    <t>IDYA</t>
  </si>
  <si>
    <t>Ideaya Biosciences Inc</t>
  </si>
  <si>
    <t>ILMN US Equity</t>
  </si>
  <si>
    <t>ILMN</t>
  </si>
  <si>
    <t>Illumina Inc</t>
  </si>
  <si>
    <t>INCY US Equity</t>
  </si>
  <si>
    <t>INCY</t>
  </si>
  <si>
    <t>Incyte Corp</t>
  </si>
  <si>
    <t>IONS US Equity</t>
  </si>
  <si>
    <t>IONS</t>
  </si>
  <si>
    <t>Ionis Pharmaceuticals Inc</t>
  </si>
  <si>
    <t>IOVA US Equity</t>
  </si>
  <si>
    <t>IOVA</t>
  </si>
  <si>
    <t>Iovance Biotherapeutics Inc</t>
  </si>
  <si>
    <t>KRYS US Equity</t>
  </si>
  <si>
    <t>KRYS</t>
  </si>
  <si>
    <t>Krystal Biotech Inc</t>
  </si>
  <si>
    <t>LAB US Equity</t>
  </si>
  <si>
    <t>LAB</t>
  </si>
  <si>
    <t>STANDARD BIOTOOLS INC</t>
  </si>
  <si>
    <t>MRNA US Equity</t>
  </si>
  <si>
    <t>MRNA</t>
  </si>
  <si>
    <t>Moderna Inc</t>
  </si>
  <si>
    <t>MYGN US Equity</t>
  </si>
  <si>
    <t>MYGN</t>
  </si>
  <si>
    <t>Myriad Genetics Inc</t>
  </si>
  <si>
    <t>NEO US Equity</t>
  </si>
  <si>
    <t>NEO</t>
  </si>
  <si>
    <t>NeoGenomics Inc</t>
  </si>
  <si>
    <t>NRIX US Equity</t>
  </si>
  <si>
    <t>NRIX</t>
  </si>
  <si>
    <t>Nurix Therapeutics Inc</t>
  </si>
  <si>
    <t>NTLA US Equity</t>
  </si>
  <si>
    <t>NTLA</t>
  </si>
  <si>
    <t>Intellia Therapeutics Inc</t>
  </si>
  <si>
    <t>NUVL US Equity</t>
  </si>
  <si>
    <t>NUVL</t>
  </si>
  <si>
    <t>Nuvalent Inc</t>
  </si>
  <si>
    <t>PACB US Equity</t>
  </si>
  <si>
    <t>PACB</t>
  </si>
  <si>
    <t>Pacific Biosciences of Califor</t>
  </si>
  <si>
    <t>Pacific Biosciences of California Inc</t>
  </si>
  <si>
    <t>PRME US Equity</t>
  </si>
  <si>
    <t>PRME</t>
  </si>
  <si>
    <t>Prime Medicine Inc</t>
  </si>
  <si>
    <t>PSNL US Equity</t>
  </si>
  <si>
    <t>PSNL</t>
  </si>
  <si>
    <t>Personalis Inc</t>
  </si>
  <si>
    <t>QGEN US Equity</t>
  </si>
  <si>
    <t>QGEN</t>
  </si>
  <si>
    <t>QIAGEN NV</t>
  </si>
  <si>
    <t>QURE US Equity</t>
  </si>
  <si>
    <t>QURE</t>
  </si>
  <si>
    <t>uniQure NV</t>
  </si>
  <si>
    <t>RARE US Equity</t>
  </si>
  <si>
    <t>RARE</t>
  </si>
  <si>
    <t>Ultragenyx Pharmaceutical Inc</t>
  </si>
  <si>
    <t>RCKT US Equity</t>
  </si>
  <si>
    <t>RCKT</t>
  </si>
  <si>
    <t>Rocket Pharmaceuticals Inc</t>
  </si>
  <si>
    <t>RLAY US Equity</t>
  </si>
  <si>
    <t>RLAY</t>
  </si>
  <si>
    <t>Relay Therapeutics Inc</t>
  </si>
  <si>
    <t>RVMD US Equity</t>
  </si>
  <si>
    <t>RVMD</t>
  </si>
  <si>
    <t>Revolution Medicines Inc</t>
  </si>
  <si>
    <t>RXRX US Equity</t>
  </si>
  <si>
    <t>RXRX</t>
  </si>
  <si>
    <t>Recursion Pharmaceuticals Inc</t>
  </si>
  <si>
    <t>SDGR US Equity</t>
  </si>
  <si>
    <t>SDGR</t>
  </si>
  <si>
    <t>Schrodinger Inc/United States</t>
  </si>
  <si>
    <t>SLDB US Equity</t>
  </si>
  <si>
    <t>SLDB</t>
  </si>
  <si>
    <t>Solid Biosciences Inc</t>
  </si>
  <si>
    <t>SOPH US Equity</t>
  </si>
  <si>
    <t>SOPH</t>
  </si>
  <si>
    <t>Sophia Genetics SA</t>
  </si>
  <si>
    <t>SRPT US Equity</t>
  </si>
  <si>
    <t>SRPT</t>
  </si>
  <si>
    <t>Sarepta Therapeutics Inc</t>
  </si>
  <si>
    <t>TECH US Equity</t>
  </si>
  <si>
    <t>TECH</t>
  </si>
  <si>
    <t>Bio-Techne Corp</t>
  </si>
  <si>
    <t>TEM US Equity</t>
  </si>
  <si>
    <t>TEM</t>
  </si>
  <si>
    <t>Tempus AI Inc</t>
  </si>
  <si>
    <t>TMO US Equity</t>
  </si>
  <si>
    <t>TMO</t>
  </si>
  <si>
    <t>Thermo Fisher Scientific Inc</t>
  </si>
  <si>
    <t>TWST US Equity</t>
  </si>
  <si>
    <t>TWST</t>
  </si>
  <si>
    <t>Twist Bioscience Corp</t>
  </si>
  <si>
    <t>TXG US Equity</t>
  </si>
  <si>
    <t>TXG</t>
  </si>
  <si>
    <t>10X Genomics Inc</t>
  </si>
  <si>
    <t>VCYT US Equity</t>
  </si>
  <si>
    <t>VCYT</t>
  </si>
  <si>
    <t>Veracyte Inc</t>
  </si>
  <si>
    <t>VRTX US Equity</t>
  </si>
  <si>
    <t>VRTX</t>
  </si>
  <si>
    <t>Vertex Pharmaceuticals Inc</t>
  </si>
  <si>
    <t>WGS US Equity</t>
  </si>
  <si>
    <t>WGS</t>
  </si>
  <si>
    <t>GeneDx Holdings Corp</t>
  </si>
  <si>
    <t>HJUN</t>
  </si>
  <si>
    <t>77.12</t>
  </si>
  <si>
    <t>2SPY  270528C00819680</t>
  </si>
  <si>
    <t>SPY 05/28/2027 819.68 C</t>
  </si>
  <si>
    <t>SPY-C819.68-20270528</t>
  </si>
  <si>
    <t>819.68</t>
  </si>
  <si>
    <t>-39163.71</t>
  </si>
  <si>
    <t>-2.85</t>
  </si>
  <si>
    <t>6.27</t>
  </si>
  <si>
    <t>HMAY</t>
  </si>
  <si>
    <t>3855864.93</t>
  </si>
  <si>
    <t>80.41</t>
  </si>
  <si>
    <t>2SPY  270430C00770750</t>
  </si>
  <si>
    <t>SPY 04/30/2027 770.75 C</t>
  </si>
  <si>
    <t>SPY-C770.75-20270430</t>
  </si>
  <si>
    <t>770.75</t>
  </si>
  <si>
    <t>-257058.70</t>
  </si>
  <si>
    <t>-5.36</t>
  </si>
  <si>
    <t>2SPY  270430P00723710</t>
  </si>
  <si>
    <t>SPY 04/30/2027 723.71 P</t>
  </si>
  <si>
    <t>SPY-P723.71-20270430</t>
  </si>
  <si>
    <t>723.71</t>
  </si>
  <si>
    <t>228548.03</t>
  </si>
  <si>
    <t>4.77</t>
  </si>
  <si>
    <t>HULL</t>
  </si>
  <si>
    <t>ASC US Equity</t>
  </si>
  <si>
    <t>ASC</t>
  </si>
  <si>
    <t>Ardmore Shipping Corp</t>
  </si>
  <si>
    <t>CMBT US Equity</t>
  </si>
  <si>
    <t>CMBT</t>
  </si>
  <si>
    <t>CMB Tech NV</t>
  </si>
  <si>
    <t>DHT US Equity</t>
  </si>
  <si>
    <t>DHT</t>
  </si>
  <si>
    <t>DHT Holdings Inc</t>
  </si>
  <si>
    <t>DSGX US Equity</t>
  </si>
  <si>
    <t>DSGX</t>
  </si>
  <si>
    <t>Descartes Systems Group Inc/Th</t>
  </si>
  <si>
    <t>Descartes Systems Group Inc/The</t>
  </si>
  <si>
    <t>DSX US Equity</t>
  </si>
  <si>
    <t>DSX</t>
  </si>
  <si>
    <t>Diana Shipping Inc</t>
  </si>
  <si>
    <t>EE US Equity</t>
  </si>
  <si>
    <t>EE</t>
  </si>
  <si>
    <t>Excelerate Energy Inc</t>
  </si>
  <si>
    <t>ESEA US Equity</t>
  </si>
  <si>
    <t>ESEA</t>
  </si>
  <si>
    <t>Euroseas Ltd</t>
  </si>
  <si>
    <t>FLNG US Equity</t>
  </si>
  <si>
    <t>FLNG</t>
  </si>
  <si>
    <t>FLEX LNG Ltd</t>
  </si>
  <si>
    <t>FRO US Equity</t>
  </si>
  <si>
    <t>FRO</t>
  </si>
  <si>
    <t>Frontline PLC</t>
  </si>
  <si>
    <t>GASS US Equity</t>
  </si>
  <si>
    <t>GASS</t>
  </si>
  <si>
    <t>StealthGas Inc</t>
  </si>
  <si>
    <t>GLNG US Equity</t>
  </si>
  <si>
    <t>GLNG</t>
  </si>
  <si>
    <t>Golar LNG Ltd</t>
  </si>
  <si>
    <t>GNK US Equity</t>
  </si>
  <si>
    <t>GNK</t>
  </si>
  <si>
    <t>Genco Shipping &amp; Trading Ltd</t>
  </si>
  <si>
    <t>HAFN US Equity</t>
  </si>
  <si>
    <t>HAFN</t>
  </si>
  <si>
    <t>Hafnia Ltd</t>
  </si>
  <si>
    <t>HSHP US Equity</t>
  </si>
  <si>
    <t>HSHP</t>
  </si>
  <si>
    <t>Himalaya Shipping Ltd</t>
  </si>
  <si>
    <t>INSW US Equity</t>
  </si>
  <si>
    <t>INSW</t>
  </si>
  <si>
    <t>International Seaways Inc</t>
  </si>
  <si>
    <t>KNOP US Equity</t>
  </si>
  <si>
    <t>KNOP</t>
  </si>
  <si>
    <t>KNOT Offshore Partners LP</t>
  </si>
  <si>
    <t>LPG US Equity</t>
  </si>
  <si>
    <t>LPG</t>
  </si>
  <si>
    <t>Dorian LPG Ltd</t>
  </si>
  <si>
    <t>NAT US Equity</t>
  </si>
  <si>
    <t>NAT</t>
  </si>
  <si>
    <t>Nordic American Tankers Ltd</t>
  </si>
  <si>
    <t>NVGS US Equity</t>
  </si>
  <si>
    <t>NVGS</t>
  </si>
  <si>
    <t>Navigator Holdings Ltd</t>
  </si>
  <si>
    <t>PANL US Equity</t>
  </si>
  <si>
    <t>PANL</t>
  </si>
  <si>
    <t>PANGAEA LOGISTICS SOLUTIONS LT</t>
  </si>
  <si>
    <t>SBLK US Equity</t>
  </si>
  <si>
    <t>SBLK</t>
  </si>
  <si>
    <t>Star Bulk Carriers Corp</t>
  </si>
  <si>
    <t>SFL US Equity</t>
  </si>
  <si>
    <t>SFL</t>
  </si>
  <si>
    <t>SFL Corp Ltd</t>
  </si>
  <si>
    <t>SHIP US Equity</t>
  </si>
  <si>
    <t>SHIP</t>
  </si>
  <si>
    <t>Seanergy Maritime Holdings Cor</t>
  </si>
  <si>
    <t>Seanergy Maritime Holdings Corp</t>
  </si>
  <si>
    <t>STNG US Equity</t>
  </si>
  <si>
    <t>STNG</t>
  </si>
  <si>
    <t>Scorpio Tankers Inc</t>
  </si>
  <si>
    <t>TEN US Equity</t>
  </si>
  <si>
    <t>TEN</t>
  </si>
  <si>
    <t>Tsakos Energy Navigation Ltd</t>
  </si>
  <si>
    <t>TNK US Equity</t>
  </si>
  <si>
    <t>TNK</t>
  </si>
  <si>
    <t>Teekay Tankers Ltd</t>
  </si>
  <si>
    <t>TRMD US Equity</t>
  </si>
  <si>
    <t>TRMD</t>
  </si>
  <si>
    <t>TORM PLC</t>
  </si>
  <si>
    <t>IDJN</t>
  </si>
  <si>
    <t>2EFA  270528C00020890</t>
  </si>
  <si>
    <t>EFA 05/28/2027 20.89 C</t>
  </si>
  <si>
    <t>EFA-C20.89-20270528</t>
  </si>
  <si>
    <t>20.89</t>
  </si>
  <si>
    <t>MSCI EAFE Index</t>
  </si>
  <si>
    <t>MXEA</t>
  </si>
  <si>
    <t>775441.74</t>
  </si>
  <si>
    <t>78.91</t>
  </si>
  <si>
    <t>2EFA  270528C00120890</t>
  </si>
  <si>
    <t>EFA 05/28/2027 120.89 C</t>
  </si>
  <si>
    <t>EFA-C120.89-20270528</t>
  </si>
  <si>
    <t>120.89</t>
  </si>
  <si>
    <t>-12565.31</t>
  </si>
  <si>
    <t>-1.28</t>
  </si>
  <si>
    <t>2EFA  270528P00088770</t>
  </si>
  <si>
    <t>EFA 05/28/2027 88.77 P</t>
  </si>
  <si>
    <t>EFA-P88.77-20270528</t>
  </si>
  <si>
    <t>88.77</t>
  </si>
  <si>
    <t>-24731.22</t>
  </si>
  <si>
    <t>-2.52</t>
  </si>
  <si>
    <t>2EFA  270528P00104440</t>
  </si>
  <si>
    <t>EFA 05/28/2027 104.44 P</t>
  </si>
  <si>
    <t>EFA-P104.44-20270528</t>
  </si>
  <si>
    <t>104.44</t>
  </si>
  <si>
    <t>65188.10</t>
  </si>
  <si>
    <t>6.63</t>
  </si>
  <si>
    <t>IDMY</t>
  </si>
  <si>
    <t>2EFA  270430C00020410</t>
  </si>
  <si>
    <t>EFA 04/30/2027 20.41 C</t>
  </si>
  <si>
    <t>EFA-C20.41-20270430</t>
  </si>
  <si>
    <t>20.41</t>
  </si>
  <si>
    <t>3774232.86</t>
  </si>
  <si>
    <t>79.68</t>
  </si>
  <si>
    <t>2EFA  270430C00118370</t>
  </si>
  <si>
    <t>EFA 04/30/2027 118.37 C</t>
  </si>
  <si>
    <t>EFA-C118.37-20270430</t>
  </si>
  <si>
    <t>118.37</t>
  </si>
  <si>
    <t>-72935.81</t>
  </si>
  <si>
    <t>-1.54</t>
  </si>
  <si>
    <t>2EFA  270430P00086730</t>
  </si>
  <si>
    <t>EFA 04/30/2027 86.73 P</t>
  </si>
  <si>
    <t>EFA-P86.73-20270430</t>
  </si>
  <si>
    <t>86.73</t>
  </si>
  <si>
    <t>-98089.29</t>
  </si>
  <si>
    <t>-2.07</t>
  </si>
  <si>
    <t>2EFA  270430P00102040</t>
  </si>
  <si>
    <t>EFA 04/30/2027 102.04 P</t>
  </si>
  <si>
    <t>EFA-P102.04-20270430</t>
  </si>
  <si>
    <t>102.04</t>
  </si>
  <si>
    <t>264250.80</t>
  </si>
  <si>
    <t>5.58</t>
  </si>
  <si>
    <t>JOUL</t>
  </si>
  <si>
    <t>ACA US Equity</t>
  </si>
  <si>
    <t>ACA</t>
  </si>
  <si>
    <t>Arcosa Inc</t>
  </si>
  <si>
    <t>AEIS US Equity</t>
  </si>
  <si>
    <t>AEIS</t>
  </si>
  <si>
    <t>Advanced Energy Industries Inc</t>
  </si>
  <si>
    <t>AMSC US Equity</t>
  </si>
  <si>
    <t>AMSC</t>
  </si>
  <si>
    <t>American Superconductor Corp</t>
  </si>
  <si>
    <t>ATKR US Equity</t>
  </si>
  <si>
    <t>ATKR</t>
  </si>
  <si>
    <t>Atkore Inc</t>
  </si>
  <si>
    <t>DY US Equity</t>
  </si>
  <si>
    <t>DY</t>
  </si>
  <si>
    <t>Dycom Industries Inc</t>
  </si>
  <si>
    <t>ESE US Equity</t>
  </si>
  <si>
    <t>ESE</t>
  </si>
  <si>
    <t>ESCO Technologies Inc</t>
  </si>
  <si>
    <t>FPS US Equity</t>
  </si>
  <si>
    <t>FPS</t>
  </si>
  <si>
    <t>Forgent Power Solutions Inc</t>
  </si>
  <si>
    <t>HUBB US Equity</t>
  </si>
  <si>
    <t>HUBB</t>
  </si>
  <si>
    <t>Hubbell Inc</t>
  </si>
  <si>
    <t>ITRI US Equity</t>
  </si>
  <si>
    <t>ITRI</t>
  </si>
  <si>
    <t>Itron Inc</t>
  </si>
  <si>
    <t>MTZ US Equity</t>
  </si>
  <si>
    <t>MTZ</t>
  </si>
  <si>
    <t>MasTec Inc</t>
  </si>
  <si>
    <t>MYRG US Equity</t>
  </si>
  <si>
    <t>MYRG</t>
  </si>
  <si>
    <t>MYR Group Inc</t>
  </si>
  <si>
    <t>NVT US Equity</t>
  </si>
  <si>
    <t>NVT</t>
  </si>
  <si>
    <t>nVent Electric PLC</t>
  </si>
  <si>
    <t>PLPC US Equity</t>
  </si>
  <si>
    <t>PLPC</t>
  </si>
  <si>
    <t>Preformed Line Products Co</t>
  </si>
  <si>
    <t>POWL US Equity</t>
  </si>
  <si>
    <t>POWL</t>
  </si>
  <si>
    <t>Powell Industries Inc</t>
  </si>
  <si>
    <t>PRIM US Equity</t>
  </si>
  <si>
    <t>PRIM</t>
  </si>
  <si>
    <t>Primoris Services Corp</t>
  </si>
  <si>
    <t>PWR US Equity</t>
  </si>
  <si>
    <t>PWR</t>
  </si>
  <si>
    <t>Quanta Services Inc</t>
  </si>
  <si>
    <t>VMI US Equity</t>
  </si>
  <si>
    <t>VMI</t>
  </si>
  <si>
    <t>Valmont Industries Inc</t>
  </si>
  <si>
    <t>JUNC</t>
  </si>
  <si>
    <t>940339.54</t>
  </si>
  <si>
    <t>76.34</t>
  </si>
  <si>
    <t>2SPY  270528C00896220</t>
  </si>
  <si>
    <t>SPY 05/28/2027 896.22 C</t>
  </si>
  <si>
    <t>SPY-C896.22-20270528</t>
  </si>
  <si>
    <t>896.22</t>
  </si>
  <si>
    <t>-8835.63</t>
  </si>
  <si>
    <t>-0.72</t>
  </si>
  <si>
    <t>2SPY  270528P00682690</t>
  </si>
  <si>
    <t>SPY 05/28/2027 682.69 P</t>
  </si>
  <si>
    <t>SPY-P682.69-20270528</t>
  </si>
  <si>
    <t>682.69</t>
  </si>
  <si>
    <t>-42854.33</t>
  </si>
  <si>
    <t>-3.48</t>
  </si>
  <si>
    <t>76505.87</t>
  </si>
  <si>
    <t>6.21</t>
  </si>
  <si>
    <t>KEYX</t>
  </si>
  <si>
    <t>49338L103 Equity</t>
  </si>
  <si>
    <t>49338L103-TRS-12/01/27-L-CANT</t>
  </si>
  <si>
    <t>KEYSIGHT TECHNOLOGIES, INC.-SWAP-CANT-L</t>
  </si>
  <si>
    <t>495684.30</t>
  </si>
  <si>
    <t>199.66</t>
  </si>
  <si>
    <t>Total return of KEYSIGHT TECHNOLOGIES, INC.</t>
  </si>
  <si>
    <t>49338L103</t>
  </si>
  <si>
    <t>KRWX</t>
  </si>
  <si>
    <t>464286772 Equity</t>
  </si>
  <si>
    <t>464286772-TRS-07/07/27-L-CLST</t>
  </si>
  <si>
    <t>ISHARES MSCI SOUTH KOREA ETF-SWAP-CLST-L</t>
  </si>
  <si>
    <t>2580160.80</t>
  </si>
  <si>
    <t>188.13</t>
  </si>
  <si>
    <t>Total return of ISHARES MSCI SOUTH KOREA ETF</t>
  </si>
  <si>
    <t>464286772</t>
  </si>
  <si>
    <t>464286772-TRS-12/01/27-L-CANT</t>
  </si>
  <si>
    <t>ISHARES MSCI SOUTH KOREA ETF-SWAP-CANT-L</t>
  </si>
  <si>
    <t>156229.92</t>
  </si>
  <si>
    <t>11.39</t>
  </si>
  <si>
    <t>KYC</t>
  </si>
  <si>
    <t>ALLY US Equity</t>
  </si>
  <si>
    <t>ALLY</t>
  </si>
  <si>
    <t>Ally Financial Inc</t>
  </si>
  <si>
    <t>BILL US Equity</t>
  </si>
  <si>
    <t>BILL</t>
  </si>
  <si>
    <t>BILL Holdings Inc</t>
  </si>
  <si>
    <t>BR US Equity</t>
  </si>
  <si>
    <t>BR</t>
  </si>
  <si>
    <t>Broadridge Financial Solutions</t>
  </si>
  <si>
    <t>Broadridge Financial Solutions Inc</t>
  </si>
  <si>
    <t>CHYM US Equity</t>
  </si>
  <si>
    <t>CHYM</t>
  </si>
  <si>
    <t>Chime Financial Inc</t>
  </si>
  <si>
    <t>CPAY US Equity</t>
  </si>
  <si>
    <t>CPAY</t>
  </si>
  <si>
    <t>Corpay Inc</t>
  </si>
  <si>
    <t>DAVE US Equity</t>
  </si>
  <si>
    <t>DAVE</t>
  </si>
  <si>
    <t>Dave Inc</t>
  </si>
  <si>
    <t>DLO US Equity</t>
  </si>
  <si>
    <t>DLO</t>
  </si>
  <si>
    <t>Dlocal Ltd/Uruguay</t>
  </si>
  <si>
    <t>EFX US Equity</t>
  </si>
  <si>
    <t>EFX</t>
  </si>
  <si>
    <t>Equifax Inc</t>
  </si>
  <si>
    <t>FICO US Equity</t>
  </si>
  <si>
    <t>FICO</t>
  </si>
  <si>
    <t>Fair Isaac Corp</t>
  </si>
  <si>
    <t>FIS US Equity</t>
  </si>
  <si>
    <t>FIS</t>
  </si>
  <si>
    <t>Fidelity National Information Services Inc</t>
  </si>
  <si>
    <t>FISV US Equity</t>
  </si>
  <si>
    <t>FISV</t>
  </si>
  <si>
    <t>Fiserv Inc</t>
  </si>
  <si>
    <t>FLYW US Equity</t>
  </si>
  <si>
    <t>FLYW</t>
  </si>
  <si>
    <t>Flywire Corp</t>
  </si>
  <si>
    <t>FOUR US Equity</t>
  </si>
  <si>
    <t>FOUR</t>
  </si>
  <si>
    <t>Shift4 Payments Inc</t>
  </si>
  <si>
    <t>GDOT US Equity</t>
  </si>
  <si>
    <t>GDOT</t>
  </si>
  <si>
    <t>Green Dot Corp</t>
  </si>
  <si>
    <t>GLBE US Equity</t>
  </si>
  <si>
    <t>GLBE</t>
  </si>
  <si>
    <t>Global-e Online Ltd</t>
  </si>
  <si>
    <t>GPN US Equity</t>
  </si>
  <si>
    <t>GPN</t>
  </si>
  <si>
    <t>Global Payments Inc</t>
  </si>
  <si>
    <t>INTR US Equity</t>
  </si>
  <si>
    <t>INTR</t>
  </si>
  <si>
    <t>Inter &amp; Co Inc</t>
  </si>
  <si>
    <t>INTU US Equity</t>
  </si>
  <si>
    <t>INTU</t>
  </si>
  <si>
    <t>Intuit Inc</t>
  </si>
  <si>
    <t>JKHY US Equity</t>
  </si>
  <si>
    <t>JKHY</t>
  </si>
  <si>
    <t>Jack Henry &amp; Associates Inc</t>
  </si>
  <si>
    <t>KSPI US Equity</t>
  </si>
  <si>
    <t>KSPI</t>
  </si>
  <si>
    <t>Kaspi.KZ JSC</t>
  </si>
  <si>
    <t>LPRO US Equity</t>
  </si>
  <si>
    <t>LPRO</t>
  </si>
  <si>
    <t>Open Lending Corp</t>
  </si>
  <si>
    <t>MA US Equity</t>
  </si>
  <si>
    <t>MA</t>
  </si>
  <si>
    <t>Mastercard Inc</t>
  </si>
  <si>
    <t>MELI US Equity</t>
  </si>
  <si>
    <t>MELI</t>
  </si>
  <si>
    <t>MercadoLibre Inc</t>
  </si>
  <si>
    <t>MIAX US Equity</t>
  </si>
  <si>
    <t>MIAX</t>
  </si>
  <si>
    <t>Miami International Holdings I</t>
  </si>
  <si>
    <t>Miami International Holdings Inc</t>
  </si>
  <si>
    <t>MQ US Equity</t>
  </si>
  <si>
    <t>MQ</t>
  </si>
  <si>
    <t>Marqeta Inc</t>
  </si>
  <si>
    <t>NCNO US Equity</t>
  </si>
  <si>
    <t>NCNO</t>
  </si>
  <si>
    <t>nCino Inc</t>
  </si>
  <si>
    <t>NRDS US Equity</t>
  </si>
  <si>
    <t>NRDS</t>
  </si>
  <si>
    <t>NerdWallet Inc</t>
  </si>
  <si>
    <t>OPRT US Equity</t>
  </si>
  <si>
    <t>OPRT</t>
  </si>
  <si>
    <t>Oportun Financial Corp</t>
  </si>
  <si>
    <t>OSPN US Equity</t>
  </si>
  <si>
    <t>OSPN</t>
  </si>
  <si>
    <t>OneSpan Inc</t>
  </si>
  <si>
    <t>PAGS US Equity</t>
  </si>
  <si>
    <t>PAGS</t>
  </si>
  <si>
    <t>Pagseguro Digital Ltd</t>
  </si>
  <si>
    <t>PAYO US Equity</t>
  </si>
  <si>
    <t>PAYO</t>
  </si>
  <si>
    <t>Payoneer Global Inc</t>
  </si>
  <si>
    <t>PGY US Equity</t>
  </si>
  <si>
    <t>PGY</t>
  </si>
  <si>
    <t>Pagaya Technologies Ltd</t>
  </si>
  <si>
    <t>PSFE US Equity</t>
  </si>
  <si>
    <t>PSFE</t>
  </si>
  <si>
    <t>Paysafe Ltd</t>
  </si>
  <si>
    <t>QTWO US Equity</t>
  </si>
  <si>
    <t>QTWO</t>
  </si>
  <si>
    <t>Q2 Holdings Inc</t>
  </si>
  <si>
    <t>RELY US Equity</t>
  </si>
  <si>
    <t>RELY</t>
  </si>
  <si>
    <t>Remitly Global Inc</t>
  </si>
  <si>
    <t>RKT US Equity</t>
  </si>
  <si>
    <t>RKT</t>
  </si>
  <si>
    <t>Rocket Cos Inc</t>
  </si>
  <si>
    <t>RPAY US Equity</t>
  </si>
  <si>
    <t>RPAY</t>
  </si>
  <si>
    <t>Repay Holdings Corp</t>
  </si>
  <si>
    <t>SE US Equity</t>
  </si>
  <si>
    <t>SE</t>
  </si>
  <si>
    <t>Sea Ltd</t>
  </si>
  <si>
    <t>STNE US Equity</t>
  </si>
  <si>
    <t>STNE</t>
  </si>
  <si>
    <t>StoneCo Ltd</t>
  </si>
  <si>
    <t>TOST US Equity</t>
  </si>
  <si>
    <t>TOST</t>
  </si>
  <si>
    <t>Toast Inc</t>
  </si>
  <si>
    <t>TREE US Equity</t>
  </si>
  <si>
    <t>TREE</t>
  </si>
  <si>
    <t>LendingTree Inc</t>
  </si>
  <si>
    <t>UPST US Equity</t>
  </si>
  <si>
    <t>UPST</t>
  </si>
  <si>
    <t>Upstart Holdings Inc</t>
  </si>
  <si>
    <t>WEX US Equity</t>
  </si>
  <si>
    <t>WEX</t>
  </si>
  <si>
    <t>WEX Inc</t>
  </si>
  <si>
    <t>WLTH US Equity</t>
  </si>
  <si>
    <t>WLTH</t>
  </si>
  <si>
    <t>Wealthfront Corp</t>
  </si>
  <si>
    <t>WU US Equity</t>
  </si>
  <si>
    <t>WU</t>
  </si>
  <si>
    <t>Western Union Co/The</t>
  </si>
  <si>
    <t>LASC</t>
  </si>
  <si>
    <t>65487K100 Equity</t>
  </si>
  <si>
    <t>65487K100-TRS-12/01/27-L-CANT</t>
  </si>
  <si>
    <t>NLIGHT, INC.-SWAP-CANT-L</t>
  </si>
  <si>
    <t>460644.39</t>
  </si>
  <si>
    <t>200.00</t>
  </si>
  <si>
    <t>Total return of NLIGHT, INC.</t>
  </si>
  <si>
    <t>65487K100</t>
  </si>
  <si>
    <t>LATR</t>
  </si>
  <si>
    <t>BFH US Equity</t>
  </si>
  <si>
    <t>BFH</t>
  </si>
  <si>
    <t>Bread Financial Holdings Inc</t>
  </si>
  <si>
    <t>FINV US Equity</t>
  </si>
  <si>
    <t>FINV</t>
  </si>
  <si>
    <t>FinVolution Group</t>
  </si>
  <si>
    <t>KLAR US Equity</t>
  </si>
  <si>
    <t>KLAR</t>
  </si>
  <si>
    <t>Klarna Group PLC</t>
  </si>
  <si>
    <t>OMF US Equity</t>
  </si>
  <si>
    <t>OMF</t>
  </si>
  <si>
    <t>OneMain Holdings Inc</t>
  </si>
  <si>
    <t>OPFI US Equity</t>
  </si>
  <si>
    <t>OPFI</t>
  </si>
  <si>
    <t>OppFi Inc</t>
  </si>
  <si>
    <t>SEZL US Equity</t>
  </si>
  <si>
    <t>SEZL</t>
  </si>
  <si>
    <t>Sezzle Inc</t>
  </si>
  <si>
    <t>SYF US Equity</t>
  </si>
  <si>
    <t>SYF</t>
  </si>
  <si>
    <t>Synchrony Financial</t>
  </si>
  <si>
    <t>LRNX</t>
  </si>
  <si>
    <t>86333M108 Equity</t>
  </si>
  <si>
    <t>86333M108-TRS-12/01/27-L-CANT</t>
  </si>
  <si>
    <t>STRIDE, INC.-SWAP-CANT-L</t>
  </si>
  <si>
    <t>522005.55</t>
  </si>
  <si>
    <t>199.91</t>
  </si>
  <si>
    <t>Total return of STRIDE, INC.</t>
  </si>
  <si>
    <t>86333M108</t>
  </si>
  <si>
    <t>MAYC</t>
  </si>
  <si>
    <t>3862210.43</t>
  </si>
  <si>
    <t>81.66</t>
  </si>
  <si>
    <t>2SPY  270430C00815680</t>
  </si>
  <si>
    <t>SPY 04/30/2027 815.68 C</t>
  </si>
  <si>
    <t>SPY-C815.68-20270430</t>
  </si>
  <si>
    <t>815.68</t>
  </si>
  <si>
    <t>-129402.06</t>
  </si>
  <si>
    <t>-2.74</t>
  </si>
  <si>
    <t>2SPY  270430P00646790</t>
  </si>
  <si>
    <t>SPY 04/30/2027 646.79 P</t>
  </si>
  <si>
    <t>SPY-P646.79-20270430</t>
  </si>
  <si>
    <t>646.79</t>
  </si>
  <si>
    <t>-124239.12</t>
  </si>
  <si>
    <t>-2.63</t>
  </si>
  <si>
    <t>219550.13</t>
  </si>
  <si>
    <t>4.64</t>
  </si>
  <si>
    <t>MGKX</t>
  </si>
  <si>
    <t>921910816 Equity</t>
  </si>
  <si>
    <t>921910816-TRS-07/05/27-L-MREX</t>
  </si>
  <si>
    <t>VANGUARD MEGA CAP GROWTH INDEX FUND-SWAP-MREX-L</t>
  </si>
  <si>
    <t>2027-07-05</t>
  </si>
  <si>
    <t>637827.84</t>
  </si>
  <si>
    <t>199.75</t>
  </si>
  <si>
    <t>Total return of VANGUARD MEGA CAP GROWTH INDEX FUND</t>
  </si>
  <si>
    <t>921910816</t>
  </si>
  <si>
    <t>MNSX</t>
  </si>
  <si>
    <t>61174X109 Equity</t>
  </si>
  <si>
    <t>61174X109-TRS-12/01/27-L-CANT</t>
  </si>
  <si>
    <t>MONSTER BEVERAGE CORPORATION-SWAP-CANT-L</t>
  </si>
  <si>
    <t>510433.00</t>
  </si>
  <si>
    <t>199.81</t>
  </si>
  <si>
    <t>Total return of MONSTER BEVERAGE CORPORATION</t>
  </si>
  <si>
    <t>61174X109</t>
  </si>
  <si>
    <t>MSIX</t>
  </si>
  <si>
    <t>620076307 Equity</t>
  </si>
  <si>
    <t>620076307-TRS-12/01/27-L-CANT</t>
  </si>
  <si>
    <t>MOTOROLA SOLUTIONS, INC.-SWAP-CANT-L</t>
  </si>
  <si>
    <t>531195.60</t>
  </si>
  <si>
    <t>200.94</t>
  </si>
  <si>
    <t>Total return of MOTOROLA SOLUTIONS, INC.</t>
  </si>
  <si>
    <t>620076307</t>
  </si>
  <si>
    <t>NYNY</t>
  </si>
  <si>
    <t>AIG US Equity</t>
  </si>
  <si>
    <t>AIG</t>
  </si>
  <si>
    <t>American International Group I</t>
  </si>
  <si>
    <t>American International Group Inc</t>
  </si>
  <si>
    <t>AIZ US Equity</t>
  </si>
  <si>
    <t>AIZ</t>
  </si>
  <si>
    <t>Assurant Inc</t>
  </si>
  <si>
    <t>AXP US Equity</t>
  </si>
  <si>
    <t>AXP</t>
  </si>
  <si>
    <t>American Express Co</t>
  </si>
  <si>
    <t>AXSM US Equity</t>
  </si>
  <si>
    <t>AXSM</t>
  </si>
  <si>
    <t>Axsome Therapeutics Inc</t>
  </si>
  <si>
    <t>BGC US Equity</t>
  </si>
  <si>
    <t>BGC</t>
  </si>
  <si>
    <t>BGC Group Inc</t>
  </si>
  <si>
    <t>BMY US Equity</t>
  </si>
  <si>
    <t>BMY</t>
  </si>
  <si>
    <t>Bristol-Myers Squibb Co</t>
  </si>
  <si>
    <t>BNY US Equity</t>
  </si>
  <si>
    <t>BNY</t>
  </si>
  <si>
    <t>Bank of New York Mellon Corp/The</t>
  </si>
  <si>
    <t>BRX US Equity</t>
  </si>
  <si>
    <t>BRX</t>
  </si>
  <si>
    <t>Brixmor Property Group Inc</t>
  </si>
  <si>
    <t>C US Equity</t>
  </si>
  <si>
    <t>C</t>
  </si>
  <si>
    <t>Citigroup Inc</t>
  </si>
  <si>
    <t>COMP US Equity</t>
  </si>
  <si>
    <t>COMP</t>
  </si>
  <si>
    <t>Compass Inc</t>
  </si>
  <si>
    <t>DOCN US Equity</t>
  </si>
  <si>
    <t>DOCN</t>
  </si>
  <si>
    <t>DigitalOcean Holdings Inc</t>
  </si>
  <si>
    <t>ED US Equity</t>
  </si>
  <si>
    <t>ED</t>
  </si>
  <si>
    <t>Consolidated Edison Inc</t>
  </si>
  <si>
    <t>ETSY US Equity</t>
  </si>
  <si>
    <t>ETSY</t>
  </si>
  <si>
    <t>Etsy Inc</t>
  </si>
  <si>
    <t>EVR US Equity</t>
  </si>
  <si>
    <t>EVR</t>
  </si>
  <si>
    <t>Evercore Inc</t>
  </si>
  <si>
    <t>FOXA US Equity</t>
  </si>
  <si>
    <t>FOXA</t>
  </si>
  <si>
    <t>Fox Corp</t>
  </si>
  <si>
    <t>GS US Equity</t>
  </si>
  <si>
    <t>GS</t>
  </si>
  <si>
    <t>Goldman Sachs Group Inc/The</t>
  </si>
  <si>
    <t>JEF US Equity</t>
  </si>
  <si>
    <t>JEF</t>
  </si>
  <si>
    <t>Jefferies Financial Group Inc</t>
  </si>
  <si>
    <t>JPM US Equity</t>
  </si>
  <si>
    <t>JPM</t>
  </si>
  <si>
    <t>JPMORGAN CHASE &amp; CO.</t>
  </si>
  <si>
    <t>KKR US Equity</t>
  </si>
  <si>
    <t>KKR</t>
  </si>
  <si>
    <t>KKR &amp; Co Inc</t>
  </si>
  <si>
    <t>L US Equity</t>
  </si>
  <si>
    <t>L</t>
  </si>
  <si>
    <t>Loews Corp</t>
  </si>
  <si>
    <t>LAZ US Equity</t>
  </si>
  <si>
    <t>LAZ</t>
  </si>
  <si>
    <t>Lazard Inc</t>
  </si>
  <si>
    <t>MC US Equity</t>
  </si>
  <si>
    <t>MC</t>
  </si>
  <si>
    <t>Moelis &amp; Co</t>
  </si>
  <si>
    <t>MCO US Equity</t>
  </si>
  <si>
    <t>MCO</t>
  </si>
  <si>
    <t>Moody's Corp</t>
  </si>
  <si>
    <t>MDB US Equity</t>
  </si>
  <si>
    <t>MDB</t>
  </si>
  <si>
    <t>MongoDB Inc</t>
  </si>
  <si>
    <t>MET US Equity</t>
  </si>
  <si>
    <t>MET</t>
  </si>
  <si>
    <t>MetLife Inc</t>
  </si>
  <si>
    <t>MKTX US Equity</t>
  </si>
  <si>
    <t>MKTX</t>
  </si>
  <si>
    <t>MarketAxess Holdings Inc</t>
  </si>
  <si>
    <t>MRSH US Equity</t>
  </si>
  <si>
    <t>MRSH</t>
  </si>
  <si>
    <t>Marsh &amp; McLennan Cos Inc</t>
  </si>
  <si>
    <t>MS US Equity</t>
  </si>
  <si>
    <t>MS</t>
  </si>
  <si>
    <t>Morgan Stanley</t>
  </si>
  <si>
    <t>MSCI US Equity</t>
  </si>
  <si>
    <t>MSCI</t>
  </si>
  <si>
    <t>MSCI Inc</t>
  </si>
  <si>
    <t>MSGS US Equity</t>
  </si>
  <si>
    <t>MSGS</t>
  </si>
  <si>
    <t>Madison Square Garden Sports C</t>
  </si>
  <si>
    <t>Madison Square Garden Sports Corp</t>
  </si>
  <si>
    <t>NDAQ US Equity</t>
  </si>
  <si>
    <t>NDAQ</t>
  </si>
  <si>
    <t>Nasdaq Inc</t>
  </si>
  <si>
    <t>NLY US Equity</t>
  </si>
  <si>
    <t>NLY</t>
  </si>
  <si>
    <t>Annaly Capital Management Inc</t>
  </si>
  <si>
    <t>NWSA US Equity</t>
  </si>
  <si>
    <t>NWSA</t>
  </si>
  <si>
    <t>News Corp</t>
  </si>
  <si>
    <t>NYT US Equity</t>
  </si>
  <si>
    <t>NYT</t>
  </si>
  <si>
    <t>New York Times Co/The</t>
  </si>
  <si>
    <t>OMC US Equity</t>
  </si>
  <si>
    <t>OMC</t>
  </si>
  <si>
    <t>Omnicom Group Inc</t>
  </si>
  <si>
    <t>OWL US Equity</t>
  </si>
  <si>
    <t>OWL</t>
  </si>
  <si>
    <t>Blue Owl Capital Inc</t>
  </si>
  <si>
    <t>PFE US Equity</t>
  </si>
  <si>
    <t>PFE</t>
  </si>
  <si>
    <t>Pfizer Inc</t>
  </si>
  <si>
    <t>PJT US Equity</t>
  </si>
  <si>
    <t>PJT</t>
  </si>
  <si>
    <t>PJT Partners Inc</t>
  </si>
  <si>
    <t>PSKY US Equity</t>
  </si>
  <si>
    <t>PSKY</t>
  </si>
  <si>
    <t>Paramount Skydance Corp</t>
  </si>
  <si>
    <t>RITM US Equity</t>
  </si>
  <si>
    <t>RITM</t>
  </si>
  <si>
    <t>Rithm Capital Corp</t>
  </si>
  <si>
    <t>RL US Equity</t>
  </si>
  <si>
    <t>RL</t>
  </si>
  <si>
    <t>Ralph Lauren Corp</t>
  </si>
  <si>
    <t>SNEX US Equity</t>
  </si>
  <si>
    <t>SNEX</t>
  </si>
  <si>
    <t>StoneX Group Inc</t>
  </si>
  <si>
    <t>SPGI US Equity</t>
  </si>
  <si>
    <t>SPGI</t>
  </si>
  <si>
    <t>S&amp;P Global Inc</t>
  </si>
  <si>
    <t>TPR US Equity</t>
  </si>
  <si>
    <t>TPR</t>
  </si>
  <si>
    <t>Tapestry Inc</t>
  </si>
  <si>
    <t>TRV US Equity</t>
  </si>
  <si>
    <t>TRV</t>
  </si>
  <si>
    <t>Travelers Cos Inc/The</t>
  </si>
  <si>
    <t>TW US Equity</t>
  </si>
  <si>
    <t>TW</t>
  </si>
  <si>
    <t>Tradeweb Markets Inc</t>
  </si>
  <si>
    <t>VICI US Equity</t>
  </si>
  <si>
    <t>VICI</t>
  </si>
  <si>
    <t>VICI Properties Inc</t>
  </si>
  <si>
    <t>VIRT US Equity</t>
  </si>
  <si>
    <t>VIRT</t>
  </si>
  <si>
    <t>Virtu Financial Inc</t>
  </si>
  <si>
    <t>VZ US Equity</t>
  </si>
  <si>
    <t>VZ</t>
  </si>
  <si>
    <t>Verizon Communications Inc</t>
  </si>
  <si>
    <t>WBD US Equity</t>
  </si>
  <si>
    <t>WBD</t>
  </si>
  <si>
    <t>Warner Bros Discovery Inc</t>
  </si>
  <si>
    <t>WPC US Equity</t>
  </si>
  <si>
    <t>WPC</t>
  </si>
  <si>
    <t>WP Carey Inc</t>
  </si>
  <si>
    <t>ODDZ</t>
  </si>
  <si>
    <t>ACEL US Equity</t>
  </si>
  <si>
    <t>ACEL</t>
  </si>
  <si>
    <t>Accel Entertainment Inc</t>
  </si>
  <si>
    <t>BALY US Equity</t>
  </si>
  <si>
    <t>BALY</t>
  </si>
  <si>
    <t>Bally's Corp</t>
  </si>
  <si>
    <t>BRSL US Equity</t>
  </si>
  <si>
    <t>BRSL</t>
  </si>
  <si>
    <t>Brightstar Lottery PLC</t>
  </si>
  <si>
    <t>BYD US Equity</t>
  </si>
  <si>
    <t>BYD</t>
  </si>
  <si>
    <t>Boyd Gaming Corp</t>
  </si>
  <si>
    <t>CDRO US Equity</t>
  </si>
  <si>
    <t>CDRO</t>
  </si>
  <si>
    <t>Codere Online Luxembourg SA</t>
  </si>
  <si>
    <t>CHDN US Equity</t>
  </si>
  <si>
    <t>CHDN</t>
  </si>
  <si>
    <t>Churchill Downs Inc</t>
  </si>
  <si>
    <t>CZR US Equity</t>
  </si>
  <si>
    <t>CZR</t>
  </si>
  <si>
    <t>Caesars Entertainment Inc</t>
  </si>
  <si>
    <t>DKNG US Equity</t>
  </si>
  <si>
    <t>DKNG</t>
  </si>
  <si>
    <t>DraftKings Inc</t>
  </si>
  <si>
    <t>FLL US Equity</t>
  </si>
  <si>
    <t>FLL</t>
  </si>
  <si>
    <t>Full House Resorts Inc</t>
  </si>
  <si>
    <t>FLUT US Equity</t>
  </si>
  <si>
    <t>FLUT</t>
  </si>
  <si>
    <t>Flutter Entertainment PLC</t>
  </si>
  <si>
    <t>GAMB US Equity</t>
  </si>
  <si>
    <t>GAMB</t>
  </si>
  <si>
    <t>Gambling.com Group Ltd</t>
  </si>
  <si>
    <t>GENI US Equity</t>
  </si>
  <si>
    <t>GENI</t>
  </si>
  <si>
    <t>Genius Sports Ltd</t>
  </si>
  <si>
    <t>INSE US Equity</t>
  </si>
  <si>
    <t>INSE</t>
  </si>
  <si>
    <t>Inspired Entertainment Inc</t>
  </si>
  <si>
    <t>LVS US Equity</t>
  </si>
  <si>
    <t>LVS</t>
  </si>
  <si>
    <t>Las Vegas Sands Corp</t>
  </si>
  <si>
    <t>MCRI US Equity</t>
  </si>
  <si>
    <t>MCRI</t>
  </si>
  <si>
    <t>Monarch Casino &amp; Resort Inc</t>
  </si>
  <si>
    <t>MGM US Equity</t>
  </si>
  <si>
    <t>MGM</t>
  </si>
  <si>
    <t>MGM Resorts International</t>
  </si>
  <si>
    <t>MLCO US Equity</t>
  </si>
  <si>
    <t>MLCO</t>
  </si>
  <si>
    <t xml:space="preserve">Melco Resorts &amp; Entertainment </t>
  </si>
  <si>
    <t>Melco Resorts &amp; Entertainment Ltd</t>
  </si>
  <si>
    <t>PENN US Equity</t>
  </si>
  <si>
    <t>PENN</t>
  </si>
  <si>
    <t>Penn Entertainment Inc</t>
  </si>
  <si>
    <t>RRR US Equity</t>
  </si>
  <si>
    <t>RRR</t>
  </si>
  <si>
    <t>Red Rock Resorts Inc</t>
  </si>
  <si>
    <t>RSI US Equity</t>
  </si>
  <si>
    <t>RSI</t>
  </si>
  <si>
    <t>Rush Street Interactive Inc</t>
  </si>
  <si>
    <t>SGHC US Equity</t>
  </si>
  <si>
    <t>SGHC</t>
  </si>
  <si>
    <t>Super Group SGHC Ltd</t>
  </si>
  <si>
    <t>SRAD US Equity</t>
  </si>
  <si>
    <t>SRAD</t>
  </si>
  <si>
    <t>Sportradar Group AG</t>
  </si>
  <si>
    <t>WYNN US Equity</t>
  </si>
  <si>
    <t>WYNN</t>
  </si>
  <si>
    <t>Wynn Resorts Ltd</t>
  </si>
  <si>
    <t>ONTX</t>
  </si>
  <si>
    <t>683344105 Equity</t>
  </si>
  <si>
    <t>683344105-TRS-12/01/27-L-CANT</t>
  </si>
  <si>
    <t>ONTO INNOVATION INC.-SWAP-CANT-L</t>
  </si>
  <si>
    <t>508816.96</t>
  </si>
  <si>
    <t>195.60</t>
  </si>
  <si>
    <t>Total return of ONTO INNOVATION INC.</t>
  </si>
  <si>
    <t>683344105</t>
  </si>
  <si>
    <t>OWN</t>
  </si>
  <si>
    <t>ACGL US Equity</t>
  </si>
  <si>
    <t>ACGL</t>
  </si>
  <si>
    <t>Arch Capital Group Ltd</t>
  </si>
  <si>
    <t>APD US Equity</t>
  </si>
  <si>
    <t>APD</t>
  </si>
  <si>
    <t>Air Products and Chemicals Inc</t>
  </si>
  <si>
    <t>APH US Equity</t>
  </si>
  <si>
    <t>APH</t>
  </si>
  <si>
    <t>Amphenol Corp</t>
  </si>
  <si>
    <t>AZO US Equity</t>
  </si>
  <si>
    <t>AZO</t>
  </si>
  <si>
    <t>AutoZone Inc</t>
  </si>
  <si>
    <t>BAC US Equity</t>
  </si>
  <si>
    <t>BAC</t>
  </si>
  <si>
    <t>Bank of America Corp</t>
  </si>
  <si>
    <t>BRK/B US Equity</t>
  </si>
  <si>
    <t>BRK/B</t>
  </si>
  <si>
    <t>Berkshire Hathaway Inc</t>
  </si>
  <si>
    <t>CARR US Equity</t>
  </si>
  <si>
    <t>CARR</t>
  </si>
  <si>
    <t>Carrier Global Corp</t>
  </si>
  <si>
    <t>CCL US Equity</t>
  </si>
  <si>
    <t>CCL</t>
  </si>
  <si>
    <t>Carnival Corp Ltd</t>
  </si>
  <si>
    <t>CMCSA US Equity</t>
  </si>
  <si>
    <t>CMCSA</t>
  </si>
  <si>
    <t>Comcast Corp</t>
  </si>
  <si>
    <t>CPRT US Equity</t>
  </si>
  <si>
    <t>CPRT</t>
  </si>
  <si>
    <t>Copart Inc</t>
  </si>
  <si>
    <t>CTAS US Equity</t>
  </si>
  <si>
    <t>CTAS</t>
  </si>
  <si>
    <t>Cintas Corp</t>
  </si>
  <si>
    <t>CVS US Equity</t>
  </si>
  <si>
    <t>CVS</t>
  </si>
  <si>
    <t>CVS Health Corp</t>
  </si>
  <si>
    <t>CVX US Equity</t>
  </si>
  <si>
    <t>CVX</t>
  </si>
  <si>
    <t>Chevron Corp</t>
  </si>
  <si>
    <t>DHR US Equity</t>
  </si>
  <si>
    <t>DHR</t>
  </si>
  <si>
    <t>Danaher Corp</t>
  </si>
  <si>
    <t>DLTR US Equity</t>
  </si>
  <si>
    <t>DLTR</t>
  </si>
  <si>
    <t>Dollar Tree Inc</t>
  </si>
  <si>
    <t>EXPE US Equity</t>
  </si>
  <si>
    <t>EXPE</t>
  </si>
  <si>
    <t>Expedia Group Inc</t>
  </si>
  <si>
    <t>GWW US Equity</t>
  </si>
  <si>
    <t>GWW</t>
  </si>
  <si>
    <t>WW Grainger Inc</t>
  </si>
  <si>
    <t>HCA US Equity</t>
  </si>
  <si>
    <t>HCA</t>
  </si>
  <si>
    <t>HCA Healthcare Inc</t>
  </si>
  <si>
    <t>HLT US Equity</t>
  </si>
  <si>
    <t>HLT</t>
  </si>
  <si>
    <t>Hilton Worldwide Holdings Inc</t>
  </si>
  <si>
    <t>IBKR US Equity</t>
  </si>
  <si>
    <t>IBKR</t>
  </si>
  <si>
    <t>Interactive Brokers Group Inc</t>
  </si>
  <si>
    <t>LEN US Equity</t>
  </si>
  <si>
    <t>LEN</t>
  </si>
  <si>
    <t>Lennar Corp</t>
  </si>
  <si>
    <t>LLY US Equity</t>
  </si>
  <si>
    <t>LLY</t>
  </si>
  <si>
    <t>Eli Lilly &amp; Co</t>
  </si>
  <si>
    <t>LYV US Equity</t>
  </si>
  <si>
    <t>LYV</t>
  </si>
  <si>
    <t>Live Nation Entertainment Inc</t>
  </si>
  <si>
    <t>MAR US Equity</t>
  </si>
  <si>
    <t>MAR</t>
  </si>
  <si>
    <t>Marriott International Inc/MD</t>
  </si>
  <si>
    <t>MU US Equity</t>
  </si>
  <si>
    <t>MU</t>
  </si>
  <si>
    <t>Micron Technology Inc</t>
  </si>
  <si>
    <t>PSA US Equity</t>
  </si>
  <si>
    <t>PSA</t>
  </si>
  <si>
    <t>Public Storage</t>
  </si>
  <si>
    <t>Q US Equity</t>
  </si>
  <si>
    <t>Q</t>
  </si>
  <si>
    <t>Qnity Electronics Inc</t>
  </si>
  <si>
    <t>RCL US Equity</t>
  </si>
  <si>
    <t>RCL</t>
  </si>
  <si>
    <t>Royal Caribbean Cruises Ltd</t>
  </si>
  <si>
    <t>ROL US Equity</t>
  </si>
  <si>
    <t>ROL</t>
  </si>
  <si>
    <t>Rollins Inc</t>
  </si>
  <si>
    <t>SCHW US Equity</t>
  </si>
  <si>
    <t>SCHW</t>
  </si>
  <si>
    <t>Charles Schwab Corp/The</t>
  </si>
  <si>
    <t>SPG US Equity</t>
  </si>
  <si>
    <t>SPG</t>
  </si>
  <si>
    <t>Simon Property Group Inc</t>
  </si>
  <si>
    <t>STZ US Equity</t>
  </si>
  <si>
    <t>STZ</t>
  </si>
  <si>
    <t>Constellation Brands Inc</t>
  </si>
  <si>
    <t>TKO US Equity</t>
  </si>
  <si>
    <t>TKO</t>
  </si>
  <si>
    <t>TKO Group Holdings Inc</t>
  </si>
  <si>
    <t>TPL US Equity</t>
  </si>
  <si>
    <t>TPL</t>
  </si>
  <si>
    <t>Texas Pacific Land Corp</t>
  </si>
  <si>
    <t>TXN US Equity</t>
  </si>
  <si>
    <t>TXN</t>
  </si>
  <si>
    <t>Texas Instruments Inc</t>
  </si>
  <si>
    <t>VRT US Equity</t>
  </si>
  <si>
    <t>VRT</t>
  </si>
  <si>
    <t>Vertiv Holdings Co</t>
  </si>
  <si>
    <t>WRB US Equity</t>
  </si>
  <si>
    <t>WRB</t>
  </si>
  <si>
    <t>W R Berkley Corp</t>
  </si>
  <si>
    <t>PTNT</t>
  </si>
  <si>
    <t>ACTG US Equity</t>
  </si>
  <si>
    <t>ACTG</t>
  </si>
  <si>
    <t>Acacia Research Corp</t>
  </si>
  <si>
    <t>ADEA US Equity</t>
  </si>
  <si>
    <t>ADEA</t>
  </si>
  <si>
    <t>Adeia Inc</t>
  </si>
  <si>
    <t>ARM US Equity</t>
  </si>
  <si>
    <t>ARM</t>
  </si>
  <si>
    <t>ARM Holdings PLC</t>
  </si>
  <si>
    <t>CDNS US Equity</t>
  </si>
  <si>
    <t>CDNS</t>
  </si>
  <si>
    <t>Cadence Design Systems Inc</t>
  </si>
  <si>
    <t>CEVA US Equity</t>
  </si>
  <si>
    <t>CEVA</t>
  </si>
  <si>
    <t>CEVA Inc</t>
  </si>
  <si>
    <t>DIS US Equity</t>
  </si>
  <si>
    <t>DIS</t>
  </si>
  <si>
    <t>Walt Disney Co/The</t>
  </si>
  <si>
    <t>DLB US Equity</t>
  </si>
  <si>
    <t>DLB</t>
  </si>
  <si>
    <t>Dolby Laboratories Inc</t>
  </si>
  <si>
    <t>DPZ US Equity</t>
  </si>
  <si>
    <t>DPZ</t>
  </si>
  <si>
    <t>Domino's Pizza Inc</t>
  </si>
  <si>
    <t>FWONK US Equity</t>
  </si>
  <si>
    <t>FWONK</t>
  </si>
  <si>
    <t>Liberty Media Corp-Liberty For</t>
  </si>
  <si>
    <t>Liberty Media Corp-Liberty Formula One</t>
  </si>
  <si>
    <t>HAS US Equity</t>
  </si>
  <si>
    <t>HAS</t>
  </si>
  <si>
    <t>Hasbro Inc</t>
  </si>
  <si>
    <t>IDCC US Equity</t>
  </si>
  <si>
    <t>IDCC</t>
  </si>
  <si>
    <t>InterDigital Inc</t>
  </si>
  <si>
    <t>LGND US Equity</t>
  </si>
  <si>
    <t>LGND</t>
  </si>
  <si>
    <t>Ligand Pharmaceuticals Inc</t>
  </si>
  <si>
    <t>MAT US Equity</t>
  </si>
  <si>
    <t>MAT</t>
  </si>
  <si>
    <t>Mattel Inc</t>
  </si>
  <si>
    <t>MCD US Equity</t>
  </si>
  <si>
    <t>MCD</t>
  </si>
  <si>
    <t>McDonald's Corp</t>
  </si>
  <si>
    <t>NOK US Equity</t>
  </si>
  <si>
    <t>NOK</t>
  </si>
  <si>
    <t>Nokia Oyj</t>
  </si>
  <si>
    <t>QCOM US Equity</t>
  </si>
  <si>
    <t>QCOM</t>
  </si>
  <si>
    <t>QUALCOMM Inc</t>
  </si>
  <si>
    <t>RMBS US Equity</t>
  </si>
  <si>
    <t>RMBS</t>
  </si>
  <si>
    <t>Rambus Inc</t>
  </si>
  <si>
    <t>RPRX US Equity</t>
  </si>
  <si>
    <t>RPRX</t>
  </si>
  <si>
    <t>Royalty Pharma PLC</t>
  </si>
  <si>
    <t>SNPS US Equity</t>
  </si>
  <si>
    <t>SNPS</t>
  </si>
  <si>
    <t>Synopsys Inc</t>
  </si>
  <si>
    <t>SVCO US Equity</t>
  </si>
  <si>
    <t>SVCO</t>
  </si>
  <si>
    <t>Silvaco Group Inc</t>
  </si>
  <si>
    <t>TTWO US Equity</t>
  </si>
  <si>
    <t>TTWO</t>
  </si>
  <si>
    <t xml:space="preserve">Take-Two Interactive Software </t>
  </si>
  <si>
    <t>Take-Two Interactive Software Inc</t>
  </si>
  <si>
    <t>VRSN US Equity</t>
  </si>
  <si>
    <t>VRSN</t>
  </si>
  <si>
    <t>VeriSign Inc</t>
  </si>
  <si>
    <t>WING US Equity</t>
  </si>
  <si>
    <t>WING</t>
  </si>
  <si>
    <t>Wingstop Inc</t>
  </si>
  <si>
    <t>WMG US Equity</t>
  </si>
  <si>
    <t>WMG</t>
  </si>
  <si>
    <t>Warner Music Group Corp</t>
  </si>
  <si>
    <t>XOMA US Equity</t>
  </si>
  <si>
    <t>XOMA</t>
  </si>
  <si>
    <t>XOMA Royalty Corp</t>
  </si>
  <si>
    <t>XPER US Equity</t>
  </si>
  <si>
    <t>XPER</t>
  </si>
  <si>
    <t>Xperi Inc</t>
  </si>
  <si>
    <t>YUM US Equity</t>
  </si>
  <si>
    <t>YUM</t>
  </si>
  <si>
    <t>Yum! Brands Inc</t>
  </si>
  <si>
    <t>QJN</t>
  </si>
  <si>
    <t>2QQQ  270528C00148550</t>
  </si>
  <si>
    <t>QQQ 05/28/2027 148.55 C</t>
  </si>
  <si>
    <t>QQQ-C148.55-20270528</t>
  </si>
  <si>
    <t>148.55</t>
  </si>
  <si>
    <t>NASDAQ 100 Index</t>
  </si>
  <si>
    <t>NDX</t>
  </si>
  <si>
    <t>741133.24</t>
  </si>
  <si>
    <t>75.91</t>
  </si>
  <si>
    <t>2QQQ  270528C00905400</t>
  </si>
  <si>
    <t>QQQ 05/28/2027 905.4 C</t>
  </si>
  <si>
    <t>QQQ-C905.4-20270528</t>
  </si>
  <si>
    <t>905.4</t>
  </si>
  <si>
    <t>-24801.24</t>
  </si>
  <si>
    <t>-2.54</t>
  </si>
  <si>
    <t>2QQQ  270528P00668470</t>
  </si>
  <si>
    <t>QQQ 05/28/2027 668.47 P</t>
  </si>
  <si>
    <t>QQQ-P668.47-20270528</t>
  </si>
  <si>
    <t>668.47</t>
  </si>
  <si>
    <t>-58721.73</t>
  </si>
  <si>
    <t>-6.01</t>
  </si>
  <si>
    <t>2QQQ  270528P00742740</t>
  </si>
  <si>
    <t>QQQ 05/28/2027 742.74 P</t>
  </si>
  <si>
    <t>QQQ-P742.74-20270528</t>
  </si>
  <si>
    <t>742.74</t>
  </si>
  <si>
    <t>95929.87</t>
  </si>
  <si>
    <t>9.83</t>
  </si>
  <si>
    <t>QMY</t>
  </si>
  <si>
    <t>2QQQ  270430C00136300</t>
  </si>
  <si>
    <t>QQQ 04/30/2027 136.3 C</t>
  </si>
  <si>
    <t>QQQ-C136.3-20270430</t>
  </si>
  <si>
    <t>136.3</t>
  </si>
  <si>
    <t>3890997.91</t>
  </si>
  <si>
    <t>82.19</t>
  </si>
  <si>
    <t>2QQQ  270430C00834840</t>
  </si>
  <si>
    <t>QQQ 04/30/2027 834.84 C</t>
  </si>
  <si>
    <t>QQQ-C834.84-20270430</t>
  </si>
  <si>
    <t>834.84</t>
  </si>
  <si>
    <t>-207666.31</t>
  </si>
  <si>
    <t>-4.39</t>
  </si>
  <si>
    <t>2QQQ  270430P00613350</t>
  </si>
  <si>
    <t>QQQ 04/30/2027 613.35 P</t>
  </si>
  <si>
    <t>QQQ-P613.35-20270430</t>
  </si>
  <si>
    <t>613.35</t>
  </si>
  <si>
    <t>-194553.39</t>
  </si>
  <si>
    <t>-4.11</t>
  </si>
  <si>
    <t>2QQQ  270430P00681500</t>
  </si>
  <si>
    <t>QQQ 04/30/2027 681.5 P</t>
  </si>
  <si>
    <t>QQQ-P681.5-20270430</t>
  </si>
  <si>
    <t>681.5</t>
  </si>
  <si>
    <t>318160.29</t>
  </si>
  <si>
    <t>6.72</t>
  </si>
  <si>
    <t>QQJN</t>
  </si>
  <si>
    <t>912163.99</t>
  </si>
  <si>
    <t>74.36</t>
  </si>
  <si>
    <t>2QQQ  270528C00880220</t>
  </si>
  <si>
    <t>QQQ 05/28/2027 880.22 C</t>
  </si>
  <si>
    <t>QQQ-C880.22-20270528</t>
  </si>
  <si>
    <t>880.22</t>
  </si>
  <si>
    <t>-37995.29</t>
  </si>
  <si>
    <t>-3.10</t>
  </si>
  <si>
    <t>2QQQ  270528P00631330</t>
  </si>
  <si>
    <t>QQQ 05/28/2027 631.33 P</t>
  </si>
  <si>
    <t>QQQ-P631.33-20270528</t>
  </si>
  <si>
    <t>631.33</t>
  </si>
  <si>
    <t>-55816.39</t>
  </si>
  <si>
    <t>-4.55</t>
  </si>
  <si>
    <t>118067.53</t>
  </si>
  <si>
    <t>9.63</t>
  </si>
  <si>
    <t>QQMY</t>
  </si>
  <si>
    <t>2QQQ  270430C00133550</t>
  </si>
  <si>
    <t>QQQ 04/30/2027 133.55 C</t>
  </si>
  <si>
    <t>QQQ-C133.55-20270430</t>
  </si>
  <si>
    <t>133.55</t>
  </si>
  <si>
    <t>4550539.35</t>
  </si>
  <si>
    <t>84.67</t>
  </si>
  <si>
    <t>2QQQ  270430C00767900</t>
  </si>
  <si>
    <t>QQQ 04/30/2027 767.9 C</t>
  </si>
  <si>
    <t>QQQ-C767.9-20270430</t>
  </si>
  <si>
    <t>767.9</t>
  </si>
  <si>
    <t>-427135.87</t>
  </si>
  <si>
    <t>-7.95</t>
  </si>
  <si>
    <t>2QQQ  270430P00567580</t>
  </si>
  <si>
    <t>QQQ 04/30/2027 567.58 P</t>
  </si>
  <si>
    <t>QQQ-P567.58-20270430</t>
  </si>
  <si>
    <t>567.58</t>
  </si>
  <si>
    <t>-160699.06</t>
  </si>
  <si>
    <t>-2.99</t>
  </si>
  <si>
    <t>2QQQ  270430P00667740</t>
  </si>
  <si>
    <t>QQQ 04/30/2027 667.74 P</t>
  </si>
  <si>
    <t>QQQ-P667.74-20270430</t>
  </si>
  <si>
    <t>667.74</t>
  </si>
  <si>
    <t>336171.52</t>
  </si>
  <si>
    <t>6.26</t>
  </si>
  <si>
    <t>RMBC</t>
  </si>
  <si>
    <t>750917106 Equity</t>
  </si>
  <si>
    <t>750917106-TRS-12/01/27-L-CANT</t>
  </si>
  <si>
    <t>RAMBUS INC.-SWAP-CANT-L</t>
  </si>
  <si>
    <t>469938.48</t>
  </si>
  <si>
    <t>199.30</t>
  </si>
  <si>
    <t>Total return of RAMBUS INC.</t>
  </si>
  <si>
    <t>750917106</t>
  </si>
  <si>
    <t>SCJN</t>
  </si>
  <si>
    <t>2IWM  270528C00057790</t>
  </si>
  <si>
    <t>IWM 05/28/2027 57.79 C</t>
  </si>
  <si>
    <t>IWM-C57.79-20270528</t>
  </si>
  <si>
    <t>57.79</t>
  </si>
  <si>
    <t>Russell 2000 Index</t>
  </si>
  <si>
    <t>RTY</t>
  </si>
  <si>
    <t>814284.68</t>
  </si>
  <si>
    <t>80.04</t>
  </si>
  <si>
    <t>2IWM  270528C00345560</t>
  </si>
  <si>
    <t>IWM 05/28/2027 345.56 C</t>
  </si>
  <si>
    <t>IWM-C345.56-20270528</t>
  </si>
  <si>
    <t>345.56</t>
  </si>
  <si>
    <t>-38611.20</t>
  </si>
  <si>
    <t>-3.80</t>
  </si>
  <si>
    <t>2IWM  270528P00245610</t>
  </si>
  <si>
    <t>IWM 05/28/2027 245.61 P</t>
  </si>
  <si>
    <t>IWM-P245.61-20270528</t>
  </si>
  <si>
    <t>245.61</t>
  </si>
  <si>
    <t>-27055.32</t>
  </si>
  <si>
    <t>-2.66</t>
  </si>
  <si>
    <t>2IWM  270528P00288950</t>
  </si>
  <si>
    <t>IWM 05/28/2027 288.95 P</t>
  </si>
  <si>
    <t>IWM-P288.95-20270528</t>
  </si>
  <si>
    <t>288.95</t>
  </si>
  <si>
    <t>63987.28</t>
  </si>
  <si>
    <t>6.29</t>
  </si>
  <si>
    <t>SCMY</t>
  </si>
  <si>
    <t>2IWM  270430C00056520</t>
  </si>
  <si>
    <t>IWM 04/30/2027 56.52 C</t>
  </si>
  <si>
    <t>IWM-C56.52-20270430</t>
  </si>
  <si>
    <t>56.52</t>
  </si>
  <si>
    <t>3921842.18</t>
  </si>
  <si>
    <t>82.47</t>
  </si>
  <si>
    <t>2IWM  270430C00333470</t>
  </si>
  <si>
    <t>IWM 04/30/2027 333.47 C</t>
  </si>
  <si>
    <t>IWM-C333.47-20270430</t>
  </si>
  <si>
    <t>333.47</t>
  </si>
  <si>
    <t>-222183.95</t>
  </si>
  <si>
    <t>-4.67</t>
  </si>
  <si>
    <t>2IWM  270430P00240210</t>
  </si>
  <si>
    <t>IWM 04/30/2027 240.21 P</t>
  </si>
  <si>
    <t>IWM-P240.21-20270430</t>
  </si>
  <si>
    <t>240.21</t>
  </si>
  <si>
    <t>-106838.94</t>
  </si>
  <si>
    <t>-2.25</t>
  </si>
  <si>
    <t>2IWM  270430P00282600</t>
  </si>
  <si>
    <t>IWM 04/30/2027 282.6 P</t>
  </si>
  <si>
    <t>IWM-P282.6-20270430</t>
  </si>
  <si>
    <t>282.6</t>
  </si>
  <si>
    <t>257296.09</t>
  </si>
  <si>
    <t>5.41</t>
  </si>
  <si>
    <t>SIMX</t>
  </si>
  <si>
    <t>82706C108 Equity</t>
  </si>
  <si>
    <t>82706C108-TRS-12/01/27-L-CANT</t>
  </si>
  <si>
    <t>SILICON MOTION TECHNOLOGY CORPORATION-SWAP-CANT-L</t>
  </si>
  <si>
    <t>509187.78</t>
  </si>
  <si>
    <t>200.28</t>
  </si>
  <si>
    <t>Total return of SILICON MOTION TECHNOLOGY CORPORATION</t>
  </si>
  <si>
    <t>82706C108</t>
  </si>
  <si>
    <t>STYL</t>
  </si>
  <si>
    <t>AEO US Equity</t>
  </si>
  <si>
    <t>AEO</t>
  </si>
  <si>
    <t>American Eagle Outfitters Inc</t>
  </si>
  <si>
    <t>ANF US Equity</t>
  </si>
  <si>
    <t>ANF</t>
  </si>
  <si>
    <t>Abercrombie &amp; Fitch Co</t>
  </si>
  <si>
    <t>AS US Equity</t>
  </si>
  <si>
    <t>AS</t>
  </si>
  <si>
    <t>Amer Sports Inc</t>
  </si>
  <si>
    <t>BIRK US Equity</t>
  </si>
  <si>
    <t>BIRK</t>
  </si>
  <si>
    <t>Birkenstock Holding Plc</t>
  </si>
  <si>
    <t>BKE US Equity</t>
  </si>
  <si>
    <t>BKE</t>
  </si>
  <si>
    <t>Buckle Inc/The</t>
  </si>
  <si>
    <t>BOOT US Equity</t>
  </si>
  <si>
    <t>BOOT</t>
  </si>
  <si>
    <t>Boot Barn Holdings Inc</t>
  </si>
  <si>
    <t>CAL US Equity</t>
  </si>
  <si>
    <t>CAL</t>
  </si>
  <si>
    <t>CALERES INC COM</t>
  </si>
  <si>
    <t>COLM US Equity</t>
  </si>
  <si>
    <t>COLM</t>
  </si>
  <si>
    <t>Columbia Sportswear Co</t>
  </si>
  <si>
    <t>CPRI US Equity</t>
  </si>
  <si>
    <t>CPRI</t>
  </si>
  <si>
    <t>CAPRI HOLDINGS LTD</t>
  </si>
  <si>
    <t>CRI US Equity</t>
  </si>
  <si>
    <t>CRI</t>
  </si>
  <si>
    <t>Carter's Inc</t>
  </si>
  <si>
    <t>CROX US Equity</t>
  </si>
  <si>
    <t>CROX</t>
  </si>
  <si>
    <t>Crocs Inc</t>
  </si>
  <si>
    <t>DBI US Equity</t>
  </si>
  <si>
    <t>DBI</t>
  </si>
  <si>
    <t>Designer Brands Inc</t>
  </si>
  <si>
    <t>DECK US Equity</t>
  </si>
  <si>
    <t>DECK</t>
  </si>
  <si>
    <t>Deckers Outdoor Corp</t>
  </si>
  <si>
    <t>FIGS US Equity</t>
  </si>
  <si>
    <t>FIGS</t>
  </si>
  <si>
    <t>Figs Inc</t>
  </si>
  <si>
    <t>FOSL US Equity</t>
  </si>
  <si>
    <t>FOSL</t>
  </si>
  <si>
    <t>Fossil Group Inc</t>
  </si>
  <si>
    <t>GAP US Equity</t>
  </si>
  <si>
    <t>GAP</t>
  </si>
  <si>
    <t>Gap Inc/The</t>
  </si>
  <si>
    <t>GCO US Equity</t>
  </si>
  <si>
    <t>GCO</t>
  </si>
  <si>
    <t>Genesco Inc</t>
  </si>
  <si>
    <t>GIII US Equity</t>
  </si>
  <si>
    <t>GIII</t>
  </si>
  <si>
    <t>G-III Apparel Group Ltd</t>
  </si>
  <si>
    <t>GIL US Equity</t>
  </si>
  <si>
    <t>GIL</t>
  </si>
  <si>
    <t>Gildan Activewear Inc</t>
  </si>
  <si>
    <t>GOOS US Equity</t>
  </si>
  <si>
    <t>GOOS</t>
  </si>
  <si>
    <t>Canada Goose Holdings Inc</t>
  </si>
  <si>
    <t>JOUT US Equity</t>
  </si>
  <si>
    <t>JOUT</t>
  </si>
  <si>
    <t>Johnson Outdoors Inc</t>
  </si>
  <si>
    <t>KTB US Equity</t>
  </si>
  <si>
    <t>KTB</t>
  </si>
  <si>
    <t>Kontoor Brands Inc</t>
  </si>
  <si>
    <t>LEVI US Equity</t>
  </si>
  <si>
    <t>LEVI</t>
  </si>
  <si>
    <t>Levi Strauss &amp; Co</t>
  </si>
  <si>
    <t>LULU US Equity</t>
  </si>
  <si>
    <t>LULU</t>
  </si>
  <si>
    <t>Lululemon Athletica Inc</t>
  </si>
  <si>
    <t>NKE US Equity</t>
  </si>
  <si>
    <t>NKE</t>
  </si>
  <si>
    <t>NIKE Inc</t>
  </si>
  <si>
    <t>ONON US Equity</t>
  </si>
  <si>
    <t>ONON</t>
  </si>
  <si>
    <t>On Holding AG</t>
  </si>
  <si>
    <t>OXM US Equity</t>
  </si>
  <si>
    <t>OXM</t>
  </si>
  <si>
    <t>Oxford Industries Inc</t>
  </si>
  <si>
    <t>PVH US Equity</t>
  </si>
  <si>
    <t>PVH</t>
  </si>
  <si>
    <t>PVH Corp</t>
  </si>
  <si>
    <t>RACE US Equity</t>
  </si>
  <si>
    <t>RACE</t>
  </si>
  <si>
    <t>FERRARI NV</t>
  </si>
  <si>
    <t>RCKY US Equity</t>
  </si>
  <si>
    <t>RCKY</t>
  </si>
  <si>
    <t>Rocky Brands Inc</t>
  </si>
  <si>
    <t>REAL US Equity</t>
  </si>
  <si>
    <t>REAL</t>
  </si>
  <si>
    <t>RealReal Inc/The</t>
  </si>
  <si>
    <t>RH US Equity</t>
  </si>
  <si>
    <t>RH</t>
  </si>
  <si>
    <t>RVLV US Equity</t>
  </si>
  <si>
    <t>RVLV</t>
  </si>
  <si>
    <t>Revolve Group Inc</t>
  </si>
  <si>
    <t>SFIX US Equity</t>
  </si>
  <si>
    <t>SFIX</t>
  </si>
  <si>
    <t>Stitch Fix Inc</t>
  </si>
  <si>
    <t>SHOO US Equity</t>
  </si>
  <si>
    <t>SHOO</t>
  </si>
  <si>
    <t>Steven Madden Ltd</t>
  </si>
  <si>
    <t>TDUP US Equity</t>
  </si>
  <si>
    <t>TDUP</t>
  </si>
  <si>
    <t>ThredUp Inc</t>
  </si>
  <si>
    <t>UAA US Equity</t>
  </si>
  <si>
    <t>UAA</t>
  </si>
  <si>
    <t>Under Armour Inc</t>
  </si>
  <si>
    <t>URBN US Equity</t>
  </si>
  <si>
    <t>URBN</t>
  </si>
  <si>
    <t>Urban Outfitters Inc</t>
  </si>
  <si>
    <t>VFC US Equity</t>
  </si>
  <si>
    <t>VFC</t>
  </si>
  <si>
    <t>VF Corp</t>
  </si>
  <si>
    <t>VSXY US Equity</t>
  </si>
  <si>
    <t>VSXY</t>
  </si>
  <si>
    <t>Victoria's Secret &amp; Co</t>
  </si>
  <si>
    <t>WRBY US Equity</t>
  </si>
  <si>
    <t>WRBY</t>
  </si>
  <si>
    <t>Warby Parker Inc</t>
  </si>
  <si>
    <t>WWW US Equity</t>
  </si>
  <si>
    <t>WWW</t>
  </si>
  <si>
    <t>Wolverine World Wide Inc</t>
  </si>
  <si>
    <t>YETI US Equity</t>
  </si>
  <si>
    <t>YETI</t>
  </si>
  <si>
    <t>YETI Holdings Inc</t>
  </si>
  <si>
    <t>ZGN US Equity</t>
  </si>
  <si>
    <t>ZGN</t>
  </si>
  <si>
    <t>Ermenegildo Zegna NV</t>
  </si>
  <si>
    <t>ZUMZ US Equity</t>
  </si>
  <si>
    <t>ZUMZ</t>
  </si>
  <si>
    <t>Zumiez Inc</t>
  </si>
  <si>
    <t>TAJX</t>
  </si>
  <si>
    <t>46429B598 Equity</t>
  </si>
  <si>
    <t>46429B598-TRS-07/05/27-L-MREX</t>
  </si>
  <si>
    <t>ISHARES MSCI INDIA ETF-SWAP-MREX-L</t>
  </si>
  <si>
    <t>1321498.01</t>
  </si>
  <si>
    <t>Total return of ISHARES MSCI INDIA ETF</t>
  </si>
  <si>
    <t>46429B598</t>
  </si>
  <si>
    <t>TPLX</t>
  </si>
  <si>
    <t>88262P102 Equity</t>
  </si>
  <si>
    <t>88262P102-TRS-12/01/27-L-CANT</t>
  </si>
  <si>
    <t>TEXAS PACIFIC LAND CORPORATION-SWAP-CANT-L</t>
  </si>
  <si>
    <t>514614.28</t>
  </si>
  <si>
    <t>197.52</t>
  </si>
  <si>
    <t>Total return of TEXAS PACIFIC LAND CORPORATION</t>
  </si>
  <si>
    <t>88262P102</t>
  </si>
  <si>
    <t>UMCX</t>
  </si>
  <si>
    <t>910873405 Equity</t>
  </si>
  <si>
    <t>910873405-TRS-12/01/27-L-CANT</t>
  </si>
  <si>
    <t>UNITED MICROELECTRONICS CORPORATION-SWAP-CANT-L</t>
  </si>
  <si>
    <t>562216.72</t>
  </si>
  <si>
    <t>197.70</t>
  </si>
  <si>
    <t>Total return of UNITED MICROELECTRONICS CORPORATION</t>
  </si>
  <si>
    <t>910873405</t>
  </si>
  <si>
    <t>USX</t>
  </si>
  <si>
    <t>922908769 Equity</t>
  </si>
  <si>
    <t>922908769-TRS-07/07/27-L-CLST</t>
  </si>
  <si>
    <t>VANGUARD TOTAL STOCK MARKET INDEX FUND ETF SHARES-SWAP-CLST-L</t>
  </si>
  <si>
    <t>936035.10</t>
  </si>
  <si>
    <t>Total return of VANGUARD TOTAL STOCK MARKET INDEX FUND ETF SHARES</t>
  </si>
  <si>
    <t>922908769</t>
  </si>
  <si>
    <t>VBX</t>
  </si>
  <si>
    <t>922908751 Equity</t>
  </si>
  <si>
    <t>922908751-TRS-07/05/27-L-MREX</t>
  </si>
  <si>
    <t>VANGUARD SMALL-CAP INDEX FUND ETF SHARES-SWAP-MREX-L</t>
  </si>
  <si>
    <t>1750684.70</t>
  </si>
  <si>
    <t>199.51</t>
  </si>
  <si>
    <t>Total return of VANGUARD SMALL-CAP INDEX FUND ETF SHARES</t>
  </si>
  <si>
    <t>922908751</t>
  </si>
  <si>
    <t>VOOX</t>
  </si>
  <si>
    <t>922908363 Equity</t>
  </si>
  <si>
    <t>922908363-TRS-07/07/27-L-CLST</t>
  </si>
  <si>
    <t>VANGUARD S&amp;P 500 ETF-SWAP-CLST-L</t>
  </si>
  <si>
    <t>1392597.09</t>
  </si>
  <si>
    <t>Total return of VANGUARD S&amp;P 500 ETF</t>
  </si>
  <si>
    <t>922908363</t>
  </si>
  <si>
    <t>WATS</t>
  </si>
  <si>
    <t>ABAT US Equity</t>
  </si>
  <si>
    <t>ABAT</t>
  </si>
  <si>
    <t>American Battery Technology Co</t>
  </si>
  <si>
    <t>AES US Equity</t>
  </si>
  <si>
    <t>AES</t>
  </si>
  <si>
    <t>AES Corp/The</t>
  </si>
  <si>
    <t>ALB US Equity</t>
  </si>
  <si>
    <t>ALB</t>
  </si>
  <si>
    <t>Albemarle Corp</t>
  </si>
  <si>
    <t>ENPH US Equity</t>
  </si>
  <si>
    <t>ENPH</t>
  </si>
  <si>
    <t>Enphase Energy Inc</t>
  </si>
  <si>
    <t>ENS US Equity</t>
  </si>
  <si>
    <t>ENS</t>
  </si>
  <si>
    <t>EnerSys</t>
  </si>
  <si>
    <t>ENVX US Equity</t>
  </si>
  <si>
    <t>ENVX</t>
  </si>
  <si>
    <t>Enovix Corp</t>
  </si>
  <si>
    <t>EOSE US Equity</t>
  </si>
  <si>
    <t>EOSE</t>
  </si>
  <si>
    <t>Eos Energy Enterprises Inc</t>
  </si>
  <si>
    <t>FLNC US Equity</t>
  </si>
  <si>
    <t>FLNC</t>
  </si>
  <si>
    <t>Fluence Energy Inc</t>
  </si>
  <si>
    <t>MVST US Equity</t>
  </si>
  <si>
    <t>MVST</t>
  </si>
  <si>
    <t>Microvast Holdings Inc</t>
  </si>
  <si>
    <t>NRGV US Equity</t>
  </si>
  <si>
    <t>NRGV</t>
  </si>
  <si>
    <t>Energy Vault Holdings Inc</t>
  </si>
  <si>
    <t>RUN US Equity</t>
  </si>
  <si>
    <t>RUN</t>
  </si>
  <si>
    <t>Sunrun Inc</t>
  </si>
  <si>
    <t>SEDG US Equity</t>
  </si>
  <si>
    <t>SEDG</t>
  </si>
  <si>
    <t>SolarEdge Technologies Inc</t>
  </si>
  <si>
    <t>SES US Equity</t>
  </si>
  <si>
    <t>SES</t>
  </si>
  <si>
    <t>SES AI Corp</t>
  </si>
  <si>
    <t>SLDP US Equity</t>
  </si>
  <si>
    <t>SLDP</t>
  </si>
  <si>
    <t>Solid Power Inc</t>
  </si>
  <si>
    <t>SQM US Equity</t>
  </si>
  <si>
    <t>SQM</t>
  </si>
  <si>
    <t>Sociedad Quimica y Minera de C</t>
  </si>
  <si>
    <t>Sociedad Quimica y Minera de Chile SA</t>
  </si>
  <si>
    <t>STEM US Equity</t>
  </si>
  <si>
    <t>STEM</t>
  </si>
  <si>
    <t>Stem Inc</t>
  </si>
  <si>
    <t>TE US Equity</t>
  </si>
  <si>
    <t>TE</t>
  </si>
  <si>
    <t>T1 Energy Inc</t>
  </si>
  <si>
    <t>WEBX</t>
  </si>
  <si>
    <t>500767306 Equity</t>
  </si>
  <si>
    <t>500767306-TRS-12/01/27-L-CANT</t>
  </si>
  <si>
    <t>KRANESHARES CSI CHINA INTERNET ETF-SWAP-CANT-L</t>
  </si>
  <si>
    <t>907677.90</t>
  </si>
  <si>
    <t>199.73</t>
  </si>
  <si>
    <t>Total return of KRANESHARES CSI CHINA INTERNET ETF</t>
  </si>
  <si>
    <t>500767306</t>
  </si>
  <si>
    <t>WNDR</t>
  </si>
  <si>
    <t>BKNG US Equity</t>
  </si>
  <si>
    <t>BKNG</t>
  </si>
  <si>
    <t>Booking Holdings Inc</t>
  </si>
  <si>
    <t>CAR US Equity</t>
  </si>
  <si>
    <t>CAR</t>
  </si>
  <si>
    <t>Avis Budget Group Inc</t>
  </si>
  <si>
    <t>CHH US Equity</t>
  </si>
  <si>
    <t>CHH</t>
  </si>
  <si>
    <t>Choice Hotels International In</t>
  </si>
  <si>
    <t>Choice Hotels International Inc</t>
  </si>
  <si>
    <t>DRH US Equity</t>
  </si>
  <si>
    <t>DRH</t>
  </si>
  <si>
    <t>DiamondRock Hospitality Co</t>
  </si>
  <si>
    <t>FUN US Equity</t>
  </si>
  <si>
    <t>FUN</t>
  </si>
  <si>
    <t>Six Flags Entertainment Corp</t>
  </si>
  <si>
    <t>GBTG US Equity</t>
  </si>
  <si>
    <t>GBTG</t>
  </si>
  <si>
    <t>Global Business Travel Group I</t>
  </si>
  <si>
    <t>H US Equity</t>
  </si>
  <si>
    <t>H</t>
  </si>
  <si>
    <t>Hyatt Hotels Corp</t>
  </si>
  <si>
    <t>HGV US Equity</t>
  </si>
  <si>
    <t>HGV</t>
  </si>
  <si>
    <t>Hilton Grand Vacations Inc</t>
  </si>
  <si>
    <t>HST US Equity</t>
  </si>
  <si>
    <t>HST</t>
  </si>
  <si>
    <t>Host Hotels &amp; Resorts Inc</t>
  </si>
  <si>
    <t>HTHT US Equity</t>
  </si>
  <si>
    <t>HTHT</t>
  </si>
  <si>
    <t>H World Group Ltd</t>
  </si>
  <si>
    <t>HTZ US Equity</t>
  </si>
  <si>
    <t>HTZ</t>
  </si>
  <si>
    <t>Hertz Global Holdings Inc</t>
  </si>
  <si>
    <t>IHG US Equity</t>
  </si>
  <si>
    <t>IHG</t>
  </si>
  <si>
    <t xml:space="preserve">InterContinental Hotels Group </t>
  </si>
  <si>
    <t>InterContinental Hotels Group PLC</t>
  </si>
  <si>
    <t>LIND US Equity</t>
  </si>
  <si>
    <t>LIND</t>
  </si>
  <si>
    <t xml:space="preserve">Lindblad Expeditions Holdings </t>
  </si>
  <si>
    <t>Lindblad Expeditions Holdings Inc</t>
  </si>
  <si>
    <t>LYFT US Equity</t>
  </si>
  <si>
    <t>LYFT</t>
  </si>
  <si>
    <t>Lyft Inc</t>
  </si>
  <si>
    <t>MMYT US Equity</t>
  </si>
  <si>
    <t>MMYT</t>
  </si>
  <si>
    <t>MakeMyTrip Ltd</t>
  </si>
  <si>
    <t>MTN US Equity</t>
  </si>
  <si>
    <t>MTN</t>
  </si>
  <si>
    <t>Vail Resorts Inc</t>
  </si>
  <si>
    <t>NAVN US Equity</t>
  </si>
  <si>
    <t>NAVN</t>
  </si>
  <si>
    <t>Navan Inc</t>
  </si>
  <si>
    <t>NCLH US Equity</t>
  </si>
  <si>
    <t>NCLH</t>
  </si>
  <si>
    <t>Norwegian Cruise Line Holdings</t>
  </si>
  <si>
    <t>Norwegian Cruise Line Holdings Ltd</t>
  </si>
  <si>
    <t>PEB US Equity</t>
  </si>
  <si>
    <t>PEB</t>
  </si>
  <si>
    <t>Pebblebrook Hotel Trust</t>
  </si>
  <si>
    <t>PK US Equity</t>
  </si>
  <si>
    <t>PK</t>
  </si>
  <si>
    <t>Park Hotels &amp; Resorts Inc</t>
  </si>
  <si>
    <t>PRKS US Equity</t>
  </si>
  <si>
    <t>PRKS</t>
  </si>
  <si>
    <t>United Parks &amp; Resorts Inc</t>
  </si>
  <si>
    <t>RHP US Equity</t>
  </si>
  <si>
    <t>RHP</t>
  </si>
  <si>
    <t>Ryman Hospitality Properties I</t>
  </si>
  <si>
    <t>Ryman Hospitality Properties Inc</t>
  </si>
  <si>
    <t>RLJ US Equity</t>
  </si>
  <si>
    <t>RLJ</t>
  </si>
  <si>
    <t>RLJ Lodging Trust</t>
  </si>
  <si>
    <t>TCOM US Equity</t>
  </si>
  <si>
    <t>TCOM</t>
  </si>
  <si>
    <t>TRIP.COM GROUP</t>
  </si>
  <si>
    <t>TNL US Equity</t>
  </si>
  <si>
    <t>TNL</t>
  </si>
  <si>
    <t>Travel + Leisure Co</t>
  </si>
  <si>
    <t>TRIP US Equity</t>
  </si>
  <si>
    <t>TRIP</t>
  </si>
  <si>
    <t>TripAdvisor Inc</t>
  </si>
  <si>
    <t>VAC US Equity</t>
  </si>
  <si>
    <t>VAC</t>
  </si>
  <si>
    <t>Marriott Vacations Worldwide C</t>
  </si>
  <si>
    <t>Marriott Vacations Worldwide Corp</t>
  </si>
  <si>
    <t>VIK US Equity</t>
  </si>
  <si>
    <t>VIK</t>
  </si>
  <si>
    <t>Viking Holdings Ltd</t>
  </si>
  <si>
    <t>VLRS US Equity</t>
  </si>
  <si>
    <t>VLRS</t>
  </si>
  <si>
    <t>Controladora Vuela Cia de Avia</t>
  </si>
  <si>
    <t>Controladora Vuela Cia de Aviacion SAB de CV</t>
  </si>
  <si>
    <t>WH US Equity</t>
  </si>
  <si>
    <t>WH</t>
  </si>
  <si>
    <t>Wyndham Hotels &amp; Resorts Inc</t>
  </si>
  <si>
    <t>WR</t>
  </si>
  <si>
    <t>AMTM US Equity</t>
  </si>
  <si>
    <t>AMTM</t>
  </si>
  <si>
    <t>Amentum Holdings Inc</t>
  </si>
  <si>
    <t>CDRE US Equity</t>
  </si>
  <si>
    <t>CDRE</t>
  </si>
  <si>
    <t>Cadre Holdings Inc</t>
  </si>
  <si>
    <t>COP US Equity</t>
  </si>
  <si>
    <t>COP</t>
  </si>
  <si>
    <t>ConocoPhillips</t>
  </si>
  <si>
    <t>DRS US Equity</t>
  </si>
  <si>
    <t>DRS</t>
  </si>
  <si>
    <t>Leonardo DRS Inc</t>
  </si>
  <si>
    <t>DVN US Equity</t>
  </si>
  <si>
    <t>DVN</t>
  </si>
  <si>
    <t>Devon Energy Corp</t>
  </si>
  <si>
    <t>EOG US Equity</t>
  </si>
  <si>
    <t>EOG</t>
  </si>
  <si>
    <t>EOG Resources Inc</t>
  </si>
  <si>
    <t>EQT US Equity</t>
  </si>
  <si>
    <t>EQT</t>
  </si>
  <si>
    <t>EQT Corp</t>
  </si>
  <si>
    <t>FANG US Equity</t>
  </si>
  <si>
    <t>FANG</t>
  </si>
  <si>
    <t>Diamondback Energy Inc</t>
  </si>
  <si>
    <t>HAL US Equity</t>
  </si>
  <si>
    <t>HAL</t>
  </si>
  <si>
    <t>Halliburton Co</t>
  </si>
  <si>
    <t>HII US Equity</t>
  </si>
  <si>
    <t>HII</t>
  </si>
  <si>
    <t xml:space="preserve">Huntington Ingalls Industries </t>
  </si>
  <si>
    <t>Huntington Ingalls Industries Inc</t>
  </si>
  <si>
    <t>HP US Equity</t>
  </si>
  <si>
    <t>HP</t>
  </si>
  <si>
    <t>Helmerich &amp; Payne Inc</t>
  </si>
  <si>
    <t>KRMN US Equity</t>
  </si>
  <si>
    <t>KRMN</t>
  </si>
  <si>
    <t>Karman Holdings Inc</t>
  </si>
  <si>
    <t>LBRT US Equity</t>
  </si>
  <si>
    <t>LBRT</t>
  </si>
  <si>
    <t>Liberty Energy Inc</t>
  </si>
  <si>
    <t>MPC US Equity</t>
  </si>
  <si>
    <t>MPC</t>
  </si>
  <si>
    <t>Marathon Petroleum Corp</t>
  </si>
  <si>
    <t>MTDR US Equity</t>
  </si>
  <si>
    <t>MTDR</t>
  </si>
  <si>
    <t>Matador Resources Co</t>
  </si>
  <si>
    <t>NPK US Equity</t>
  </si>
  <si>
    <t>NPK</t>
  </si>
  <si>
    <t>National Presto Industries Inc</t>
  </si>
  <si>
    <t>OLN US Equity</t>
  </si>
  <si>
    <t>OLN</t>
  </si>
  <si>
    <t>Olin Corp</t>
  </si>
  <si>
    <t>OXY US Equity</t>
  </si>
  <si>
    <t>OXY</t>
  </si>
  <si>
    <t>Occidental Petroleum Corp</t>
  </si>
  <si>
    <t>PR US Equity</t>
  </si>
  <si>
    <t>PR</t>
  </si>
  <si>
    <t>Permian Resources Corp</t>
  </si>
  <si>
    <t>PSX US Equity</t>
  </si>
  <si>
    <t>PSX</t>
  </si>
  <si>
    <t>Phillips 66</t>
  </si>
  <si>
    <t>PTEN US Equity</t>
  </si>
  <si>
    <t>PTEN</t>
  </si>
  <si>
    <t>Patterson-UTI Energy Inc</t>
  </si>
  <si>
    <t>SAIC US Equity</t>
  </si>
  <si>
    <t>SAIC</t>
  </si>
  <si>
    <t>Science Applications International Corp</t>
  </si>
  <si>
    <t>SLB US Equity</t>
  </si>
  <si>
    <t>SLB</t>
  </si>
  <si>
    <t>SLB Ltd</t>
  </si>
  <si>
    <t>SWBI US Equity</t>
  </si>
  <si>
    <t>SWBI</t>
  </si>
  <si>
    <t>Smith &amp; Wesson Brands Inc</t>
  </si>
  <si>
    <t>TRGP US Equity</t>
  </si>
  <si>
    <t>TRGP</t>
  </si>
  <si>
    <t>Targa Resources Corp</t>
  </si>
  <si>
    <t>VG US Equity</t>
  </si>
  <si>
    <t>VG</t>
  </si>
  <si>
    <t>Venture Global Inc</t>
  </si>
  <si>
    <t>VLO US Equity</t>
  </si>
  <si>
    <t>VLO</t>
  </si>
  <si>
    <t>Valero Energy Corp</t>
  </si>
  <si>
    <t>VVX US Equity</t>
  </si>
  <si>
    <t>VVX</t>
  </si>
  <si>
    <t>V2X Inc</t>
  </si>
  <si>
    <t>WFRD US Equity</t>
  </si>
  <si>
    <t>WFRD</t>
  </si>
  <si>
    <t>Weatherford International PLC</t>
  </si>
  <si>
    <t>WMB US Equity</t>
  </si>
  <si>
    <t>WMB</t>
  </si>
  <si>
    <t>Williams Cos Inc/The</t>
  </si>
  <si>
    <t>XOM US Equity</t>
  </si>
  <si>
    <t>XOM</t>
  </si>
  <si>
    <t>Exxon Mobil Corp</t>
  </si>
  <si>
    <t>WX</t>
  </si>
  <si>
    <t>922042742 Equity</t>
  </si>
  <si>
    <t>922042742-TRS-07/07/27-L-CLST</t>
  </si>
  <si>
    <t>VANGUARD TOTAL WORLD STOCK INDEX FUND ETF SHARES-SWAP-CLST-L</t>
  </si>
  <si>
    <t>701111.70</t>
  </si>
  <si>
    <t>199.71</t>
  </si>
  <si>
    <t>Total return of VANGUARD TOTAL WORLD STOCK INDEX FUND ETF SHARES</t>
  </si>
  <si>
    <t>922042742</t>
  </si>
  <si>
    <t>XA</t>
  </si>
  <si>
    <t>AKAM US Equity</t>
  </si>
  <si>
    <t>AKAM</t>
  </si>
  <si>
    <t>Akamai Technologies Inc</t>
  </si>
  <si>
    <t>ATEN US Equity</t>
  </si>
  <si>
    <t>ATEN</t>
  </si>
  <si>
    <t>A10 Networks Inc</t>
  </si>
  <si>
    <t>CHKP US Equity</t>
  </si>
  <si>
    <t>CHKP</t>
  </si>
  <si>
    <t>Check Point Software Technolog</t>
  </si>
  <si>
    <t>Check Point Software Technologies Ltd</t>
  </si>
  <si>
    <t>FFIV US Equity</t>
  </si>
  <si>
    <t>FFIV</t>
  </si>
  <si>
    <t>F5 Inc</t>
  </si>
  <si>
    <t>GEN US Equity</t>
  </si>
  <si>
    <t>GEN</t>
  </si>
  <si>
    <t>GEN DIGITAL INC</t>
  </si>
  <si>
    <t>NTSK US Equity</t>
  </si>
  <si>
    <t>NTSK</t>
  </si>
  <si>
    <t>Netskope Inc</t>
  </si>
  <si>
    <t>QLYS US Equity</t>
  </si>
  <si>
    <t>QLYS</t>
  </si>
  <si>
    <t>Qualys Inc</t>
  </si>
  <si>
    <t>RBRK US Equity</t>
  </si>
  <si>
    <t>RBRK</t>
  </si>
  <si>
    <t>Rubrik Inc</t>
  </si>
  <si>
    <t>RDWR US Equity</t>
  </si>
  <si>
    <t>RDWR</t>
  </si>
  <si>
    <t>Radware Ltd</t>
  </si>
  <si>
    <t>RPD US Equity</t>
  </si>
  <si>
    <t>RPD</t>
  </si>
  <si>
    <t>Rapid7 Inc</t>
  </si>
  <si>
    <t>TENB US Equity</t>
  </si>
  <si>
    <t>TENB</t>
  </si>
  <si>
    <t>Tenable Holdings Inc</t>
  </si>
  <si>
    <t>TLS US Equity</t>
  </si>
  <si>
    <t>TLS</t>
  </si>
  <si>
    <t>Telos Corp</t>
  </si>
  <si>
    <t>XAGI</t>
  </si>
  <si>
    <t>500767363 Equity</t>
  </si>
  <si>
    <t>500767363-TRS-07/05/27-L-MREX</t>
  </si>
  <si>
    <t>KRANESHARES ARTIFICIAL INTELLIGENCE AND TECHNOLOGY PUBLIC AND PRIVATE ETF-SWAP-MREX-L</t>
  </si>
  <si>
    <t>810765.13</t>
  </si>
  <si>
    <t>199.17</t>
  </si>
  <si>
    <t>Total return of KRANESHARES ARTIFICIAL INTELLIGENCE AND TECHNOLOGY PUBLIC AND PRIVATE ETF</t>
  </si>
  <si>
    <t>500767363</t>
  </si>
  <si>
    <t>XBIX</t>
  </si>
  <si>
    <t>78464A870 Equity</t>
  </si>
  <si>
    <t>78464A870-TRS-12/01/27-L-CANT</t>
  </si>
  <si>
    <t>STATE STREET SPDR S&amp;P BIOTECH ETF-SWAP-CANT-L</t>
  </si>
  <si>
    <t>1016081.77</t>
  </si>
  <si>
    <t>199.76</t>
  </si>
  <si>
    <t>Total return of STATE STREET SPDR S&amp;P BIOTECH ETF</t>
  </si>
  <si>
    <t>78464A870</t>
  </si>
  <si>
    <t>XCOM</t>
  </si>
  <si>
    <t>46090F100 Equity</t>
  </si>
  <si>
    <t>46090F100-TRS-07/05/27-L-MREX</t>
  </si>
  <si>
    <t>INVESCO OPTIMUM YIELD DIVERSIFIED COMMODITY STRATEGY NO K-1 ETF-SWAP-MREX-L</t>
  </si>
  <si>
    <t>761905.74</t>
  </si>
  <si>
    <t>200.19</t>
  </si>
  <si>
    <t>Total return of INVESCO OPTIMUM YIELD DIVERSIFIED COMMODITY STRATEGY NO K-1 ETF</t>
  </si>
  <si>
    <t>46090F100</t>
  </si>
  <si>
    <t>XEUR</t>
  </si>
  <si>
    <t>922042874 Equity</t>
  </si>
  <si>
    <t>922042874-TRS-07/05/27-L-MREX</t>
  </si>
  <si>
    <t>VANGUARD FTSE EUROPE ETF-SWAP-MREX-L</t>
  </si>
  <si>
    <t>971753.20</t>
  </si>
  <si>
    <t>199.83</t>
  </si>
  <si>
    <t>Total return of VANGUARD FTSE EUROPE ETF</t>
  </si>
  <si>
    <t>922042874</t>
  </si>
  <si>
    <t>XHOA</t>
  </si>
  <si>
    <t>81369Y860 Equity</t>
  </si>
  <si>
    <t>81369Y860-TRS-07/05/27-L-MREX</t>
  </si>
  <si>
    <t>STATE STREET REAL ESTATE SELECT SECTOR SPDR ETF-SWAP-MREX-L</t>
  </si>
  <si>
    <t>527888.60</t>
  </si>
  <si>
    <t>200.06</t>
  </si>
  <si>
    <t>Total return of STATE STREET REAL ESTATE SELECT SECTOR SPDR ETF</t>
  </si>
  <si>
    <t>81369Y860</t>
  </si>
  <si>
    <t>XIWC</t>
  </si>
  <si>
    <t>464288869 Equity</t>
  </si>
  <si>
    <t>464288869-TRS-07/05/27-L-MREX</t>
  </si>
  <si>
    <t>ISHARES MICRO-CAP ETF-SWAP-MREX-L</t>
  </si>
  <si>
    <t>746003.94</t>
  </si>
  <si>
    <t>199.09</t>
  </si>
  <si>
    <t>Total return of ISHARES MICRO-CAP ETF</t>
  </si>
  <si>
    <t>464288869</t>
  </si>
  <si>
    <t>XKRE</t>
  </si>
  <si>
    <t>78464A698 Equity</t>
  </si>
  <si>
    <t>78464A698-TRS-12/01/27-L-CANT</t>
  </si>
  <si>
    <t>STATE STREET SPDR S&amp;P REGIONAL BANKING ETF-SWAP-CANT-L</t>
  </si>
  <si>
    <t>850359.12</t>
  </si>
  <si>
    <t>200.08</t>
  </si>
  <si>
    <t>Total return of STATE STREET SPDR S&amp;P REGIONAL BANKING ETF</t>
  </si>
  <si>
    <t>78464A698</t>
  </si>
  <si>
    <t>XLBX</t>
  </si>
  <si>
    <t>81369Y100 Equity</t>
  </si>
  <si>
    <t>81369Y100-TRS-12/01/27-L-CANT</t>
  </si>
  <si>
    <t>STATE STREET MATERIALS SELECT SECTOR SPDR ETF-SWAP-CANT-L</t>
  </si>
  <si>
    <t>1722250.24</t>
  </si>
  <si>
    <t>Total return of STATE STREET MATERIALS SELECT SECTOR SPDR ETF</t>
  </si>
  <si>
    <t>81369Y100</t>
  </si>
  <si>
    <t>XLEX</t>
  </si>
  <si>
    <t>81369Y506 Equity</t>
  </si>
  <si>
    <t>81369Y506-TRS-12/01/27-L-CANT</t>
  </si>
  <si>
    <t>STATE STREET ENERGY SELECT SECTOR SPDR ETF-SWAP-CANT-L</t>
  </si>
  <si>
    <t>642411.44</t>
  </si>
  <si>
    <t>199.92</t>
  </si>
  <si>
    <t>Total return of STATE STREET ENERGY SELECT SECTOR SPDR ETF</t>
  </si>
  <si>
    <t>81369Y506</t>
  </si>
  <si>
    <t>XLFX</t>
  </si>
  <si>
    <t>81369Y605 Equity</t>
  </si>
  <si>
    <t>81369Y605-TRS-12/01/27-L-CANT</t>
  </si>
  <si>
    <t>STATE STREET FINANCIAL SELECT SECTOR SPDR ETF-SWAP-CANT-L</t>
  </si>
  <si>
    <t>1360620.16</t>
  </si>
  <si>
    <t>199.99</t>
  </si>
  <si>
    <t>Total return of STATE STREET FINANCIAL SELECT SECTOR SPDR ETF</t>
  </si>
  <si>
    <t>81369Y605</t>
  </si>
  <si>
    <t>XLIX</t>
  </si>
  <si>
    <t>81369Y704 Equity</t>
  </si>
  <si>
    <t>81369Y704-TRS-12/01/27-L-CANT</t>
  </si>
  <si>
    <t>STATE STREET INDUSTRIAL SELECT SECTOR SPDR ETF-SWAP-CANT-L</t>
  </si>
  <si>
    <t>797969.88</t>
  </si>
  <si>
    <t>Total return of STATE STREET INDUSTRIAL SELECT SECTOR SPDR ETF</t>
  </si>
  <si>
    <t>81369Y704</t>
  </si>
  <si>
    <t>XLKX</t>
  </si>
  <si>
    <t>81369Y803 Equity</t>
  </si>
  <si>
    <t>81369Y803-TRS-07/07/27-L-CLST</t>
  </si>
  <si>
    <t>STATE STREET TECHNOLOGY SELECT SECTOR SPDR ETF-SWAP-CLST-L</t>
  </si>
  <si>
    <t>1255906.05</t>
  </si>
  <si>
    <t>199.63</t>
  </si>
  <si>
    <t>Total return of STATE STREET TECHNOLOGY SELECT SECTOR SPDR ETF</t>
  </si>
  <si>
    <t>81369Y803</t>
  </si>
  <si>
    <t>XLPX</t>
  </si>
  <si>
    <t>81369Y308 Equity</t>
  </si>
  <si>
    <t>81369Y308-TRS-07/07/27-L-CLST</t>
  </si>
  <si>
    <t>STATE STREET CONSUMER STAPLES SELECT SECTOR SPDR ETF-SWAP-CLST-L</t>
  </si>
  <si>
    <t>1338796.20</t>
  </si>
  <si>
    <t>199.89</t>
  </si>
  <si>
    <t>Total return of STATE STREET CONSUMER STAPLES SELECT SECTOR SPDR ETF</t>
  </si>
  <si>
    <t>81369Y308</t>
  </si>
  <si>
    <t>XLUX</t>
  </si>
  <si>
    <t>81369Y886 Equity</t>
  </si>
  <si>
    <t>81369Y886-TRS-07/07/27-L-CLST</t>
  </si>
  <si>
    <t>STATE STREET UTILITIES SELECT SECTOR SPDR ETF-SWAP-CLST-L</t>
  </si>
  <si>
    <t>1081666.08</t>
  </si>
  <si>
    <t>199.86</t>
  </si>
  <si>
    <t>Total return of STATE STREET UTILITIES SELECT SECTOR SPDR ETF</t>
  </si>
  <si>
    <t>81369Y886</t>
  </si>
  <si>
    <t>XLVX</t>
  </si>
  <si>
    <t>81369Y209 Equity</t>
  </si>
  <si>
    <t>81369Y209-TRS-07/07/27-L-CLST</t>
  </si>
  <si>
    <t>STATE STREET HEALTH CARE SELECT SECTOR SPDR ETF-SWAP-CLST-L</t>
  </si>
  <si>
    <t>1097065.90</t>
  </si>
  <si>
    <t>199.77</t>
  </si>
  <si>
    <t>Total return of STATE STREET HEALTH CARE SELECT SECTOR SPDR ETF</t>
  </si>
  <si>
    <t>81369Y209</t>
  </si>
  <si>
    <t>XLYX</t>
  </si>
  <si>
    <t>81369Y407 Equity</t>
  </si>
  <si>
    <t>81369Y407-TRS-07/07/27-L-CLST</t>
  </si>
  <si>
    <t>STATE STREET CONSUMER DISCRETIONARY SELECT SECTOR SPDR ETF-SWAP-CLST-L</t>
  </si>
  <si>
    <t>714124.42</t>
  </si>
  <si>
    <t>Total return of STATE STREET CONSUMER DISCRETIONARY SELECT SECTOR SPDR ETF</t>
  </si>
  <si>
    <t>81369Y407</t>
  </si>
  <si>
    <t>XPAV</t>
  </si>
  <si>
    <t>37954Y673 Equity</t>
  </si>
  <si>
    <t>37954Y673-TRS-07/07/27-L-CLST</t>
  </si>
  <si>
    <t>GLOBAL X U.S. INFRASTRUCTURE DEVELOPMENT ETF-SWAP-CLST-L</t>
  </si>
  <si>
    <t>521426.07</t>
  </si>
  <si>
    <t>Total return of GLOBAL X U.S. INFRASTRUCTURE DEVELOPMENT ETF</t>
  </si>
  <si>
    <t>37954Y673</t>
  </si>
  <si>
    <t>XSEM</t>
  </si>
  <si>
    <t>92189F676 Equity</t>
  </si>
  <si>
    <t>92189F676-TRS-07/07/27-L-CLST</t>
  </si>
  <si>
    <t>VANECK SEMICONDUCTOR ETF-SWAP-CLST-L</t>
  </si>
  <si>
    <t>1151810.12</t>
  </si>
  <si>
    <t>199.48</t>
  </si>
  <si>
    <t>Total return of VANECK SEMICONDUCTOR ETF</t>
  </si>
  <si>
    <t>92189F676</t>
  </si>
  <si>
    <t>XTAI</t>
  </si>
  <si>
    <t>46434G772 Equity</t>
  </si>
  <si>
    <t>46434G772-TRS-07/05/27-L-MREX</t>
  </si>
  <si>
    <t>ISHARES MSCI TAIWAN ETF-SWAP-MREX-L</t>
  </si>
  <si>
    <t>1160297.60</t>
  </si>
  <si>
    <t>Total return of ISHARES MSCI TAIWAN ETF</t>
  </si>
  <si>
    <t>46434G772</t>
  </si>
  <si>
    <t>XVO</t>
  </si>
  <si>
    <t>922908629 Equity</t>
  </si>
  <si>
    <t>922908629-TRS-07/07/27-L-CLST</t>
  </si>
  <si>
    <t>VANGUARD MID-CAP INDEX FUND ETF SHARES-SWAP-CLST-L</t>
  </si>
  <si>
    <t>996772.92</t>
  </si>
  <si>
    <t>199.78</t>
  </si>
  <si>
    <t>Total return of VANGUARD MID-CAP INDEX FUND ETF SHARES</t>
  </si>
  <si>
    <t>922908629</t>
  </si>
  <si>
    <t>XVUG</t>
  </si>
  <si>
    <t>922908736 Equity</t>
  </si>
  <si>
    <t>922908736-TRS-07/07/27-L-CLST</t>
  </si>
  <si>
    <t>VANGUARD GROWTH INDEX FUND ETF SHARES-SWAP-CLST-L</t>
  </si>
  <si>
    <t>642556.95</t>
  </si>
  <si>
    <t>199.61</t>
  </si>
  <si>
    <t>Total return of VANGUARD GROWTH INDEX FUND ETF SHARES</t>
  </si>
  <si>
    <t>922908736</t>
  </si>
  <si>
    <t>XW</t>
  </si>
  <si>
    <t>921909768 Equity</t>
  </si>
  <si>
    <t>921909768-TRS-07/05/27-L-MREX</t>
  </si>
  <si>
    <t>VANGUARD TOTAL INTERNATIONAL STOCK INDEX FUND ETF SHARES-SWAP-MREX-L</t>
  </si>
  <si>
    <t>468508.70</t>
  </si>
  <si>
    <t>Total return of VANGUARD TOTAL INTERNATIONAL STOCK INDEX FUND ETF SHARES</t>
  </si>
  <si>
    <t>921909768</t>
  </si>
  <si>
    <t>YUNG</t>
  </si>
  <si>
    <t>ADUS US Equity</t>
  </si>
  <si>
    <t>ADUS</t>
  </si>
  <si>
    <t>Addus HomeCare Corp</t>
  </si>
  <si>
    <t>AHR US Equity</t>
  </si>
  <si>
    <t>AHR</t>
  </si>
  <si>
    <t>American Healthcare REIT Inc</t>
  </si>
  <si>
    <t>ALC US Equity</t>
  </si>
  <si>
    <t>ALC</t>
  </si>
  <si>
    <t>Alcon AG</t>
  </si>
  <si>
    <t>BC US Equity</t>
  </si>
  <si>
    <t>BC</t>
  </si>
  <si>
    <t>Brunswick Corp/DE</t>
  </si>
  <si>
    <t>BKD US Equity</t>
  </si>
  <si>
    <t>BKD</t>
  </si>
  <si>
    <t>Brookdale Senior Living Inc</t>
  </si>
  <si>
    <t>BTSG US Equity</t>
  </si>
  <si>
    <t>BTSG</t>
  </si>
  <si>
    <t>BrightSpring Health Services I</t>
  </si>
  <si>
    <t>BrightSpring Health Services Inc</t>
  </si>
  <si>
    <t>CALY US Equity</t>
  </si>
  <si>
    <t>CALY</t>
  </si>
  <si>
    <t>Callaway Golf Co</t>
  </si>
  <si>
    <t>DVA US Equity</t>
  </si>
  <si>
    <t>DVA</t>
  </si>
  <si>
    <t>DAVITA INC</t>
  </si>
  <si>
    <t>EHC US Equity</t>
  </si>
  <si>
    <t>EHC</t>
  </si>
  <si>
    <t>ENCOMPASS HEALTH CORP</t>
  </si>
  <si>
    <t>ENSG US Equity</t>
  </si>
  <si>
    <t>ENSG</t>
  </si>
  <si>
    <t>Ensign Group Inc/The</t>
  </si>
  <si>
    <t>EYE US Equity</t>
  </si>
  <si>
    <t>EYE</t>
  </si>
  <si>
    <t>National Vision Holdings Inc</t>
  </si>
  <si>
    <t>GOLF US Equity</t>
  </si>
  <si>
    <t>GOLF</t>
  </si>
  <si>
    <t>Acushnet Holdings Corp</t>
  </si>
  <si>
    <t>HUM US Equity</t>
  </si>
  <si>
    <t>HUM</t>
  </si>
  <si>
    <t>Humana Inc</t>
  </si>
  <si>
    <t>LTC US Equity</t>
  </si>
  <si>
    <t>LTC</t>
  </si>
  <si>
    <t>LTC Properties Inc</t>
  </si>
  <si>
    <t>LTH US Equity</t>
  </si>
  <si>
    <t>LTH</t>
  </si>
  <si>
    <t>Life Time Group Holdings Inc</t>
  </si>
  <si>
    <t>MDLN US Equity</t>
  </si>
  <si>
    <t>MDLN</t>
  </si>
  <si>
    <t>Medline Inc</t>
  </si>
  <si>
    <t>MDT US Equity</t>
  </si>
  <si>
    <t>MDT</t>
  </si>
  <si>
    <t>Medtronic PLC</t>
  </si>
  <si>
    <t>NATR US Equity</t>
  </si>
  <si>
    <t>NATR</t>
  </si>
  <si>
    <t>Nature's Sunshine Products Inc</t>
  </si>
  <si>
    <t>NHC US Equity</t>
  </si>
  <si>
    <t>NHC</t>
  </si>
  <si>
    <t>National HealthCare Corp</t>
  </si>
  <si>
    <t>NHI US Equity</t>
  </si>
  <si>
    <t>NHI</t>
  </si>
  <si>
    <t>National Health Investors Inc</t>
  </si>
  <si>
    <t>NVST US Equity</t>
  </si>
  <si>
    <t>NVST</t>
  </si>
  <si>
    <t>Envista Holdings Corp</t>
  </si>
  <si>
    <t>OHI US Equity</t>
  </si>
  <si>
    <t>OHI</t>
  </si>
  <si>
    <t>Omega Healthcare Investors Inc</t>
  </si>
  <si>
    <t>PNTG US Equity</t>
  </si>
  <si>
    <t>PNTG</t>
  </si>
  <si>
    <t>Pennant Group Inc/The</t>
  </si>
  <si>
    <t>PTON US Equity</t>
  </si>
  <si>
    <t>PTON</t>
  </si>
  <si>
    <t>Peloton Interactive Inc</t>
  </si>
  <si>
    <t>SCI US Equity</t>
  </si>
  <si>
    <t>SCI</t>
  </si>
  <si>
    <t>Service Corp International/US</t>
  </si>
  <si>
    <t>SNDA US Equity</t>
  </si>
  <si>
    <t>SNDA</t>
  </si>
  <si>
    <t>Sonida Senior Living Inc</t>
  </si>
  <si>
    <t>TDOC US Equity</t>
  </si>
  <si>
    <t>TDOC</t>
  </si>
  <si>
    <t>Teladoc Health Inc</t>
  </si>
  <si>
    <t>VKTX US Equity</t>
  </si>
  <si>
    <t>VKTX</t>
  </si>
  <si>
    <t>Viking Therapeutics Inc</t>
  </si>
  <si>
    <t>VTR US Equity</t>
  </si>
  <si>
    <t>VTR</t>
  </si>
  <si>
    <t>Ventas Inc</t>
  </si>
  <si>
    <t>WELL US Equity</t>
  </si>
  <si>
    <t>WELL</t>
  </si>
  <si>
    <t>Welltower Inc</t>
  </si>
  <si>
    <t>XRAY US Equity</t>
  </si>
  <si>
    <t>XRAY</t>
  </si>
  <si>
    <t>DENTSPLY SIRONA Inc</t>
  </si>
  <si>
    <t>Date</t>
  </si>
  <si>
    <t>StockTicker</t>
  </si>
  <si>
    <t>CUSIP</t>
  </si>
  <si>
    <t>SecurityName</t>
  </si>
  <si>
    <t>Shares</t>
  </si>
  <si>
    <t>Price</t>
  </si>
  <si>
    <t>MarketValue</t>
  </si>
  <si>
    <t>Weightings</t>
  </si>
  <si>
    <t>NetAssets</t>
  </si>
  <si>
    <t>SharesOutstanding</t>
  </si>
  <si>
    <t>CreationUnits</t>
  </si>
  <si>
    <t>MoneyMarketFlag</t>
  </si>
  <si>
    <t>06/25/2026</t>
  </si>
  <si>
    <t>Cash &amp; Other</t>
  </si>
  <si>
    <t>125000.00000000</t>
  </si>
  <si>
    <t>1.000000</t>
  </si>
  <si>
    <t>125000.00</t>
  </si>
  <si>
    <t>100.00%</t>
  </si>
  <si>
    <t>5000</t>
  </si>
  <si>
    <t>1.000000000000</t>
  </si>
  <si>
    <t>2876.00000000</t>
  </si>
  <si>
    <t>168.910000</t>
  </si>
  <si>
    <t>199.21%</t>
  </si>
  <si>
    <t>243854.00</t>
  </si>
  <si>
    <t>10000</t>
  </si>
  <si>
    <t>2.000000000000</t>
  </si>
  <si>
    <t>31846V336</t>
  </si>
  <si>
    <t>First American Government Obligations Fund 12/01/2031</t>
  </si>
  <si>
    <t>27380.00000000</t>
  </si>
  <si>
    <t>100.000000</t>
  </si>
  <si>
    <t>27380.00</t>
  </si>
  <si>
    <t>11.23%</t>
  </si>
  <si>
    <t>-269435.03000000</t>
  </si>
  <si>
    <t>-269435.03</t>
  </si>
  <si>
    <t>-110.49%</t>
  </si>
  <si>
    <t>5110.00000000</t>
  </si>
  <si>
    <t>101.600000</t>
  </si>
  <si>
    <t>197.73%</t>
  </si>
  <si>
    <t>262568.00</t>
  </si>
  <si>
    <t>250250.00000000</t>
  </si>
  <si>
    <t>250250.00</t>
  </si>
  <si>
    <t>95.31%</t>
  </si>
  <si>
    <t>-506928.75000000</t>
  </si>
  <si>
    <t>-506928.75</t>
  </si>
  <si>
    <t>-193.07%</t>
  </si>
  <si>
    <t>02376R102</t>
  </si>
  <si>
    <t>1230.00000000</t>
  </si>
  <si>
    <t>17.440000</t>
  </si>
  <si>
    <t>21451.20</t>
  </si>
  <si>
    <t>1.51%</t>
  </si>
  <si>
    <t>1423815.00</t>
  </si>
  <si>
    <t>50000</t>
  </si>
  <si>
    <t>10.000000000000</t>
  </si>
  <si>
    <t>N00985106</t>
  </si>
  <si>
    <t>200.00000000</t>
  </si>
  <si>
    <t>147.890000</t>
  </si>
  <si>
    <t>29578.00</t>
  </si>
  <si>
    <t>2.08%</t>
  </si>
  <si>
    <t>000361105</t>
  </si>
  <si>
    <t>100.00000000</t>
  </si>
  <si>
    <t>132.940000</t>
  </si>
  <si>
    <t>13294.00</t>
  </si>
  <si>
    <t>0.93%</t>
  </si>
  <si>
    <t>01748X102</t>
  </si>
  <si>
    <t>80.00000000</t>
  </si>
  <si>
    <t>107.320000</t>
  </si>
  <si>
    <t>8585.60</t>
  </si>
  <si>
    <t>0.60%</t>
  </si>
  <si>
    <t>011659109</t>
  </si>
  <si>
    <t>270.00000000</t>
  </si>
  <si>
    <t>51.560000</t>
  </si>
  <si>
    <t>13921.20</t>
  </si>
  <si>
    <t>0.98%</t>
  </si>
  <si>
    <t>40051E202</t>
  </si>
  <si>
    <t>60.00000000</t>
  </si>
  <si>
    <t>302.310000</t>
  </si>
  <si>
    <t>18138.60</t>
  </si>
  <si>
    <t>1.27%</t>
  </si>
  <si>
    <t>01741R102</t>
  </si>
  <si>
    <t>170.00000000</t>
  </si>
  <si>
    <t>197.590000</t>
  </si>
  <si>
    <t>33590.30</t>
  </si>
  <si>
    <t>2.36%</t>
  </si>
  <si>
    <t>097023105</t>
  </si>
  <si>
    <t>260.00000000</t>
  </si>
  <si>
    <t>220.250000</t>
  </si>
  <si>
    <t>57265.00</t>
  </si>
  <si>
    <t>4.02%</t>
  </si>
  <si>
    <t>124765108</t>
  </si>
  <si>
    <t>460.00000000</t>
  </si>
  <si>
    <t>24.950000</t>
  </si>
  <si>
    <t>11477.00</t>
  </si>
  <si>
    <t>0.81%</t>
  </si>
  <si>
    <t>P31076105</t>
  </si>
  <si>
    <t>156.860000</t>
  </si>
  <si>
    <t>12548.80</t>
  </si>
  <si>
    <t>0.88%</t>
  </si>
  <si>
    <t>144285103</t>
  </si>
  <si>
    <t>580.950000</t>
  </si>
  <si>
    <t>34857.00</t>
  </si>
  <si>
    <t>2.45%</t>
  </si>
  <si>
    <t>247361702</t>
  </si>
  <si>
    <t>600.00000000</t>
  </si>
  <si>
    <t>90.650000</t>
  </si>
  <si>
    <t>54390.00</t>
  </si>
  <si>
    <t>3.82%</t>
  </si>
  <si>
    <t>264147109</t>
  </si>
  <si>
    <t>50.00000000</t>
  </si>
  <si>
    <t>165.310000</t>
  </si>
  <si>
    <t>8265.50</t>
  </si>
  <si>
    <t>0.58%</t>
  </si>
  <si>
    <t>29082A107</t>
  </si>
  <si>
    <t>290.00000000</t>
  </si>
  <si>
    <t>61.670000</t>
  </si>
  <si>
    <t>17884.30</t>
  </si>
  <si>
    <t>1.26%</t>
  </si>
  <si>
    <t>31428X106</t>
  </si>
  <si>
    <t>150.00000000</t>
  </si>
  <si>
    <t>316.830000</t>
  </si>
  <si>
    <t>47524.50</t>
  </si>
  <si>
    <t>3.34%</t>
  </si>
  <si>
    <t>314352105</t>
  </si>
  <si>
    <t>75.00000000</t>
  </si>
  <si>
    <t>160.450000</t>
  </si>
  <si>
    <t>12033.75</t>
  </si>
  <si>
    <t>0.85%</t>
  </si>
  <si>
    <t>43839.60000000</t>
  </si>
  <si>
    <t>43839.60</t>
  </si>
  <si>
    <t>3.08%</t>
  </si>
  <si>
    <t>G3730V105</t>
  </si>
  <si>
    <t>130.00000000</t>
  </si>
  <si>
    <t>272.140000</t>
  </si>
  <si>
    <t>35378.20</t>
  </si>
  <si>
    <t>2.48%</t>
  </si>
  <si>
    <t>369550108</t>
  </si>
  <si>
    <t>344.320000</t>
  </si>
  <si>
    <t>68864.00</t>
  </si>
  <si>
    <t>4.84%</t>
  </si>
  <si>
    <t>369604301</t>
  </si>
  <si>
    <t>440.00000000</t>
  </si>
  <si>
    <t>365.880000</t>
  </si>
  <si>
    <t>160987.20</t>
  </si>
  <si>
    <t>11.31%</t>
  </si>
  <si>
    <t>422806109</t>
  </si>
  <si>
    <t>70.00000000</t>
  </si>
  <si>
    <t>335.300000</t>
  </si>
  <si>
    <t>23471.00</t>
  </si>
  <si>
    <t>1.65%</t>
  </si>
  <si>
    <t>443201108</t>
  </si>
  <si>
    <t>276.060000</t>
  </si>
  <si>
    <t>71775.60</t>
  </si>
  <si>
    <t>5.04%</t>
  </si>
  <si>
    <t>428291108</t>
  </si>
  <si>
    <t>160.00000000</t>
  </si>
  <si>
    <t>95.480000</t>
  </si>
  <si>
    <t>15276.80</t>
  </si>
  <si>
    <t>1.07%</t>
  </si>
  <si>
    <t>477143101</t>
  </si>
  <si>
    <t>1220.00000000</t>
  </si>
  <si>
    <t>5.790000</t>
  </si>
  <si>
    <t>7063.80</t>
  </si>
  <si>
    <t>0.50%</t>
  </si>
  <si>
    <t>G65163100</t>
  </si>
  <si>
    <t>1470.00000000</t>
  </si>
  <si>
    <t>9.280000</t>
  </si>
  <si>
    <t>13641.60</t>
  </si>
  <si>
    <t>0.96%</t>
  </si>
  <si>
    <t>539830109</t>
  </si>
  <si>
    <t>120.00000000</t>
  </si>
  <si>
    <t>491.640000</t>
  </si>
  <si>
    <t>58996.80</t>
  </si>
  <si>
    <t>4.14%</t>
  </si>
  <si>
    <t>53947R105</t>
  </si>
  <si>
    <t>73.800000</t>
  </si>
  <si>
    <t>11808.00</t>
  </si>
  <si>
    <t>0.83%</t>
  </si>
  <si>
    <t>844741108</t>
  </si>
  <si>
    <t>640.00000000</t>
  </si>
  <si>
    <t>50.940000</t>
  </si>
  <si>
    <t>32601.60</t>
  </si>
  <si>
    <t>2.29%</t>
  </si>
  <si>
    <t>615394202</t>
  </si>
  <si>
    <t>404.900000</t>
  </si>
  <si>
    <t>20245.00</t>
  </si>
  <si>
    <t>1.42%</t>
  </si>
  <si>
    <t>666807102</t>
  </si>
  <si>
    <t>110.00000000</t>
  </si>
  <si>
    <t>503.010000</t>
  </si>
  <si>
    <t>55331.10</t>
  </si>
  <si>
    <t>3.89%</t>
  </si>
  <si>
    <t>400506101</t>
  </si>
  <si>
    <t>245.580000</t>
  </si>
  <si>
    <t>19646.40</t>
  </si>
  <si>
    <t>1.38%</t>
  </si>
  <si>
    <t>75513E101</t>
  </si>
  <si>
    <t>660.00000000</t>
  </si>
  <si>
    <t>185.060000</t>
  </si>
  <si>
    <t>122139.60</t>
  </si>
  <si>
    <t>8.58%</t>
  </si>
  <si>
    <t>783513203</t>
  </si>
  <si>
    <t>590.00000000</t>
  </si>
  <si>
    <t>63.730000</t>
  </si>
  <si>
    <t>37600.70</t>
  </si>
  <si>
    <t>2.64%</t>
  </si>
  <si>
    <t>830879102</t>
  </si>
  <si>
    <t>96.700000</t>
  </si>
  <si>
    <t>11604.00</t>
  </si>
  <si>
    <t>893641100</t>
  </si>
  <si>
    <t>40.00000000</t>
  </si>
  <si>
    <t>1322.670000</t>
  </si>
  <si>
    <t>52906.80</t>
  </si>
  <si>
    <t>3.72%</t>
  </si>
  <si>
    <t>883203101</t>
  </si>
  <si>
    <t>86.540000</t>
  </si>
  <si>
    <t>22500.40</t>
  </si>
  <si>
    <t>1.58%</t>
  </si>
  <si>
    <t>910047109</t>
  </si>
  <si>
    <t>360.00000000</t>
  </si>
  <si>
    <t>130.540000</t>
  </si>
  <si>
    <t>46994.40</t>
  </si>
  <si>
    <t>3.30%</t>
  </si>
  <si>
    <t>35909R108</t>
  </si>
  <si>
    <t>810.00000000</t>
  </si>
  <si>
    <t>7.430000</t>
  </si>
  <si>
    <t>6018.30</t>
  </si>
  <si>
    <t>0.42%</t>
  </si>
  <si>
    <t>911312106</t>
  </si>
  <si>
    <t>520.00000000</t>
  </si>
  <si>
    <t>106.140000</t>
  </si>
  <si>
    <t>55192.80</t>
  </si>
  <si>
    <t>3.88%</t>
  </si>
  <si>
    <t>980745103</t>
  </si>
  <si>
    <t>432.800000</t>
  </si>
  <si>
    <t>34624.00</t>
  </si>
  <si>
    <t>2.43%</t>
  </si>
  <si>
    <t>493.12000000</t>
  </si>
  <si>
    <t>493.12</t>
  </si>
  <si>
    <t>0.03%</t>
  </si>
  <si>
    <t>490.00000000</t>
  </si>
  <si>
    <t>293.080000</t>
  </si>
  <si>
    <t>143609.20</t>
  </si>
  <si>
    <t>7.29%</t>
  </si>
  <si>
    <t>1970766.00</t>
  </si>
  <si>
    <t>70000</t>
  </si>
  <si>
    <t>14.000000000000</t>
  </si>
  <si>
    <t>009066101</t>
  </si>
  <si>
    <t>140.00000000</t>
  </si>
  <si>
    <t>144.400000</t>
  </si>
  <si>
    <t>20216.00</t>
  </si>
  <si>
    <t>1.03%</t>
  </si>
  <si>
    <t>00724F101</t>
  </si>
  <si>
    <t>112.00000000</t>
  </si>
  <si>
    <t>196.570000</t>
  </si>
  <si>
    <t>22015.84</t>
  </si>
  <si>
    <t>1.12%</t>
  </si>
  <si>
    <t>052769106</t>
  </si>
  <si>
    <t>84.00000000</t>
  </si>
  <si>
    <t>192.610000</t>
  </si>
  <si>
    <t>16179.24</t>
  </si>
  <si>
    <t>0.82%</t>
  </si>
  <si>
    <t>00827B106</t>
  </si>
  <si>
    <t>168.00000000</t>
  </si>
  <si>
    <t>77.660000</t>
  </si>
  <si>
    <t>13046.88</t>
  </si>
  <si>
    <t>0.66%</t>
  </si>
  <si>
    <t>04626A103</t>
  </si>
  <si>
    <t>56.00000000</t>
  </si>
  <si>
    <t>399.920000</t>
  </si>
  <si>
    <t>22395.52</t>
  </si>
  <si>
    <t>1.14%</t>
  </si>
  <si>
    <t>038222105</t>
  </si>
  <si>
    <t>98.00000000</t>
  </si>
  <si>
    <t>588.970000</t>
  </si>
  <si>
    <t>57719.06</t>
  </si>
  <si>
    <t>2.93%</t>
  </si>
  <si>
    <t>007903107</t>
  </si>
  <si>
    <t>519.740000</t>
  </si>
  <si>
    <t>87316.32</t>
  </si>
  <si>
    <t>4.43%</t>
  </si>
  <si>
    <t>03831W108</t>
  </si>
  <si>
    <t>464.960000</t>
  </si>
  <si>
    <t>26037.76</t>
  </si>
  <si>
    <t>1.32%</t>
  </si>
  <si>
    <t>11135F101</t>
  </si>
  <si>
    <t>210.00000000</t>
  </si>
  <si>
    <t>382.070000</t>
  </si>
  <si>
    <t>80234.70</t>
  </si>
  <si>
    <t>4.07%</t>
  </si>
  <si>
    <t>10806X102</t>
  </si>
  <si>
    <t>69.360000</t>
  </si>
  <si>
    <t>9710.40</t>
  </si>
  <si>
    <t>0.49%</t>
  </si>
  <si>
    <t>093712107</t>
  </si>
  <si>
    <t>326.190000</t>
  </si>
  <si>
    <t>27399.96</t>
  </si>
  <si>
    <t>1.39%</t>
  </si>
  <si>
    <t>189054109</t>
  </si>
  <si>
    <t>95.380000</t>
  </si>
  <si>
    <t>10682.56</t>
  </si>
  <si>
    <t>0.54%</t>
  </si>
  <si>
    <t>19260Q107</t>
  </si>
  <si>
    <t>150.110000</t>
  </si>
  <si>
    <t>12609.24</t>
  </si>
  <si>
    <t>0.64%</t>
  </si>
  <si>
    <t>216648501</t>
  </si>
  <si>
    <t>68.830000</t>
  </si>
  <si>
    <t>11563.44</t>
  </si>
  <si>
    <t>0.59%</t>
  </si>
  <si>
    <t>79466L302</t>
  </si>
  <si>
    <t>182.00000000</t>
  </si>
  <si>
    <t>152.760000</t>
  </si>
  <si>
    <t>27802.32</t>
  </si>
  <si>
    <t>1.41%</t>
  </si>
  <si>
    <t>17275R102</t>
  </si>
  <si>
    <t>476.00000000</t>
  </si>
  <si>
    <t>119.730000</t>
  </si>
  <si>
    <t>56991.48</t>
  </si>
  <si>
    <t>2.89%</t>
  </si>
  <si>
    <t>25809K105</t>
  </si>
  <si>
    <t>177.930000</t>
  </si>
  <si>
    <t>19928.16</t>
  </si>
  <si>
    <t>1.01%</t>
  </si>
  <si>
    <t>278642103</t>
  </si>
  <si>
    <t>109.450000</t>
  </si>
  <si>
    <t>18387.60</t>
  </si>
  <si>
    <t>297178105</t>
  </si>
  <si>
    <t>42.00000000</t>
  </si>
  <si>
    <t>281.650000</t>
  </si>
  <si>
    <t>11829.30</t>
  </si>
  <si>
    <t>27291.07000000</t>
  </si>
  <si>
    <t>27291.07</t>
  </si>
  <si>
    <t>34959E109</t>
  </si>
  <si>
    <t>238.00000000</t>
  </si>
  <si>
    <t>145.280000</t>
  </si>
  <si>
    <t>34576.64</t>
  </si>
  <si>
    <t>1.75%</t>
  </si>
  <si>
    <t>375558103</t>
  </si>
  <si>
    <t>252.00000000</t>
  </si>
  <si>
    <t>125.160000</t>
  </si>
  <si>
    <t>31540.32</t>
  </si>
  <si>
    <t>1.60%</t>
  </si>
  <si>
    <t>345.290000</t>
  </si>
  <si>
    <t>87013.08</t>
  </si>
  <si>
    <t>4.42%</t>
  </si>
  <si>
    <t>770700102</t>
  </si>
  <si>
    <t>97.190000</t>
  </si>
  <si>
    <t>24491.88</t>
  </si>
  <si>
    <t>1.24%</t>
  </si>
  <si>
    <t>40434L105</t>
  </si>
  <si>
    <t>602.00000000</t>
  </si>
  <si>
    <t>23.290000</t>
  </si>
  <si>
    <t>14020.58</t>
  </si>
  <si>
    <t>0.71%</t>
  </si>
  <si>
    <t>458140100</t>
  </si>
  <si>
    <t>532.00000000</t>
  </si>
  <si>
    <t>131.650000</t>
  </si>
  <si>
    <t>70037.80</t>
  </si>
  <si>
    <t>3.55%</t>
  </si>
  <si>
    <t>79589L106</t>
  </si>
  <si>
    <t>336.00000000</t>
  </si>
  <si>
    <t>31.240000</t>
  </si>
  <si>
    <t>10496.64</t>
  </si>
  <si>
    <t>0.53%</t>
  </si>
  <si>
    <t>46120E602</t>
  </si>
  <si>
    <t>401.830000</t>
  </si>
  <si>
    <t>28128.10</t>
  </si>
  <si>
    <t>1.43%</t>
  </si>
  <si>
    <t>55024U109</t>
  </si>
  <si>
    <t>28.00000000</t>
  </si>
  <si>
    <t>842.530000</t>
  </si>
  <si>
    <t>23590.84</t>
  </si>
  <si>
    <t>1.20%</t>
  </si>
  <si>
    <t>512807306</t>
  </si>
  <si>
    <t>154.00000000</t>
  </si>
  <si>
    <t>374.800000</t>
  </si>
  <si>
    <t>57719.20</t>
  </si>
  <si>
    <t>126.00000000</t>
  </si>
  <si>
    <t>557.670000</t>
  </si>
  <si>
    <t>70266.42</t>
  </si>
  <si>
    <t>3.57%</t>
  </si>
  <si>
    <t>573874104</t>
  </si>
  <si>
    <t>276.700000</t>
  </si>
  <si>
    <t>42611.80</t>
  </si>
  <si>
    <t>2.16%</t>
  </si>
  <si>
    <t>18915M107</t>
  </si>
  <si>
    <t>223.480000</t>
  </si>
  <si>
    <t>25029.76</t>
  </si>
  <si>
    <t>64110L106</t>
  </si>
  <si>
    <t>71.840000</t>
  </si>
  <si>
    <t>38218.88</t>
  </si>
  <si>
    <t>1.94%</t>
  </si>
  <si>
    <t>81762P102</t>
  </si>
  <si>
    <t>280.00000000</t>
  </si>
  <si>
    <t>93.800000</t>
  </si>
  <si>
    <t>26264.00</t>
  </si>
  <si>
    <t>1.33%</t>
  </si>
  <si>
    <t>658.00000000</t>
  </si>
  <si>
    <t>199.000000</t>
  </si>
  <si>
    <t>130942.00</t>
  </si>
  <si>
    <t>6.64%</t>
  </si>
  <si>
    <t>679295105</t>
  </si>
  <si>
    <t>118.580000</t>
  </si>
  <si>
    <t>16601.20</t>
  </si>
  <si>
    <t>0.84%</t>
  </si>
  <si>
    <t>697435105</t>
  </si>
  <si>
    <t>285.260000</t>
  </si>
  <si>
    <t>47923.68</t>
  </si>
  <si>
    <t>69331C108</t>
  </si>
  <si>
    <t>1050.00000000</t>
  </si>
  <si>
    <t>17.120000</t>
  </si>
  <si>
    <t>17976.00</t>
  </si>
  <si>
    <t>0.91%</t>
  </si>
  <si>
    <t>771049103</t>
  </si>
  <si>
    <t>47.940000</t>
  </si>
  <si>
    <t>13423.20</t>
  </si>
  <si>
    <t>0.68%</t>
  </si>
  <si>
    <t>75734B100</t>
  </si>
  <si>
    <t>160.720000</t>
  </si>
  <si>
    <t>13500.48</t>
  </si>
  <si>
    <t>0.69%</t>
  </si>
  <si>
    <t>76954A103</t>
  </si>
  <si>
    <t>14.640000</t>
  </si>
  <si>
    <t>9633.12</t>
  </si>
  <si>
    <t>778296103</t>
  </si>
  <si>
    <t>228.590000</t>
  </si>
  <si>
    <t>22401.82</t>
  </si>
  <si>
    <t>86800U302</t>
  </si>
  <si>
    <t>378.00000000</t>
  </si>
  <si>
    <t>32.450000</t>
  </si>
  <si>
    <t>12266.10</t>
  </si>
  <si>
    <t>0.62%</t>
  </si>
  <si>
    <t>833445109</t>
  </si>
  <si>
    <t>225.950000</t>
  </si>
  <si>
    <t>31633.00</t>
  </si>
  <si>
    <t>1.61%</t>
  </si>
  <si>
    <t>87162W100</t>
  </si>
  <si>
    <t>283.220000</t>
  </si>
  <si>
    <t>15860.32</t>
  </si>
  <si>
    <t>0.80%</t>
  </si>
  <si>
    <t>83406F102</t>
  </si>
  <si>
    <t>728.00000000</t>
  </si>
  <si>
    <t>17.310000</t>
  </si>
  <si>
    <t>12601.68</t>
  </si>
  <si>
    <t>G7997R103</t>
  </si>
  <si>
    <t>993.250000</t>
  </si>
  <si>
    <t>41716.50</t>
  </si>
  <si>
    <t>2.12%</t>
  </si>
  <si>
    <t>90138F102</t>
  </si>
  <si>
    <t>188.340000</t>
  </si>
  <si>
    <t>15820.56</t>
  </si>
  <si>
    <t>90353T100</t>
  </si>
  <si>
    <t>420.00000000</t>
  </si>
  <si>
    <t>73.850000</t>
  </si>
  <si>
    <t>31017.00</t>
  </si>
  <si>
    <t>1.57%</t>
  </si>
  <si>
    <t>92826C839</t>
  </si>
  <si>
    <t>332.230000</t>
  </si>
  <si>
    <t>60465.86</t>
  </si>
  <si>
    <t>3.07%</t>
  </si>
  <si>
    <t>922475108</t>
  </si>
  <si>
    <t>161.350000</t>
  </si>
  <si>
    <t>13553.40</t>
  </si>
  <si>
    <t>98138H101</t>
  </si>
  <si>
    <t>118.090000</t>
  </si>
  <si>
    <t>13226.08</t>
  </si>
  <si>
    <t>0.67%</t>
  </si>
  <si>
    <t>958102105</t>
  </si>
  <si>
    <t>643.830000</t>
  </si>
  <si>
    <t>45068.10</t>
  </si>
  <si>
    <t>949746101</t>
  </si>
  <si>
    <t>84.300000</t>
  </si>
  <si>
    <t>41307.00</t>
  </si>
  <si>
    <t>2.10%</t>
  </si>
  <si>
    <t>969904101</t>
  </si>
  <si>
    <t>235.660000</t>
  </si>
  <si>
    <t>16496.20</t>
  </si>
  <si>
    <t>852234103</t>
  </si>
  <si>
    <t>224.00000000</t>
  </si>
  <si>
    <t>75.680000</t>
  </si>
  <si>
    <t>16952.32</t>
  </si>
  <si>
    <t>0.86%</t>
  </si>
  <si>
    <t>98980L101</t>
  </si>
  <si>
    <t>85.470000</t>
  </si>
  <si>
    <t>11965.80</t>
  </si>
  <si>
    <t>0.61%</t>
  </si>
  <si>
    <t>98980G102</t>
  </si>
  <si>
    <t>127.270000</t>
  </si>
  <si>
    <t>10690.68</t>
  </si>
  <si>
    <t>743.79000000</t>
  </si>
  <si>
    <t>743.79</t>
  </si>
  <si>
    <t>0.04%</t>
  </si>
  <si>
    <t>038169207</t>
  </si>
  <si>
    <t>41.980000</t>
  </si>
  <si>
    <t>2938.60</t>
  </si>
  <si>
    <t>0.23%</t>
  </si>
  <si>
    <t>1260375.00</t>
  </si>
  <si>
    <t>05759B305</t>
  </si>
  <si>
    <t>2500.00000000</t>
  </si>
  <si>
    <t>8.290000</t>
  </si>
  <si>
    <t>20725.00</t>
  </si>
  <si>
    <t>1.64%</t>
  </si>
  <si>
    <t>G16910120</t>
  </si>
  <si>
    <t>840.00000000</t>
  </si>
  <si>
    <t>23.470000</t>
  </si>
  <si>
    <t>19714.80</t>
  </si>
  <si>
    <t>1.56%</t>
  </si>
  <si>
    <t>09175A206</t>
  </si>
  <si>
    <t>2750.00000000</t>
  </si>
  <si>
    <t>14.020000</t>
  </si>
  <si>
    <t>38555.00</t>
  </si>
  <si>
    <t>3.06%</t>
  </si>
  <si>
    <t>G1144A105</t>
  </si>
  <si>
    <t>16180.00000000</t>
  </si>
  <si>
    <t>1.930000</t>
  </si>
  <si>
    <t>31227.40</t>
  </si>
  <si>
    <t>G11448100</t>
  </si>
  <si>
    <t>2830.00000000</t>
  </si>
  <si>
    <t>17.520000</t>
  </si>
  <si>
    <t>49581.60</t>
  </si>
  <si>
    <t>3.93%</t>
  </si>
  <si>
    <t>091947101</t>
  </si>
  <si>
    <t>1940.00000000</t>
  </si>
  <si>
    <t>5.040000</t>
  </si>
  <si>
    <t>9777.60</t>
  </si>
  <si>
    <t>0.78%</t>
  </si>
  <si>
    <t>G1820C102</t>
  </si>
  <si>
    <t>48600.00000000</t>
  </si>
  <si>
    <t>0.228400</t>
  </si>
  <si>
    <t>11100.24</t>
  </si>
  <si>
    <t>12503M108</t>
  </si>
  <si>
    <t>249.590000</t>
  </si>
  <si>
    <t>14975.40</t>
  </si>
  <si>
    <t>1.19%</t>
  </si>
  <si>
    <t>17253J106</t>
  </si>
  <si>
    <t>2760.00000000</t>
  </si>
  <si>
    <t>26.220000</t>
  </si>
  <si>
    <t>72367.20</t>
  </si>
  <si>
    <t>5.74%</t>
  </si>
  <si>
    <t>18452B209</t>
  </si>
  <si>
    <t>3020.00000000</t>
  </si>
  <si>
    <t>16.230000</t>
  </si>
  <si>
    <t>49014.60</t>
  </si>
  <si>
    <t>12572Q105</t>
  </si>
  <si>
    <t>220.00000000</t>
  </si>
  <si>
    <t>231.680000</t>
  </si>
  <si>
    <t>50969.60</t>
  </si>
  <si>
    <t>4.04%</t>
  </si>
  <si>
    <t>N20967118</t>
  </si>
  <si>
    <t>10710.00000000</t>
  </si>
  <si>
    <t>2.180000</t>
  </si>
  <si>
    <t>23347.80</t>
  </si>
  <si>
    <t>1.85%</t>
  </si>
  <si>
    <t>78057.20</t>
  </si>
  <si>
    <t>6.19%</t>
  </si>
  <si>
    <t>21874A106</t>
  </si>
  <si>
    <t>27.790000</t>
  </si>
  <si>
    <t>3334.80</t>
  </si>
  <si>
    <t>0.26%</t>
  </si>
  <si>
    <t>172573107</t>
  </si>
  <si>
    <t>830.00000000</t>
  </si>
  <si>
    <t>70.980000</t>
  </si>
  <si>
    <t>58913.40</t>
  </si>
  <si>
    <t>4.67%</t>
  </si>
  <si>
    <t>G670AQ104</t>
  </si>
  <si>
    <t>4340.00000000</t>
  </si>
  <si>
    <t>3.580000</t>
  </si>
  <si>
    <t>15537.20</t>
  </si>
  <si>
    <t>1.23%</t>
  </si>
  <si>
    <t>G32089107</t>
  </si>
  <si>
    <t>980.00000000</t>
  </si>
  <si>
    <t>36.530000</t>
  </si>
  <si>
    <t>35799.40</t>
  </si>
  <si>
    <t>2.84%</t>
  </si>
  <si>
    <t>19633.07000000</t>
  </si>
  <si>
    <t>19633.07</t>
  </si>
  <si>
    <t>349381103</t>
  </si>
  <si>
    <t>1520.00000000</t>
  </si>
  <si>
    <t>27.400000</t>
  </si>
  <si>
    <t>41648.00</t>
  </si>
  <si>
    <t>G1152A104</t>
  </si>
  <si>
    <t>8680.00000000</t>
  </si>
  <si>
    <t>1.520000</t>
  </si>
  <si>
    <t>13193.60</t>
  </si>
  <si>
    <t>1.05%</t>
  </si>
  <si>
    <t>36866J105</t>
  </si>
  <si>
    <t>5120.00000000</t>
  </si>
  <si>
    <t>4.180000</t>
  </si>
  <si>
    <t>21401.60</t>
  </si>
  <si>
    <t>1.70%</t>
  </si>
  <si>
    <t>36317J209</t>
  </si>
  <si>
    <t>1700.00000000</t>
  </si>
  <si>
    <t>28.580000</t>
  </si>
  <si>
    <t>48586.00</t>
  </si>
  <si>
    <t>3.85%</t>
  </si>
  <si>
    <t>20459V105</t>
  </si>
  <si>
    <t>2650.00000000</t>
  </si>
  <si>
    <t>14.240000</t>
  </si>
  <si>
    <t>37736.00</t>
  </si>
  <si>
    <t>2.99%</t>
  </si>
  <si>
    <t>433921103</t>
  </si>
  <si>
    <t>10690.00000000</t>
  </si>
  <si>
    <t>4.140000</t>
  </si>
  <si>
    <t>44256.60</t>
  </si>
  <si>
    <t>3.51%</t>
  </si>
  <si>
    <t>530.00000000</t>
  </si>
  <si>
    <t>51510.70</t>
  </si>
  <si>
    <t>4.09%</t>
  </si>
  <si>
    <t>44812J104</t>
  </si>
  <si>
    <t>116.100000</t>
  </si>
  <si>
    <t>74304.00</t>
  </si>
  <si>
    <t>5.90%</t>
  </si>
  <si>
    <t>Q4982L109</t>
  </si>
  <si>
    <t>50.300000</t>
  </si>
  <si>
    <t>61366.00</t>
  </si>
  <si>
    <t>4.87%</t>
  </si>
  <si>
    <t>565788106</t>
  </si>
  <si>
    <t>3680.00000000</t>
  </si>
  <si>
    <t>14.000000</t>
  </si>
  <si>
    <t>51520.00</t>
  </si>
  <si>
    <t>70450Y103</t>
  </si>
  <si>
    <t>42.480000</t>
  </si>
  <si>
    <t>27187.20</t>
  </si>
  <si>
    <t>767292105</t>
  </si>
  <si>
    <t>2560.00000000</t>
  </si>
  <si>
    <t>27.420000</t>
  </si>
  <si>
    <t>70195.20</t>
  </si>
  <si>
    <t>5.57%</t>
  </si>
  <si>
    <t>583543301</t>
  </si>
  <si>
    <t>16240.00000000</t>
  </si>
  <si>
    <t>1.370000</t>
  </si>
  <si>
    <t>22248.80</t>
  </si>
  <si>
    <t>1.77%</t>
  </si>
  <si>
    <t>88080T104</t>
  </si>
  <si>
    <t>2450.00000000</t>
  </si>
  <si>
    <t>26.970000</t>
  </si>
  <si>
    <t>66076.50</t>
  </si>
  <si>
    <t>5.24%</t>
  </si>
  <si>
    <t>310.00000000</t>
  </si>
  <si>
    <t>23460.80</t>
  </si>
  <si>
    <t>1.86%</t>
  </si>
  <si>
    <t>103.90000000</t>
  </si>
  <si>
    <t>103.90</t>
  </si>
  <si>
    <t>0.01%</t>
  </si>
  <si>
    <t>05601U105</t>
  </si>
  <si>
    <t>67776.00000000</t>
  </si>
  <si>
    <t>1.250000</t>
  </si>
  <si>
    <t>84720.00</t>
  </si>
  <si>
    <t>5.26%</t>
  </si>
  <si>
    <t>1611138.00</t>
  </si>
  <si>
    <t>60000</t>
  </si>
  <si>
    <t>12.000000000000</t>
  </si>
  <si>
    <t>26701L100</t>
  </si>
  <si>
    <t>1284.00000000</t>
  </si>
  <si>
    <t>67.150000</t>
  </si>
  <si>
    <t>86220.60</t>
  </si>
  <si>
    <t>5.35%</t>
  </si>
  <si>
    <t>15118V207</t>
  </si>
  <si>
    <t>2136.00000000</t>
  </si>
  <si>
    <t>28.520000</t>
  </si>
  <si>
    <t>60918.72</t>
  </si>
  <si>
    <t>3.78%</t>
  </si>
  <si>
    <t>50101L106</t>
  </si>
  <si>
    <t>756.00000000</t>
  </si>
  <si>
    <t>3.730000</t>
  </si>
  <si>
    <t>2819.88</t>
  </si>
  <si>
    <t>0.18%</t>
  </si>
  <si>
    <t>11041.90000000</t>
  </si>
  <si>
    <t>11041.90</t>
  </si>
  <si>
    <t>459506101</t>
  </si>
  <si>
    <t>960.00000000</t>
  </si>
  <si>
    <t>75.830000</t>
  </si>
  <si>
    <t>72796.80</t>
  </si>
  <si>
    <t>4.52%</t>
  </si>
  <si>
    <t>457187102</t>
  </si>
  <si>
    <t>396.00000000</t>
  </si>
  <si>
    <t>98.110000</t>
  </si>
  <si>
    <t>38851.56</t>
  </si>
  <si>
    <t>2.41%</t>
  </si>
  <si>
    <t>49271V100</t>
  </si>
  <si>
    <t>2532.00000000</t>
  </si>
  <si>
    <t>31.400000</t>
  </si>
  <si>
    <t>79504.80</t>
  </si>
  <si>
    <t>4.93%</t>
  </si>
  <si>
    <t>191216100</t>
  </si>
  <si>
    <t>3852.00000000</t>
  </si>
  <si>
    <t>80.600000</t>
  </si>
  <si>
    <t>310471.20</t>
  </si>
  <si>
    <t>19.27%</t>
  </si>
  <si>
    <t>948.00000000</t>
  </si>
  <si>
    <t>94.700000</t>
  </si>
  <si>
    <t>89775.60</t>
  </si>
  <si>
    <t>713448108</t>
  </si>
  <si>
    <t>480.00000000</t>
  </si>
  <si>
    <t>142.270000</t>
  </si>
  <si>
    <t>68289.60</t>
  </si>
  <si>
    <t>4.24%</t>
  </si>
  <si>
    <t>76131D103</t>
  </si>
  <si>
    <t>912.00000000</t>
  </si>
  <si>
    <t>72.760000</t>
  </si>
  <si>
    <t>66357.12</t>
  </si>
  <si>
    <t>4.12%</t>
  </si>
  <si>
    <t>855244109</t>
  </si>
  <si>
    <t>3000.00000000</t>
  </si>
  <si>
    <t>103.530000</t>
  </si>
  <si>
    <t>310590.00</t>
  </si>
  <si>
    <t>19.28%</t>
  </si>
  <si>
    <t>832696405</t>
  </si>
  <si>
    <t>768.00000000</t>
  </si>
  <si>
    <t>111.630000</t>
  </si>
  <si>
    <t>85731.84</t>
  </si>
  <si>
    <t>5.32%</t>
  </si>
  <si>
    <t>81725T100</t>
  </si>
  <si>
    <t>120.900000</t>
  </si>
  <si>
    <t>30466.80</t>
  </si>
  <si>
    <t>1.89%</t>
  </si>
  <si>
    <t>96145W103</t>
  </si>
  <si>
    <t>12864.00000000</t>
  </si>
  <si>
    <t>9.680000</t>
  </si>
  <si>
    <t>124523.52</t>
  </si>
  <si>
    <t>7.73%</t>
  </si>
  <si>
    <t>98955K104</t>
  </si>
  <si>
    <t>57264.00000000</t>
  </si>
  <si>
    <t>1.480000</t>
  </si>
  <si>
    <t>84750.72</t>
  </si>
  <si>
    <t>3292.94000000</t>
  </si>
  <si>
    <t>3292.94</t>
  </si>
  <si>
    <t>0.20%</t>
  </si>
  <si>
    <t>20008.00000000</t>
  </si>
  <si>
    <t>33.850000</t>
  </si>
  <si>
    <t>199.96%</t>
  </si>
  <si>
    <t>338695.50</t>
  </si>
  <si>
    <t>15000</t>
  </si>
  <si>
    <t>3.000000000000</t>
  </si>
  <si>
    <t>45267.01000000</t>
  </si>
  <si>
    <t>45267.01</t>
  </si>
  <si>
    <t>13.37%</t>
  </si>
  <si>
    <t>-383886.68000000</t>
  </si>
  <si>
    <t>-383886.68</t>
  </si>
  <si>
    <t>-113.34%</t>
  </si>
  <si>
    <t>03945R102</t>
  </si>
  <si>
    <t>35070.00000000</t>
  </si>
  <si>
    <t>5.050000</t>
  </si>
  <si>
    <t>177103.50</t>
  </si>
  <si>
    <t>4.28%</t>
  </si>
  <si>
    <t>4136685.00</t>
  </si>
  <si>
    <t>175000</t>
  </si>
  <si>
    <t>35.000000000000</t>
  </si>
  <si>
    <t>009422106</t>
  </si>
  <si>
    <t>16695.00000000</t>
  </si>
  <si>
    <t>7.030000</t>
  </si>
  <si>
    <t>117365.85</t>
  </si>
  <si>
    <t>03214Q108</t>
  </si>
  <si>
    <t>8820.00000000</t>
  </si>
  <si>
    <t>12.520000</t>
  </si>
  <si>
    <t>110426.40</t>
  </si>
  <si>
    <t>2.67%</t>
  </si>
  <si>
    <t>008073108</t>
  </si>
  <si>
    <t>1085.00000000</t>
  </si>
  <si>
    <t>142.180000</t>
  </si>
  <si>
    <t>154265.30</t>
  </si>
  <si>
    <t>3.73%</t>
  </si>
  <si>
    <t>05464C101</t>
  </si>
  <si>
    <t>456.730000</t>
  </si>
  <si>
    <t>31971.10</t>
  </si>
  <si>
    <t>0.77%</t>
  </si>
  <si>
    <t>700.00000000</t>
  </si>
  <si>
    <t>154175.00</t>
  </si>
  <si>
    <t>086921103</t>
  </si>
  <si>
    <t>10045.00000000</t>
  </si>
  <si>
    <t>15.680000</t>
  </si>
  <si>
    <t>157505.60</t>
  </si>
  <si>
    <t>3.81%</t>
  </si>
  <si>
    <t>26142Q304</t>
  </si>
  <si>
    <t>22680.00000000</t>
  </si>
  <si>
    <t>5.100000</t>
  </si>
  <si>
    <t>115668.00</t>
  </si>
  <si>
    <t>2.80%</t>
  </si>
  <si>
    <t>26853E102</t>
  </si>
  <si>
    <t>15505.00000000</t>
  </si>
  <si>
    <t>6.630000</t>
  </si>
  <si>
    <t>102798.15</t>
  </si>
  <si>
    <t>2.49%</t>
  </si>
  <si>
    <t>29970N104</t>
  </si>
  <si>
    <t>49630.00000000</t>
  </si>
  <si>
    <t>2.630000</t>
  </si>
  <si>
    <t>130526.90</t>
  </si>
  <si>
    <t>3.16%</t>
  </si>
  <si>
    <t>162047.72000000</t>
  </si>
  <si>
    <t>162047.72</t>
  </si>
  <si>
    <t>3.92%</t>
  </si>
  <si>
    <t>2415.00000000</t>
  </si>
  <si>
    <t>230584.20</t>
  </si>
  <si>
    <t>25340.00000000</t>
  </si>
  <si>
    <t>235155.20</t>
  </si>
  <si>
    <t>5.68%</t>
  </si>
  <si>
    <t>50077B207</t>
  </si>
  <si>
    <t>3500.00000000</t>
  </si>
  <si>
    <t>47.950000</t>
  </si>
  <si>
    <t>167825.00</t>
  </si>
  <si>
    <t>4.06%</t>
  </si>
  <si>
    <t>502431109</t>
  </si>
  <si>
    <t>245.00000000</t>
  </si>
  <si>
    <t>287.270000</t>
  </si>
  <si>
    <t>70381.15</t>
  </si>
  <si>
    <t>137659.20</t>
  </si>
  <si>
    <t>3.33%</t>
  </si>
  <si>
    <t>352107.00</t>
  </si>
  <si>
    <t>8.51%</t>
  </si>
  <si>
    <t>68236H204</t>
  </si>
  <si>
    <t>19775.00000000</t>
  </si>
  <si>
    <t>7.680000</t>
  </si>
  <si>
    <t>151872.00</t>
  </si>
  <si>
    <t>3.67%</t>
  </si>
  <si>
    <t>68989M202</t>
  </si>
  <si>
    <t>5950.00000000</t>
  </si>
  <si>
    <t>40.710000</t>
  </si>
  <si>
    <t>242224.50</t>
  </si>
  <si>
    <t>5.86%</t>
  </si>
  <si>
    <t>75644T100</t>
  </si>
  <si>
    <t>14770.00000000</t>
  </si>
  <si>
    <t>9.340000</t>
  </si>
  <si>
    <t>137951.80</t>
  </si>
  <si>
    <t>1225.00000000</t>
  </si>
  <si>
    <t>226698.50</t>
  </si>
  <si>
    <t>5.48%</t>
  </si>
  <si>
    <t>86989Y109</t>
  </si>
  <si>
    <t>3360.00000000</t>
  </si>
  <si>
    <t>38.230000</t>
  </si>
  <si>
    <t>128452.80</t>
  </si>
  <si>
    <t>3.11%</t>
  </si>
  <si>
    <t>879360105</t>
  </si>
  <si>
    <t>455.00000000</t>
  </si>
  <si>
    <t>612.170000</t>
  </si>
  <si>
    <t>278537.35</t>
  </si>
  <si>
    <t>6.73%</t>
  </si>
  <si>
    <t>896239100</t>
  </si>
  <si>
    <t>50.140000</t>
  </si>
  <si>
    <t>7019.60</t>
  </si>
  <si>
    <t>0.17%</t>
  </si>
  <si>
    <t>105.00000000</t>
  </si>
  <si>
    <t>9086.70</t>
  </si>
  <si>
    <t>0.22%</t>
  </si>
  <si>
    <t>91532F102</t>
  </si>
  <si>
    <t>10395.00000000</t>
  </si>
  <si>
    <t>19.520000</t>
  </si>
  <si>
    <t>202910.40</t>
  </si>
  <si>
    <t>4.91%</t>
  </si>
  <si>
    <t>11040G103</t>
  </si>
  <si>
    <t>41.150000</t>
  </si>
  <si>
    <t>144025.00</t>
  </si>
  <si>
    <t>3.48%</t>
  </si>
  <si>
    <t>317.30000000</t>
  </si>
  <si>
    <t>317.30</t>
  </si>
  <si>
    <t>26886.00000000</t>
  </si>
  <si>
    <t>26886.00</t>
  </si>
  <si>
    <t>11.07%</t>
  </si>
  <si>
    <t>242783.00</t>
  </si>
  <si>
    <t>2911.00000000</t>
  </si>
  <si>
    <t>166.900000</t>
  </si>
  <si>
    <t>200.12%</t>
  </si>
  <si>
    <t>-270024.36000000</t>
  </si>
  <si>
    <t>-270024.36</t>
  </si>
  <si>
    <t>-111.22%</t>
  </si>
  <si>
    <t>10977.00000000</t>
  </si>
  <si>
    <t>46.600000</t>
  </si>
  <si>
    <t>255607.00</t>
  </si>
  <si>
    <t>25157.00000000</t>
  </si>
  <si>
    <t>25157.00</t>
  </si>
  <si>
    <t>9.84%</t>
  </si>
  <si>
    <t>-281170.93000000</t>
  </si>
  <si>
    <t>-281170.93</t>
  </si>
  <si>
    <t>-110.00%</t>
  </si>
  <si>
    <t>1287000.00000000</t>
  </si>
  <si>
    <t>99.286875</t>
  </si>
  <si>
    <t>1277822.08</t>
  </si>
  <si>
    <t>7.50%</t>
  </si>
  <si>
    <t>17029920.00</t>
  </si>
  <si>
    <t>680000</t>
  </si>
  <si>
    <t>68.000000000000</t>
  </si>
  <si>
    <t>1271000.00000000</t>
  </si>
  <si>
    <t>99.001271</t>
  </si>
  <si>
    <t>1258306.15</t>
  </si>
  <si>
    <t>7.39%</t>
  </si>
  <si>
    <t>1290000.00000000</t>
  </si>
  <si>
    <t>98.686581</t>
  </si>
  <si>
    <t>1273056.89</t>
  </si>
  <si>
    <t>7.48%</t>
  </si>
  <si>
    <t>409000.00000000</t>
  </si>
  <si>
    <t>98.376784</t>
  </si>
  <si>
    <t>402361.05</t>
  </si>
  <si>
    <t>474000.00000000</t>
  </si>
  <si>
    <t>98.073833</t>
  </si>
  <si>
    <t>464869.97</t>
  </si>
  <si>
    <t>2.73%</t>
  </si>
  <si>
    <t>538000.00000000</t>
  </si>
  <si>
    <t>97.842639</t>
  </si>
  <si>
    <t>526393.40</t>
  </si>
  <si>
    <t>3.09%</t>
  </si>
  <si>
    <t>476000.00000000</t>
  </si>
  <si>
    <t>97.528998</t>
  </si>
  <si>
    <t>464238.03</t>
  </si>
  <si>
    <t>542000.00000000</t>
  </si>
  <si>
    <t>97.236038</t>
  </si>
  <si>
    <t>527019.33</t>
  </si>
  <si>
    <t>477000.00000000</t>
  </si>
  <si>
    <t>96.915722</t>
  </si>
  <si>
    <t>462287.99</t>
  </si>
  <si>
    <t>2.71%</t>
  </si>
  <si>
    <t>814000.00000000</t>
  </si>
  <si>
    <t>99.212889</t>
  </si>
  <si>
    <t>807592.92</t>
  </si>
  <si>
    <t>4.74%</t>
  </si>
  <si>
    <t>815000.00000000</t>
  </si>
  <si>
    <t>99.140167</t>
  </si>
  <si>
    <t>807992.36</t>
  </si>
  <si>
    <t>99.066618</t>
  </si>
  <si>
    <t>807392.94</t>
  </si>
  <si>
    <t>816000.00000000</t>
  </si>
  <si>
    <t>98.927542</t>
  </si>
  <si>
    <t>807248.74</t>
  </si>
  <si>
    <t>98.847956</t>
  </si>
  <si>
    <t>806599.32</t>
  </si>
  <si>
    <t>98.767854</t>
  </si>
  <si>
    <t>803970.33</t>
  </si>
  <si>
    <t>4.72%</t>
  </si>
  <si>
    <t>805000.00000000</t>
  </si>
  <si>
    <t>98.612921</t>
  </si>
  <si>
    <t>793834.01</t>
  </si>
  <si>
    <t>4.66%</t>
  </si>
  <si>
    <t>454000.00000000</t>
  </si>
  <si>
    <t>99.315339</t>
  </si>
  <si>
    <t>450891.64</t>
  </si>
  <si>
    <t>2.65%</t>
  </si>
  <si>
    <t>537000.00000000</t>
  </si>
  <si>
    <t>96.636442</t>
  </si>
  <si>
    <t>518937.69</t>
  </si>
  <si>
    <t>3.05%</t>
  </si>
  <si>
    <t>98.539722</t>
  </si>
  <si>
    <t>804084.13</t>
  </si>
  <si>
    <t>98.471125</t>
  </si>
  <si>
    <t>802539.67</t>
  </si>
  <si>
    <t>4.71%</t>
  </si>
  <si>
    <t>681000.00000000</t>
  </si>
  <si>
    <t>99.236458</t>
  </si>
  <si>
    <t>675800.28</t>
  </si>
  <si>
    <t>3.97%</t>
  </si>
  <si>
    <t>747000.00000000</t>
  </si>
  <si>
    <t>99.171344</t>
  </si>
  <si>
    <t>740809.94</t>
  </si>
  <si>
    <t>4.35%</t>
  </si>
  <si>
    <t>99.097639</t>
  </si>
  <si>
    <t>740259.36</t>
  </si>
  <si>
    <t>5915.42000000</t>
  </si>
  <si>
    <t>5915.42</t>
  </si>
  <si>
    <t>-326.20000000</t>
  </si>
  <si>
    <t>-326.20</t>
  </si>
  <si>
    <t>0.00%</t>
  </si>
  <si>
    <t>25172.00000000</t>
  </si>
  <si>
    <t>127118.60</t>
  </si>
  <si>
    <t>3.66%</t>
  </si>
  <si>
    <t>3474084.00</t>
  </si>
  <si>
    <t>145000</t>
  </si>
  <si>
    <t>29.000000000000</t>
  </si>
  <si>
    <t>G037AX101</t>
  </si>
  <si>
    <t>2030.00000000</t>
  </si>
  <si>
    <t>62.990000</t>
  </si>
  <si>
    <t>127869.70</t>
  </si>
  <si>
    <t>3.68%</t>
  </si>
  <si>
    <t>667.00000000</t>
  </si>
  <si>
    <t>234.270000</t>
  </si>
  <si>
    <t>156258.09</t>
  </si>
  <si>
    <t>4.50%</t>
  </si>
  <si>
    <t>051774107</t>
  </si>
  <si>
    <t>32132.00000000</t>
  </si>
  <si>
    <t>6.230000</t>
  </si>
  <si>
    <t>200182.36</t>
  </si>
  <si>
    <t>5.76%</t>
  </si>
  <si>
    <t>812.00000000</t>
  </si>
  <si>
    <t>115450.16</t>
  </si>
  <si>
    <t>3.32%</t>
  </si>
  <si>
    <t>149123101</t>
  </si>
  <si>
    <t>174.00000000</t>
  </si>
  <si>
    <t>994.450000</t>
  </si>
  <si>
    <t>173034.30</t>
  </si>
  <si>
    <t>4.98%</t>
  </si>
  <si>
    <t>192422103</t>
  </si>
  <si>
    <t>2987.00000000</t>
  </si>
  <si>
    <t>63.640000</t>
  </si>
  <si>
    <t>190092.68</t>
  </si>
  <si>
    <t>5.47%</t>
  </si>
  <si>
    <t>244199105</t>
  </si>
  <si>
    <t>600.750000</t>
  </si>
  <si>
    <t>104530.50</t>
  </si>
  <si>
    <t>3.01%</t>
  </si>
  <si>
    <t>55600.15000000</t>
  </si>
  <si>
    <t>55600.15</t>
  </si>
  <si>
    <t>379577208</t>
  </si>
  <si>
    <t>87.00000000</t>
  </si>
  <si>
    <t>82.120000</t>
  </si>
  <si>
    <t>7144.44</t>
  </si>
  <si>
    <t>0.21%</t>
  </si>
  <si>
    <t>1102.00000000</t>
  </si>
  <si>
    <t>380509.58</t>
  </si>
  <si>
    <t>10.95%</t>
  </si>
  <si>
    <t>377.00000000</t>
  </si>
  <si>
    <t>151489.91</t>
  </si>
  <si>
    <t>4.36%</t>
  </si>
  <si>
    <t>477839104</t>
  </si>
  <si>
    <t>1218.00000000</t>
  </si>
  <si>
    <t>134.460000</t>
  </si>
  <si>
    <t>163772.28</t>
  </si>
  <si>
    <t>60741F104</t>
  </si>
  <si>
    <t>13688.00000000</t>
  </si>
  <si>
    <t>7.790000</t>
  </si>
  <si>
    <t>106629.52</t>
  </si>
  <si>
    <t>67000B104</t>
  </si>
  <si>
    <t>152.000000</t>
  </si>
  <si>
    <t>167504.00</t>
  </si>
  <si>
    <t>4.82%</t>
  </si>
  <si>
    <t>2175.00000000</t>
  </si>
  <si>
    <t>432825.00</t>
  </si>
  <si>
    <t>12.46%</t>
  </si>
  <si>
    <t>90364P105</t>
  </si>
  <si>
    <t>14442.00000000</t>
  </si>
  <si>
    <t>10.310000</t>
  </si>
  <si>
    <t>148897.02</t>
  </si>
  <si>
    <t>4.29%</t>
  </si>
  <si>
    <t>74276L105</t>
  </si>
  <si>
    <t>5278.00000000</t>
  </si>
  <si>
    <t>20.850000</t>
  </si>
  <si>
    <t>110046.30</t>
  </si>
  <si>
    <t>3.17%</t>
  </si>
  <si>
    <t>69370C100</t>
  </si>
  <si>
    <t>112.930000</t>
  </si>
  <si>
    <t>19649.82</t>
  </si>
  <si>
    <t>0.57%</t>
  </si>
  <si>
    <t>765504105</t>
  </si>
  <si>
    <t>44631.00000000</t>
  </si>
  <si>
    <t>1.910000</t>
  </si>
  <si>
    <t>85245.21</t>
  </si>
  <si>
    <t>81758H106</t>
  </si>
  <si>
    <t>12615.00000000</t>
  </si>
  <si>
    <t>6.120000</t>
  </si>
  <si>
    <t>77203.80</t>
  </si>
  <si>
    <t>2.22%</t>
  </si>
  <si>
    <t>863667101</t>
  </si>
  <si>
    <t>261.00000000</t>
  </si>
  <si>
    <t>313.680000</t>
  </si>
  <si>
    <t>81870.48</t>
  </si>
  <si>
    <t>87151X101</t>
  </si>
  <si>
    <t>2436.00000000</t>
  </si>
  <si>
    <t>39.430000</t>
  </si>
  <si>
    <t>96051.48</t>
  </si>
  <si>
    <t>2.76%</t>
  </si>
  <si>
    <t>464.00000000</t>
  </si>
  <si>
    <t>375.530000</t>
  </si>
  <si>
    <t>174245.92</t>
  </si>
  <si>
    <t>5.02%</t>
  </si>
  <si>
    <t>98956P102</t>
  </si>
  <si>
    <t>232.00000000</t>
  </si>
  <si>
    <t>90.320000</t>
  </si>
  <si>
    <t>20954.24</t>
  </si>
  <si>
    <t>-119.48000000</t>
  </si>
  <si>
    <t>-119.48</t>
  </si>
  <si>
    <t>80048.00000000</t>
  </si>
  <si>
    <t>32.360000</t>
  </si>
  <si>
    <t>199.85%</t>
  </si>
  <si>
    <t>1296158.50</t>
  </si>
  <si>
    <t>65000</t>
  </si>
  <si>
    <t>13.000000000000</t>
  </si>
  <si>
    <t>123565.02000000</t>
  </si>
  <si>
    <t>123565.02</t>
  </si>
  <si>
    <t>9.53%</t>
  </si>
  <si>
    <t>-1418028.70000000</t>
  </si>
  <si>
    <t>-1418028.70</t>
  </si>
  <si>
    <t>-109.40%</t>
  </si>
  <si>
    <t>1136000.00000000</t>
  </si>
  <si>
    <t>99.861944</t>
  </si>
  <si>
    <t>1134431.68</t>
  </si>
  <si>
    <t>6.47%</t>
  </si>
  <si>
    <t>17536750.00</t>
  </si>
  <si>
    <t>700000</t>
  </si>
  <si>
    <t>70.000000000000</t>
  </si>
  <si>
    <t>838000.00000000</t>
  </si>
  <si>
    <t>99.578542</t>
  </si>
  <si>
    <t>834468.18</t>
  </si>
  <si>
    <t>4.76%</t>
  </si>
  <si>
    <t>583000.00000000</t>
  </si>
  <si>
    <t>578842.48</t>
  </si>
  <si>
    <t>975000.00000000</t>
  </si>
  <si>
    <t>975000.00</t>
  </si>
  <si>
    <t>5.56%</t>
  </si>
  <si>
    <t>1010000.00000000</t>
  </si>
  <si>
    <t>99.931750</t>
  </si>
  <si>
    <t>1009310.68</t>
  </si>
  <si>
    <t>821000.00000000</t>
  </si>
  <si>
    <t>99.793587</t>
  </si>
  <si>
    <t>819305.35</t>
  </si>
  <si>
    <t>731000.00000000</t>
  </si>
  <si>
    <t>99.723967</t>
  </si>
  <si>
    <t>728982.20</t>
  </si>
  <si>
    <t>4.16%</t>
  </si>
  <si>
    <t>730000.00000000</t>
  </si>
  <si>
    <t>99.651944</t>
  </si>
  <si>
    <t>727459.19</t>
  </si>
  <si>
    <t>4.15%</t>
  </si>
  <si>
    <t>631000.00000000</t>
  </si>
  <si>
    <t>99.506817</t>
  </si>
  <si>
    <t>627888.02</t>
  </si>
  <si>
    <t>3.58%</t>
  </si>
  <si>
    <t>99.435722</t>
  </si>
  <si>
    <t>725880.77</t>
  </si>
  <si>
    <t>557000.00000000</t>
  </si>
  <si>
    <t>99.358625</t>
  </si>
  <si>
    <t>553427.54</t>
  </si>
  <si>
    <t>784000.00000000</t>
  </si>
  <si>
    <t>99.951285</t>
  </si>
  <si>
    <t>783618.07</t>
  </si>
  <si>
    <t>4.47%</t>
  </si>
  <si>
    <t>806000.00000000</t>
  </si>
  <si>
    <t>99.881917</t>
  </si>
  <si>
    <t>805048.25</t>
  </si>
  <si>
    <t>4.59%</t>
  </si>
  <si>
    <t>659000.00000000</t>
  </si>
  <si>
    <t>99.813035</t>
  </si>
  <si>
    <t>657767.90</t>
  </si>
  <si>
    <t>3.75%</t>
  </si>
  <si>
    <t>99.742889</t>
  </si>
  <si>
    <t>657305.64</t>
  </si>
  <si>
    <t>485000.00000000</t>
  </si>
  <si>
    <t>99.672406</t>
  </si>
  <si>
    <t>483411.17</t>
  </si>
  <si>
    <t>479000.00000000</t>
  </si>
  <si>
    <t>99.598741</t>
  </si>
  <si>
    <t>477077.97</t>
  </si>
  <si>
    <t>2.72%</t>
  </si>
  <si>
    <t>293000.00000000</t>
  </si>
  <si>
    <t>99.525431</t>
  </si>
  <si>
    <t>291609.51</t>
  </si>
  <si>
    <t>1.66%</t>
  </si>
  <si>
    <t>291000.00000000</t>
  </si>
  <si>
    <t>99.452875</t>
  </si>
  <si>
    <t>289407.87</t>
  </si>
  <si>
    <t>292000.00000000</t>
  </si>
  <si>
    <t>99.384917</t>
  </si>
  <si>
    <t>290203.96</t>
  </si>
  <si>
    <t>289007.64</t>
  </si>
  <si>
    <t>112000.00000000</t>
  </si>
  <si>
    <t>111144.83</t>
  </si>
  <si>
    <t>0.63%</t>
  </si>
  <si>
    <t>3629511.40000000</t>
  </si>
  <si>
    <t>3629511.40</t>
  </si>
  <si>
    <t>20.70%</t>
  </si>
  <si>
    <t>56969.15000000</t>
  </si>
  <si>
    <t>56969.15</t>
  </si>
  <si>
    <t>0.32%</t>
  </si>
  <si>
    <t>31000.00000000</t>
  </si>
  <si>
    <t>92.564710</t>
  </si>
  <si>
    <t>28695.06</t>
  </si>
  <si>
    <t>0.52%</t>
  </si>
  <si>
    <t>5506974.00</t>
  </si>
  <si>
    <t>220000</t>
  </si>
  <si>
    <t>22.000000000000</t>
  </si>
  <si>
    <t>27000.00000000</t>
  </si>
  <si>
    <t>95.913650</t>
  </si>
  <si>
    <t>25896.69</t>
  </si>
  <si>
    <t>0.47%</t>
  </si>
  <si>
    <t>26000.00000000</t>
  </si>
  <si>
    <t>100.106800</t>
  </si>
  <si>
    <t>26027.77</t>
  </si>
  <si>
    <t>96.415630</t>
  </si>
  <si>
    <t>26032.22</t>
  </si>
  <si>
    <t>29000.00000000</t>
  </si>
  <si>
    <t>100.260470</t>
  </si>
  <si>
    <t>29075.54</t>
  </si>
  <si>
    <t>32000.00000000</t>
  </si>
  <si>
    <t>93.586300</t>
  </si>
  <si>
    <t>29947.62</t>
  </si>
  <si>
    <t>95.110150</t>
  </si>
  <si>
    <t>24728.64</t>
  </si>
  <si>
    <t>0.45%</t>
  </si>
  <si>
    <t>103.587800</t>
  </si>
  <si>
    <t>30040.46</t>
  </si>
  <si>
    <t>0.55%</t>
  </si>
  <si>
    <t>30000.00000000</t>
  </si>
  <si>
    <t>100.804236</t>
  </si>
  <si>
    <t>30241.27</t>
  </si>
  <si>
    <t>28000.00000000</t>
  </si>
  <si>
    <t>104.353600</t>
  </si>
  <si>
    <t>29219.01</t>
  </si>
  <si>
    <t>100.851100</t>
  </si>
  <si>
    <t>29246.82</t>
  </si>
  <si>
    <t>100.732200</t>
  </si>
  <si>
    <t>30219.66</t>
  </si>
  <si>
    <t>22000.00000000</t>
  </si>
  <si>
    <t>101.418500</t>
  </si>
  <si>
    <t>22312.07</t>
  </si>
  <si>
    <t>0.41%</t>
  </si>
  <si>
    <t>107.127500</t>
  </si>
  <si>
    <t>23568.05</t>
  </si>
  <si>
    <t>0.43%</t>
  </si>
  <si>
    <t>104.323600</t>
  </si>
  <si>
    <t>30253.84</t>
  </si>
  <si>
    <t>95.111010</t>
  </si>
  <si>
    <t>30435.52</t>
  </si>
  <si>
    <t>24000.00000000</t>
  </si>
  <si>
    <t>98.992820</t>
  </si>
  <si>
    <t>23758.28</t>
  </si>
  <si>
    <t>33000.00000000</t>
  </si>
  <si>
    <t>91.082530</t>
  </si>
  <si>
    <t>30057.23</t>
  </si>
  <si>
    <t>102.677800</t>
  </si>
  <si>
    <t>28749.78</t>
  </si>
  <si>
    <t>99.702090</t>
  </si>
  <si>
    <t>28913.61</t>
  </si>
  <si>
    <t>100.651600</t>
  </si>
  <si>
    <t>30195.48</t>
  </si>
  <si>
    <t>101.521100</t>
  </si>
  <si>
    <t>29441.12</t>
  </si>
  <si>
    <t>105.965900</t>
  </si>
  <si>
    <t>27551.13</t>
  </si>
  <si>
    <t>105.646300</t>
  </si>
  <si>
    <t>30637.43</t>
  </si>
  <si>
    <t>0.56%</t>
  </si>
  <si>
    <t>7000.00000000</t>
  </si>
  <si>
    <t>99.067590</t>
  </si>
  <si>
    <t>6934.73</t>
  </si>
  <si>
    <t>0.13%</t>
  </si>
  <si>
    <t>98.595370</t>
  </si>
  <si>
    <t>29578.61</t>
  </si>
  <si>
    <t>99.186500</t>
  </si>
  <si>
    <t>23804.76</t>
  </si>
  <si>
    <t>99.732590</t>
  </si>
  <si>
    <t>25930.47</t>
  </si>
  <si>
    <t>103.765600</t>
  </si>
  <si>
    <t>32167.34</t>
  </si>
  <si>
    <t>105.738800</t>
  </si>
  <si>
    <t>29606.86</t>
  </si>
  <si>
    <t>95.575640</t>
  </si>
  <si>
    <t>27716.94</t>
  </si>
  <si>
    <t>99.763442</t>
  </si>
  <si>
    <t>29929.03</t>
  </si>
  <si>
    <t>104.062017</t>
  </si>
  <si>
    <t>30177.98</t>
  </si>
  <si>
    <t>97.045388</t>
  </si>
  <si>
    <t>32024.98</t>
  </si>
  <si>
    <t>25000.00000000</t>
  </si>
  <si>
    <t>100.895500</t>
  </si>
  <si>
    <t>25223.88</t>
  </si>
  <si>
    <t>0.46%</t>
  </si>
  <si>
    <t>99.825360</t>
  </si>
  <si>
    <t>24956.34</t>
  </si>
  <si>
    <t>103.008700</t>
  </si>
  <si>
    <t>25752.18</t>
  </si>
  <si>
    <t>90.577017</t>
  </si>
  <si>
    <t>28078.88</t>
  </si>
  <si>
    <t>0.51%</t>
  </si>
  <si>
    <t>104.798800</t>
  </si>
  <si>
    <t>29343.66</t>
  </si>
  <si>
    <t>35000.00000000</t>
  </si>
  <si>
    <t>99.538700</t>
  </si>
  <si>
    <t>34838.55</t>
  </si>
  <si>
    <t>97.528014</t>
  </si>
  <si>
    <t>29258.40</t>
  </si>
  <si>
    <t>98.321670</t>
  </si>
  <si>
    <t>30479.72</t>
  </si>
  <si>
    <t>105.396351</t>
  </si>
  <si>
    <t>28457.01</t>
  </si>
  <si>
    <t>99.929590</t>
  </si>
  <si>
    <t>31977.47</t>
  </si>
  <si>
    <t>99.809211</t>
  </si>
  <si>
    <t>28944.67</t>
  </si>
  <si>
    <t>101.627700</t>
  </si>
  <si>
    <t>24390.65</t>
  </si>
  <si>
    <t>0.44%</t>
  </si>
  <si>
    <t>101.786899</t>
  </si>
  <si>
    <t>30536.07</t>
  </si>
  <si>
    <t>97.012140</t>
  </si>
  <si>
    <t>30073.76</t>
  </si>
  <si>
    <t>100.125160</t>
  </si>
  <si>
    <t>24030.04</t>
  </si>
  <si>
    <t>96.779530</t>
  </si>
  <si>
    <t>25162.68</t>
  </si>
  <si>
    <t>100.275867</t>
  </si>
  <si>
    <t>29080.00</t>
  </si>
  <si>
    <t>103.580312</t>
  </si>
  <si>
    <t>24859.27</t>
  </si>
  <si>
    <t>23000.00000000</t>
  </si>
  <si>
    <t>102.855862</t>
  </si>
  <si>
    <t>23656.85</t>
  </si>
  <si>
    <t>103.629500</t>
  </si>
  <si>
    <t>25907.38</t>
  </si>
  <si>
    <t>102.954500</t>
  </si>
  <si>
    <t>25738.63</t>
  </si>
  <si>
    <t>37000.00000000</t>
  </si>
  <si>
    <t>93.016987</t>
  </si>
  <si>
    <t>34416.29</t>
  </si>
  <si>
    <t>101.780000</t>
  </si>
  <si>
    <t>29516.20</t>
  </si>
  <si>
    <t>102.806300</t>
  </si>
  <si>
    <t>28785.76</t>
  </si>
  <si>
    <t>100.157300</t>
  </si>
  <si>
    <t>29045.62</t>
  </si>
  <si>
    <t>101.026100</t>
  </si>
  <si>
    <t>29297.57</t>
  </si>
  <si>
    <t>101.772300</t>
  </si>
  <si>
    <t>30531.69</t>
  </si>
  <si>
    <t>99.544540</t>
  </si>
  <si>
    <t>28867.92</t>
  </si>
  <si>
    <t>100.149911</t>
  </si>
  <si>
    <t>26038.98</t>
  </si>
  <si>
    <t>105.561000</t>
  </si>
  <si>
    <t>27445.86</t>
  </si>
  <si>
    <t>103.559000</t>
  </si>
  <si>
    <t>28996.52</t>
  </si>
  <si>
    <t>103.547600</t>
  </si>
  <si>
    <t>30028.80</t>
  </si>
  <si>
    <t>99.338179</t>
  </si>
  <si>
    <t>28808.07</t>
  </si>
  <si>
    <t>103.095528</t>
  </si>
  <si>
    <t>28866.75</t>
  </si>
  <si>
    <t>103.486700</t>
  </si>
  <si>
    <t>30011.14</t>
  </si>
  <si>
    <t>99.990924</t>
  </si>
  <si>
    <t>24997.73</t>
  </si>
  <si>
    <t>95.553281</t>
  </si>
  <si>
    <t>22932.79</t>
  </si>
  <si>
    <t>97.200720</t>
  </si>
  <si>
    <t>30132.22</t>
  </si>
  <si>
    <t>104.265300</t>
  </si>
  <si>
    <t>29194.28</t>
  </si>
  <si>
    <t>97.278230</t>
  </si>
  <si>
    <t>30156.25</t>
  </si>
  <si>
    <t>101.828400</t>
  </si>
  <si>
    <t>25457.10</t>
  </si>
  <si>
    <t>102.278500</t>
  </si>
  <si>
    <t>28637.98</t>
  </si>
  <si>
    <t>102.249500</t>
  </si>
  <si>
    <t>26584.87</t>
  </si>
  <si>
    <t>0.48%</t>
  </si>
  <si>
    <t>104.097700</t>
  </si>
  <si>
    <t>28106.38</t>
  </si>
  <si>
    <t>99.431540</t>
  </si>
  <si>
    <t>28835.15</t>
  </si>
  <si>
    <t>97.849470</t>
  </si>
  <si>
    <t>29354.84</t>
  </si>
  <si>
    <t>102.718600</t>
  </si>
  <si>
    <t>26706.84</t>
  </si>
  <si>
    <t>98.378142</t>
  </si>
  <si>
    <t>25578.32</t>
  </si>
  <si>
    <t>100.563300</t>
  </si>
  <si>
    <t>29163.36</t>
  </si>
  <si>
    <t>99.140110</t>
  </si>
  <si>
    <t>29742.03</t>
  </si>
  <si>
    <t>97.083000</t>
  </si>
  <si>
    <t>29124.90</t>
  </si>
  <si>
    <t>98.062906</t>
  </si>
  <si>
    <t>30399.50</t>
  </si>
  <si>
    <t>97.859790</t>
  </si>
  <si>
    <t>29357.94</t>
  </si>
  <si>
    <t>98.255250</t>
  </si>
  <si>
    <t>24563.81</t>
  </si>
  <si>
    <t>103.354400</t>
  </si>
  <si>
    <t>29972.78</t>
  </si>
  <si>
    <t>105.398700</t>
  </si>
  <si>
    <t>30565.62</t>
  </si>
  <si>
    <t>102.350100</t>
  </si>
  <si>
    <t>23540.52</t>
  </si>
  <si>
    <t>99.902750</t>
  </si>
  <si>
    <t>24975.69</t>
  </si>
  <si>
    <t>101.759100</t>
  </si>
  <si>
    <t>26457.37</t>
  </si>
  <si>
    <t>99.744410</t>
  </si>
  <si>
    <t>29923.32</t>
  </si>
  <si>
    <t>99.876400</t>
  </si>
  <si>
    <t>28964.16</t>
  </si>
  <si>
    <t>99.889080</t>
  </si>
  <si>
    <t>28967.83</t>
  </si>
  <si>
    <t>93.183310</t>
  </si>
  <si>
    <t>28886.83</t>
  </si>
  <si>
    <t>98.705154</t>
  </si>
  <si>
    <t>28624.49</t>
  </si>
  <si>
    <t>100.011431</t>
  </si>
  <si>
    <t>25002.86</t>
  </si>
  <si>
    <t>100.170096</t>
  </si>
  <si>
    <t>27045.93</t>
  </si>
  <si>
    <t>96.866510</t>
  </si>
  <si>
    <t>29059.95</t>
  </si>
  <si>
    <t>36000.00000000</t>
  </si>
  <si>
    <t>84.191470</t>
  </si>
  <si>
    <t>30308.93</t>
  </si>
  <si>
    <t>99.688620</t>
  </si>
  <si>
    <t>29906.59</t>
  </si>
  <si>
    <t>98.401910</t>
  </si>
  <si>
    <t>25584.50</t>
  </si>
  <si>
    <t>104.066400</t>
  </si>
  <si>
    <t>28097.93</t>
  </si>
  <si>
    <t>34000.00000000</t>
  </si>
  <si>
    <t>85.078585</t>
  </si>
  <si>
    <t>28926.72</t>
  </si>
  <si>
    <t>98.883490</t>
  </si>
  <si>
    <t>29665.05</t>
  </si>
  <si>
    <t>100.461126</t>
  </si>
  <si>
    <t>30138.34</t>
  </si>
  <si>
    <t>101.335300</t>
  </si>
  <si>
    <t>29387.24</t>
  </si>
  <si>
    <t>103.707289</t>
  </si>
  <si>
    <t>30075.11</t>
  </si>
  <si>
    <t>96.095150</t>
  </si>
  <si>
    <t>24984.74</t>
  </si>
  <si>
    <t>104.227641</t>
  </si>
  <si>
    <t>29183.74</t>
  </si>
  <si>
    <t>98.379440</t>
  </si>
  <si>
    <t>29513.83</t>
  </si>
  <si>
    <t>99.316408</t>
  </si>
  <si>
    <t>26815.43</t>
  </si>
  <si>
    <t>98.549160</t>
  </si>
  <si>
    <t>33506.71</t>
  </si>
  <si>
    <t>22660.00000000</t>
  </si>
  <si>
    <t>108.576900</t>
  </si>
  <si>
    <t>24603.53</t>
  </si>
  <si>
    <t>97.238360</t>
  </si>
  <si>
    <t>30143.89</t>
  </si>
  <si>
    <t>99.531480</t>
  </si>
  <si>
    <t>28864.13</t>
  </si>
  <si>
    <t>95.695843</t>
  </si>
  <si>
    <t>23923.96</t>
  </si>
  <si>
    <t>103.975500</t>
  </si>
  <si>
    <t>32232.41</t>
  </si>
  <si>
    <t>101.519000</t>
  </si>
  <si>
    <t>30455.70</t>
  </si>
  <si>
    <t>21000.00000000</t>
  </si>
  <si>
    <t>104.682000</t>
  </si>
  <si>
    <t>21983.22</t>
  </si>
  <si>
    <t>0.40%</t>
  </si>
  <si>
    <t>97.940507</t>
  </si>
  <si>
    <t>30361.56</t>
  </si>
  <si>
    <t>103.599300</t>
  </si>
  <si>
    <t>30043.80</t>
  </si>
  <si>
    <t>98.580196</t>
  </si>
  <si>
    <t>31545.66</t>
  </si>
  <si>
    <t>100.645200</t>
  </si>
  <si>
    <t>29187.11</t>
  </si>
  <si>
    <t>96.644130</t>
  </si>
  <si>
    <t>26093.92</t>
  </si>
  <si>
    <t>99.883685</t>
  </si>
  <si>
    <t>23972.08</t>
  </si>
  <si>
    <t>99.989699</t>
  </si>
  <si>
    <t>28997.01</t>
  </si>
  <si>
    <t>94.514440</t>
  </si>
  <si>
    <t>23628.61</t>
  </si>
  <si>
    <t>38000.00000000</t>
  </si>
  <si>
    <t>91.389670</t>
  </si>
  <si>
    <t>34728.07</t>
  </si>
  <si>
    <t>99.521250</t>
  </si>
  <si>
    <t>29856.38</t>
  </si>
  <si>
    <t>101.611500</t>
  </si>
  <si>
    <t>28451.22</t>
  </si>
  <si>
    <t>100.108866</t>
  </si>
  <si>
    <t>31033.75</t>
  </si>
  <si>
    <t>100.521200</t>
  </si>
  <si>
    <t>27140.72</t>
  </si>
  <si>
    <t>98.289000</t>
  </si>
  <si>
    <t>29486.70</t>
  </si>
  <si>
    <t>87.169320</t>
  </si>
  <si>
    <t>28765.88</t>
  </si>
  <si>
    <t>100.232500</t>
  </si>
  <si>
    <t>29067.43</t>
  </si>
  <si>
    <t>89.296500</t>
  </si>
  <si>
    <t>33932.67</t>
  </si>
  <si>
    <t>100.558900</t>
  </si>
  <si>
    <t>28156.49</t>
  </si>
  <si>
    <t>91.776290</t>
  </si>
  <si>
    <t>30286.18</t>
  </si>
  <si>
    <t>104.732400</t>
  </si>
  <si>
    <t>30372.40</t>
  </si>
  <si>
    <t>93.159330</t>
  </si>
  <si>
    <t>29810.99</t>
  </si>
  <si>
    <t>108.804125</t>
  </si>
  <si>
    <t>26112.99</t>
  </si>
  <si>
    <t>103.413600</t>
  </si>
  <si>
    <t>28955.81</t>
  </si>
  <si>
    <t>102.377200</t>
  </si>
  <si>
    <t>29689.39</t>
  </si>
  <si>
    <t>99.319951</t>
  </si>
  <si>
    <t>23836.79</t>
  </si>
  <si>
    <t>102.451000</t>
  </si>
  <si>
    <t>29710.79</t>
  </si>
  <si>
    <t>100.201400</t>
  </si>
  <si>
    <t>25050.35</t>
  </si>
  <si>
    <t>99.057202</t>
  </si>
  <si>
    <t>25754.87</t>
  </si>
  <si>
    <t>104.976200</t>
  </si>
  <si>
    <t>34642.15</t>
  </si>
  <si>
    <t>99.586760</t>
  </si>
  <si>
    <t>29876.03</t>
  </si>
  <si>
    <t>101.992500</t>
  </si>
  <si>
    <t>29577.83</t>
  </si>
  <si>
    <t>97.788370</t>
  </si>
  <si>
    <t>29336.51</t>
  </si>
  <si>
    <t>93.052410</t>
  </si>
  <si>
    <t>21402.05</t>
  </si>
  <si>
    <t>0.39%</t>
  </si>
  <si>
    <t>99.701840</t>
  </si>
  <si>
    <t>24925.46</t>
  </si>
  <si>
    <t>100.233200</t>
  </si>
  <si>
    <t>25058.30</t>
  </si>
  <si>
    <t>101.053600</t>
  </si>
  <si>
    <t>28295.01</t>
  </si>
  <si>
    <t>98.097613</t>
  </si>
  <si>
    <t>29429.28</t>
  </si>
  <si>
    <t>99.251130</t>
  </si>
  <si>
    <t>30767.85</t>
  </si>
  <si>
    <t>98.059180</t>
  </si>
  <si>
    <t>24514.80</t>
  </si>
  <si>
    <t>100.146000</t>
  </si>
  <si>
    <t>100.182442</t>
  </si>
  <si>
    <t>29052.91</t>
  </si>
  <si>
    <t>94.791020</t>
  </si>
  <si>
    <t>23697.76</t>
  </si>
  <si>
    <t>103.632800</t>
  </si>
  <si>
    <t>22799.22</t>
  </si>
  <si>
    <t>104.503600</t>
  </si>
  <si>
    <t>24035.83</t>
  </si>
  <si>
    <t>98.469590</t>
  </si>
  <si>
    <t>29540.88</t>
  </si>
  <si>
    <t>104.835600</t>
  </si>
  <si>
    <t>27257.26</t>
  </si>
  <si>
    <t>104.279300</t>
  </si>
  <si>
    <t>29198.20</t>
  </si>
  <si>
    <t>102.089800</t>
  </si>
  <si>
    <t>28585.14</t>
  </si>
  <si>
    <t>100.064490</t>
  </si>
  <si>
    <t>25016.12</t>
  </si>
  <si>
    <t>105.638400</t>
  </si>
  <si>
    <t>28522.37</t>
  </si>
  <si>
    <t>100.040680</t>
  </si>
  <si>
    <t>25010.17</t>
  </si>
  <si>
    <t>99.839190</t>
  </si>
  <si>
    <t>29951.76</t>
  </si>
  <si>
    <t>96.273540</t>
  </si>
  <si>
    <t>29844.80</t>
  </si>
  <si>
    <t>100.435218</t>
  </si>
  <si>
    <t>26113.16</t>
  </si>
  <si>
    <t>100.438500</t>
  </si>
  <si>
    <t>30131.55</t>
  </si>
  <si>
    <t>107.320200</t>
  </si>
  <si>
    <t>28976.45</t>
  </si>
  <si>
    <t>101.671700</t>
  </si>
  <si>
    <t>26434.64</t>
  </si>
  <si>
    <t>103.272900</t>
  </si>
  <si>
    <t>29949.14</t>
  </si>
  <si>
    <t>98.605600</t>
  </si>
  <si>
    <t>29581.68</t>
  </si>
  <si>
    <t>97.083840</t>
  </si>
  <si>
    <t>23300.12</t>
  </si>
  <si>
    <t>99.219711</t>
  </si>
  <si>
    <t>28773.72</t>
  </si>
  <si>
    <t>100.136600</t>
  </si>
  <si>
    <t>28038.25</t>
  </si>
  <si>
    <t>91.254600</t>
  </si>
  <si>
    <t>29201.47</t>
  </si>
  <si>
    <t>99.952500</t>
  </si>
  <si>
    <t>25987.65</t>
  </si>
  <si>
    <t>102.363000</t>
  </si>
  <si>
    <t>29685.27</t>
  </si>
  <si>
    <t>78.918460</t>
  </si>
  <si>
    <t>28410.65</t>
  </si>
  <si>
    <t>95.241010</t>
  </si>
  <si>
    <t>30477.12</t>
  </si>
  <si>
    <t>103.728300</t>
  </si>
  <si>
    <t>30081.21</t>
  </si>
  <si>
    <t>105.293300</t>
  </si>
  <si>
    <t>24217.46</t>
  </si>
  <si>
    <t>105.941300</t>
  </si>
  <si>
    <t>28604.15</t>
  </si>
  <si>
    <t>19913.36000000</t>
  </si>
  <si>
    <t>19913.36</t>
  </si>
  <si>
    <t>0.36%</t>
  </si>
  <si>
    <t>91814.63000000</t>
  </si>
  <si>
    <t>91814.63</t>
  </si>
  <si>
    <t>1.67%</t>
  </si>
  <si>
    <t>2000.00000000</t>
  </si>
  <si>
    <t>107.429688</t>
  </si>
  <si>
    <t>2148.59</t>
  </si>
  <si>
    <t>0.10%</t>
  </si>
  <si>
    <t>2258901.00</t>
  </si>
  <si>
    <t>90000</t>
  </si>
  <si>
    <t>9.000000000000</t>
  </si>
  <si>
    <t>5000.00000000</t>
  </si>
  <si>
    <t>105.125000</t>
  </si>
  <si>
    <t>5256.25</t>
  </si>
  <si>
    <t>92.673828</t>
  </si>
  <si>
    <t>19461.50</t>
  </si>
  <si>
    <t>16000.00000000</t>
  </si>
  <si>
    <t>92.503906</t>
  </si>
  <si>
    <t>14800.62</t>
  </si>
  <si>
    <t>91.113281</t>
  </si>
  <si>
    <t>24600.59</t>
  </si>
  <si>
    <t>1.09%</t>
  </si>
  <si>
    <t>87.396484</t>
  </si>
  <si>
    <t>31462.73</t>
  </si>
  <si>
    <t>48000.00000000</t>
  </si>
  <si>
    <t>86.640625</t>
  </si>
  <si>
    <t>41587.50</t>
  </si>
  <si>
    <t>1.84%</t>
  </si>
  <si>
    <t>50000.00000000</t>
  </si>
  <si>
    <t>86.890625</t>
  </si>
  <si>
    <t>43445.31</t>
  </si>
  <si>
    <t>1.92%</t>
  </si>
  <si>
    <t>87.292969</t>
  </si>
  <si>
    <t>41900.63</t>
  </si>
  <si>
    <t>88.763672</t>
  </si>
  <si>
    <t>42606.56</t>
  </si>
  <si>
    <t>52000.00000000</t>
  </si>
  <si>
    <t>86.470703</t>
  </si>
  <si>
    <t>44964.77</t>
  </si>
  <si>
    <t>1.99%</t>
  </si>
  <si>
    <t>86.433594</t>
  </si>
  <si>
    <t>43216.80</t>
  </si>
  <si>
    <t>1.91%</t>
  </si>
  <si>
    <t>88.300781</t>
  </si>
  <si>
    <t>42384.37</t>
  </si>
  <si>
    <t>1.88%</t>
  </si>
  <si>
    <t>40000.00000000</t>
  </si>
  <si>
    <t>92.960938</t>
  </si>
  <si>
    <t>37184.38</t>
  </si>
  <si>
    <t>18000.00000000</t>
  </si>
  <si>
    <t>96.169922</t>
  </si>
  <si>
    <t>17310.59</t>
  </si>
  <si>
    <t>97.470703</t>
  </si>
  <si>
    <t>17544.73</t>
  </si>
  <si>
    <t>95.601562</t>
  </si>
  <si>
    <t>15296.25</t>
  </si>
  <si>
    <t>46000.00000000</t>
  </si>
  <si>
    <t>91.960938</t>
  </si>
  <si>
    <t>42302.03</t>
  </si>
  <si>
    <t>1.87%</t>
  </si>
  <si>
    <t>96.949219</t>
  </si>
  <si>
    <t>15511.88</t>
  </si>
  <si>
    <t>99.148438</t>
  </si>
  <si>
    <t>15863.75</t>
  </si>
  <si>
    <t>0.70%</t>
  </si>
  <si>
    <t>99.496094</t>
  </si>
  <si>
    <t>15919.38</t>
  </si>
  <si>
    <t>99.269531</t>
  </si>
  <si>
    <t>45663.98</t>
  </si>
  <si>
    <t>2.02%</t>
  </si>
  <si>
    <t>99.093750</t>
  </si>
  <si>
    <t>15855.00</t>
  </si>
  <si>
    <t>99.070312</t>
  </si>
  <si>
    <t>15851.25</t>
  </si>
  <si>
    <t>97.804688</t>
  </si>
  <si>
    <t>15648.75</t>
  </si>
  <si>
    <t>95.570312</t>
  </si>
  <si>
    <t>43962.34</t>
  </si>
  <si>
    <t>1.95%</t>
  </si>
  <si>
    <t>99.447266</t>
  </si>
  <si>
    <t>37789.96</t>
  </si>
  <si>
    <t>98.128906</t>
  </si>
  <si>
    <t>15700.62</t>
  </si>
  <si>
    <t>97.638672</t>
  </si>
  <si>
    <t>15622.19</t>
  </si>
  <si>
    <t>44000.00000000</t>
  </si>
  <si>
    <t>94.613281</t>
  </si>
  <si>
    <t>41629.84</t>
  </si>
  <si>
    <t>98.490234</t>
  </si>
  <si>
    <t>15758.44</t>
  </si>
  <si>
    <t>98.443359</t>
  </si>
  <si>
    <t>15750.94</t>
  </si>
  <si>
    <t>99.349609</t>
  </si>
  <si>
    <t>15895.94</t>
  </si>
  <si>
    <t>99.787109</t>
  </si>
  <si>
    <t>15965.94</t>
  </si>
  <si>
    <t>101.734375</t>
  </si>
  <si>
    <t>16277.50</t>
  </si>
  <si>
    <t>0.72%</t>
  </si>
  <si>
    <t>102.734375</t>
  </si>
  <si>
    <t>18492.19</t>
  </si>
  <si>
    <t>100.775391</t>
  </si>
  <si>
    <t>18139.57</t>
  </si>
  <si>
    <t>98.228516</t>
  </si>
  <si>
    <t>17681.13</t>
  </si>
  <si>
    <t>99.232422</t>
  </si>
  <si>
    <t>17861.84</t>
  </si>
  <si>
    <t>0.79%</t>
  </si>
  <si>
    <t>100.275391</t>
  </si>
  <si>
    <t>18049.57</t>
  </si>
  <si>
    <t>20000.00000000</t>
  </si>
  <si>
    <t>99.732422</t>
  </si>
  <si>
    <t>19946.48</t>
  </si>
  <si>
    <t>101.898438</t>
  </si>
  <si>
    <t>20379.69</t>
  </si>
  <si>
    <t>0.90%</t>
  </si>
  <si>
    <t>100.939453</t>
  </si>
  <si>
    <t>32300.62</t>
  </si>
  <si>
    <t>101.912109</t>
  </si>
  <si>
    <t>20382.42</t>
  </si>
  <si>
    <t>100.253906</t>
  </si>
  <si>
    <t>21053.32</t>
  </si>
  <si>
    <t>100.259766</t>
  </si>
  <si>
    <t>27070.14</t>
  </si>
  <si>
    <t>99.552734</t>
  </si>
  <si>
    <t>31856.87</t>
  </si>
  <si>
    <t>99.677734</t>
  </si>
  <si>
    <t>19935.55</t>
  </si>
  <si>
    <t>97.906250</t>
  </si>
  <si>
    <t>20560.31</t>
  </si>
  <si>
    <t>98.427734</t>
  </si>
  <si>
    <t>31496.87</t>
  </si>
  <si>
    <t>97.300781</t>
  </si>
  <si>
    <t>20433.16</t>
  </si>
  <si>
    <t>98.011719</t>
  </si>
  <si>
    <t>31363.75</t>
  </si>
  <si>
    <t>99.886719</t>
  </si>
  <si>
    <t>31963.75</t>
  </si>
  <si>
    <t>99.607422</t>
  </si>
  <si>
    <t>19921.48</t>
  </si>
  <si>
    <t>99.589844</t>
  </si>
  <si>
    <t>20913.87</t>
  </si>
  <si>
    <t>99.890625</t>
  </si>
  <si>
    <t>31965.00</t>
  </si>
  <si>
    <t>101.408203</t>
  </si>
  <si>
    <t>21295.72</t>
  </si>
  <si>
    <t>0.94%</t>
  </si>
  <si>
    <t>100.695312</t>
  </si>
  <si>
    <t>32222.50</t>
  </si>
  <si>
    <t>100.267578</t>
  </si>
  <si>
    <t>32085.62</t>
  </si>
  <si>
    <t>100.765625</t>
  </si>
  <si>
    <t>20153.13</t>
  </si>
  <si>
    <t>0.89%</t>
  </si>
  <si>
    <t>99.519531</t>
  </si>
  <si>
    <t>19903.91</t>
  </si>
  <si>
    <t>99.494141</t>
  </si>
  <si>
    <t>19898.83</t>
  </si>
  <si>
    <t>99.427734</t>
  </si>
  <si>
    <t>31816.87</t>
  </si>
  <si>
    <t>98.966797</t>
  </si>
  <si>
    <t>31669.38</t>
  </si>
  <si>
    <t>1.40%</t>
  </si>
  <si>
    <t>98.814453</t>
  </si>
  <si>
    <t>19762.89</t>
  </si>
  <si>
    <t>0.87%</t>
  </si>
  <si>
    <t>99.431641</t>
  </si>
  <si>
    <t>19886.33</t>
  </si>
  <si>
    <t>99.388672</t>
  </si>
  <si>
    <t>31804.38</t>
  </si>
  <si>
    <t>98.757812</t>
  </si>
  <si>
    <t>19751.56</t>
  </si>
  <si>
    <t>98.906250</t>
  </si>
  <si>
    <t>31650.00</t>
  </si>
  <si>
    <t>98.890625</t>
  </si>
  <si>
    <t>31645.00</t>
  </si>
  <si>
    <t>98.701172</t>
  </si>
  <si>
    <t>20727.25</t>
  </si>
  <si>
    <t>0.92%</t>
  </si>
  <si>
    <t>97.992188</t>
  </si>
  <si>
    <t>20578.36</t>
  </si>
  <si>
    <t>97.892578</t>
  </si>
  <si>
    <t>31325.62</t>
  </si>
  <si>
    <t>97.949219</t>
  </si>
  <si>
    <t>19589.84</t>
  </si>
  <si>
    <t>97.871094</t>
  </si>
  <si>
    <t>31318.75</t>
  </si>
  <si>
    <t>97.816406</t>
  </si>
  <si>
    <t>31301.25</t>
  </si>
  <si>
    <t>97.207031</t>
  </si>
  <si>
    <t>19441.41</t>
  </si>
  <si>
    <t>97.162109</t>
  </si>
  <si>
    <t>19432.42</t>
  </si>
  <si>
    <t>97.279297</t>
  </si>
  <si>
    <t>31129.38</t>
  </si>
  <si>
    <t>97.814453</t>
  </si>
  <si>
    <t>19562.89</t>
  </si>
  <si>
    <t>97.734375</t>
  </si>
  <si>
    <t>31275.00</t>
  </si>
  <si>
    <t>98.201172</t>
  </si>
  <si>
    <t>31424.38</t>
  </si>
  <si>
    <t>98.480469</t>
  </si>
  <si>
    <t>20680.90</t>
  </si>
  <si>
    <t>97.019531</t>
  </si>
  <si>
    <t>19403.91</t>
  </si>
  <si>
    <t>97.148438</t>
  </si>
  <si>
    <t>31087.50</t>
  </si>
  <si>
    <t>99.859375</t>
  </si>
  <si>
    <t>19971.88</t>
  </si>
  <si>
    <t>98.679688</t>
  </si>
  <si>
    <t>23683.13</t>
  </si>
  <si>
    <t>98.656250</t>
  </si>
  <si>
    <t>31570.00</t>
  </si>
  <si>
    <t>99.078125</t>
  </si>
  <si>
    <t>20806.41</t>
  </si>
  <si>
    <t>6410.17000000</t>
  </si>
  <si>
    <t>6410.17</t>
  </si>
  <si>
    <t>0.28%</t>
  </si>
  <si>
    <t>20935.39000000</t>
  </si>
  <si>
    <t>20935.39</t>
  </si>
  <si>
    <t>39000.00000000</t>
  </si>
  <si>
    <t>95.598323</t>
  </si>
  <si>
    <t>37283.35</t>
  </si>
  <si>
    <t>4258415.00</t>
  </si>
  <si>
    <t>170000</t>
  </si>
  <si>
    <t>17.000000000000</t>
  </si>
  <si>
    <t>97.502415</t>
  </si>
  <si>
    <t>20475.51</t>
  </si>
  <si>
    <t>95.786344</t>
  </si>
  <si>
    <t>20115.13</t>
  </si>
  <si>
    <t>92.399638</t>
  </si>
  <si>
    <t>20327.92</t>
  </si>
  <si>
    <t>99.922085</t>
  </si>
  <si>
    <t>19984.42</t>
  </si>
  <si>
    <t>98.756437</t>
  </si>
  <si>
    <t>19751.29</t>
  </si>
  <si>
    <t>96.828824</t>
  </si>
  <si>
    <t>20334.05</t>
  </si>
  <si>
    <t>98.327981</t>
  </si>
  <si>
    <t>20648.88</t>
  </si>
  <si>
    <t>100.369950</t>
  </si>
  <si>
    <t>20073.99</t>
  </si>
  <si>
    <t>13000.00000000</t>
  </si>
  <si>
    <t>98.585231</t>
  </si>
  <si>
    <t>12816.08</t>
  </si>
  <si>
    <t>0.30%</t>
  </si>
  <si>
    <t>100.265853</t>
  </si>
  <si>
    <t>20053.17</t>
  </si>
  <si>
    <t>98.464219</t>
  </si>
  <si>
    <t>20677.49</t>
  </si>
  <si>
    <t>100.993918</t>
  </si>
  <si>
    <t>20198.78</t>
  </si>
  <si>
    <t>99.901839</t>
  </si>
  <si>
    <t>19980.37</t>
  </si>
  <si>
    <t>41000.00000000</t>
  </si>
  <si>
    <t>96.541255</t>
  </si>
  <si>
    <t>39581.91</t>
  </si>
  <si>
    <t>90.808484</t>
  </si>
  <si>
    <t>19977.87</t>
  </si>
  <si>
    <t>88.916288</t>
  </si>
  <si>
    <t>20450.75</t>
  </si>
  <si>
    <t>95.677443</t>
  </si>
  <si>
    <t>20092.26</t>
  </si>
  <si>
    <t>19000.00000000</t>
  </si>
  <si>
    <t>100.751152</t>
  </si>
  <si>
    <t>19142.72</t>
  </si>
  <si>
    <t>100.905651</t>
  </si>
  <si>
    <t>20181.13</t>
  </si>
  <si>
    <t>99.360915</t>
  </si>
  <si>
    <t>20865.79</t>
  </si>
  <si>
    <t>97.237900</t>
  </si>
  <si>
    <t>20419.96</t>
  </si>
  <si>
    <t>105.717820</t>
  </si>
  <si>
    <t>20086.39</t>
  </si>
  <si>
    <t>12000.00000000</t>
  </si>
  <si>
    <t>102.057818</t>
  </si>
  <si>
    <t>12246.94</t>
  </si>
  <si>
    <t>0.29%</t>
  </si>
  <si>
    <t>99.900806</t>
  </si>
  <si>
    <t>18981.15</t>
  </si>
  <si>
    <t>75000.00000000</t>
  </si>
  <si>
    <t>98.383237</t>
  </si>
  <si>
    <t>73787.43</t>
  </si>
  <si>
    <t>1.73%</t>
  </si>
  <si>
    <t>90.746179</t>
  </si>
  <si>
    <t>19056.70</t>
  </si>
  <si>
    <t>101.111831</t>
  </si>
  <si>
    <t>20222.37</t>
  </si>
  <si>
    <t>100.977536</t>
  </si>
  <si>
    <t>20195.51</t>
  </si>
  <si>
    <t>101.190393</t>
  </si>
  <si>
    <t>36428.54</t>
  </si>
  <si>
    <t>15000.00000000</t>
  </si>
  <si>
    <t>101.578884</t>
  </si>
  <si>
    <t>15236.83</t>
  </si>
  <si>
    <t>92.690470</t>
  </si>
  <si>
    <t>20391.90</t>
  </si>
  <si>
    <t>98.623362</t>
  </si>
  <si>
    <t>20710.91</t>
  </si>
  <si>
    <t>99.640722</t>
  </si>
  <si>
    <t>19928.14</t>
  </si>
  <si>
    <t>101.349453</t>
  </si>
  <si>
    <t>18242.90</t>
  </si>
  <si>
    <t>14000.00000000</t>
  </si>
  <si>
    <t>92.822598</t>
  </si>
  <si>
    <t>12995.16</t>
  </si>
  <si>
    <t>0.31%</t>
  </si>
  <si>
    <t>99.387371</t>
  </si>
  <si>
    <t>14908.11</t>
  </si>
  <si>
    <t>0.35%</t>
  </si>
  <si>
    <t>17000.00000000</t>
  </si>
  <si>
    <t>118.478998</t>
  </si>
  <si>
    <t>20141.43</t>
  </si>
  <si>
    <t>98.586127</t>
  </si>
  <si>
    <t>20703.09</t>
  </si>
  <si>
    <t>99.099654</t>
  </si>
  <si>
    <t>14864.95</t>
  </si>
  <si>
    <t>99.258602</t>
  </si>
  <si>
    <t>20844.31</t>
  </si>
  <si>
    <t>99.594686</t>
  </si>
  <si>
    <t>19918.94</t>
  </si>
  <si>
    <t>97.682440</t>
  </si>
  <si>
    <t>19536.49</t>
  </si>
  <si>
    <t>99.502336</t>
  </si>
  <si>
    <t>12935.30</t>
  </si>
  <si>
    <t>100.931544</t>
  </si>
  <si>
    <t>20186.31</t>
  </si>
  <si>
    <t>98.903874</t>
  </si>
  <si>
    <t>13846.54</t>
  </si>
  <si>
    <t>0.33%</t>
  </si>
  <si>
    <t>96.282367</t>
  </si>
  <si>
    <t>13479.53</t>
  </si>
  <si>
    <t>102.856736</t>
  </si>
  <si>
    <t>19542.78</t>
  </si>
  <si>
    <t>101.206956</t>
  </si>
  <si>
    <t>20241.39</t>
  </si>
  <si>
    <t>99.542890</t>
  </si>
  <si>
    <t>20904.01</t>
  </si>
  <si>
    <t>92.101104</t>
  </si>
  <si>
    <t>20262.24</t>
  </si>
  <si>
    <t>101.184506</t>
  </si>
  <si>
    <t>14165.83</t>
  </si>
  <si>
    <t>101.810912</t>
  </si>
  <si>
    <t>20362.18</t>
  </si>
  <si>
    <t>99.919543</t>
  </si>
  <si>
    <t>15987.13</t>
  </si>
  <si>
    <t>0.38%</t>
  </si>
  <si>
    <t>98.772375</t>
  </si>
  <si>
    <t>26668.54</t>
  </si>
  <si>
    <t>102.487522</t>
  </si>
  <si>
    <t>20497.50</t>
  </si>
  <si>
    <t>98.149517</t>
  </si>
  <si>
    <t>20611.40</t>
  </si>
  <si>
    <t>100.061069</t>
  </si>
  <si>
    <t>20012.21</t>
  </si>
  <si>
    <t>97.703395</t>
  </si>
  <si>
    <t>16609.58</t>
  </si>
  <si>
    <t>98.762749</t>
  </si>
  <si>
    <t>20740.18</t>
  </si>
  <si>
    <t>101.205608</t>
  </si>
  <si>
    <t>20241.12</t>
  </si>
  <si>
    <t>11000.00000000</t>
  </si>
  <si>
    <t>100.752243</t>
  </si>
  <si>
    <t>11082.75</t>
  </si>
  <si>
    <t>104.642999</t>
  </si>
  <si>
    <t>12557.16</t>
  </si>
  <si>
    <t>92.467608</t>
  </si>
  <si>
    <t>20342.87</t>
  </si>
  <si>
    <t>42000.00000000</t>
  </si>
  <si>
    <t>95.538698</t>
  </si>
  <si>
    <t>40126.25</t>
  </si>
  <si>
    <t>99.282269</t>
  </si>
  <si>
    <t>20849.28</t>
  </si>
  <si>
    <t>98.902221</t>
  </si>
  <si>
    <t>20769.47</t>
  </si>
  <si>
    <t>99.170466</t>
  </si>
  <si>
    <t>19834.09</t>
  </si>
  <si>
    <t>100.623584</t>
  </si>
  <si>
    <t>19118.48</t>
  </si>
  <si>
    <t>98.601911</t>
  </si>
  <si>
    <t>11832.23</t>
  </si>
  <si>
    <t>92.940205</t>
  </si>
  <si>
    <t>20446.85</t>
  </si>
  <si>
    <t>102.997121</t>
  </si>
  <si>
    <t>33989.05</t>
  </si>
  <si>
    <t>100.456331</t>
  </si>
  <si>
    <t>20091.27</t>
  </si>
  <si>
    <t>101.448317</t>
  </si>
  <si>
    <t>11159.31</t>
  </si>
  <si>
    <t>95.889138</t>
  </si>
  <si>
    <t>20136.72</t>
  </si>
  <si>
    <t>101.178791</t>
  </si>
  <si>
    <t>39459.73</t>
  </si>
  <si>
    <t>102.497220</t>
  </si>
  <si>
    <t>20499.44</t>
  </si>
  <si>
    <t>96.845472</t>
  </si>
  <si>
    <t>20337.55</t>
  </si>
  <si>
    <t>100.554194</t>
  </si>
  <si>
    <t>16088.67</t>
  </si>
  <si>
    <t>98.486624</t>
  </si>
  <si>
    <t>20682.19</t>
  </si>
  <si>
    <t>98.350338</t>
  </si>
  <si>
    <t>20653.57</t>
  </si>
  <si>
    <t>99.646783</t>
  </si>
  <si>
    <t>19929.36</t>
  </si>
  <si>
    <t>99.229372</t>
  </si>
  <si>
    <t>18853.58</t>
  </si>
  <si>
    <t>101.316910</t>
  </si>
  <si>
    <t>20263.38</t>
  </si>
  <si>
    <t>95.933510</t>
  </si>
  <si>
    <t>20146.04</t>
  </si>
  <si>
    <t>99.297150</t>
  </si>
  <si>
    <t>26810.23</t>
  </si>
  <si>
    <t>99.231552</t>
  </si>
  <si>
    <t>19846.31</t>
  </si>
  <si>
    <t>99.346180</t>
  </si>
  <si>
    <t>19869.24</t>
  </si>
  <si>
    <t>101.923538</t>
  </si>
  <si>
    <t>20384.71</t>
  </si>
  <si>
    <t>99.869846</t>
  </si>
  <si>
    <t>19973.97</t>
  </si>
  <si>
    <t>99.254710</t>
  </si>
  <si>
    <t>20843.49</t>
  </si>
  <si>
    <t>102.514589</t>
  </si>
  <si>
    <t>16402.33</t>
  </si>
  <si>
    <t>55000.00000000</t>
  </si>
  <si>
    <t>99.137882</t>
  </si>
  <si>
    <t>54525.84</t>
  </si>
  <si>
    <t>1.28%</t>
  </si>
  <si>
    <t>98.731715</t>
  </si>
  <si>
    <t>19746.34</t>
  </si>
  <si>
    <t>94.951829</t>
  </si>
  <si>
    <t>38930.25</t>
  </si>
  <si>
    <t>97.678563</t>
  </si>
  <si>
    <t>13675.00</t>
  </si>
  <si>
    <t>96.859475</t>
  </si>
  <si>
    <t>16466.11</t>
  </si>
  <si>
    <t>99.669193</t>
  </si>
  <si>
    <t>19933.84</t>
  </si>
  <si>
    <t>99.545664</t>
  </si>
  <si>
    <t>11945.48</t>
  </si>
  <si>
    <t>95.999905</t>
  </si>
  <si>
    <t>13439.99</t>
  </si>
  <si>
    <t>86.617716</t>
  </si>
  <si>
    <t>20788.25</t>
  </si>
  <si>
    <t>98.458090</t>
  </si>
  <si>
    <t>20676.20</t>
  </si>
  <si>
    <t>96.300364</t>
  </si>
  <si>
    <t>20223.08</t>
  </si>
  <si>
    <t>103.010170</t>
  </si>
  <si>
    <t>20602.03</t>
  </si>
  <si>
    <t>99.453436</t>
  </si>
  <si>
    <t>19890.69</t>
  </si>
  <si>
    <t>99.297900</t>
  </si>
  <si>
    <t>19859.58</t>
  </si>
  <si>
    <t>97.163153</t>
  </si>
  <si>
    <t>20404.26</t>
  </si>
  <si>
    <t>89000.00000000</t>
  </si>
  <si>
    <t>100.319239</t>
  </si>
  <si>
    <t>89284.12</t>
  </si>
  <si>
    <t>99.971748</t>
  </si>
  <si>
    <t>19994.35</t>
  </si>
  <si>
    <t>101.147565</t>
  </si>
  <si>
    <t>11126.23</t>
  </si>
  <si>
    <t>100.817645</t>
  </si>
  <si>
    <t>20163.53</t>
  </si>
  <si>
    <t>89.157098</t>
  </si>
  <si>
    <t>20506.13</t>
  </si>
  <si>
    <t>98.705901</t>
  </si>
  <si>
    <t>13818.83</t>
  </si>
  <si>
    <t>91.258887</t>
  </si>
  <si>
    <t>20076.96</t>
  </si>
  <si>
    <t>105.889341</t>
  </si>
  <si>
    <t>20118.97</t>
  </si>
  <si>
    <t>104.411412</t>
  </si>
  <si>
    <t>12529.37</t>
  </si>
  <si>
    <t>99.786573</t>
  </si>
  <si>
    <t>19957.31</t>
  </si>
  <si>
    <t>99.682781</t>
  </si>
  <si>
    <t>19936.56</t>
  </si>
  <si>
    <t>99.887040</t>
  </si>
  <si>
    <t>19977.41</t>
  </si>
  <si>
    <t>96.219089</t>
  </si>
  <si>
    <t>20206.01</t>
  </si>
  <si>
    <t>97.603502</t>
  </si>
  <si>
    <t>20496.74</t>
  </si>
  <si>
    <t>100.912138</t>
  </si>
  <si>
    <t>20182.43</t>
  </si>
  <si>
    <t>97.832043</t>
  </si>
  <si>
    <t>16631.45</t>
  </si>
  <si>
    <t>95.789194</t>
  </si>
  <si>
    <t>15326.27</t>
  </si>
  <si>
    <t>99.649982</t>
  </si>
  <si>
    <t>12954.50</t>
  </si>
  <si>
    <t>103.366671</t>
  </si>
  <si>
    <t>20673.33</t>
  </si>
  <si>
    <t>79000.00000000</t>
  </si>
  <si>
    <t>99.116702</t>
  </si>
  <si>
    <t>78302.19</t>
  </si>
  <si>
    <t>98.658338</t>
  </si>
  <si>
    <t>13812.17</t>
  </si>
  <si>
    <t>89.837524</t>
  </si>
  <si>
    <t>20662.63</t>
  </si>
  <si>
    <t>10000.00000000</t>
  </si>
  <si>
    <t>98.424651</t>
  </si>
  <si>
    <t>9842.47</t>
  </si>
  <si>
    <t>102.175715</t>
  </si>
  <si>
    <t>20435.14</t>
  </si>
  <si>
    <t>91.234374</t>
  </si>
  <si>
    <t>20071.56</t>
  </si>
  <si>
    <t>94.351805</t>
  </si>
  <si>
    <t>20757.40</t>
  </si>
  <si>
    <t>96.864878</t>
  </si>
  <si>
    <t>20341.62</t>
  </si>
  <si>
    <t>98.287163</t>
  </si>
  <si>
    <t>31451.89</t>
  </si>
  <si>
    <t>0.74%</t>
  </si>
  <si>
    <t>99.277009</t>
  </si>
  <si>
    <t>30775.87</t>
  </si>
  <si>
    <t>99.698990</t>
  </si>
  <si>
    <t>15951.84</t>
  </si>
  <si>
    <t>0.37%</t>
  </si>
  <si>
    <t>89.540802</t>
  </si>
  <si>
    <t>27757.65</t>
  </si>
  <si>
    <t>0.65%</t>
  </si>
  <si>
    <t>99.986810</t>
  </si>
  <si>
    <t>19997.36</t>
  </si>
  <si>
    <t>102.192732</t>
  </si>
  <si>
    <t>14306.98</t>
  </si>
  <si>
    <t>0.34%</t>
  </si>
  <si>
    <t>100.682083</t>
  </si>
  <si>
    <t>20136.42</t>
  </si>
  <si>
    <t>98.559709</t>
  </si>
  <si>
    <t>14783.96</t>
  </si>
  <si>
    <t>100.308130</t>
  </si>
  <si>
    <t>20061.63</t>
  </si>
  <si>
    <t>100.430561</t>
  </si>
  <si>
    <t>36155.00</t>
  </si>
  <si>
    <t>93.524882</t>
  </si>
  <si>
    <t>20575.47</t>
  </si>
  <si>
    <t>101.530239</t>
  </si>
  <si>
    <t>20306.05</t>
  </si>
  <si>
    <t>100.395228</t>
  </si>
  <si>
    <t>20079.05</t>
  </si>
  <si>
    <t>95.197458</t>
  </si>
  <si>
    <t>19991.47</t>
  </si>
  <si>
    <t>91.913679</t>
  </si>
  <si>
    <t>20221.01</t>
  </si>
  <si>
    <t>98.452474</t>
  </si>
  <si>
    <t>20675.02</t>
  </si>
  <si>
    <t>100.642737</t>
  </si>
  <si>
    <t>20128.55</t>
  </si>
  <si>
    <t>88.546136</t>
  </si>
  <si>
    <t>20365.61</t>
  </si>
  <si>
    <t>100.947291</t>
  </si>
  <si>
    <t>20189.46</t>
  </si>
  <si>
    <t>100.682274</t>
  </si>
  <si>
    <t>20136.45</t>
  </si>
  <si>
    <t>99.207340</t>
  </si>
  <si>
    <t>20833.54</t>
  </si>
  <si>
    <t>101.323861</t>
  </si>
  <si>
    <t>16211.82</t>
  </si>
  <si>
    <t>99.364109</t>
  </si>
  <si>
    <t>27821.95</t>
  </si>
  <si>
    <t>99.114197</t>
  </si>
  <si>
    <t>16849.41</t>
  </si>
  <si>
    <t>99.902538</t>
  </si>
  <si>
    <t>16983.43</t>
  </si>
  <si>
    <t>99.984395</t>
  </si>
  <si>
    <t>19996.88</t>
  </si>
  <si>
    <t>102.615666</t>
  </si>
  <si>
    <t>20523.13</t>
  </si>
  <si>
    <t>103.484175</t>
  </si>
  <si>
    <t>20696.84</t>
  </si>
  <si>
    <t>98.155025</t>
  </si>
  <si>
    <t>20612.56</t>
  </si>
  <si>
    <t>95.250520</t>
  </si>
  <si>
    <t>20002.61</t>
  </si>
  <si>
    <t>93.692750</t>
  </si>
  <si>
    <t>15927.77</t>
  </si>
  <si>
    <t>101.746998</t>
  </si>
  <si>
    <t>31541.57</t>
  </si>
  <si>
    <t>101.007680</t>
  </si>
  <si>
    <t>14141.08</t>
  </si>
  <si>
    <t>104.878376</t>
  </si>
  <si>
    <t>19926.89</t>
  </si>
  <si>
    <t>91.694863</t>
  </si>
  <si>
    <t>20172.87</t>
  </si>
  <si>
    <t>100.408023</t>
  </si>
  <si>
    <t>20081.60</t>
  </si>
  <si>
    <t>8000.00000000</t>
  </si>
  <si>
    <t>94.358875</t>
  </si>
  <si>
    <t>7548.71</t>
  </si>
  <si>
    <t>98.402875</t>
  </si>
  <si>
    <t>12792.37</t>
  </si>
  <si>
    <t>97.049955</t>
  </si>
  <si>
    <t>20380.49</t>
  </si>
  <si>
    <t>99.212148</t>
  </si>
  <si>
    <t>16866.07</t>
  </si>
  <si>
    <t>97.469729</t>
  </si>
  <si>
    <t>20468.64</t>
  </si>
  <si>
    <t>103.576215</t>
  </si>
  <si>
    <t>19679.48</t>
  </si>
  <si>
    <t>96.103556</t>
  </si>
  <si>
    <t>20181.75</t>
  </si>
  <si>
    <t>112.535963</t>
  </si>
  <si>
    <t>20256.47</t>
  </si>
  <si>
    <t>93.596647</t>
  </si>
  <si>
    <t>20591.26</t>
  </si>
  <si>
    <t>100.632235</t>
  </si>
  <si>
    <t>20126.45</t>
  </si>
  <si>
    <t>100.626431</t>
  </si>
  <si>
    <t>20125.29</t>
  </si>
  <si>
    <t>94.488516</t>
  </si>
  <si>
    <t>19842.59</t>
  </si>
  <si>
    <t>100.518884</t>
  </si>
  <si>
    <t>7036.32</t>
  </si>
  <si>
    <t>99.374725</t>
  </si>
  <si>
    <t>20868.69</t>
  </si>
  <si>
    <t>105.366391</t>
  </si>
  <si>
    <t>13697.63</t>
  </si>
  <si>
    <t>101.070187</t>
  </si>
  <si>
    <t>20214.04</t>
  </si>
  <si>
    <t>98.757063</t>
  </si>
  <si>
    <t>20738.98</t>
  </si>
  <si>
    <t>100.086167</t>
  </si>
  <si>
    <t>14012.06</t>
  </si>
  <si>
    <t>101.239409</t>
  </si>
  <si>
    <t>20247.88</t>
  </si>
  <si>
    <t>99.273248</t>
  </si>
  <si>
    <t>10920.06</t>
  </si>
  <si>
    <t>102.415878</t>
  </si>
  <si>
    <t>16386.54</t>
  </si>
  <si>
    <t>99.018968</t>
  </si>
  <si>
    <t>19803.79</t>
  </si>
  <si>
    <t>90.871807</t>
  </si>
  <si>
    <t>13630.77</t>
  </si>
  <si>
    <t>91.942751</t>
  </si>
  <si>
    <t>20227.41</t>
  </si>
  <si>
    <t>99.270083</t>
  </si>
  <si>
    <t>19854.02</t>
  </si>
  <si>
    <t>100.288559</t>
  </si>
  <si>
    <t>20057.71</t>
  </si>
  <si>
    <t>54000.00000000</t>
  </si>
  <si>
    <t>101.227736</t>
  </si>
  <si>
    <t>54662.98</t>
  </si>
  <si>
    <t>97.478443</t>
  </si>
  <si>
    <t>20470.47</t>
  </si>
  <si>
    <t>94.543151</t>
  </si>
  <si>
    <t>12290.61</t>
  </si>
  <si>
    <t>101.828209</t>
  </si>
  <si>
    <t>20365.64</t>
  </si>
  <si>
    <t>30172.40000000</t>
  </si>
  <si>
    <t>30172.40</t>
  </si>
  <si>
    <t>45200.46000000</t>
  </si>
  <si>
    <t>45200.46</t>
  </si>
  <si>
    <t>1.06%</t>
  </si>
  <si>
    <t>18.00000000</t>
  </si>
  <si>
    <t>587.712214</t>
  </si>
  <si>
    <t>77.65%</t>
  </si>
  <si>
    <t>1362339.00</t>
  </si>
  <si>
    <t>55000</t>
  </si>
  <si>
    <t>11.000000000000</t>
  </si>
  <si>
    <t>-18.00000000</t>
  </si>
  <si>
    <t>10.199151</t>
  </si>
  <si>
    <t>-1.35%</t>
  </si>
  <si>
    <t>20.061483</t>
  </si>
  <si>
    <t>-2.65%</t>
  </si>
  <si>
    <t>47.816167</t>
  </si>
  <si>
    <t>6.32%</t>
  </si>
  <si>
    <t>259000.00000000</t>
  </si>
  <si>
    <t>96.755895</t>
  </si>
  <si>
    <t>250597.77</t>
  </si>
  <si>
    <t>18.39%</t>
  </si>
  <si>
    <t>22200.76000000</t>
  </si>
  <si>
    <t>22200.76</t>
  </si>
  <si>
    <t>1.63%</t>
  </si>
  <si>
    <t>53.01000000</t>
  </si>
  <si>
    <t>53.01</t>
  </si>
  <si>
    <t>2429.00000000</t>
  </si>
  <si>
    <t>9.66%</t>
  </si>
  <si>
    <t>8683970.50</t>
  </si>
  <si>
    <t>365000</t>
  </si>
  <si>
    <t>73.000000000000</t>
  </si>
  <si>
    <t>2034.00000000</t>
  </si>
  <si>
    <t>5.49%</t>
  </si>
  <si>
    <t>2984.00000000</t>
  </si>
  <si>
    <t>10.07%</t>
  </si>
  <si>
    <t>494.00000000</t>
  </si>
  <si>
    <t>1535.00000000</t>
  </si>
  <si>
    <t>365.460000</t>
  </si>
  <si>
    <t>6.46%</t>
  </si>
  <si>
    <t>4794.00000000</t>
  </si>
  <si>
    <t>10.99%</t>
  </si>
  <si>
    <t>691.00000000</t>
  </si>
  <si>
    <t>2993.00000000</t>
  </si>
  <si>
    <t>877188.44</t>
  </si>
  <si>
    <t>10.10%</t>
  </si>
  <si>
    <t>2044.00000000</t>
  </si>
  <si>
    <t>478847.88</t>
  </si>
  <si>
    <t>5.51%</t>
  </si>
  <si>
    <t>3382033.33000000</t>
  </si>
  <si>
    <t>3382033.33</t>
  </si>
  <si>
    <t>38.95%</t>
  </si>
  <si>
    <t>2420.00000000</t>
  </si>
  <si>
    <t>835601.80</t>
  </si>
  <si>
    <t>9.62%</t>
  </si>
  <si>
    <t>511.00000000</t>
  </si>
  <si>
    <t>284969.37</t>
  </si>
  <si>
    <t>3.28%</t>
  </si>
  <si>
    <t>1533.00000000</t>
  </si>
  <si>
    <t>560250.18</t>
  </si>
  <si>
    <t>6.45%</t>
  </si>
  <si>
    <t>4756.00000000</t>
  </si>
  <si>
    <t>946444.00</t>
  </si>
  <si>
    <t>10.90%</t>
  </si>
  <si>
    <t>730.00000000</t>
  </si>
  <si>
    <t>274136.90</t>
  </si>
  <si>
    <t>-3195524.06000000</t>
  </si>
  <si>
    <t>-3195524.06</t>
  </si>
  <si>
    <t>-36.80%</t>
  </si>
  <si>
    <t>68.00000000</t>
  </si>
  <si>
    <t>594.186220</t>
  </si>
  <si>
    <t>81.24%</t>
  </si>
  <si>
    <t>4973241.00</t>
  </si>
  <si>
    <t>195000</t>
  </si>
  <si>
    <t>39.000000000000</t>
  </si>
  <si>
    <t>-68.00000000</t>
  </si>
  <si>
    <t>26.687808</t>
  </si>
  <si>
    <t>-3.65%</t>
  </si>
  <si>
    <t>14.325747</t>
  </si>
  <si>
    <t>-1.96%</t>
  </si>
  <si>
    <t>33.776943</t>
  </si>
  <si>
    <t>4.62%</t>
  </si>
  <si>
    <t>885000.00000000</t>
  </si>
  <si>
    <t>97.073002</t>
  </si>
  <si>
    <t>859096.07</t>
  </si>
  <si>
    <t>17.27%</t>
  </si>
  <si>
    <t>122937.37000000</t>
  </si>
  <si>
    <t>122937.37</t>
  </si>
  <si>
    <t>2.47%</t>
  </si>
  <si>
    <t>-66.73000000</t>
  </si>
  <si>
    <t>-66.73</t>
  </si>
  <si>
    <t>G0567U127</t>
  </si>
  <si>
    <t>42824.00000000</t>
  </si>
  <si>
    <t>28.640000</t>
  </si>
  <si>
    <t>1226479.36</t>
  </si>
  <si>
    <t>7.74%</t>
  </si>
  <si>
    <t>15842708.50</t>
  </si>
  <si>
    <t>505000</t>
  </si>
  <si>
    <t>101.000000000000</t>
  </si>
  <si>
    <t>055869101</t>
  </si>
  <si>
    <t>144963.00000000</t>
  </si>
  <si>
    <t>5.505000</t>
  </si>
  <si>
    <t>798021.32</t>
  </si>
  <si>
    <t>157569.23000000</t>
  </si>
  <si>
    <t>157569.23</t>
  </si>
  <si>
    <t>0.99%</t>
  </si>
  <si>
    <t>346375108</t>
  </si>
  <si>
    <t>2626.00000000</t>
  </si>
  <si>
    <t>141.420000</t>
  </si>
  <si>
    <t>371368.92</t>
  </si>
  <si>
    <t>2.34%</t>
  </si>
  <si>
    <t>1436.00000000</t>
  </si>
  <si>
    <t>495836.44</t>
  </si>
  <si>
    <t>3.13%</t>
  </si>
  <si>
    <t>438516106</t>
  </si>
  <si>
    <t>2929.00000000</t>
  </si>
  <si>
    <t>227.420000</t>
  </si>
  <si>
    <t>666113.18</t>
  </si>
  <si>
    <t>4.20%</t>
  </si>
  <si>
    <t>Y4000A102</t>
  </si>
  <si>
    <t>54742.00000000</t>
  </si>
  <si>
    <t>28.410000</t>
  </si>
  <si>
    <t>1555220.22</t>
  </si>
  <si>
    <t>9.82%</t>
  </si>
  <si>
    <t>459200101</t>
  </si>
  <si>
    <t>262.960000</t>
  </si>
  <si>
    <t>690532.96</t>
  </si>
  <si>
    <t>45676K103</t>
  </si>
  <si>
    <t>46864.00000000</t>
  </si>
  <si>
    <t>14.100000</t>
  </si>
  <si>
    <t>660782.40</t>
  </si>
  <si>
    <t>4.17%</t>
  </si>
  <si>
    <t>46222L108</t>
  </si>
  <si>
    <t>58277.00000000</t>
  </si>
  <si>
    <t>53.600000</t>
  </si>
  <si>
    <t>3123647.20</t>
  </si>
  <si>
    <t>19.72%</t>
  </si>
  <si>
    <t>G79483106</t>
  </si>
  <si>
    <t>27674.00000000</t>
  </si>
  <si>
    <t>3.230000</t>
  </si>
  <si>
    <t>89387.02</t>
  </si>
  <si>
    <t>26740W109</t>
  </si>
  <si>
    <t>134532.00000000</t>
  </si>
  <si>
    <t>22.980000</t>
  </si>
  <si>
    <t>3091545.36</t>
  </si>
  <si>
    <t>19.51%</t>
  </si>
  <si>
    <t>74767K103</t>
  </si>
  <si>
    <t>231088.00000000</t>
  </si>
  <si>
    <t>3.060000</t>
  </si>
  <si>
    <t>707129.28</t>
  </si>
  <si>
    <t>4.46%</t>
  </si>
  <si>
    <t>74768A104</t>
  </si>
  <si>
    <t>9002.00000000</t>
  </si>
  <si>
    <t>71.100000</t>
  </si>
  <si>
    <t>640042.20</t>
  </si>
  <si>
    <t>74766W108</t>
  </si>
  <si>
    <t>69488.00000000</t>
  </si>
  <si>
    <t>9.700000</t>
  </si>
  <si>
    <t>674033.60</t>
  </si>
  <si>
    <t>4.25%</t>
  </si>
  <si>
    <t>76655K103</t>
  </si>
  <si>
    <t>26183.00000000</t>
  </si>
  <si>
    <t>19.530000</t>
  </si>
  <si>
    <t>511353.99</t>
  </si>
  <si>
    <t>3.23%</t>
  </si>
  <si>
    <t>83089J108</t>
  </si>
  <si>
    <t>4242.00000000</t>
  </si>
  <si>
    <t>35.050000</t>
  </si>
  <si>
    <t>148682.10</t>
  </si>
  <si>
    <t>98390R102</t>
  </si>
  <si>
    <t>20099.00000000</t>
  </si>
  <si>
    <t>11.800000</t>
  </si>
  <si>
    <t>237168.20</t>
  </si>
  <si>
    <t>1.50%</t>
  </si>
  <si>
    <t>-2340.65000000</t>
  </si>
  <si>
    <t>-2340.65</t>
  </si>
  <si>
    <t>-0.01%</t>
  </si>
  <si>
    <t>3162.00000000</t>
  </si>
  <si>
    <t>157.670000</t>
  </si>
  <si>
    <t>199.64%</t>
  </si>
  <si>
    <t>249724.00</t>
  </si>
  <si>
    <t>24295.00000000</t>
  </si>
  <si>
    <t>24295.00</t>
  </si>
  <si>
    <t>9.73%</t>
  </si>
  <si>
    <t>-273250.35000000</t>
  </si>
  <si>
    <t>-273250.35</t>
  </si>
  <si>
    <t>-109.42%</t>
  </si>
  <si>
    <t>13.00000000</t>
  </si>
  <si>
    <t>77.28%</t>
  </si>
  <si>
    <t>988620.00</t>
  </si>
  <si>
    <t>40000</t>
  </si>
  <si>
    <t>8.000000000000</t>
  </si>
  <si>
    <t>-13.00000000</t>
  </si>
  <si>
    <t>9.879010</t>
  </si>
  <si>
    <t>-1.30%</t>
  </si>
  <si>
    <t>6.218809</t>
  </si>
  <si>
    <t>-0.82%</t>
  </si>
  <si>
    <t>35.725609</t>
  </si>
  <si>
    <t>4.70%</t>
  </si>
  <si>
    <t>188000.00000000</t>
  </si>
  <si>
    <t>181901.08</t>
  </si>
  <si>
    <t>18.40%</t>
  </si>
  <si>
    <t>17131.12000000</t>
  </si>
  <si>
    <t>17131.12</t>
  </si>
  <si>
    <t>41.86000000</t>
  </si>
  <si>
    <t>41.86</t>
  </si>
  <si>
    <t>64.00000000</t>
  </si>
  <si>
    <t>593.209989</t>
  </si>
  <si>
    <t>80.98%</t>
  </si>
  <si>
    <t>4688325.50</t>
  </si>
  <si>
    <t>185000</t>
  </si>
  <si>
    <t>37.000000000000</t>
  </si>
  <si>
    <t>-64.00000000</t>
  </si>
  <si>
    <t>23.023500</t>
  </si>
  <si>
    <t>-3.14%</t>
  </si>
  <si>
    <t>4.740749</t>
  </si>
  <si>
    <t>-0.65%</t>
  </si>
  <si>
    <t>26.400998</t>
  </si>
  <si>
    <t>3.60%</t>
  </si>
  <si>
    <t>852000.00000000</t>
  </si>
  <si>
    <t>99.758247</t>
  </si>
  <si>
    <t>849940.26</t>
  </si>
  <si>
    <t>18.13%</t>
  </si>
  <si>
    <t>46401.33000000</t>
  </si>
  <si>
    <t>46401.33</t>
  </si>
  <si>
    <t>4217.64000000</t>
  </si>
  <si>
    <t>4217.64</t>
  </si>
  <si>
    <t>0.09%</t>
  </si>
  <si>
    <t>102.742188</t>
  </si>
  <si>
    <t>24658.13</t>
  </si>
  <si>
    <t>7509930.00</t>
  </si>
  <si>
    <t>300000</t>
  </si>
  <si>
    <t>30.000000000000</t>
  </si>
  <si>
    <t>102.523438</t>
  </si>
  <si>
    <t>24605.63</t>
  </si>
  <si>
    <t>63000.00000000</t>
  </si>
  <si>
    <t>97.927734</t>
  </si>
  <si>
    <t>61694.47</t>
  </si>
  <si>
    <t>97.464844</t>
  </si>
  <si>
    <t>61402.85</t>
  </si>
  <si>
    <t>90000.00000000</t>
  </si>
  <si>
    <t>97.792969</t>
  </si>
  <si>
    <t>88013.67</t>
  </si>
  <si>
    <t>1.17%</t>
  </si>
  <si>
    <t>97.701172</t>
  </si>
  <si>
    <t>87931.05</t>
  </si>
  <si>
    <t>97.406250</t>
  </si>
  <si>
    <t>87665.63</t>
  </si>
  <si>
    <t>97.685547</t>
  </si>
  <si>
    <t>87916.99</t>
  </si>
  <si>
    <t>96.207031</t>
  </si>
  <si>
    <t>86586.33</t>
  </si>
  <si>
    <t>1.15%</t>
  </si>
  <si>
    <t>84000.00000000</t>
  </si>
  <si>
    <t>95.230469</t>
  </si>
  <si>
    <t>79993.59</t>
  </si>
  <si>
    <t>52248.18</t>
  </si>
  <si>
    <t>57000.00000000</t>
  </si>
  <si>
    <t>96.476760</t>
  </si>
  <si>
    <t>54991.75</t>
  </si>
  <si>
    <t>0.73%</t>
  </si>
  <si>
    <t>96.009766</t>
  </si>
  <si>
    <t>60486.15</t>
  </si>
  <si>
    <t>95.859375</t>
  </si>
  <si>
    <t>54639.84</t>
  </si>
  <si>
    <t>95.421875</t>
  </si>
  <si>
    <t>60115.78</t>
  </si>
  <si>
    <t>95.265625</t>
  </si>
  <si>
    <t>60017.34</t>
  </si>
  <si>
    <t>95.160156</t>
  </si>
  <si>
    <t>79934.53</t>
  </si>
  <si>
    <t>87000.00000000</t>
  </si>
  <si>
    <t>94.875000</t>
  </si>
  <si>
    <t>82541.25</t>
  </si>
  <si>
    <t>1.10%</t>
  </si>
  <si>
    <t>94.787109</t>
  </si>
  <si>
    <t>85308.40</t>
  </si>
  <si>
    <t>95.132812</t>
  </si>
  <si>
    <t>85619.53</t>
  </si>
  <si>
    <t>95.103516</t>
  </si>
  <si>
    <t>82740.06</t>
  </si>
  <si>
    <t>94.888672</t>
  </si>
  <si>
    <t>85399.80</t>
  </si>
  <si>
    <t>94.658203</t>
  </si>
  <si>
    <t>85192.38</t>
  </si>
  <si>
    <t>1.13%</t>
  </si>
  <si>
    <t>94.443359</t>
  </si>
  <si>
    <t>82165.72</t>
  </si>
  <si>
    <t>93.724609</t>
  </si>
  <si>
    <t>84352.15</t>
  </si>
  <si>
    <t>93.738281</t>
  </si>
  <si>
    <t>84364.45</t>
  </si>
  <si>
    <t>93.777344</t>
  </si>
  <si>
    <t>84399.61</t>
  </si>
  <si>
    <t>93.832031</t>
  </si>
  <si>
    <t>81633.87</t>
  </si>
  <si>
    <t>93.919922</t>
  </si>
  <si>
    <t>81710.33</t>
  </si>
  <si>
    <t>93.423828</t>
  </si>
  <si>
    <t>81278.73</t>
  </si>
  <si>
    <t>1.08%</t>
  </si>
  <si>
    <t>94.121094</t>
  </si>
  <si>
    <t>79061.72</t>
  </si>
  <si>
    <t>94.275391</t>
  </si>
  <si>
    <t>79191.33</t>
  </si>
  <si>
    <t>95.398438</t>
  </si>
  <si>
    <t>60101.02</t>
  </si>
  <si>
    <t>60000.00000000</t>
  </si>
  <si>
    <t>96.601562</t>
  </si>
  <si>
    <t>57960.94</t>
  </si>
  <si>
    <t>98.687870</t>
  </si>
  <si>
    <t>62173.36</t>
  </si>
  <si>
    <t>99.178718</t>
  </si>
  <si>
    <t>62482.59</t>
  </si>
  <si>
    <t>98.535156</t>
  </si>
  <si>
    <t>62077.15</t>
  </si>
  <si>
    <t>98.855469</t>
  </si>
  <si>
    <t>62278.95</t>
  </si>
  <si>
    <t>99.996094</t>
  </si>
  <si>
    <t>62997.54</t>
  </si>
  <si>
    <t>99.960938</t>
  </si>
  <si>
    <t>59976.56</t>
  </si>
  <si>
    <t>99.625000</t>
  </si>
  <si>
    <t>59775.00</t>
  </si>
  <si>
    <t>99.609375</t>
  </si>
  <si>
    <t>62753.91</t>
  </si>
  <si>
    <t>104000.00000000</t>
  </si>
  <si>
    <t>98.996094</t>
  </si>
  <si>
    <t>102955.94</t>
  </si>
  <si>
    <t>1.37%</t>
  </si>
  <si>
    <t>99.759766</t>
  </si>
  <si>
    <t>59855.86</t>
  </si>
  <si>
    <t>99.107422</t>
  </si>
  <si>
    <t>62437.68</t>
  </si>
  <si>
    <t>98.845703</t>
  </si>
  <si>
    <t>62272.79</t>
  </si>
  <si>
    <t>99.035156</t>
  </si>
  <si>
    <t>59421.09</t>
  </si>
  <si>
    <t>99.714844</t>
  </si>
  <si>
    <t>62820.35</t>
  </si>
  <si>
    <t>99.941406</t>
  </si>
  <si>
    <t>62963.09</t>
  </si>
  <si>
    <t>100.445312</t>
  </si>
  <si>
    <t>63280.55</t>
  </si>
  <si>
    <t>100.998047</t>
  </si>
  <si>
    <t>84838.36</t>
  </si>
  <si>
    <t>101.576172</t>
  </si>
  <si>
    <t>85323.98</t>
  </si>
  <si>
    <t>100.496094</t>
  </si>
  <si>
    <t>87431.60</t>
  </si>
  <si>
    <t>1.16%</t>
  </si>
  <si>
    <t>99.025391</t>
  </si>
  <si>
    <t>78230.06</t>
  </si>
  <si>
    <t>1.04%</t>
  </si>
  <si>
    <t>89648.44</t>
  </si>
  <si>
    <t>93000.00000000</t>
  </si>
  <si>
    <t>100.240234</t>
  </si>
  <si>
    <t>93223.42</t>
  </si>
  <si>
    <t>99.917969</t>
  </si>
  <si>
    <t>92923.71</t>
  </si>
  <si>
    <t>99000.00000000</t>
  </si>
  <si>
    <t>101.250000</t>
  </si>
  <si>
    <t>100237.50</t>
  </si>
  <si>
    <t>100.525889</t>
  </si>
  <si>
    <t>90473.30</t>
  </si>
  <si>
    <t>100.281744</t>
  </si>
  <si>
    <t>87245.12</t>
  </si>
  <si>
    <t>86643.16</t>
  </si>
  <si>
    <t>99.109375</t>
  </si>
  <si>
    <t>89198.44</t>
  </si>
  <si>
    <t>99.669922</t>
  </si>
  <si>
    <t>86712.83</t>
  </si>
  <si>
    <t>99.976562</t>
  </si>
  <si>
    <t>86979.61</t>
  </si>
  <si>
    <t>99.796875</t>
  </si>
  <si>
    <t>89817.19</t>
  </si>
  <si>
    <t>100.144531</t>
  </si>
  <si>
    <t>90130.08</t>
  </si>
  <si>
    <t>87125.74</t>
  </si>
  <si>
    <t>99.544922</t>
  </si>
  <si>
    <t>89590.43</t>
  </si>
  <si>
    <t>99.308594</t>
  </si>
  <si>
    <t>89377.73</t>
  </si>
  <si>
    <t>99.273438</t>
  </si>
  <si>
    <t>89346.09</t>
  </si>
  <si>
    <t>99.811094</t>
  </si>
  <si>
    <t>89829.98</t>
  </si>
  <si>
    <t>99.478516</t>
  </si>
  <si>
    <t>89530.66</t>
  </si>
  <si>
    <t>103000.00000000</t>
  </si>
  <si>
    <t>99.669965</t>
  </si>
  <si>
    <t>102660.06</t>
  </si>
  <si>
    <t>99.437500</t>
  </si>
  <si>
    <t>89493.75</t>
  </si>
  <si>
    <t>105000.00000000</t>
  </si>
  <si>
    <t>99.734375</t>
  </si>
  <si>
    <t>104721.09</t>
  </si>
  <si>
    <t>98.914062</t>
  </si>
  <si>
    <t>78142.11</t>
  </si>
  <si>
    <t>99.425781</t>
  </si>
  <si>
    <t>92465.98</t>
  </si>
  <si>
    <t>98.347656</t>
  </si>
  <si>
    <t>88512.89</t>
  </si>
  <si>
    <t>1.18%</t>
  </si>
  <si>
    <t>99.230469</t>
  </si>
  <si>
    <t>102207.38</t>
  </si>
  <si>
    <t>1.36%</t>
  </si>
  <si>
    <t>98.554688</t>
  </si>
  <si>
    <t>88699.22</t>
  </si>
  <si>
    <t>114000.00000000</t>
  </si>
  <si>
    <t>113029.22</t>
  </si>
  <si>
    <t>98.515625</t>
  </si>
  <si>
    <t>77827.34</t>
  </si>
  <si>
    <t>98.941406</t>
  </si>
  <si>
    <t>101909.65</t>
  </si>
  <si>
    <t>98.474609</t>
  </si>
  <si>
    <t>88627.15</t>
  </si>
  <si>
    <t>98.869141</t>
  </si>
  <si>
    <t>112710.82</t>
  </si>
  <si>
    <t>98.414062</t>
  </si>
  <si>
    <t>88572.66</t>
  </si>
  <si>
    <t>98.371094</t>
  </si>
  <si>
    <t>88533.98</t>
  </si>
  <si>
    <t>98.763672</t>
  </si>
  <si>
    <t>112590.59</t>
  </si>
  <si>
    <t>99.533203</t>
  </si>
  <si>
    <t>102519.20</t>
  </si>
  <si>
    <t>99.277344</t>
  </si>
  <si>
    <t>89349.61</t>
  </si>
  <si>
    <t>99.300781</t>
  </si>
  <si>
    <t>88377.70</t>
  </si>
  <si>
    <t>89342.58</t>
  </si>
  <si>
    <t>1874.94000000</t>
  </si>
  <si>
    <t>1874.94</t>
  </si>
  <si>
    <t>0.02%</t>
  </si>
  <si>
    <t>59572.59000000</t>
  </si>
  <si>
    <t>59572.59</t>
  </si>
  <si>
    <t>00217D100</t>
  </si>
  <si>
    <t>2240.00000000</t>
  </si>
  <si>
    <t>68.010000</t>
  </si>
  <si>
    <t>152342.40</t>
  </si>
  <si>
    <t>4.54%</t>
  </si>
  <si>
    <t>3356150.00</t>
  </si>
  <si>
    <t>140000</t>
  </si>
  <si>
    <t>28.000000000000</t>
  </si>
  <si>
    <t>09263B207</t>
  </si>
  <si>
    <t>2464.00000000</t>
  </si>
  <si>
    <t>25.210000</t>
  </si>
  <si>
    <t>62117.44</t>
  </si>
  <si>
    <t>05605H100</t>
  </si>
  <si>
    <t>504.00000000</t>
  </si>
  <si>
    <t>205.650000</t>
  </si>
  <si>
    <t>103647.60</t>
  </si>
  <si>
    <t>278768106</t>
  </si>
  <si>
    <t>1456.00000000</t>
  </si>
  <si>
    <t>99.860000</t>
  </si>
  <si>
    <t>145396.16</t>
  </si>
  <si>
    <t>4.33%</t>
  </si>
  <si>
    <t>358010106</t>
  </si>
  <si>
    <t>1232.00000000</t>
  </si>
  <si>
    <t>67.270000</t>
  </si>
  <si>
    <t>82876.64</t>
  </si>
  <si>
    <t>65107.44000000</t>
  </si>
  <si>
    <t>65107.44</t>
  </si>
  <si>
    <t>31816X106</t>
  </si>
  <si>
    <t>3024.00000000</t>
  </si>
  <si>
    <t>24.980000</t>
  </si>
  <si>
    <t>75539.52</t>
  </si>
  <si>
    <t>2.25%</t>
  </si>
  <si>
    <t>M51474118</t>
  </si>
  <si>
    <t>5208.00000000</t>
  </si>
  <si>
    <t>12.080000</t>
  </si>
  <si>
    <t>62912.64</t>
  </si>
  <si>
    <t>38046C109</t>
  </si>
  <si>
    <t>16128.00000000</t>
  </si>
  <si>
    <t>3.270000</t>
  </si>
  <si>
    <t>52738.56</t>
  </si>
  <si>
    <t>H2906T109</t>
  </si>
  <si>
    <t>644.00000000</t>
  </si>
  <si>
    <t>240.020000</t>
  </si>
  <si>
    <t>154572.88</t>
  </si>
  <si>
    <t>4.61%</t>
  </si>
  <si>
    <t>378973507</t>
  </si>
  <si>
    <t>1540.00000000</t>
  </si>
  <si>
    <t>80.140000</t>
  </si>
  <si>
    <t>123415.60</t>
  </si>
  <si>
    <t>46269C102</t>
  </si>
  <si>
    <t>2940.00000000</t>
  </si>
  <si>
    <t>42.280000</t>
  </si>
  <si>
    <t>124303.20</t>
  </si>
  <si>
    <t>3.70%</t>
  </si>
  <si>
    <t>784.00000000</t>
  </si>
  <si>
    <t>385445.76</t>
  </si>
  <si>
    <t>11.48%</t>
  </si>
  <si>
    <t>46125A100</t>
  </si>
  <si>
    <t>4592.00000000</t>
  </si>
  <si>
    <t>19.130000</t>
  </si>
  <si>
    <t>87844.96</t>
  </si>
  <si>
    <t>2.62%</t>
  </si>
  <si>
    <t>55293N109</t>
  </si>
  <si>
    <t>3892.00000000</t>
  </si>
  <si>
    <t>37.600000</t>
  </si>
  <si>
    <t>146339.20</t>
  </si>
  <si>
    <t>589378108</t>
  </si>
  <si>
    <t>1680.00000000</t>
  </si>
  <si>
    <t>105.000000</t>
  </si>
  <si>
    <t>176400.00</t>
  </si>
  <si>
    <t>55405Y100</t>
  </si>
  <si>
    <t>373.080000</t>
  </si>
  <si>
    <t>125354.88</t>
  </si>
  <si>
    <t>3.74%</t>
  </si>
  <si>
    <t>72703X106</t>
  </si>
  <si>
    <t>4480.00000000</t>
  </si>
  <si>
    <t>26.300000</t>
  </si>
  <si>
    <t>117824.00</t>
  </si>
  <si>
    <t>75776W103</t>
  </si>
  <si>
    <t>9772.00000000</t>
  </si>
  <si>
    <t>11.380000</t>
  </si>
  <si>
    <t>111205.36</t>
  </si>
  <si>
    <t>3.31%</t>
  </si>
  <si>
    <t>773121108</t>
  </si>
  <si>
    <t>3276.00000000</t>
  </si>
  <si>
    <t>85.410000</t>
  </si>
  <si>
    <t>279803.16</t>
  </si>
  <si>
    <t>8.34%</t>
  </si>
  <si>
    <t>80401C100</t>
  </si>
  <si>
    <t>11648.00000000</t>
  </si>
  <si>
    <t>58705.92</t>
  </si>
  <si>
    <t>826165201</t>
  </si>
  <si>
    <t>2.710000</t>
  </si>
  <si>
    <t>43706.88</t>
  </si>
  <si>
    <t>1.30%</t>
  </si>
  <si>
    <t>829933100</t>
  </si>
  <si>
    <t>1344.00000000</t>
  </si>
  <si>
    <t>27.900000</t>
  </si>
  <si>
    <t>37497.60</t>
  </si>
  <si>
    <t>92766K403</t>
  </si>
  <si>
    <t>22596.00000000</t>
  </si>
  <si>
    <t>2.730000</t>
  </si>
  <si>
    <t>61687.08</t>
  </si>
  <si>
    <t>848560306</t>
  </si>
  <si>
    <t>4032.00000000</t>
  </si>
  <si>
    <t>17.130000</t>
  </si>
  <si>
    <t>69068.16</t>
  </si>
  <si>
    <t>2.06%</t>
  </si>
  <si>
    <t>1484.00000000</t>
  </si>
  <si>
    <t>74407.76</t>
  </si>
  <si>
    <t>879512309</t>
  </si>
  <si>
    <t>1512.00000000</t>
  </si>
  <si>
    <t>42.610000</t>
  </si>
  <si>
    <t>64426.32</t>
  </si>
  <si>
    <t>92892B103</t>
  </si>
  <si>
    <t>3220.00000000</t>
  </si>
  <si>
    <t>30.360000</t>
  </si>
  <si>
    <t>97759.20</t>
  </si>
  <si>
    <t>2.91%</t>
  </si>
  <si>
    <t>92552V100</t>
  </si>
  <si>
    <t>2380.00000000</t>
  </si>
  <si>
    <t>62.230000</t>
  </si>
  <si>
    <t>148107.40</t>
  </si>
  <si>
    <t>4.41%</t>
  </si>
  <si>
    <t>987084100</t>
  </si>
  <si>
    <t>2548.00000000</t>
  </si>
  <si>
    <t>24.540000</t>
  </si>
  <si>
    <t>62527.92</t>
  </si>
  <si>
    <t>3042.50000000</t>
  </si>
  <si>
    <t>3042.50</t>
  </si>
  <si>
    <t>01973R101</t>
  </si>
  <si>
    <t>216.00000000</t>
  </si>
  <si>
    <t>119.680000</t>
  </si>
  <si>
    <t>25850.88</t>
  </si>
  <si>
    <t>1.62%</t>
  </si>
  <si>
    <t>1591062.00</t>
  </si>
  <si>
    <t>03937C105</t>
  </si>
  <si>
    <t>108.00000000</t>
  </si>
  <si>
    <t>145.180000</t>
  </si>
  <si>
    <t>15679.44</t>
  </si>
  <si>
    <t>12541W209</t>
  </si>
  <si>
    <t>267.00000000</t>
  </si>
  <si>
    <t>177.280000</t>
  </si>
  <si>
    <t>47333.76</t>
  </si>
  <si>
    <t>2.97%</t>
  </si>
  <si>
    <t>231021106</t>
  </si>
  <si>
    <t>694.870000</t>
  </si>
  <si>
    <t>75045.96</t>
  </si>
  <si>
    <t>Y1771G102</t>
  </si>
  <si>
    <t>468.00000000</t>
  </si>
  <si>
    <t>15.070000</t>
  </si>
  <si>
    <t>7052.76</t>
  </si>
  <si>
    <t>136375102</t>
  </si>
  <si>
    <t>648.00000000</t>
  </si>
  <si>
    <t>115.910000</t>
  </si>
  <si>
    <t>75109.68</t>
  </si>
  <si>
    <t>13646K108</t>
  </si>
  <si>
    <t>852.00000000</t>
  </si>
  <si>
    <t>84.780000</t>
  </si>
  <si>
    <t>72232.56</t>
  </si>
  <si>
    <t>126408103</t>
  </si>
  <si>
    <t>1632.00000000</t>
  </si>
  <si>
    <t>46.060000</t>
  </si>
  <si>
    <t>75169.92</t>
  </si>
  <si>
    <t>22284P105</t>
  </si>
  <si>
    <t>180.00000000</t>
  </si>
  <si>
    <t>42.820000</t>
  </si>
  <si>
    <t>7707.60</t>
  </si>
  <si>
    <t>Y1968P121</t>
  </si>
  <si>
    <t>72.00000000</t>
  </si>
  <si>
    <t>125.290000</t>
  </si>
  <si>
    <t>9020.88</t>
  </si>
  <si>
    <t>302130109</t>
  </si>
  <si>
    <t>276.00000000</t>
  </si>
  <si>
    <t>160.160000</t>
  </si>
  <si>
    <t>44204.16</t>
  </si>
  <si>
    <t>2.78%</t>
  </si>
  <si>
    <t>228.00000000</t>
  </si>
  <si>
    <t>72237.24</t>
  </si>
  <si>
    <t>114.00000000</t>
  </si>
  <si>
    <t>18291.30</t>
  </si>
  <si>
    <t>42163.35000000</t>
  </si>
  <si>
    <t>42163.35</t>
  </si>
  <si>
    <t>34986A104</t>
  </si>
  <si>
    <t>13.390000</t>
  </si>
  <si>
    <t>3695.64</t>
  </si>
  <si>
    <t>361448103</t>
  </si>
  <si>
    <t>179.450000</t>
  </si>
  <si>
    <t>21534.00</t>
  </si>
  <si>
    <t>1.35%</t>
  </si>
  <si>
    <t>Y27183600</t>
  </si>
  <si>
    <t>264.00000000</t>
  </si>
  <si>
    <t>38.690000</t>
  </si>
  <si>
    <t>10214.16</t>
  </si>
  <si>
    <t>36262G101</t>
  </si>
  <si>
    <t>49.980000</t>
  </si>
  <si>
    <t>19792.08</t>
  </si>
  <si>
    <t>422347104</t>
  </si>
  <si>
    <t>14.590000</t>
  </si>
  <si>
    <t>11817.90</t>
  </si>
  <si>
    <t>443320106</t>
  </si>
  <si>
    <t>300.00000000</t>
  </si>
  <si>
    <t>43.000000</t>
  </si>
  <si>
    <t>12900.00</t>
  </si>
  <si>
    <t>445658107</t>
  </si>
  <si>
    <t>269.060000</t>
  </si>
  <si>
    <t>48430.80</t>
  </si>
  <si>
    <t>3.04%</t>
  </si>
  <si>
    <t>497266106</t>
  </si>
  <si>
    <t>137.130000</t>
  </si>
  <si>
    <t>23037.84</t>
  </si>
  <si>
    <t>1.45%</t>
  </si>
  <si>
    <t>499049104</t>
  </si>
  <si>
    <t>552.00000000</t>
  </si>
  <si>
    <t>74.520000</t>
  </si>
  <si>
    <t>41135.04</t>
  </si>
  <si>
    <t>2.59%</t>
  </si>
  <si>
    <t>515098101</t>
  </si>
  <si>
    <t>207.680000</t>
  </si>
  <si>
    <t>24921.60</t>
  </si>
  <si>
    <t>562750109</t>
  </si>
  <si>
    <t>130.870000</t>
  </si>
  <si>
    <t>23556.60</t>
  </si>
  <si>
    <t>1.48%</t>
  </si>
  <si>
    <t>57686G105</t>
  </si>
  <si>
    <t>195.590000</t>
  </si>
  <si>
    <t>23470.80</t>
  </si>
  <si>
    <t>573075108</t>
  </si>
  <si>
    <t>16.840000</t>
  </si>
  <si>
    <t>9295.68</t>
  </si>
  <si>
    <t>655844108</t>
  </si>
  <si>
    <t>303.820000</t>
  </si>
  <si>
    <t>69270.96</t>
  </si>
  <si>
    <t>679580100</t>
  </si>
  <si>
    <t>219.040000</t>
  </si>
  <si>
    <t>57826.56</t>
  </si>
  <si>
    <t>3.63%</t>
  </si>
  <si>
    <t>693718108</t>
  </si>
  <si>
    <t>647.00000000</t>
  </si>
  <si>
    <t>117.030000</t>
  </si>
  <si>
    <t>75718.41</t>
  </si>
  <si>
    <t>783549108</t>
  </si>
  <si>
    <t>96.00000000</t>
  </si>
  <si>
    <t>261.010000</t>
  </si>
  <si>
    <t>25056.96</t>
  </si>
  <si>
    <t>357023100</t>
  </si>
  <si>
    <t>9.260000</t>
  </si>
  <si>
    <t>3889.20</t>
  </si>
  <si>
    <t>0.24%</t>
  </si>
  <si>
    <t>75025X100</t>
  </si>
  <si>
    <t>9.090000</t>
  </si>
  <si>
    <t>5454.00</t>
  </si>
  <si>
    <t>74982T103</t>
  </si>
  <si>
    <t>720.00000000</t>
  </si>
  <si>
    <t>25.300000</t>
  </si>
  <si>
    <t>18216.00</t>
  </si>
  <si>
    <t>78709Y105</t>
  </si>
  <si>
    <t>428.440000</t>
  </si>
  <si>
    <t>29133.92</t>
  </si>
  <si>
    <t>1.83%</t>
  </si>
  <si>
    <t>80689H102</t>
  </si>
  <si>
    <t>696.00000000</t>
  </si>
  <si>
    <t>34.970000</t>
  </si>
  <si>
    <t>24339.12</t>
  </si>
  <si>
    <t>1.53%</t>
  </si>
  <si>
    <t>880779103</t>
  </si>
  <si>
    <t>384.00000000</t>
  </si>
  <si>
    <t>70.100000</t>
  </si>
  <si>
    <t>26918.40</t>
  </si>
  <si>
    <t>1.69%</t>
  </si>
  <si>
    <t>87241L109</t>
  </si>
  <si>
    <t>192.00000000</t>
  </si>
  <si>
    <t>143.180000</t>
  </si>
  <si>
    <t>27490.56</t>
  </si>
  <si>
    <t>896522109</t>
  </si>
  <si>
    <t>456.00000000</t>
  </si>
  <si>
    <t>35.320000</t>
  </si>
  <si>
    <t>16105.92</t>
  </si>
  <si>
    <t>907818108</t>
  </si>
  <si>
    <t>259.960000</t>
  </si>
  <si>
    <t>118541.76</t>
  </si>
  <si>
    <t>7.45%</t>
  </si>
  <si>
    <t>73873.44</t>
  </si>
  <si>
    <t>4.64%</t>
  </si>
  <si>
    <t>929740108</t>
  </si>
  <si>
    <t>240.00000000</t>
  </si>
  <si>
    <t>272.480000</t>
  </si>
  <si>
    <t>65395.20</t>
  </si>
  <si>
    <t>4.11%</t>
  </si>
  <si>
    <t>950755108</t>
  </si>
  <si>
    <t>545.00000000</t>
  </si>
  <si>
    <t>40.990000</t>
  </si>
  <si>
    <t>22339.55</t>
  </si>
  <si>
    <t>929566107</t>
  </si>
  <si>
    <t>624.00000000</t>
  </si>
  <si>
    <t>13.100000</t>
  </si>
  <si>
    <t>8174.40</t>
  </si>
  <si>
    <t>983793100</t>
  </si>
  <si>
    <t>229.00000000</t>
  </si>
  <si>
    <t>196.830000</t>
  </si>
  <si>
    <t>45074.07</t>
  </si>
  <si>
    <t>2.83%</t>
  </si>
  <si>
    <t>M9T951109</t>
  </si>
  <si>
    <t>25.580000</t>
  </si>
  <si>
    <t>15961.92</t>
  </si>
  <si>
    <t>1.00%</t>
  </si>
  <si>
    <t>1368.88000000</t>
  </si>
  <si>
    <t>1368.88</t>
  </si>
  <si>
    <t>217.00000000</t>
  </si>
  <si>
    <t>52.986308</t>
  </si>
  <si>
    <t>79.14%</t>
  </si>
  <si>
    <t>1452852.00</t>
  </si>
  <si>
    <t>-217.00000000</t>
  </si>
  <si>
    <t>2.550616</t>
  </si>
  <si>
    <t>-3.81%</t>
  </si>
  <si>
    <t>4.223073</t>
  </si>
  <si>
    <t>-6.31%</t>
  </si>
  <si>
    <t>8.535585</t>
  </si>
  <si>
    <t>12.75%</t>
  </si>
  <si>
    <t>256000.00000000</t>
  </si>
  <si>
    <t>247695.09</t>
  </si>
  <si>
    <t>17.05%</t>
  </si>
  <si>
    <t>17103.15000000</t>
  </si>
  <si>
    <t>17103.15</t>
  </si>
  <si>
    <t>10.90000000</t>
  </si>
  <si>
    <t>10.90</t>
  </si>
  <si>
    <t>793.00000000</t>
  </si>
  <si>
    <t>53.691076</t>
  </si>
  <si>
    <t>82.37%</t>
  </si>
  <si>
    <t>5168709.00</t>
  </si>
  <si>
    <t>210000</t>
  </si>
  <si>
    <t>42.000000000000</t>
  </si>
  <si>
    <t>-793.00000000</t>
  </si>
  <si>
    <t>3.639817</t>
  </si>
  <si>
    <t>-5.58%</t>
  </si>
  <si>
    <t>3.033490</t>
  </si>
  <si>
    <t>-4.65%</t>
  </si>
  <si>
    <t>6.425721</t>
  </si>
  <si>
    <t>9.86%</t>
  </si>
  <si>
    <t>726000.00000000</t>
  </si>
  <si>
    <t>724244.87</t>
  </si>
  <si>
    <t>14.01%</t>
  </si>
  <si>
    <t>200646.30000000</t>
  </si>
  <si>
    <t>200646.30</t>
  </si>
  <si>
    <t>5800.16000000</t>
  </si>
  <si>
    <t>5800.16</t>
  </si>
  <si>
    <t>0.11%</t>
  </si>
  <si>
    <t>15627.00000000</t>
  </si>
  <si>
    <t>58.970000</t>
  </si>
  <si>
    <t>200.03%</t>
  </si>
  <si>
    <t>460704.00</t>
  </si>
  <si>
    <t>20000</t>
  </si>
  <si>
    <t>4.000000000000</t>
  </si>
  <si>
    <t>182262.03000000</t>
  </si>
  <si>
    <t>182262.03</t>
  </si>
  <si>
    <t>39.56%</t>
  </si>
  <si>
    <t>-643115.07000000</t>
  </si>
  <si>
    <t>-643115.07</t>
  </si>
  <si>
    <t>-139.59%</t>
  </si>
  <si>
    <t>03823U102</t>
  </si>
  <si>
    <t>42656.00000000</t>
  </si>
  <si>
    <t>146.970000</t>
  </si>
  <si>
    <t>6269152.32</t>
  </si>
  <si>
    <t>382008474.00</t>
  </si>
  <si>
    <t>13330000</t>
  </si>
  <si>
    <t>2666.000000000000</t>
  </si>
  <si>
    <t>00486H105</t>
  </si>
  <si>
    <t>250604.00000000</t>
  </si>
  <si>
    <t>13.960000</t>
  </si>
  <si>
    <t>3498431.84</t>
  </si>
  <si>
    <t>00760J108</t>
  </si>
  <si>
    <t>45322.00000000</t>
  </si>
  <si>
    <t>95.200000</t>
  </si>
  <si>
    <t>4314654.40</t>
  </si>
  <si>
    <t>00835Q202</t>
  </si>
  <si>
    <t>197458.00000000</t>
  </si>
  <si>
    <t>20.040000</t>
  </si>
  <si>
    <t>3957058.32</t>
  </si>
  <si>
    <t>39990.00000000</t>
  </si>
  <si>
    <t>23552910.30</t>
  </si>
  <si>
    <t>6.17%</t>
  </si>
  <si>
    <t>N07059210</t>
  </si>
  <si>
    <t>18662.00000000</t>
  </si>
  <si>
    <t>1762.770000</t>
  </si>
  <si>
    <t>32896813.74</t>
  </si>
  <si>
    <t>8.61%</t>
  </si>
  <si>
    <t>00246W103</t>
  </si>
  <si>
    <t>74648.00000000</t>
  </si>
  <si>
    <t>70.140000</t>
  </si>
  <si>
    <t>5235810.72</t>
  </si>
  <si>
    <t>29326.00000000</t>
  </si>
  <si>
    <t>4894509.40</t>
  </si>
  <si>
    <t>171779309</t>
  </si>
  <si>
    <t>26660.00000000</t>
  </si>
  <si>
    <t>463.510000</t>
  </si>
  <si>
    <t>12357176.60</t>
  </si>
  <si>
    <t>19247G107</t>
  </si>
  <si>
    <t>37324.00000000</t>
  </si>
  <si>
    <t>392.500000</t>
  </si>
  <si>
    <t>14649670.00</t>
  </si>
  <si>
    <t>3.83%</t>
  </si>
  <si>
    <t>G25457105</t>
  </si>
  <si>
    <t>268.990000</t>
  </si>
  <si>
    <t>12191164.78</t>
  </si>
  <si>
    <t>3.19%</t>
  </si>
  <si>
    <t>29362U104</t>
  </si>
  <si>
    <t>58652.00000000</t>
  </si>
  <si>
    <t>171.460000</t>
  </si>
  <si>
    <t>10056471.92</t>
  </si>
  <si>
    <t>2.63%</t>
  </si>
  <si>
    <t>11534676.00000000</t>
  </si>
  <si>
    <t>11534676.00</t>
  </si>
  <si>
    <t>3.02%</t>
  </si>
  <si>
    <t>G3323L100</t>
  </si>
  <si>
    <t>13330.00000000</t>
  </si>
  <si>
    <t>568.170000</t>
  </si>
  <si>
    <t>7573706.10</t>
  </si>
  <si>
    <t>1.98%</t>
  </si>
  <si>
    <t>6409437.24</t>
  </si>
  <si>
    <t>1.68%</t>
  </si>
  <si>
    <t>G39387108</t>
  </si>
  <si>
    <t>10664.00000000</t>
  </si>
  <si>
    <t>83.700000</t>
  </si>
  <si>
    <t>892576.80</t>
  </si>
  <si>
    <t>219350105</t>
  </si>
  <si>
    <t>93310.00000000</t>
  </si>
  <si>
    <t>205.830000</t>
  </si>
  <si>
    <t>19205997.30</t>
  </si>
  <si>
    <t>5.03%</t>
  </si>
  <si>
    <t>428050108</t>
  </si>
  <si>
    <t>15.610000</t>
  </si>
  <si>
    <t>3911928.44</t>
  </si>
  <si>
    <t>1.02%</t>
  </si>
  <si>
    <t>44980X109</t>
  </si>
  <si>
    <t>107.720000</t>
  </si>
  <si>
    <t>4594904.32</t>
  </si>
  <si>
    <t>482480100</t>
  </si>
  <si>
    <t>79980.00000000</t>
  </si>
  <si>
    <t>240.480000</t>
  </si>
  <si>
    <t>19233590.40</t>
  </si>
  <si>
    <t>63.810000</t>
  </si>
  <si>
    <t>4763288.88</t>
  </si>
  <si>
    <t>1.25%</t>
  </si>
  <si>
    <t>15996.00000000</t>
  </si>
  <si>
    <t>13477109.88</t>
  </si>
  <si>
    <t>3.53%</t>
  </si>
  <si>
    <t>61318.00000000</t>
  </si>
  <si>
    <t>22981986.40</t>
  </si>
  <si>
    <t>6.02%</t>
  </si>
  <si>
    <t>532275104</t>
  </si>
  <si>
    <t>53320.00000000</t>
  </si>
  <si>
    <t>8.390000</t>
  </si>
  <si>
    <t>447354.80</t>
  </si>
  <si>
    <t>0.12%</t>
  </si>
  <si>
    <t>47988.00000000</t>
  </si>
  <si>
    <t>13278279.60</t>
  </si>
  <si>
    <t>576690101</t>
  </si>
  <si>
    <t>2666.00000000</t>
  </si>
  <si>
    <t>269.620000</t>
  </si>
  <si>
    <t>718806.92</t>
  </si>
  <si>
    <t>0.19%</t>
  </si>
  <si>
    <t>31992.00000000</t>
  </si>
  <si>
    <t>11935575.36</t>
  </si>
  <si>
    <t>3.12%</t>
  </si>
  <si>
    <t>6888944.00</t>
  </si>
  <si>
    <t>1.80%</t>
  </si>
  <si>
    <t>M7516K103</t>
  </si>
  <si>
    <t>521.930000</t>
  </si>
  <si>
    <t>8348792.28</t>
  </si>
  <si>
    <t>2.19%</t>
  </si>
  <si>
    <t>322.240000</t>
  </si>
  <si>
    <t>8590918.40</t>
  </si>
  <si>
    <t>154628.00000000</t>
  </si>
  <si>
    <t>6294905.88</t>
  </si>
  <si>
    <t>693282105</t>
  </si>
  <si>
    <t>63.560000</t>
  </si>
  <si>
    <t>5930783.60</t>
  </si>
  <si>
    <t>1.55%</t>
  </si>
  <si>
    <t>719405102</t>
  </si>
  <si>
    <t>98642.00000000</t>
  </si>
  <si>
    <t>31.650000</t>
  </si>
  <si>
    <t>3122019.30</t>
  </si>
  <si>
    <t>73044W302</t>
  </si>
  <si>
    <t>274598.00000000</t>
  </si>
  <si>
    <t>10.660000</t>
  </si>
  <si>
    <t>2927214.68</t>
  </si>
  <si>
    <t>5332.00000000</t>
  </si>
  <si>
    <t>3264090.44</t>
  </si>
  <si>
    <t>M87915274</t>
  </si>
  <si>
    <t>275.320000</t>
  </si>
  <si>
    <t>2936012.48</t>
  </si>
  <si>
    <t>874039100</t>
  </si>
  <si>
    <t>85312.00000000</t>
  </si>
  <si>
    <t>440.830000</t>
  </si>
  <si>
    <t>37608088.96</t>
  </si>
  <si>
    <t>90385V107</t>
  </si>
  <si>
    <t>63984.00000000</t>
  </si>
  <si>
    <t>108.420000</t>
  </si>
  <si>
    <t>6937145.28</t>
  </si>
  <si>
    <t>1.82%</t>
  </si>
  <si>
    <t>922417100</t>
  </si>
  <si>
    <t>95976.00000000</t>
  </si>
  <si>
    <t>71.160000</t>
  </si>
  <si>
    <t>6829652.16</t>
  </si>
  <si>
    <t>1.79%</t>
  </si>
  <si>
    <t>925550105</t>
  </si>
  <si>
    <t>149296.00000000</t>
  </si>
  <si>
    <t>49.410000</t>
  </si>
  <si>
    <t>7376715.36</t>
  </si>
  <si>
    <t>1.93%</t>
  </si>
  <si>
    <t>117645.29000000</t>
  </si>
  <si>
    <t>117645.29</t>
  </si>
  <si>
    <t>135300.00000000</t>
  </si>
  <si>
    <t>28.680000</t>
  </si>
  <si>
    <t>199.40%</t>
  </si>
  <si>
    <t>1946083.50</t>
  </si>
  <si>
    <t>85000</t>
  </si>
  <si>
    <t>134729.97000000</t>
  </si>
  <si>
    <t>134729.97</t>
  </si>
  <si>
    <t>6.92%</t>
  </si>
  <si>
    <t>-2068280.56000000</t>
  </si>
  <si>
    <t>-2068280.56</t>
  </si>
  <si>
    <t>-106.28%</t>
  </si>
  <si>
    <t>00090Q103</t>
  </si>
  <si>
    <t>8750.00000000</t>
  </si>
  <si>
    <t>6.550000</t>
  </si>
  <si>
    <t>57312.50</t>
  </si>
  <si>
    <t>3046762.50</t>
  </si>
  <si>
    <t>125000</t>
  </si>
  <si>
    <t>25.000000000000</t>
  </si>
  <si>
    <t>73931J109</t>
  </si>
  <si>
    <t>7650.00000000</t>
  </si>
  <si>
    <t>3.790000</t>
  </si>
  <si>
    <t>28993.50</t>
  </si>
  <si>
    <t>0.95%</t>
  </si>
  <si>
    <t>400.00000000</t>
  </si>
  <si>
    <t>182692.00</t>
  </si>
  <si>
    <t>6.00%</t>
  </si>
  <si>
    <t>099502106</t>
  </si>
  <si>
    <t>62.680000</t>
  </si>
  <si>
    <t>76783.00</t>
  </si>
  <si>
    <t>2.52%</t>
  </si>
  <si>
    <t>08975B109</t>
  </si>
  <si>
    <t>12800.00000000</t>
  </si>
  <si>
    <t>3.520000</t>
  </si>
  <si>
    <t>45056.00</t>
  </si>
  <si>
    <t>26470.50</t>
  </si>
  <si>
    <t>127190304</t>
  </si>
  <si>
    <t>462.040000</t>
  </si>
  <si>
    <t>92408.00</t>
  </si>
  <si>
    <t>3.03%</t>
  </si>
  <si>
    <t>M25133105</t>
  </si>
  <si>
    <t>3125.00000000</t>
  </si>
  <si>
    <t>7.980000</t>
  </si>
  <si>
    <t>24937.50</t>
  </si>
  <si>
    <t>M2197Q107</t>
  </si>
  <si>
    <t>3800.00000000</t>
  </si>
  <si>
    <t>12.690000</t>
  </si>
  <si>
    <t>48222.00</t>
  </si>
  <si>
    <t>23804L103</t>
  </si>
  <si>
    <t>1200.00000000</t>
  </si>
  <si>
    <t>222.650000</t>
  </si>
  <si>
    <t>267180.00</t>
  </si>
  <si>
    <t>8.77%</t>
  </si>
  <si>
    <t>253798102</t>
  </si>
  <si>
    <t>850.00000000</t>
  </si>
  <si>
    <t>67.740000</t>
  </si>
  <si>
    <t>57579.00</t>
  </si>
  <si>
    <t>268150109</t>
  </si>
  <si>
    <t>2950.00000000</t>
  </si>
  <si>
    <t>40.610000</t>
  </si>
  <si>
    <t>119799.50</t>
  </si>
  <si>
    <t>N14506104</t>
  </si>
  <si>
    <t>1550.00000000</t>
  </si>
  <si>
    <t>58.710000</t>
  </si>
  <si>
    <t>91000.50</t>
  </si>
  <si>
    <t>46373.20000000</t>
  </si>
  <si>
    <t>46373.20</t>
  </si>
  <si>
    <t>1.52%</t>
  </si>
  <si>
    <t>45170X205</t>
  </si>
  <si>
    <t>3325.00000000</t>
  </si>
  <si>
    <t>3.690000</t>
  </si>
  <si>
    <t>12269.25</t>
  </si>
  <si>
    <t>3400.00000000</t>
  </si>
  <si>
    <t>106216.00</t>
  </si>
  <si>
    <t>3.49%</t>
  </si>
  <si>
    <t>525327102</t>
  </si>
  <si>
    <t>900.00000000</t>
  </si>
  <si>
    <t>104.320000</t>
  </si>
  <si>
    <t>93888.00</t>
  </si>
  <si>
    <t>500.00000000</t>
  </si>
  <si>
    <t>143635.00</t>
  </si>
  <si>
    <t>606710200</t>
  </si>
  <si>
    <t>2150.00000000</t>
  </si>
  <si>
    <t>17.380000</t>
  </si>
  <si>
    <t>37367.00</t>
  </si>
  <si>
    <t>525.00000000</t>
  </si>
  <si>
    <t>400.600000</t>
  </si>
  <si>
    <t>210315.00</t>
  </si>
  <si>
    <t>6.90%</t>
  </si>
  <si>
    <t>G63755105</t>
  </si>
  <si>
    <t>8.200000</t>
  </si>
  <si>
    <t>27880.00</t>
  </si>
  <si>
    <t>671044105</t>
  </si>
  <si>
    <t>250.00000000</t>
  </si>
  <si>
    <t>213.720000</t>
  </si>
  <si>
    <t>53430.00</t>
  </si>
  <si>
    <t>453204109</t>
  </si>
  <si>
    <t>475.00000000</t>
  </si>
  <si>
    <t>127.980000</t>
  </si>
  <si>
    <t>60790.50</t>
  </si>
  <si>
    <t>2.00%</t>
  </si>
  <si>
    <t>65750.00</t>
  </si>
  <si>
    <t>69608A108</t>
  </si>
  <si>
    <t>3075.00000000</t>
  </si>
  <si>
    <t>113.500000</t>
  </si>
  <si>
    <t>349012.50</t>
  </si>
  <si>
    <t>11.46%</t>
  </si>
  <si>
    <t>M8216R109</t>
  </si>
  <si>
    <t>4.880000</t>
  </si>
  <si>
    <t>24400.00</t>
  </si>
  <si>
    <t>78781J109</t>
  </si>
  <si>
    <t>12.570000</t>
  </si>
  <si>
    <t>38652.75</t>
  </si>
  <si>
    <t>4600.00000000</t>
  </si>
  <si>
    <t>23184.00</t>
  </si>
  <si>
    <t>0.76%</t>
  </si>
  <si>
    <t>26551.50</t>
  </si>
  <si>
    <t>153042.50</t>
  </si>
  <si>
    <t>1775.00000000</t>
  </si>
  <si>
    <t>88998.50</t>
  </si>
  <si>
    <t>2.92%</t>
  </si>
  <si>
    <t>902252105</t>
  </si>
  <si>
    <t>350.00000000</t>
  </si>
  <si>
    <t>286.030000</t>
  </si>
  <si>
    <t>100110.50</t>
  </si>
  <si>
    <t>3.29%</t>
  </si>
  <si>
    <t>922280102</t>
  </si>
  <si>
    <t>2250.00000000</t>
  </si>
  <si>
    <t>37.290000</t>
  </si>
  <si>
    <t>83902.50</t>
  </si>
  <si>
    <t>2.75%</t>
  </si>
  <si>
    <t>18467V109</t>
  </si>
  <si>
    <t>1300.00000000</t>
  </si>
  <si>
    <t>52.950000</t>
  </si>
  <si>
    <t>68835.00</t>
  </si>
  <si>
    <t>2.26%</t>
  </si>
  <si>
    <t>989207105</t>
  </si>
  <si>
    <t>450.00000000</t>
  </si>
  <si>
    <t>247.780000</t>
  </si>
  <si>
    <t>111501.00</t>
  </si>
  <si>
    <t>2199.06000000</t>
  </si>
  <si>
    <t>2199.06</t>
  </si>
  <si>
    <t>0.07%</t>
  </si>
  <si>
    <t>7932.00000000</t>
  </si>
  <si>
    <t>1145380.80</t>
  </si>
  <si>
    <t>98461524.00</t>
  </si>
  <si>
    <t>4380000</t>
  </si>
  <si>
    <t>438.000000000000</t>
  </si>
  <si>
    <t>2896.00000000</t>
  </si>
  <si>
    <t>1158168.32</t>
  </si>
  <si>
    <t>040413205</t>
  </si>
  <si>
    <t>20478.00000000</t>
  </si>
  <si>
    <t>161.740000</t>
  </si>
  <si>
    <t>3312111.72</t>
  </si>
  <si>
    <t>3.36%</t>
  </si>
  <si>
    <t>03769M106</t>
  </si>
  <si>
    <t>7953.00000000</t>
  </si>
  <si>
    <t>122.600000</t>
  </si>
  <si>
    <t>975037.80</t>
  </si>
  <si>
    <t>5481.00000000</t>
  </si>
  <si>
    <t>2548445.76</t>
  </si>
  <si>
    <t>03990B101</t>
  </si>
  <si>
    <t>4043.00000000</t>
  </si>
  <si>
    <t>113.870000</t>
  </si>
  <si>
    <t>460376.41</t>
  </si>
  <si>
    <t>6050.00000000</t>
  </si>
  <si>
    <t>411460.50</t>
  </si>
  <si>
    <t>1494.00000000</t>
  </si>
  <si>
    <t>682354.62</t>
  </si>
  <si>
    <t>4951.00000000</t>
  </si>
  <si>
    <t>1614966.69</t>
  </si>
  <si>
    <t>09290D101</t>
  </si>
  <si>
    <t>982.600000</t>
  </si>
  <si>
    <t>2711976.00</t>
  </si>
  <si>
    <t>09260D107</t>
  </si>
  <si>
    <t>14494.00000000</t>
  </si>
  <si>
    <t>112.990000</t>
  </si>
  <si>
    <t>1637677.06</t>
  </si>
  <si>
    <t>14040H105</t>
  </si>
  <si>
    <t>12129.00000000</t>
  </si>
  <si>
    <t>200.480000</t>
  </si>
  <si>
    <t>2431621.92</t>
  </si>
  <si>
    <t>4218.00000000</t>
  </si>
  <si>
    <t>633163.98</t>
  </si>
  <si>
    <t>22266T109</t>
  </si>
  <si>
    <t>30613.00000000</t>
  </si>
  <si>
    <t>17.760000</t>
  </si>
  <si>
    <t>543686.88</t>
  </si>
  <si>
    <t>2871.00000000</t>
  </si>
  <si>
    <t>772270.29</t>
  </si>
  <si>
    <t>15865.00000000</t>
  </si>
  <si>
    <t>2423537.40</t>
  </si>
  <si>
    <t>2.46%</t>
  </si>
  <si>
    <t>22788C105</t>
  </si>
  <si>
    <t>4846.00000000</t>
  </si>
  <si>
    <t>673.020000</t>
  </si>
  <si>
    <t>3261454.92</t>
  </si>
  <si>
    <t>21873S108</t>
  </si>
  <si>
    <t>7173.00000000</t>
  </si>
  <si>
    <t>100.880000</t>
  </si>
  <si>
    <t>723612.24</t>
  </si>
  <si>
    <t>146869102</t>
  </si>
  <si>
    <t>13526.00000000</t>
  </si>
  <si>
    <t>67.910000</t>
  </si>
  <si>
    <t>918550.66</t>
  </si>
  <si>
    <t>7383.00000000</t>
  </si>
  <si>
    <t>1313657.19</t>
  </si>
  <si>
    <t>6368.00000000</t>
  </si>
  <si>
    <t>1417835.20</t>
  </si>
  <si>
    <t>1.44%</t>
  </si>
  <si>
    <t>24703L202</t>
  </si>
  <si>
    <t>6247.00000000</t>
  </si>
  <si>
    <t>434.060000</t>
  </si>
  <si>
    <t>2711572.82</t>
  </si>
  <si>
    <t>1149806.98000000</t>
  </si>
  <si>
    <t>1149806.98</t>
  </si>
  <si>
    <t>12366.00000000</t>
  </si>
  <si>
    <t>1796532.48</t>
  </si>
  <si>
    <t>15095.00000000</t>
  </si>
  <si>
    <t>1467083.05</t>
  </si>
  <si>
    <t>1.49%</t>
  </si>
  <si>
    <t>45866F104</t>
  </si>
  <si>
    <t>11080.00000000</t>
  </si>
  <si>
    <t>130.020000</t>
  </si>
  <si>
    <t>1440621.60</t>
  </si>
  <si>
    <t>1.46%</t>
  </si>
  <si>
    <t>17753.00000000</t>
  </si>
  <si>
    <t>9900315.51</t>
  </si>
  <si>
    <t>10.06%</t>
  </si>
  <si>
    <t>609839105</t>
  </si>
  <si>
    <t>934.00000000</t>
  </si>
  <si>
    <t>1434.950000</t>
  </si>
  <si>
    <t>1340243.30</t>
  </si>
  <si>
    <t>594972408</t>
  </si>
  <si>
    <t>6322.00000000</t>
  </si>
  <si>
    <t>94.130000</t>
  </si>
  <si>
    <t>595089.86</t>
  </si>
  <si>
    <t>N97284108</t>
  </si>
  <si>
    <t>4074.00000000</t>
  </si>
  <si>
    <t>259.660000</t>
  </si>
  <si>
    <t>1057854.84</t>
  </si>
  <si>
    <t>6265.00000000</t>
  </si>
  <si>
    <t>1400102.20</t>
  </si>
  <si>
    <t>G6683N103</t>
  </si>
  <si>
    <t>73944.00000000</t>
  </si>
  <si>
    <t>12.460000</t>
  </si>
  <si>
    <t>921342.24</t>
  </si>
  <si>
    <t>48463.00000000</t>
  </si>
  <si>
    <t>9644137.00</t>
  </si>
  <si>
    <t>9.79%</t>
  </si>
  <si>
    <t>68389X105</t>
  </si>
  <si>
    <t>34206.00000000</t>
  </si>
  <si>
    <t>157.530000</t>
  </si>
  <si>
    <t>5388471.18</t>
  </si>
  <si>
    <t>74624M102</t>
  </si>
  <si>
    <t>6241.00000000</t>
  </si>
  <si>
    <t>72.800000</t>
  </si>
  <si>
    <t>454344.80</t>
  </si>
  <si>
    <t>43701.00000000</t>
  </si>
  <si>
    <t>4960063.50</t>
  </si>
  <si>
    <t>12495.00000000</t>
  </si>
  <si>
    <t>599010.30</t>
  </si>
  <si>
    <t>2634.00000000</t>
  </si>
  <si>
    <t>423336.48</t>
  </si>
  <si>
    <t>75886F107</t>
  </si>
  <si>
    <t>1945.00000000</t>
  </si>
  <si>
    <t>623.430000</t>
  </si>
  <si>
    <t>1212571.35</t>
  </si>
  <si>
    <t>10805.00000000</t>
  </si>
  <si>
    <t>922855.05</t>
  </si>
  <si>
    <t>82509L107</t>
  </si>
  <si>
    <t>23970.00000000</t>
  </si>
  <si>
    <t>114.170000</t>
  </si>
  <si>
    <t>2736654.90</t>
  </si>
  <si>
    <t>6512.00000000</t>
  </si>
  <si>
    <t>1471386.40</t>
  </si>
  <si>
    <t>84615Q103</t>
  </si>
  <si>
    <t>13735.00000000</t>
  </si>
  <si>
    <t>154.540000</t>
  </si>
  <si>
    <t>2122606.90</t>
  </si>
  <si>
    <t>858119100</t>
  </si>
  <si>
    <t>2667.00000000</t>
  </si>
  <si>
    <t>241.430000</t>
  </si>
  <si>
    <t>643893.81</t>
  </si>
  <si>
    <t>25482.00000000</t>
  </si>
  <si>
    <t>9569255.46</t>
  </si>
  <si>
    <t>9.72%</t>
  </si>
  <si>
    <t>91307C102</t>
  </si>
  <si>
    <t>813.00000000</t>
  </si>
  <si>
    <t>549.900000</t>
  </si>
  <si>
    <t>447068.70</t>
  </si>
  <si>
    <t>2905.00000000</t>
  </si>
  <si>
    <t>468721.75</t>
  </si>
  <si>
    <t>94106B101</t>
  </si>
  <si>
    <t>4957.00000000</t>
  </si>
  <si>
    <t>166.450000</t>
  </si>
  <si>
    <t>825092.65</t>
  </si>
  <si>
    <t>3956.00000000</t>
  </si>
  <si>
    <t>467164.04</t>
  </si>
  <si>
    <t>10370.00000000</t>
  </si>
  <si>
    <t>784801.60</t>
  </si>
  <si>
    <t>5006.00000000</t>
  </si>
  <si>
    <t>427862.82</t>
  </si>
  <si>
    <t>13103.22000000</t>
  </si>
  <si>
    <t>13103.22</t>
  </si>
  <si>
    <t>1495482.00000000</t>
  </si>
  <si>
    <t>22.470000</t>
  </si>
  <si>
    <t>200.34%</t>
  </si>
  <si>
    <t>16773390.00</t>
  </si>
  <si>
    <t>850000</t>
  </si>
  <si>
    <t>85.000000000000</t>
  </si>
  <si>
    <t>1685620.12000000</t>
  </si>
  <si>
    <t>1685620.12</t>
  </si>
  <si>
    <t>10.05%</t>
  </si>
  <si>
    <t>-18510769.85000000</t>
  </si>
  <si>
    <t>-18510769.85</t>
  </si>
  <si>
    <t>-110.36%</t>
  </si>
  <si>
    <t>04010E109</t>
  </si>
  <si>
    <t>651.00000000</t>
  </si>
  <si>
    <t>732.240000</t>
  </si>
  <si>
    <t>476688.24</t>
  </si>
  <si>
    <t>11602308.00</t>
  </si>
  <si>
    <t>465000</t>
  </si>
  <si>
    <t>93.000000000000</t>
  </si>
  <si>
    <t>03957W106</t>
  </si>
  <si>
    <t>10974.00000000</t>
  </si>
  <si>
    <t>38.790000</t>
  </si>
  <si>
    <t>425681.46</t>
  </si>
  <si>
    <t>05722G100</t>
  </si>
  <si>
    <t>8277.00000000</t>
  </si>
  <si>
    <t>56.380000</t>
  </si>
  <si>
    <t>466657.26</t>
  </si>
  <si>
    <t>1767.00000000</t>
  </si>
  <si>
    <t>1757193.15</t>
  </si>
  <si>
    <t>15.15%</t>
  </si>
  <si>
    <t>184499101</t>
  </si>
  <si>
    <t>100533.00000000</t>
  </si>
  <si>
    <t>1.730000</t>
  </si>
  <si>
    <t>173922.09</t>
  </si>
  <si>
    <t>744.00000000</t>
  </si>
  <si>
    <t>516983.28</t>
  </si>
  <si>
    <t>231561101</t>
  </si>
  <si>
    <t>372.00000000</t>
  </si>
  <si>
    <t>762.920000</t>
  </si>
  <si>
    <t>283806.24</t>
  </si>
  <si>
    <t>257651109</t>
  </si>
  <si>
    <t>1209.00000000</t>
  </si>
  <si>
    <t>86.070000</t>
  </si>
  <si>
    <t>104058.63</t>
  </si>
  <si>
    <t>G29183103</t>
  </si>
  <si>
    <t>1302.00000000</t>
  </si>
  <si>
    <t>404.590000</t>
  </si>
  <si>
    <t>526776.18</t>
  </si>
  <si>
    <t>341697.51000000</t>
  </si>
  <si>
    <t>341697.51</t>
  </si>
  <si>
    <t>2.95%</t>
  </si>
  <si>
    <t>343412102</t>
  </si>
  <si>
    <t>8742.00000000</t>
  </si>
  <si>
    <t>53.170000</t>
  </si>
  <si>
    <t>464812.14</t>
  </si>
  <si>
    <t>4.01%</t>
  </si>
  <si>
    <t>34354P105</t>
  </si>
  <si>
    <t>5580.00000000</t>
  </si>
  <si>
    <t>72.930000</t>
  </si>
  <si>
    <t>406949.40</t>
  </si>
  <si>
    <t>G87110105</t>
  </si>
  <si>
    <t>3627.00000000</t>
  </si>
  <si>
    <t>64.290000</t>
  </si>
  <si>
    <t>233179.83</t>
  </si>
  <si>
    <t>2.01%</t>
  </si>
  <si>
    <t>36828A101</t>
  </si>
  <si>
    <t>1116.00000000</t>
  </si>
  <si>
    <t>1057.650000</t>
  </si>
  <si>
    <t>1180337.40</t>
  </si>
  <si>
    <t>10.17%</t>
  </si>
  <si>
    <t>368736104</t>
  </si>
  <si>
    <t>2232.00000000</t>
  </si>
  <si>
    <t>284.140000</t>
  </si>
  <si>
    <t>634200.48</t>
  </si>
  <si>
    <t>16115Q308</t>
  </si>
  <si>
    <t>208.700000</t>
  </si>
  <si>
    <t>465818.40</t>
  </si>
  <si>
    <t>50012A108</t>
  </si>
  <si>
    <t>5952.00000000</t>
  </si>
  <si>
    <t>70.650000</t>
  </si>
  <si>
    <t>420508.80</t>
  </si>
  <si>
    <t>3.62%</t>
  </si>
  <si>
    <t>49456B101</t>
  </si>
  <si>
    <t>18042.00000000</t>
  </si>
  <si>
    <t>32.590000</t>
  </si>
  <si>
    <t>587988.78</t>
  </si>
  <si>
    <t>5.07%</t>
  </si>
  <si>
    <t>16411R208</t>
  </si>
  <si>
    <t>230.860000</t>
  </si>
  <si>
    <t>515279.52</t>
  </si>
  <si>
    <t>4.44%</t>
  </si>
  <si>
    <t>644393100</t>
  </si>
  <si>
    <t>302901.00000000</t>
  </si>
  <si>
    <t>0.369500</t>
  </si>
  <si>
    <t>111921.92</t>
  </si>
  <si>
    <t>63886Q109</t>
  </si>
  <si>
    <t>42.940000</t>
  </si>
  <si>
    <t>255578.88</t>
  </si>
  <si>
    <t>2.20%</t>
  </si>
  <si>
    <t>682680103</t>
  </si>
  <si>
    <t>6510.00000000</t>
  </si>
  <si>
    <t>87.310000</t>
  </si>
  <si>
    <t>568388.10</t>
  </si>
  <si>
    <t>4.90%</t>
  </si>
  <si>
    <t>1581.00000000</t>
  </si>
  <si>
    <t>684256.80</t>
  </si>
  <si>
    <t>-454.83000000</t>
  </si>
  <si>
    <t>-454.83</t>
  </si>
  <si>
    <t>00287Y109</t>
  </si>
  <si>
    <t>869.00000000</t>
  </si>
  <si>
    <t>234.890000</t>
  </si>
  <si>
    <t>204119.41</t>
  </si>
  <si>
    <t>13.78%</t>
  </si>
  <si>
    <t>1480787.00</t>
  </si>
  <si>
    <t>009496100</t>
  </si>
  <si>
    <t>6710.00000000</t>
  </si>
  <si>
    <t>4.545000</t>
  </si>
  <si>
    <t>30496.95</t>
  </si>
  <si>
    <t>016255101</t>
  </si>
  <si>
    <t>374.00000000</t>
  </si>
  <si>
    <t>170.900000</t>
  </si>
  <si>
    <t>63916.60</t>
  </si>
  <si>
    <t>4.32%</t>
  </si>
  <si>
    <t>038336103</t>
  </si>
  <si>
    <t>517.00000000</t>
  </si>
  <si>
    <t>124.280000</t>
  </si>
  <si>
    <t>64252.76</t>
  </si>
  <si>
    <t>4.34%</t>
  </si>
  <si>
    <t>070830104</t>
  </si>
  <si>
    <t>2640.00000000</t>
  </si>
  <si>
    <t>21.810000</t>
  </si>
  <si>
    <t>57578.40</t>
  </si>
  <si>
    <t>194162103</t>
  </si>
  <si>
    <t>1309.00000000</t>
  </si>
  <si>
    <t>91.880000</t>
  </si>
  <si>
    <t>120270.92</t>
  </si>
  <si>
    <t>8.12%</t>
  </si>
  <si>
    <t>222070203</t>
  </si>
  <si>
    <t>14740.00000000</t>
  </si>
  <si>
    <t>1.950000</t>
  </si>
  <si>
    <t>28743.00</t>
  </si>
  <si>
    <t>518439104</t>
  </si>
  <si>
    <t>913.00000000</t>
  </si>
  <si>
    <t>83.270000</t>
  </si>
  <si>
    <t>76025.51</t>
  </si>
  <si>
    <t>5.13%</t>
  </si>
  <si>
    <t>26856L103</t>
  </si>
  <si>
    <t>792.00000000</t>
  </si>
  <si>
    <t>64.540000</t>
  </si>
  <si>
    <t>51115.68</t>
  </si>
  <si>
    <t>3.45%</t>
  </si>
  <si>
    <t>30052C107</t>
  </si>
  <si>
    <t>7233.00000000</t>
  </si>
  <si>
    <t>6.970000</t>
  </si>
  <si>
    <t>50414.01</t>
  </si>
  <si>
    <t>3.40%</t>
  </si>
  <si>
    <t>28035Q102</t>
  </si>
  <si>
    <t>1628.00000000</t>
  </si>
  <si>
    <t>26.580000</t>
  </si>
  <si>
    <t>43272.24</t>
  </si>
  <si>
    <t>G31249108</t>
  </si>
  <si>
    <t>638.00000000</t>
  </si>
  <si>
    <t>87.210000</t>
  </si>
  <si>
    <t>55639.98</t>
  </si>
  <si>
    <t>3.76%</t>
  </si>
  <si>
    <t>48345.85000000</t>
  </si>
  <si>
    <t>48345.85</t>
  </si>
  <si>
    <t>3.26%</t>
  </si>
  <si>
    <t>G4388N106</t>
  </si>
  <si>
    <t>27.920000</t>
  </si>
  <si>
    <t>34397.44</t>
  </si>
  <si>
    <t>2.32%</t>
  </si>
  <si>
    <t>433000106</t>
  </si>
  <si>
    <t>2318.00000000</t>
  </si>
  <si>
    <t>32.700000</t>
  </si>
  <si>
    <t>75798.60</t>
  </si>
  <si>
    <t>5.12%</t>
  </si>
  <si>
    <t>438333106</t>
  </si>
  <si>
    <t>7821.00000000</t>
  </si>
  <si>
    <t>28859.49</t>
  </si>
  <si>
    <t>1001.00000000</t>
  </si>
  <si>
    <t>75905.83</t>
  </si>
  <si>
    <t>M5425M103</t>
  </si>
  <si>
    <t>2486.00000000</t>
  </si>
  <si>
    <t>14.790000</t>
  </si>
  <si>
    <t>36767.94</t>
  </si>
  <si>
    <t>458334109</t>
  </si>
  <si>
    <t>473.00000000</t>
  </si>
  <si>
    <t>104.250000</t>
  </si>
  <si>
    <t>49310.25</t>
  </si>
  <si>
    <t>49177J102</t>
  </si>
  <si>
    <t>4070.00000000</t>
  </si>
  <si>
    <t>18.800000</t>
  </si>
  <si>
    <t>76516.00</t>
  </si>
  <si>
    <t>5.17%</t>
  </si>
  <si>
    <t>67018T105</t>
  </si>
  <si>
    <t>3872.00000000</t>
  </si>
  <si>
    <t>5.110000</t>
  </si>
  <si>
    <t>19785.92</t>
  </si>
  <si>
    <t>1.34%</t>
  </si>
  <si>
    <t>M7518J104</t>
  </si>
  <si>
    <t>2079.00000000</t>
  </si>
  <si>
    <t>12.870000</t>
  </si>
  <si>
    <t>26756.73</t>
  </si>
  <si>
    <t>1.81%</t>
  </si>
  <si>
    <t>679369108</t>
  </si>
  <si>
    <t>12386.00000000</t>
  </si>
  <si>
    <t>2.040000</t>
  </si>
  <si>
    <t>25267.44</t>
  </si>
  <si>
    <t>1.71%</t>
  </si>
  <si>
    <t>79546E104</t>
  </si>
  <si>
    <t>2772.00000000</t>
  </si>
  <si>
    <t>14.320000</t>
  </si>
  <si>
    <t>39695.04</t>
  </si>
  <si>
    <t>2.68%</t>
  </si>
  <si>
    <t>90384S303</t>
  </si>
  <si>
    <t>147.00000000</t>
  </si>
  <si>
    <t>478.930000</t>
  </si>
  <si>
    <t>70402.71</t>
  </si>
  <si>
    <t>4.75%</t>
  </si>
  <si>
    <t>90328M107</t>
  </si>
  <si>
    <t>1320.00000000</t>
  </si>
  <si>
    <t>19.940000</t>
  </si>
  <si>
    <t>26320.80</t>
  </si>
  <si>
    <t>1.78%</t>
  </si>
  <si>
    <t>802.02000000</t>
  </si>
  <si>
    <t>802.02</t>
  </si>
  <si>
    <t>0.05%</t>
  </si>
  <si>
    <t>00091E109</t>
  </si>
  <si>
    <t>2387.00000000</t>
  </si>
  <si>
    <t>10.075000</t>
  </si>
  <si>
    <t>24049.03</t>
  </si>
  <si>
    <t>1605384.00</t>
  </si>
  <si>
    <t>00650F109</t>
  </si>
  <si>
    <t>1298.00000000</t>
  </si>
  <si>
    <t>19.340000</t>
  </si>
  <si>
    <t>25103.32</t>
  </si>
  <si>
    <t>02043Q107</t>
  </si>
  <si>
    <t>294.060000</t>
  </si>
  <si>
    <t>64693.20</t>
  </si>
  <si>
    <t>4.03%</t>
  </si>
  <si>
    <t>03969T109</t>
  </si>
  <si>
    <t>7.010000</t>
  </si>
  <si>
    <t>5551.92</t>
  </si>
  <si>
    <t>04280A100</t>
  </si>
  <si>
    <t>451.00000000</t>
  </si>
  <si>
    <t>79.810000</t>
  </si>
  <si>
    <t>35994.31</t>
  </si>
  <si>
    <t>2.24%</t>
  </si>
  <si>
    <t>114340102</t>
  </si>
  <si>
    <t>495.00000000</t>
  </si>
  <si>
    <t>23.860000</t>
  </si>
  <si>
    <t>11810.70</t>
  </si>
  <si>
    <t>09075X207</t>
  </si>
  <si>
    <t>462.00000000</t>
  </si>
  <si>
    <t>18.670000</t>
  </si>
  <si>
    <t>8625.54</t>
  </si>
  <si>
    <t>07373V105</t>
  </si>
  <si>
    <t>704.00000000</t>
  </si>
  <si>
    <t>33.900000</t>
  </si>
  <si>
    <t>23865.60</t>
  </si>
  <si>
    <t>09061G101</t>
  </si>
  <si>
    <t>693.00000000</t>
  </si>
  <si>
    <t>57.330000</t>
  </si>
  <si>
    <t>39729.69</t>
  </si>
  <si>
    <t>142152107</t>
  </si>
  <si>
    <t>880.00000000</t>
  </si>
  <si>
    <t>18.150000</t>
  </si>
  <si>
    <t>15972.00</t>
  </si>
  <si>
    <t>14167L103</t>
  </si>
  <si>
    <t>594.00000000</t>
  </si>
  <si>
    <t>27.130000</t>
  </si>
  <si>
    <t>16115.22</t>
  </si>
  <si>
    <t>15687V109</t>
  </si>
  <si>
    <t>1815.00000000</t>
  </si>
  <si>
    <t>5.430000</t>
  </si>
  <si>
    <t>9855.45</t>
  </si>
  <si>
    <t>142038108</t>
  </si>
  <si>
    <t>3058.00000000</t>
  </si>
  <si>
    <t>1.660000</t>
  </si>
  <si>
    <t>5076.28</t>
  </si>
  <si>
    <t>H17182108</t>
  </si>
  <si>
    <t>53.550000</t>
  </si>
  <si>
    <t>27685.35</t>
  </si>
  <si>
    <t>1.72%</t>
  </si>
  <si>
    <t>14843C105</t>
  </si>
  <si>
    <t>22.120000</t>
  </si>
  <si>
    <t>10219.44</t>
  </si>
  <si>
    <t>74019P207</t>
  </si>
  <si>
    <t>825.00000000</t>
  </si>
  <si>
    <t>6.740000</t>
  </si>
  <si>
    <t>5560.50</t>
  </si>
  <si>
    <t>28106W103</t>
  </si>
  <si>
    <t>2574.00000000</t>
  </si>
  <si>
    <t>2.800000</t>
  </si>
  <si>
    <t>7207.20</t>
  </si>
  <si>
    <t>35104E100</t>
  </si>
  <si>
    <t>1045.00000000</t>
  </si>
  <si>
    <t>11.620000</t>
  </si>
  <si>
    <t>12142.90</t>
  </si>
  <si>
    <t>20316.41000000</t>
  </si>
  <si>
    <t>20316.41</t>
  </si>
  <si>
    <t>359664109</t>
  </si>
  <si>
    <t>9890.21</t>
  </si>
  <si>
    <t>370920100</t>
  </si>
  <si>
    <t>924.00000000</t>
  </si>
  <si>
    <t>14996.52</t>
  </si>
  <si>
    <t>40131M109</t>
  </si>
  <si>
    <t>429.00000000</t>
  </si>
  <si>
    <t>136.960000</t>
  </si>
  <si>
    <t>58755.84</t>
  </si>
  <si>
    <t>372303206</t>
  </si>
  <si>
    <t>1672.00000000</t>
  </si>
  <si>
    <t>25.865000</t>
  </si>
  <si>
    <t>43246.28</t>
  </si>
  <si>
    <t>2.69%</t>
  </si>
  <si>
    <t>384747101</t>
  </si>
  <si>
    <t>330.00000000</t>
  </si>
  <si>
    <t>64.580000</t>
  </si>
  <si>
    <t>21311.40</t>
  </si>
  <si>
    <t>45166A102</t>
  </si>
  <si>
    <t>682.00000000</t>
  </si>
  <si>
    <t>36.280000</t>
  </si>
  <si>
    <t>24742.96</t>
  </si>
  <si>
    <t>1.54%</t>
  </si>
  <si>
    <t>452327109</t>
  </si>
  <si>
    <t>363.00000000</t>
  </si>
  <si>
    <t>175.090000</t>
  </si>
  <si>
    <t>63557.67</t>
  </si>
  <si>
    <t>3.96%</t>
  </si>
  <si>
    <t>45337C102</t>
  </si>
  <si>
    <t>108.460000</t>
  </si>
  <si>
    <t>50108.52</t>
  </si>
  <si>
    <t>462222100</t>
  </si>
  <si>
    <t>528.00000000</t>
  </si>
  <si>
    <t>76.520000</t>
  </si>
  <si>
    <t>40402.56</t>
  </si>
  <si>
    <t>462260100</t>
  </si>
  <si>
    <t>4477.00000000</t>
  </si>
  <si>
    <t>4.250000</t>
  </si>
  <si>
    <t>19027.25</t>
  </si>
  <si>
    <t>501147102</t>
  </si>
  <si>
    <t>347.630000</t>
  </si>
  <si>
    <t>38239.30</t>
  </si>
  <si>
    <t>2.38%</t>
  </si>
  <si>
    <t>34385P108</t>
  </si>
  <si>
    <t>8547.00000000</t>
  </si>
  <si>
    <t>0.753000</t>
  </si>
  <si>
    <t>6435.89</t>
  </si>
  <si>
    <t>60770K107</t>
  </si>
  <si>
    <t>60.420000</t>
  </si>
  <si>
    <t>55163.46</t>
  </si>
  <si>
    <t>3.44%</t>
  </si>
  <si>
    <t>62855J104</t>
  </si>
  <si>
    <t>1925.00000000</t>
  </si>
  <si>
    <t>5.220000</t>
  </si>
  <si>
    <t>10048.50</t>
  </si>
  <si>
    <t>64049M209</t>
  </si>
  <si>
    <t>1606.00000000</t>
  </si>
  <si>
    <t>12.900000</t>
  </si>
  <si>
    <t>20717.40</t>
  </si>
  <si>
    <t>1.29%</t>
  </si>
  <si>
    <t>67080M103</t>
  </si>
  <si>
    <t>990.00000000</t>
  </si>
  <si>
    <t>19.300000</t>
  </si>
  <si>
    <t>19107.00</t>
  </si>
  <si>
    <t>45826J105</t>
  </si>
  <si>
    <t>1177.00000000</t>
  </si>
  <si>
    <t>15.500000</t>
  </si>
  <si>
    <t>18243.50</t>
  </si>
  <si>
    <t>670703107</t>
  </si>
  <si>
    <t>123.580000</t>
  </si>
  <si>
    <t>32625.12</t>
  </si>
  <si>
    <t>2.03%</t>
  </si>
  <si>
    <t>69404D108</t>
  </si>
  <si>
    <t>5852.00000000</t>
  </si>
  <si>
    <t>1.440000</t>
  </si>
  <si>
    <t>8426.88</t>
  </si>
  <si>
    <t>74168J101</t>
  </si>
  <si>
    <t>3.120000</t>
  </si>
  <si>
    <t>7447.44</t>
  </si>
  <si>
    <t>71535D106</t>
  </si>
  <si>
    <t>1562.00000000</t>
  </si>
  <si>
    <t>11.360000</t>
  </si>
  <si>
    <t>17744.32</t>
  </si>
  <si>
    <t>1.11%</t>
  </si>
  <si>
    <t>N72482156</t>
  </si>
  <si>
    <t>858.00000000</t>
  </si>
  <si>
    <t>38.730000</t>
  </si>
  <si>
    <t>33230.34</t>
  </si>
  <si>
    <t>2.07%</t>
  </si>
  <si>
    <t>N90064101</t>
  </si>
  <si>
    <t>748.00000000</t>
  </si>
  <si>
    <t>48.850000</t>
  </si>
  <si>
    <t>36539.80</t>
  </si>
  <si>
    <t>2.28%</t>
  </si>
  <si>
    <t>90400D108</t>
  </si>
  <si>
    <t>29.110000</t>
  </si>
  <si>
    <t>21774.28</t>
  </si>
  <si>
    <t>77313F106</t>
  </si>
  <si>
    <t>2343.00000000</t>
  </si>
  <si>
    <t>3.300000</t>
  </si>
  <si>
    <t>7731.90</t>
  </si>
  <si>
    <t>75943R102</t>
  </si>
  <si>
    <t>1111.00000000</t>
  </si>
  <si>
    <t>18.020000</t>
  </si>
  <si>
    <t>20020.22</t>
  </si>
  <si>
    <t>76155X100</t>
  </si>
  <si>
    <t>341.00000000</t>
  </si>
  <si>
    <t>169.770000</t>
  </si>
  <si>
    <t>57891.57</t>
  </si>
  <si>
    <t>3.61%</t>
  </si>
  <si>
    <t>75629V104</t>
  </si>
  <si>
    <t>4664.00000000</t>
  </si>
  <si>
    <t>15064.72</t>
  </si>
  <si>
    <t>80810D103</t>
  </si>
  <si>
    <t>15.330000</t>
  </si>
  <si>
    <t>15345.33</t>
  </si>
  <si>
    <t>83422E204</t>
  </si>
  <si>
    <t>1397.00000000</t>
  </si>
  <si>
    <t>9.250000</t>
  </si>
  <si>
    <t>12922.25</t>
  </si>
  <si>
    <t>H82027105</t>
  </si>
  <si>
    <t>1551.00000000</t>
  </si>
  <si>
    <t>5.520000</t>
  </si>
  <si>
    <t>8561.52</t>
  </si>
  <si>
    <t>803607100</t>
  </si>
  <si>
    <t>16.695000</t>
  </si>
  <si>
    <t>15426.18</t>
  </si>
  <si>
    <t>09073M104</t>
  </si>
  <si>
    <t>605.00000000</t>
  </si>
  <si>
    <t>58.875000</t>
  </si>
  <si>
    <t>35619.38</t>
  </si>
  <si>
    <t>88023B103</t>
  </si>
  <si>
    <t>51.940000</t>
  </si>
  <si>
    <t>26852.98</t>
  </si>
  <si>
    <t>883556102</t>
  </si>
  <si>
    <t>492.200000</t>
  </si>
  <si>
    <t>129940.80</t>
  </si>
  <si>
    <t>8.09%</t>
  </si>
  <si>
    <t>90184D100</t>
  </si>
  <si>
    <t>91.350000</t>
  </si>
  <si>
    <t>31150.35</t>
  </si>
  <si>
    <t>88025U109</t>
  </si>
  <si>
    <t>891.00000000</t>
  </si>
  <si>
    <t>34.600000</t>
  </si>
  <si>
    <t>30828.60</t>
  </si>
  <si>
    <t>92337F107</t>
  </si>
  <si>
    <t>583.00000000</t>
  </si>
  <si>
    <t>56.760000</t>
  </si>
  <si>
    <t>33091.08</t>
  </si>
  <si>
    <t>92532F100</t>
  </si>
  <si>
    <t>231.00000000</t>
  </si>
  <si>
    <t>475.200000</t>
  </si>
  <si>
    <t>109771.20</t>
  </si>
  <si>
    <t>6.84%</t>
  </si>
  <si>
    <t>81663L200</t>
  </si>
  <si>
    <t>63.540000</t>
  </si>
  <si>
    <t>13978.80</t>
  </si>
  <si>
    <t>-182.79000000</t>
  </si>
  <si>
    <t>-182.79</t>
  </si>
  <si>
    <t>77.12%</t>
  </si>
  <si>
    <t>1371793.50</t>
  </si>
  <si>
    <t>21.757617</t>
  </si>
  <si>
    <t>-2.85%</t>
  </si>
  <si>
    <t>6.27%</t>
  </si>
  <si>
    <t>189000.00000000</t>
  </si>
  <si>
    <t>182868.64</t>
  </si>
  <si>
    <t>13.33%</t>
  </si>
  <si>
    <t>84053.57000000</t>
  </si>
  <si>
    <t>84053.57</t>
  </si>
  <si>
    <t>6.13%</t>
  </si>
  <si>
    <t>83.46000000</t>
  </si>
  <si>
    <t>83.46</t>
  </si>
  <si>
    <t>65.00000000</t>
  </si>
  <si>
    <t>80.41%</t>
  </si>
  <si>
    <t>4795353.00</t>
  </si>
  <si>
    <t>190000</t>
  </si>
  <si>
    <t>38.000000000000</t>
  </si>
  <si>
    <t>-65.00000000</t>
  </si>
  <si>
    <t>39.547493</t>
  </si>
  <si>
    <t>-5.36%</t>
  </si>
  <si>
    <t>35.161236</t>
  </si>
  <si>
    <t>4.77%</t>
  </si>
  <si>
    <t>834000.00000000</t>
  </si>
  <si>
    <t>831983.78</t>
  </si>
  <si>
    <t>17.35%</t>
  </si>
  <si>
    <t>131947.99000000</t>
  </si>
  <si>
    <t>131947.99</t>
  </si>
  <si>
    <t>4125.29000000</t>
  </si>
  <si>
    <t>4125.29</t>
  </si>
  <si>
    <t>1292.00000000</t>
  </si>
  <si>
    <t>302676.84</t>
  </si>
  <si>
    <t>12.67%</t>
  </si>
  <si>
    <t>2388461.50</t>
  </si>
  <si>
    <t>95000</t>
  </si>
  <si>
    <t>19.000000000000</t>
  </si>
  <si>
    <t>Y0207T100</t>
  </si>
  <si>
    <t>1862.00000000</t>
  </si>
  <si>
    <t>16.940000</t>
  </si>
  <si>
    <t>31542.28</t>
  </si>
  <si>
    <t>84208.00</t>
  </si>
  <si>
    <t>B38564108</t>
  </si>
  <si>
    <t>3116.00000000</t>
  </si>
  <si>
    <t>15.460000</t>
  </si>
  <si>
    <t>48173.36</t>
  </si>
  <si>
    <t>1957.00000000</t>
  </si>
  <si>
    <t>29491.99</t>
  </si>
  <si>
    <t>304.00000000</t>
  </si>
  <si>
    <t>38088.16</t>
  </si>
  <si>
    <t>1.59%</t>
  </si>
  <si>
    <t>Y2065G121</t>
  </si>
  <si>
    <t>2641.00000000</t>
  </si>
  <si>
    <t>19.390000</t>
  </si>
  <si>
    <t>51208.99</t>
  </si>
  <si>
    <t>2.14%</t>
  </si>
  <si>
    <t>249906108</t>
  </si>
  <si>
    <t>855.00000000</t>
  </si>
  <si>
    <t>67.770000</t>
  </si>
  <si>
    <t>57943.35</t>
  </si>
  <si>
    <t>Y2066G104</t>
  </si>
  <si>
    <t>9044.00000000</t>
  </si>
  <si>
    <t>2.060000</t>
  </si>
  <si>
    <t>18630.64</t>
  </si>
  <si>
    <t>30069T101</t>
  </si>
  <si>
    <t>988.00000000</t>
  </si>
  <si>
    <t>35.700000</t>
  </si>
  <si>
    <t>35271.60</t>
  </si>
  <si>
    <t>Y23592135</t>
  </si>
  <si>
    <t>380.00000000</t>
  </si>
  <si>
    <t>68.260000</t>
  </si>
  <si>
    <t>25938.80</t>
  </si>
  <si>
    <t>570.00000000</t>
  </si>
  <si>
    <t>91291.20</t>
  </si>
  <si>
    <t>342.00000000</t>
  </si>
  <si>
    <t>108355.86</t>
  </si>
  <si>
    <t>171.00000000</t>
  </si>
  <si>
    <t>27436.95</t>
  </si>
  <si>
    <t>59113.32000000</t>
  </si>
  <si>
    <t>59113.32</t>
  </si>
  <si>
    <t>G35947202</t>
  </si>
  <si>
    <t>1140.00000000</t>
  </si>
  <si>
    <t>30.460000</t>
  </si>
  <si>
    <t>34724.40</t>
  </si>
  <si>
    <t>M46528101</t>
  </si>
  <si>
    <t>1634.00000000</t>
  </si>
  <si>
    <t>40.720000</t>
  </si>
  <si>
    <t>66536.48</t>
  </si>
  <si>
    <t>2.79%</t>
  </si>
  <si>
    <t>Y81669106</t>
  </si>
  <si>
    <t>2717.00000000</t>
  </si>
  <si>
    <t>8.330000</t>
  </si>
  <si>
    <t>22632.61</t>
  </si>
  <si>
    <t>G9456A100</t>
  </si>
  <si>
    <t>1121.00000000</t>
  </si>
  <si>
    <t>49.830000</t>
  </si>
  <si>
    <t>55859.43</t>
  </si>
  <si>
    <t>Y2685T131</t>
  </si>
  <si>
    <t>1444.00000000</t>
  </si>
  <si>
    <t>24.160000</t>
  </si>
  <si>
    <t>34887.04</t>
  </si>
  <si>
    <t>38225.72</t>
  </si>
  <si>
    <t>1083.00000000</t>
  </si>
  <si>
    <t>54128.34</t>
  </si>
  <si>
    <t>2.27%</t>
  </si>
  <si>
    <t>Y2990R101</t>
  </si>
  <si>
    <t>5282.00000000</t>
  </si>
  <si>
    <t>39245.26</t>
  </si>
  <si>
    <t>G4660A103</t>
  </si>
  <si>
    <t>2280.00000000</t>
  </si>
  <si>
    <t>14.050000</t>
  </si>
  <si>
    <t>32034.00</t>
  </si>
  <si>
    <t>Y41053102</t>
  </si>
  <si>
    <t>665.00000000</t>
  </si>
  <si>
    <t>87.720000</t>
  </si>
  <si>
    <t>58333.80</t>
  </si>
  <si>
    <t>2.44%</t>
  </si>
  <si>
    <t>323.00000000</t>
  </si>
  <si>
    <t>86906.38</t>
  </si>
  <si>
    <t>3.64%</t>
  </si>
  <si>
    <t>Y48125101</t>
  </si>
  <si>
    <t>2451.00000000</t>
  </si>
  <si>
    <t>10.170000</t>
  </si>
  <si>
    <t>24926.67</t>
  </si>
  <si>
    <t>Y2106R110</t>
  </si>
  <si>
    <t>39.920000</t>
  </si>
  <si>
    <t>41716.40</t>
  </si>
  <si>
    <t>66891.78</t>
  </si>
  <si>
    <t>G65773106</t>
  </si>
  <si>
    <t>6840.00000000</t>
  </si>
  <si>
    <t>6.470000</t>
  </si>
  <si>
    <t>44254.80</t>
  </si>
  <si>
    <t>Y62132108</t>
  </si>
  <si>
    <t>1425.00000000</t>
  </si>
  <si>
    <t>21.540000</t>
  </si>
  <si>
    <t>30694.50</t>
  </si>
  <si>
    <t>104044.00</t>
  </si>
  <si>
    <t>G6891L105</t>
  </si>
  <si>
    <t>3154.00000000</t>
  </si>
  <si>
    <t>7.270000</t>
  </si>
  <si>
    <t>22929.58</t>
  </si>
  <si>
    <t>Y8162K204</t>
  </si>
  <si>
    <t>1938.00000000</t>
  </si>
  <si>
    <t>25.670000</t>
  </si>
  <si>
    <t>49748.46</t>
  </si>
  <si>
    <t>G7738W106</t>
  </si>
  <si>
    <t>3458.00000000</t>
  </si>
  <si>
    <t>11.160000</t>
  </si>
  <si>
    <t>38591.28</t>
  </si>
  <si>
    <t>Y73760400</t>
  </si>
  <si>
    <t>1558.00000000</t>
  </si>
  <si>
    <t>14.680000</t>
  </si>
  <si>
    <t>22871.44</t>
  </si>
  <si>
    <t>Y7542C130</t>
  </si>
  <si>
    <t>646.00000000</t>
  </si>
  <si>
    <t>78.390000</t>
  </si>
  <si>
    <t>50639.94</t>
  </si>
  <si>
    <t>G9108L173</t>
  </si>
  <si>
    <t>874.00000000</t>
  </si>
  <si>
    <t>39.140000</t>
  </si>
  <si>
    <t>34208.36</t>
  </si>
  <si>
    <t>G8726X106</t>
  </si>
  <si>
    <t>76.340000</t>
  </si>
  <si>
    <t>43513.80</t>
  </si>
  <si>
    <t>G89479102</t>
  </si>
  <si>
    <t>1368.00000000</t>
  </si>
  <si>
    <t>28.700000</t>
  </si>
  <si>
    <t>39261.60</t>
  </si>
  <si>
    <t>116966.28</t>
  </si>
  <si>
    <t>399.00000000</t>
  </si>
  <si>
    <t>78535.17</t>
  </si>
  <si>
    <t>50060.06</t>
  </si>
  <si>
    <t>-4298.26000000</t>
  </si>
  <si>
    <t>-4298.26</t>
  </si>
  <si>
    <t>-0.18%</t>
  </si>
  <si>
    <t>80.775181</t>
  </si>
  <si>
    <t>78.91%</t>
  </si>
  <si>
    <t>982720.00</t>
  </si>
  <si>
    <t>-96.00000000</t>
  </si>
  <si>
    <t>1.308886</t>
  </si>
  <si>
    <t>-1.28%</t>
  </si>
  <si>
    <t>2.576169</t>
  </si>
  <si>
    <t>-2.52%</t>
  </si>
  <si>
    <t>6.790427</t>
  </si>
  <si>
    <t>6.63%</t>
  </si>
  <si>
    <t>178000.00000000</t>
  </si>
  <si>
    <t>172225.49</t>
  </si>
  <si>
    <t>17.53%</t>
  </si>
  <si>
    <t>7164.99000000</t>
  </si>
  <si>
    <t>7164.99</t>
  </si>
  <si>
    <t>-8.75000000</t>
  </si>
  <si>
    <t>-8.75</t>
  </si>
  <si>
    <t>465.00000000</t>
  </si>
  <si>
    <t>81.166298</t>
  </si>
  <si>
    <t>79.68%</t>
  </si>
  <si>
    <t>4736643.00</t>
  </si>
  <si>
    <t>-465.00000000</t>
  </si>
  <si>
    <t>1.568512</t>
  </si>
  <si>
    <t>-1.54%</t>
  </si>
  <si>
    <t>2.109447</t>
  </si>
  <si>
    <t>-2.07%</t>
  </si>
  <si>
    <t>5.682813</t>
  </si>
  <si>
    <t>5.58%</t>
  </si>
  <si>
    <t>735000.00000000</t>
  </si>
  <si>
    <t>733223.12</t>
  </si>
  <si>
    <t>15.48%</t>
  </si>
  <si>
    <t>131588.37000000</t>
  </si>
  <si>
    <t>131588.37</t>
  </si>
  <si>
    <t>4421.90000000</t>
  </si>
  <si>
    <t>4421.90</t>
  </si>
  <si>
    <t>039653100</t>
  </si>
  <si>
    <t>3780.00000000</t>
  </si>
  <si>
    <t>144.340000</t>
  </si>
  <si>
    <t>545605.20</t>
  </si>
  <si>
    <t>11758815.00</t>
  </si>
  <si>
    <t>450000</t>
  </si>
  <si>
    <t>90.000000000000</t>
  </si>
  <si>
    <t>007973100</t>
  </si>
  <si>
    <t>1440.00000000</t>
  </si>
  <si>
    <t>359.610000</t>
  </si>
  <si>
    <t>517838.40</t>
  </si>
  <si>
    <t>4.40%</t>
  </si>
  <si>
    <t>030111207</t>
  </si>
  <si>
    <t>6390.00000000</t>
  </si>
  <si>
    <t>40.850000</t>
  </si>
  <si>
    <t>261031.50</t>
  </si>
  <si>
    <t>047649108</t>
  </si>
  <si>
    <t>4500.00000000</t>
  </si>
  <si>
    <t>77.890000</t>
  </si>
  <si>
    <t>350505.00</t>
  </si>
  <si>
    <t>2.98%</t>
  </si>
  <si>
    <t>267475101</t>
  </si>
  <si>
    <t>1350.00000000</t>
  </si>
  <si>
    <t>483.480000</t>
  </si>
  <si>
    <t>652698.00</t>
  </si>
  <si>
    <t>5.55%</t>
  </si>
  <si>
    <t>296315104</t>
  </si>
  <si>
    <t>1620.00000000</t>
  </si>
  <si>
    <t>346.510000</t>
  </si>
  <si>
    <t>561346.20</t>
  </si>
  <si>
    <t>3420.00000000</t>
  </si>
  <si>
    <t>1383697.80</t>
  </si>
  <si>
    <t>11.77%</t>
  </si>
  <si>
    <t>179838.73000000</t>
  </si>
  <si>
    <t>179838.73</t>
  </si>
  <si>
    <t>34631F102</t>
  </si>
  <si>
    <t>10800.00000000</t>
  </si>
  <si>
    <t>60.120000</t>
  </si>
  <si>
    <t>649296.00</t>
  </si>
  <si>
    <t>5.52%</t>
  </si>
  <si>
    <t>1530.00000000</t>
  </si>
  <si>
    <t>1618204.50</t>
  </si>
  <si>
    <t>13.76%</t>
  </si>
  <si>
    <t>443510607</t>
  </si>
  <si>
    <t>518.180000</t>
  </si>
  <si>
    <t>512998.20</t>
  </si>
  <si>
    <t>465741106</t>
  </si>
  <si>
    <t>4770.00000000</t>
  </si>
  <si>
    <t>81.610000</t>
  </si>
  <si>
    <t>389279.70</t>
  </si>
  <si>
    <t>576323109</t>
  </si>
  <si>
    <t>393.140000</t>
  </si>
  <si>
    <t>566121.60</t>
  </si>
  <si>
    <t>4.81%</t>
  </si>
  <si>
    <t>55405W104</t>
  </si>
  <si>
    <t>1260.00000000</t>
  </si>
  <si>
    <t>470.080000</t>
  </si>
  <si>
    <t>592300.80</t>
  </si>
  <si>
    <t>G6700G107</t>
  </si>
  <si>
    <t>3870.00000000</t>
  </si>
  <si>
    <t>167.550000</t>
  </si>
  <si>
    <t>648418.50</t>
  </si>
  <si>
    <t>740444104</t>
  </si>
  <si>
    <t>384.310000</t>
  </si>
  <si>
    <t>276703.20</t>
  </si>
  <si>
    <t>2.35%</t>
  </si>
  <si>
    <t>739128106</t>
  </si>
  <si>
    <t>1800.00000000</t>
  </si>
  <si>
    <t>294.490000</t>
  </si>
  <si>
    <t>530082.00</t>
  </si>
  <si>
    <t>4.51%</t>
  </si>
  <si>
    <t>74164F103</t>
  </si>
  <si>
    <t>3060.00000000</t>
  </si>
  <si>
    <t>92.690000</t>
  </si>
  <si>
    <t>283631.40</t>
  </si>
  <si>
    <t>74762E102</t>
  </si>
  <si>
    <t>701.880000</t>
  </si>
  <si>
    <t>631692.00</t>
  </si>
  <si>
    <t>5.37%</t>
  </si>
  <si>
    <t>920253101</t>
  </si>
  <si>
    <t>1080.00000000</t>
  </si>
  <si>
    <t>563.410000</t>
  </si>
  <si>
    <t>608482.80</t>
  </si>
  <si>
    <t>-1051.52000000</t>
  </si>
  <si>
    <t>-1051.52</t>
  </si>
  <si>
    <t>16.00000000</t>
  </si>
  <si>
    <t>76.34%</t>
  </si>
  <si>
    <t>1231800.00</t>
  </si>
  <si>
    <t>-16.00000000</t>
  </si>
  <si>
    <t>5.522271</t>
  </si>
  <si>
    <t>-0.72%</t>
  </si>
  <si>
    <t>26.783959</t>
  </si>
  <si>
    <t>-3.48%</t>
  </si>
  <si>
    <t>6.21%</t>
  </si>
  <si>
    <t>230000.00000000</t>
  </si>
  <si>
    <t>222538.56</t>
  </si>
  <si>
    <t>18.07%</t>
  </si>
  <si>
    <t>44024.29000000</t>
  </si>
  <si>
    <t>44024.29</t>
  </si>
  <si>
    <t>79.03000000</t>
  </si>
  <si>
    <t>79.03</t>
  </si>
  <si>
    <t>1411.00000000</t>
  </si>
  <si>
    <t>351.300000</t>
  </si>
  <si>
    <t>199.66%</t>
  </si>
  <si>
    <t>248269.00</t>
  </si>
  <si>
    <t>26280.00000000</t>
  </si>
  <si>
    <t>26280.00</t>
  </si>
  <si>
    <t>10.59%</t>
  </si>
  <si>
    <t>-273781.94000000</t>
  </si>
  <si>
    <t>-273781.94</t>
  </si>
  <si>
    <t>-110.28%</t>
  </si>
  <si>
    <t>13080.00000000</t>
  </si>
  <si>
    <t>197.260000</t>
  </si>
  <si>
    <t>188.13%</t>
  </si>
  <si>
    <t>1371475.00</t>
  </si>
  <si>
    <t>11.39%</t>
  </si>
  <si>
    <t>109938.91000000</t>
  </si>
  <si>
    <t>109938.91</t>
  </si>
  <si>
    <t>8.02%</t>
  </si>
  <si>
    <t>-1473998.03000000</t>
  </si>
  <si>
    <t>-1473998.03</t>
  </si>
  <si>
    <t>-107.48%</t>
  </si>
  <si>
    <t>432.00000000</t>
  </si>
  <si>
    <t>33549.12</t>
  </si>
  <si>
    <t>1412034.00</t>
  </si>
  <si>
    <t>02005N100</t>
  </si>
  <si>
    <t>588.00000000</t>
  </si>
  <si>
    <t>45.560000</t>
  </si>
  <si>
    <t>26789.28</t>
  </si>
  <si>
    <t>1.90%</t>
  </si>
  <si>
    <t>090043100</t>
  </si>
  <si>
    <t>33.460000</t>
  </si>
  <si>
    <t>14454.72</t>
  </si>
  <si>
    <t>11133T103</t>
  </si>
  <si>
    <t>140.100000</t>
  </si>
  <si>
    <t>30261.60</t>
  </si>
  <si>
    <t>16935C109</t>
  </si>
  <si>
    <t>14807.76</t>
  </si>
  <si>
    <t>32423.76</t>
  </si>
  <si>
    <t>2.30%</t>
  </si>
  <si>
    <t>219948106</t>
  </si>
  <si>
    <t>344.260000</t>
  </si>
  <si>
    <t>37180.08</t>
  </si>
  <si>
    <t>23849.28</t>
  </si>
  <si>
    <t>23834J201</t>
  </si>
  <si>
    <t>48.00000000</t>
  </si>
  <si>
    <t>323.220000</t>
  </si>
  <si>
    <t>15514.56</t>
  </si>
  <si>
    <t>G29018101</t>
  </si>
  <si>
    <t>12.280000</t>
  </si>
  <si>
    <t>9431.04</t>
  </si>
  <si>
    <t>294429105</t>
  </si>
  <si>
    <t>204.00000000</t>
  </si>
  <si>
    <t>157.610000</t>
  </si>
  <si>
    <t>32152.44</t>
  </si>
  <si>
    <t>324.00000000</t>
  </si>
  <si>
    <t>11835.72</t>
  </si>
  <si>
    <t>7884.83000000</t>
  </si>
  <si>
    <t>7884.83</t>
  </si>
  <si>
    <t>303250104</t>
  </si>
  <si>
    <t>36.00000000</t>
  </si>
  <si>
    <t>1140.340000</t>
  </si>
  <si>
    <t>41052.24</t>
  </si>
  <si>
    <t>31620M106</t>
  </si>
  <si>
    <t>38.660000</t>
  </si>
  <si>
    <t>30618.72</t>
  </si>
  <si>
    <t>2.17%</t>
  </si>
  <si>
    <t>337738108</t>
  </si>
  <si>
    <t>48.190000</t>
  </si>
  <si>
    <t>30070.56</t>
  </si>
  <si>
    <t>2.13%</t>
  </si>
  <si>
    <t>302492103</t>
  </si>
  <si>
    <t>16.540000</t>
  </si>
  <si>
    <t>13099.68</t>
  </si>
  <si>
    <t>82452J109</t>
  </si>
  <si>
    <t>312.00000000</t>
  </si>
  <si>
    <t>44.220000</t>
  </si>
  <si>
    <t>13796.64</t>
  </si>
  <si>
    <t>39304D102</t>
  </si>
  <si>
    <t>13.540000</t>
  </si>
  <si>
    <t>8773.92</t>
  </si>
  <si>
    <t>M5216V106</t>
  </si>
  <si>
    <t>34.050000</t>
  </si>
  <si>
    <t>17978.40</t>
  </si>
  <si>
    <t>37940X102</t>
  </si>
  <si>
    <t>444.00000000</t>
  </si>
  <si>
    <t>67.080000</t>
  </si>
  <si>
    <t>29783.52</t>
  </si>
  <si>
    <t>2.11%</t>
  </si>
  <si>
    <t>58314.00</t>
  </si>
  <si>
    <t>4.13%</t>
  </si>
  <si>
    <t>G4R20B107</t>
  </si>
  <si>
    <t>1752.00000000</t>
  </si>
  <si>
    <t>5.280000</t>
  </si>
  <si>
    <t>9250.56</t>
  </si>
  <si>
    <t>461202103</t>
  </si>
  <si>
    <t>262.235000</t>
  </si>
  <si>
    <t>44055.48</t>
  </si>
  <si>
    <t>426281101</t>
  </si>
  <si>
    <t>128.060000</t>
  </si>
  <si>
    <t>23050.80</t>
  </si>
  <si>
    <t>48581R205</t>
  </si>
  <si>
    <t>85.800000</t>
  </si>
  <si>
    <t>28828.80</t>
  </si>
  <si>
    <t>2.04%</t>
  </si>
  <si>
    <t>68373J104</t>
  </si>
  <si>
    <t>2328.00000000</t>
  </si>
  <si>
    <t>3.130000</t>
  </si>
  <si>
    <t>7286.64</t>
  </si>
  <si>
    <t>57636Q104</t>
  </si>
  <si>
    <t>494.410000</t>
  </si>
  <si>
    <t>112725.48</t>
  </si>
  <si>
    <t>7.98%</t>
  </si>
  <si>
    <t>58733R102</t>
  </si>
  <si>
    <t>1659.570000</t>
  </si>
  <si>
    <t>59744.52</t>
  </si>
  <si>
    <t>4.23%</t>
  </si>
  <si>
    <t>59356Q108</t>
  </si>
  <si>
    <t>36.490000</t>
  </si>
  <si>
    <t>12260.64</t>
  </si>
  <si>
    <t>57142B104</t>
  </si>
  <si>
    <t>2700.00000000</t>
  </si>
  <si>
    <t>3.970000</t>
  </si>
  <si>
    <t>10719.00</t>
  </si>
  <si>
    <t>63947X101</t>
  </si>
  <si>
    <t>14.700000</t>
  </si>
  <si>
    <t>9702.00</t>
  </si>
  <si>
    <t>64082B102</t>
  </si>
  <si>
    <t>564.00000000</t>
  </si>
  <si>
    <t>8.620000</t>
  </si>
  <si>
    <t>4861.68</t>
  </si>
  <si>
    <t>3396.00000000</t>
  </si>
  <si>
    <t>42314.16</t>
  </si>
  <si>
    <t>3.00%</t>
  </si>
  <si>
    <t>68376D104</t>
  </si>
  <si>
    <t>816.00000000</t>
  </si>
  <si>
    <t>5.660000</t>
  </si>
  <si>
    <t>4618.56</t>
  </si>
  <si>
    <t>68287N100</t>
  </si>
  <si>
    <t>13.520000</t>
  </si>
  <si>
    <t>7625.28</t>
  </si>
  <si>
    <t>G68707101</t>
  </si>
  <si>
    <t>1224.00000000</t>
  </si>
  <si>
    <t>8.770000</t>
  </si>
  <si>
    <t>10734.48</t>
  </si>
  <si>
    <t>70451X104</t>
  </si>
  <si>
    <t>2148.00000000</t>
  </si>
  <si>
    <t>7.090000</t>
  </si>
  <si>
    <t>15229.32</t>
  </si>
  <si>
    <t>M7S64L123</t>
  </si>
  <si>
    <t>15.200000</t>
  </si>
  <si>
    <t>9849.60</t>
  </si>
  <si>
    <t>G6964L206</t>
  </si>
  <si>
    <t>6.750000</t>
  </si>
  <si>
    <t>3726.00</t>
  </si>
  <si>
    <t>38232.00</t>
  </si>
  <si>
    <t>74736L109</t>
  </si>
  <si>
    <t>45.030000</t>
  </si>
  <si>
    <t>13509.00</t>
  </si>
  <si>
    <t>75960P104</t>
  </si>
  <si>
    <t>708.00000000</t>
  </si>
  <si>
    <t>21.450000</t>
  </si>
  <si>
    <t>15186.60</t>
  </si>
  <si>
    <t>77311W101</t>
  </si>
  <si>
    <t>1824.00000000</t>
  </si>
  <si>
    <t>14.730000</t>
  </si>
  <si>
    <t>26867.52</t>
  </si>
  <si>
    <t>76029L100</t>
  </si>
  <si>
    <t>1296.00000000</t>
  </si>
  <si>
    <t>3.260000</t>
  </si>
  <si>
    <t>4224.96</t>
  </si>
  <si>
    <t>5973.12</t>
  </si>
  <si>
    <t>81141R100</t>
  </si>
  <si>
    <t>92.750000</t>
  </si>
  <si>
    <t>52311.00</t>
  </si>
  <si>
    <t>1812.00000000</t>
  </si>
  <si>
    <t>31365.72</t>
  </si>
  <si>
    <t>G85158106</t>
  </si>
  <si>
    <t>10.820000</t>
  </si>
  <si>
    <t>14282.40</t>
  </si>
  <si>
    <t>888787108</t>
  </si>
  <si>
    <t>972.00000000</t>
  </si>
  <si>
    <t>26.020000</t>
  </si>
  <si>
    <t>25291.44</t>
  </si>
  <si>
    <t>52603B107</t>
  </si>
  <si>
    <t>132.00000000</t>
  </si>
  <si>
    <t>38.210000</t>
  </si>
  <si>
    <t>5043.72</t>
  </si>
  <si>
    <t>91680M107</t>
  </si>
  <si>
    <t>408.00000000</t>
  </si>
  <si>
    <t>32.650000</t>
  </si>
  <si>
    <t>13321.20</t>
  </si>
  <si>
    <t>135549.84</t>
  </si>
  <si>
    <t>9.60%</t>
  </si>
  <si>
    <t>96208T104</t>
  </si>
  <si>
    <t>134.480000</t>
  </si>
  <si>
    <t>17751.36</t>
  </si>
  <si>
    <t>947002101</t>
  </si>
  <si>
    <t>8.070000</t>
  </si>
  <si>
    <t>7456.68</t>
  </si>
  <si>
    <t>959802109</t>
  </si>
  <si>
    <t>1644.00000000</t>
  </si>
  <si>
    <t>7.240000</t>
  </si>
  <si>
    <t>11902.56</t>
  </si>
  <si>
    <t>42683.52</t>
  </si>
  <si>
    <t>863.70000000</t>
  </si>
  <si>
    <t>863.70</t>
  </si>
  <si>
    <t>0.06%</t>
  </si>
  <si>
    <t>7219.00000000</t>
  </si>
  <si>
    <t>200.00%</t>
  </si>
  <si>
    <t>230318.00</t>
  </si>
  <si>
    <t>25420.00000000</t>
  </si>
  <si>
    <t>25420.00</t>
  </si>
  <si>
    <t>11.04%</t>
  </si>
  <si>
    <t>-255888.86000000</t>
  </si>
  <si>
    <t>-255888.86</t>
  </si>
  <si>
    <t>-111.10%</t>
  </si>
  <si>
    <t>1152.00000000</t>
  </si>
  <si>
    <t>89464.32</t>
  </si>
  <si>
    <t>5.70%</t>
  </si>
  <si>
    <t>1568436.00</t>
  </si>
  <si>
    <t>018581108</t>
  </si>
  <si>
    <t>104.910000</t>
  </si>
  <si>
    <t>74276.28</t>
  </si>
  <si>
    <t>12582.77000000</t>
  </si>
  <si>
    <t>12582.77</t>
  </si>
  <si>
    <t>31810T101</t>
  </si>
  <si>
    <t>10164.00000000</t>
  </si>
  <si>
    <t>4.850000</t>
  </si>
  <si>
    <t>49295.40</t>
  </si>
  <si>
    <t>3.14%</t>
  </si>
  <si>
    <t>G5279N105</t>
  </si>
  <si>
    <t>4656.00000000</t>
  </si>
  <si>
    <t>18.390000</t>
  </si>
  <si>
    <t>85623.84</t>
  </si>
  <si>
    <t>5.46%</t>
  </si>
  <si>
    <t>56628.00</t>
  </si>
  <si>
    <t>189853.44</t>
  </si>
  <si>
    <t>12.10%</t>
  </si>
  <si>
    <t>21273.12</t>
  </si>
  <si>
    <t>12432.00000000</t>
  </si>
  <si>
    <t>49355.04</t>
  </si>
  <si>
    <t>3.15%</t>
  </si>
  <si>
    <t>5088.00000000</t>
  </si>
  <si>
    <t>63396.48</t>
  </si>
  <si>
    <t>68268W103</t>
  </si>
  <si>
    <t>58.580000</t>
  </si>
  <si>
    <t>42177.60</t>
  </si>
  <si>
    <t>68386H103</t>
  </si>
  <si>
    <t>1236.00000000</t>
  </si>
  <si>
    <t>8.800000</t>
  </si>
  <si>
    <t>10876.80</t>
  </si>
  <si>
    <t>1452.00000000</t>
  </si>
  <si>
    <t>22070.40</t>
  </si>
  <si>
    <t>1464.00000000</t>
  </si>
  <si>
    <t>62190.72</t>
  </si>
  <si>
    <t>864.00000000</t>
  </si>
  <si>
    <t>80136.00</t>
  </si>
  <si>
    <t>5.11%</t>
  </si>
  <si>
    <t>78435P105</t>
  </si>
  <si>
    <t>636.00000000</t>
  </si>
  <si>
    <t>159.270000</t>
  </si>
  <si>
    <t>101295.72</t>
  </si>
  <si>
    <t>67131.96</t>
  </si>
  <si>
    <t>87165B103</t>
  </si>
  <si>
    <t>76.320000</t>
  </si>
  <si>
    <t>74183.04</t>
  </si>
  <si>
    <t>4.73%</t>
  </si>
  <si>
    <t>1704.00000000</t>
  </si>
  <si>
    <t>55635.60</t>
  </si>
  <si>
    <t>672.00000000</t>
  </si>
  <si>
    <t>223258.56</t>
  </si>
  <si>
    <t>14.23%</t>
  </si>
  <si>
    <t>1032.00000000</t>
  </si>
  <si>
    <t>78101.76</t>
  </si>
  <si>
    <t>-129.15000000</t>
  </si>
  <si>
    <t>-129.15</t>
  </si>
  <si>
    <t>6155.00000000</t>
  </si>
  <si>
    <t>84.810000</t>
  </si>
  <si>
    <t>199.91%</t>
  </si>
  <si>
    <t>261122.00</t>
  </si>
  <si>
    <t>24722.00000000</t>
  </si>
  <si>
    <t>24722.00</t>
  </si>
  <si>
    <t>9.47%</t>
  </si>
  <si>
    <t>-285685.62000000</t>
  </si>
  <si>
    <t>-285685.62</t>
  </si>
  <si>
    <t>-109.41%</t>
  </si>
  <si>
    <t>81.66%</t>
  </si>
  <si>
    <t>4729636.00</t>
  </si>
  <si>
    <t>19.908009</t>
  </si>
  <si>
    <t>-2.74%</t>
  </si>
  <si>
    <t>19.113710</t>
  </si>
  <si>
    <t>-2.63%</t>
  </si>
  <si>
    <t>888000.00000000</t>
  </si>
  <si>
    <t>862008.26</t>
  </si>
  <si>
    <t>18.23%</t>
  </si>
  <si>
    <t>39572.97000000</t>
  </si>
  <si>
    <t>39572.97</t>
  </si>
  <si>
    <t>-87.53000000</t>
  </si>
  <si>
    <t>-87.53</t>
  </si>
  <si>
    <t>7488.00000000</t>
  </si>
  <si>
    <t>85.180000</t>
  </si>
  <si>
    <t>199.75%</t>
  </si>
  <si>
    <t>319318.50</t>
  </si>
  <si>
    <t>226868.36000000</t>
  </si>
  <si>
    <t>226868.36</t>
  </si>
  <si>
    <t>71.05%</t>
  </si>
  <si>
    <t>-545345.14000000</t>
  </si>
  <si>
    <t>-545345.14</t>
  </si>
  <si>
    <t>-170.78%</t>
  </si>
  <si>
    <t>5390.00000000</t>
  </si>
  <si>
    <t>199.81%</t>
  </si>
  <si>
    <t>255465.00</t>
  </si>
  <si>
    <t>25139.00000000</t>
  </si>
  <si>
    <t>25139.00</t>
  </si>
  <si>
    <t>-280186.20000000</t>
  </si>
  <si>
    <t>-280186.20</t>
  </si>
  <si>
    <t>-109.68%</t>
  </si>
  <si>
    <t>1326.00000000</t>
  </si>
  <si>
    <t>200.94%</t>
  </si>
  <si>
    <t>264349.00</t>
  </si>
  <si>
    <t>26008.00000000</t>
  </si>
  <si>
    <t>26008.00</t>
  </si>
  <si>
    <t>-292933.61000000</t>
  </si>
  <si>
    <t>-292933.61</t>
  </si>
  <si>
    <t>-110.81%</t>
  </si>
  <si>
    <t>026874784</t>
  </si>
  <si>
    <t>243.00000000</t>
  </si>
  <si>
    <t>76.140000</t>
  </si>
  <si>
    <t>18502.02</t>
  </si>
  <si>
    <t>1173361.50</t>
  </si>
  <si>
    <t>45000</t>
  </si>
  <si>
    <t>04621X108</t>
  </si>
  <si>
    <t>263.820000</t>
  </si>
  <si>
    <t>9497.52</t>
  </si>
  <si>
    <t>162.00000000</t>
  </si>
  <si>
    <t>19861.20</t>
  </si>
  <si>
    <t>025816109</t>
  </si>
  <si>
    <t>342.560000</t>
  </si>
  <si>
    <t>43162.56</t>
  </si>
  <si>
    <t>05464T104</t>
  </si>
  <si>
    <t>237.920000</t>
  </si>
  <si>
    <t>8565.12</t>
  </si>
  <si>
    <t>088929104</t>
  </si>
  <si>
    <t>405.00000000</t>
  </si>
  <si>
    <t>12.650000</t>
  </si>
  <si>
    <t>5123.25</t>
  </si>
  <si>
    <t>35373.60</t>
  </si>
  <si>
    <t>110122108</t>
  </si>
  <si>
    <t>612.00000000</t>
  </si>
  <si>
    <t>55.000000</t>
  </si>
  <si>
    <t>33660.00</t>
  </si>
  <si>
    <t>2.87%</t>
  </si>
  <si>
    <t>064058100</t>
  </si>
  <si>
    <t>207.00000000</t>
  </si>
  <si>
    <t>143.560000</t>
  </si>
  <si>
    <t>29716.92</t>
  </si>
  <si>
    <t>2.53%</t>
  </si>
  <si>
    <t>11120U105</t>
  </si>
  <si>
    <t>31.950000</t>
  </si>
  <si>
    <t>8051.40</t>
  </si>
  <si>
    <t>225.00000000</t>
  </si>
  <si>
    <t>25422.75</t>
  </si>
  <si>
    <t>172967424</t>
  </si>
  <si>
    <t>143.590000</t>
  </si>
  <si>
    <t>51692.40</t>
  </si>
  <si>
    <t>306.00000000</t>
  </si>
  <si>
    <t>28115.28</t>
  </si>
  <si>
    <t>2.40%</t>
  </si>
  <si>
    <t>20464U100</t>
  </si>
  <si>
    <t>10.650000</t>
  </si>
  <si>
    <t>144.00000000</t>
  </si>
  <si>
    <t>32061.60</t>
  </si>
  <si>
    <t>25402D102</t>
  </si>
  <si>
    <t>148.590000</t>
  </si>
  <si>
    <t>10698.48</t>
  </si>
  <si>
    <t>209115104</t>
  </si>
  <si>
    <t>110.720000</t>
  </si>
  <si>
    <t>19929.60</t>
  </si>
  <si>
    <t>153.00000000</t>
  </si>
  <si>
    <t>12740.31</t>
  </si>
  <si>
    <t>29786A106</t>
  </si>
  <si>
    <t>81.00000000</t>
  </si>
  <si>
    <t>78.020000</t>
  </si>
  <si>
    <t>6319.62</t>
  </si>
  <si>
    <t>29977A105</t>
  </si>
  <si>
    <t>27.00000000</t>
  </si>
  <si>
    <t>353.190000</t>
  </si>
  <si>
    <t>9536.13</t>
  </si>
  <si>
    <t>42386.47000000</t>
  </si>
  <si>
    <t>42386.47</t>
  </si>
  <si>
    <t>35137L105</t>
  </si>
  <si>
    <t>135.00000000</t>
  </si>
  <si>
    <t>49.800000</t>
  </si>
  <si>
    <t>6723.00</t>
  </si>
  <si>
    <t>38141G104</t>
  </si>
  <si>
    <t>54.00000000</t>
  </si>
  <si>
    <t>1076.910000</t>
  </si>
  <si>
    <t>58153.14</t>
  </si>
  <si>
    <t>4.96%</t>
  </si>
  <si>
    <t>47233W109</t>
  </si>
  <si>
    <t>57.940000</t>
  </si>
  <si>
    <t>7821.90</t>
  </si>
  <si>
    <t>46625H100</t>
  </si>
  <si>
    <t>333.450000</t>
  </si>
  <si>
    <t>114039.90</t>
  </si>
  <si>
    <t>48251W104</t>
  </si>
  <si>
    <t>234.00000000</t>
  </si>
  <si>
    <t>91.510000</t>
  </si>
  <si>
    <t>21413.34</t>
  </si>
  <si>
    <t>540424108</t>
  </si>
  <si>
    <t>111.920000</t>
  </si>
  <si>
    <t>12087.36</t>
  </si>
  <si>
    <t>52110M109</t>
  </si>
  <si>
    <t>40.490000</t>
  </si>
  <si>
    <t>4372.92</t>
  </si>
  <si>
    <t>60786M105</t>
  </si>
  <si>
    <t>65.150000</t>
  </si>
  <si>
    <t>4690.80</t>
  </si>
  <si>
    <t>615369105</t>
  </si>
  <si>
    <t>449.790000</t>
  </si>
  <si>
    <t>24288.66</t>
  </si>
  <si>
    <t>60937P106</t>
  </si>
  <si>
    <t>45.00000000</t>
  </si>
  <si>
    <t>302.440000</t>
  </si>
  <si>
    <t>13609.80</t>
  </si>
  <si>
    <t>59156R108</t>
  </si>
  <si>
    <t>84.600000</t>
  </si>
  <si>
    <t>19796.40</t>
  </si>
  <si>
    <t>57060D108</t>
  </si>
  <si>
    <t>113.460000</t>
  </si>
  <si>
    <t>4084.56</t>
  </si>
  <si>
    <t>571748102</t>
  </si>
  <si>
    <t>165.960000</t>
  </si>
  <si>
    <t>26885.52</t>
  </si>
  <si>
    <t>617446448</t>
  </si>
  <si>
    <t>219.860000</t>
  </si>
  <si>
    <t>55404.72</t>
  </si>
  <si>
    <t>55354G100</t>
  </si>
  <si>
    <t>577.290000</t>
  </si>
  <si>
    <t>20782.44</t>
  </si>
  <si>
    <t>55825T103</t>
  </si>
  <si>
    <t>366.050000</t>
  </si>
  <si>
    <t>6588.90</t>
  </si>
  <si>
    <t>631103108</t>
  </si>
  <si>
    <t>18362.25</t>
  </si>
  <si>
    <t>035710839</t>
  </si>
  <si>
    <t>477.00000000</t>
  </si>
  <si>
    <t>22.310000</t>
  </si>
  <si>
    <t>10641.87</t>
  </si>
  <si>
    <t>65249B109</t>
  </si>
  <si>
    <t>25.230000</t>
  </si>
  <si>
    <t>7720.38</t>
  </si>
  <si>
    <t>650111107</t>
  </si>
  <si>
    <t>117.00000000</t>
  </si>
  <si>
    <t>71.220000</t>
  </si>
  <si>
    <t>8332.74</t>
  </si>
  <si>
    <t>681919106</t>
  </si>
  <si>
    <t>73.660000</t>
  </si>
  <si>
    <t>12595.86</t>
  </si>
  <si>
    <t>09581B103</t>
  </si>
  <si>
    <t>639.00000000</t>
  </si>
  <si>
    <t>8.470000</t>
  </si>
  <si>
    <t>5412.33</t>
  </si>
  <si>
    <t>717081103</t>
  </si>
  <si>
    <t>1548.00000000</t>
  </si>
  <si>
    <t>24.040000</t>
  </si>
  <si>
    <t>37213.92</t>
  </si>
  <si>
    <t>69343T107</t>
  </si>
  <si>
    <t>153.170000</t>
  </si>
  <si>
    <t>4135.59</t>
  </si>
  <si>
    <t>69932A204</t>
  </si>
  <si>
    <t>9.750000</t>
  </si>
  <si>
    <t>6318.00</t>
  </si>
  <si>
    <t>64828T201</t>
  </si>
  <si>
    <t>576.00000000</t>
  </si>
  <si>
    <t>9.240000</t>
  </si>
  <si>
    <t>5322.24</t>
  </si>
  <si>
    <t>751212101</t>
  </si>
  <si>
    <t>414.250000</t>
  </si>
  <si>
    <t>11184.75</t>
  </si>
  <si>
    <t>861896108</t>
  </si>
  <si>
    <t>136.130000</t>
  </si>
  <si>
    <t>7351.02</t>
  </si>
  <si>
    <t>78409V104</t>
  </si>
  <si>
    <t>402.350000</t>
  </si>
  <si>
    <t>32590.35</t>
  </si>
  <si>
    <t>876030107</t>
  </si>
  <si>
    <t>149.750000</t>
  </si>
  <si>
    <t>16173.00</t>
  </si>
  <si>
    <t>89417E109</t>
  </si>
  <si>
    <t>320.740000</t>
  </si>
  <si>
    <t>25979.94</t>
  </si>
  <si>
    <t>2.21%</t>
  </si>
  <si>
    <t>892672106</t>
  </si>
  <si>
    <t>90.00000000</t>
  </si>
  <si>
    <t>96.050000</t>
  </si>
  <si>
    <t>8644.50</t>
  </si>
  <si>
    <t>925652109</t>
  </si>
  <si>
    <t>558.00000000</t>
  </si>
  <si>
    <t>26.720000</t>
  </si>
  <si>
    <t>14909.76</t>
  </si>
  <si>
    <t>928254101</t>
  </si>
  <si>
    <t>99.00000000</t>
  </si>
  <si>
    <t>62.350000</t>
  </si>
  <si>
    <t>6172.65</t>
  </si>
  <si>
    <t>92343V104</t>
  </si>
  <si>
    <t>1017.00000000</t>
  </si>
  <si>
    <t>45.680000</t>
  </si>
  <si>
    <t>46456.56</t>
  </si>
  <si>
    <t>934423104</t>
  </si>
  <si>
    <t>918.00000000</t>
  </si>
  <si>
    <t>27.200000</t>
  </si>
  <si>
    <t>24969.60</t>
  </si>
  <si>
    <t>92936U109</t>
  </si>
  <si>
    <t>72.630000</t>
  </si>
  <si>
    <t>10458.72</t>
  </si>
  <si>
    <t>-6799.23000000</t>
  </si>
  <si>
    <t>-6799.23</t>
  </si>
  <si>
    <t>-0.58%</t>
  </si>
  <si>
    <t>00436Q106</t>
  </si>
  <si>
    <t>2412.00000000</t>
  </si>
  <si>
    <t>13.060000</t>
  </si>
  <si>
    <t>31500.72</t>
  </si>
  <si>
    <t>1169469.00</t>
  </si>
  <si>
    <t>05875B304</t>
  </si>
  <si>
    <t>1377.00000000</t>
  </si>
  <si>
    <t>14.460000</t>
  </si>
  <si>
    <t>19911.42</t>
  </si>
  <si>
    <t>G4863A108</t>
  </si>
  <si>
    <t>3006.00000000</t>
  </si>
  <si>
    <t>32524.92</t>
  </si>
  <si>
    <t>103304101</t>
  </si>
  <si>
    <t>675.00000000</t>
  </si>
  <si>
    <t>86.900000</t>
  </si>
  <si>
    <t>58657.50</t>
  </si>
  <si>
    <t>L18268109</t>
  </si>
  <si>
    <t>1872.00000000</t>
  </si>
  <si>
    <t>9.580000</t>
  </si>
  <si>
    <t>17933.76</t>
  </si>
  <si>
    <t>171484108</t>
  </si>
  <si>
    <t>84.610000</t>
  </si>
  <si>
    <t>47212.38</t>
  </si>
  <si>
    <t>12769G100</t>
  </si>
  <si>
    <t>2016.00000000</t>
  </si>
  <si>
    <t>29.600000</t>
  </si>
  <si>
    <t>59673.60</t>
  </si>
  <si>
    <t>5.10%</t>
  </si>
  <si>
    <t>26142V105</t>
  </si>
  <si>
    <t>2448.00000000</t>
  </si>
  <si>
    <t>24.530000</t>
  </si>
  <si>
    <t>60049.44</t>
  </si>
  <si>
    <t>32399.94000000</t>
  </si>
  <si>
    <t>32399.94</t>
  </si>
  <si>
    <t>2.77%</t>
  </si>
  <si>
    <t>359678109</t>
  </si>
  <si>
    <t>5742.00000000</t>
  </si>
  <si>
    <t>2.720000</t>
  </si>
  <si>
    <t>15618.24</t>
  </si>
  <si>
    <t>G3643J108</t>
  </si>
  <si>
    <t>1008.00000000</t>
  </si>
  <si>
    <t>98.510000</t>
  </si>
  <si>
    <t>99298.08</t>
  </si>
  <si>
    <t>8.49%</t>
  </si>
  <si>
    <t>G3R239101</t>
  </si>
  <si>
    <t>3807.00000000</t>
  </si>
  <si>
    <t>2.190000</t>
  </si>
  <si>
    <t>8337.33</t>
  </si>
  <si>
    <t>G3934V109</t>
  </si>
  <si>
    <t>8010.00000000</t>
  </si>
  <si>
    <t>45336.60</t>
  </si>
  <si>
    <t>45782N108</t>
  </si>
  <si>
    <t>2637.00000000</t>
  </si>
  <si>
    <t>8.050000</t>
  </si>
  <si>
    <t>21227.85</t>
  </si>
  <si>
    <t>517834107</t>
  </si>
  <si>
    <t>2214.00000000</t>
  </si>
  <si>
    <t>47.760000</t>
  </si>
  <si>
    <t>105740.64</t>
  </si>
  <si>
    <t>9.04%</t>
  </si>
  <si>
    <t>609027107</t>
  </si>
  <si>
    <t>333.00000000</t>
  </si>
  <si>
    <t>130.110000</t>
  </si>
  <si>
    <t>43326.63</t>
  </si>
  <si>
    <t>552953101</t>
  </si>
  <si>
    <t>47.090000</t>
  </si>
  <si>
    <t>67809.60</t>
  </si>
  <si>
    <t>5.80%</t>
  </si>
  <si>
    <t>585464100</t>
  </si>
  <si>
    <t>8982.00000000</t>
  </si>
  <si>
    <t>5.470000</t>
  </si>
  <si>
    <t>49131.54</t>
  </si>
  <si>
    <t>707569109</t>
  </si>
  <si>
    <t>2745.00000000</t>
  </si>
  <si>
    <t>20.380000</t>
  </si>
  <si>
    <t>55943.10</t>
  </si>
  <si>
    <t>4.78%</t>
  </si>
  <si>
    <t>2160.00000000</t>
  </si>
  <si>
    <t>14580.00</t>
  </si>
  <si>
    <t>75700L108</t>
  </si>
  <si>
    <t>62.500000</t>
  </si>
  <si>
    <t>63000.00</t>
  </si>
  <si>
    <t>5.39%</t>
  </si>
  <si>
    <t>782011100</t>
  </si>
  <si>
    <t>2052.00000000</t>
  </si>
  <si>
    <t>29.830000</t>
  </si>
  <si>
    <t>61211.16</t>
  </si>
  <si>
    <t>5.23%</t>
  </si>
  <si>
    <t>G8588X103</t>
  </si>
  <si>
    <t>3717.00000000</t>
  </si>
  <si>
    <t>13.320000</t>
  </si>
  <si>
    <t>49510.44</t>
  </si>
  <si>
    <t>H8088L103</t>
  </si>
  <si>
    <t>3600.00000000</t>
  </si>
  <si>
    <t>14.780000</t>
  </si>
  <si>
    <t>53208.00</t>
  </si>
  <si>
    <t>4.55%</t>
  </si>
  <si>
    <t>983134107</t>
  </si>
  <si>
    <t>540.00000000</t>
  </si>
  <si>
    <t>103.750000</t>
  </si>
  <si>
    <t>56025.00</t>
  </si>
  <si>
    <t>4.79%</t>
  </si>
  <si>
    <t>293.01000000</t>
  </si>
  <si>
    <t>293.01</t>
  </si>
  <si>
    <t>1579.00000000</t>
  </si>
  <si>
    <t>195.60%</t>
  </si>
  <si>
    <t>260136.00</t>
  </si>
  <si>
    <t>25275.00000000</t>
  </si>
  <si>
    <t>25275.00</t>
  </si>
  <si>
    <t>-274038.44000000</t>
  </si>
  <si>
    <t>-274038.44</t>
  </si>
  <si>
    <t>-105.34%</t>
  </si>
  <si>
    <t>43.00000000</t>
  </si>
  <si>
    <t>12602.44</t>
  </si>
  <si>
    <t>2364520.00</t>
  </si>
  <si>
    <t>100000</t>
  </si>
  <si>
    <t>118.00000000</t>
  </si>
  <si>
    <t>17039.20</t>
  </si>
  <si>
    <t>G0450A105</t>
  </si>
  <si>
    <t>71.00000000</t>
  </si>
  <si>
    <t>94.920000</t>
  </si>
  <si>
    <t>6739.32</t>
  </si>
  <si>
    <t>11.00000000</t>
  </si>
  <si>
    <t>6478.67</t>
  </si>
  <si>
    <t>0.27%</t>
  </si>
  <si>
    <t>33.00000000</t>
  </si>
  <si>
    <t>17151.42</t>
  </si>
  <si>
    <t>823.00000000</t>
  </si>
  <si>
    <t>192804.21</t>
  </si>
  <si>
    <t>8.15%</t>
  </si>
  <si>
    <t>19085.32</t>
  </si>
  <si>
    <t>009158106</t>
  </si>
  <si>
    <t>25.00000000</t>
  </si>
  <si>
    <t>278.730000</t>
  </si>
  <si>
    <t>6968.25</t>
  </si>
  <si>
    <t>032095101</t>
  </si>
  <si>
    <t>162.780000</t>
  </si>
  <si>
    <t>11394.60</t>
  </si>
  <si>
    <t>13731.20</t>
  </si>
  <si>
    <t>66.00000000</t>
  </si>
  <si>
    <t>30687.36</t>
  </si>
  <si>
    <t>83.00000000</t>
  </si>
  <si>
    <t>9451.21</t>
  </si>
  <si>
    <t>189.00000000</t>
  </si>
  <si>
    <t>72211.23</t>
  </si>
  <si>
    <t>20.00000000</t>
  </si>
  <si>
    <t>9134.60</t>
  </si>
  <si>
    <t>053332102</t>
  </si>
  <si>
    <t>3.00000000</t>
  </si>
  <si>
    <t>3087.770000</t>
  </si>
  <si>
    <t>9263.31</t>
  </si>
  <si>
    <t>060505104</t>
  </si>
  <si>
    <t>111.00000000</t>
  </si>
  <si>
    <t>57.730000</t>
  </si>
  <si>
    <t>6408.03</t>
  </si>
  <si>
    <t>14.00000000</t>
  </si>
  <si>
    <t>13756.40</t>
  </si>
  <si>
    <t>084670702</t>
  </si>
  <si>
    <t>213.00000000</t>
  </si>
  <si>
    <t>494.810000</t>
  </si>
  <si>
    <t>105394.53</t>
  </si>
  <si>
    <t>202.00000000</t>
  </si>
  <si>
    <t>22823.98</t>
  </si>
  <si>
    <t>0.97%</t>
  </si>
  <si>
    <t>14448C104</t>
  </si>
  <si>
    <t>179.00000000</t>
  </si>
  <si>
    <t>74.060000</t>
  </si>
  <si>
    <t>13256.74</t>
  </si>
  <si>
    <t>10938.95</t>
  </si>
  <si>
    <t>G2004J103</t>
  </si>
  <si>
    <t>313.00000000</t>
  </si>
  <si>
    <t>28.910000</t>
  </si>
  <si>
    <t>9048.83</t>
  </si>
  <si>
    <t>20030N101</t>
  </si>
  <si>
    <t>22.640000</t>
  </si>
  <si>
    <t>7086.32</t>
  </si>
  <si>
    <t>62.00000000</t>
  </si>
  <si>
    <t>9306.82</t>
  </si>
  <si>
    <t>23.00000000</t>
  </si>
  <si>
    <t>7917.98</t>
  </si>
  <si>
    <t>217204106</t>
  </si>
  <si>
    <t>30.400000</t>
  </si>
  <si>
    <t>7934.40</t>
  </si>
  <si>
    <t>131.00000000</t>
  </si>
  <si>
    <t>20011.56</t>
  </si>
  <si>
    <t>22.00000000</t>
  </si>
  <si>
    <t>14806.44</t>
  </si>
  <si>
    <t>172908105</t>
  </si>
  <si>
    <t>91.00000000</t>
  </si>
  <si>
    <t>170.930000</t>
  </si>
  <si>
    <t>15554.63</t>
  </si>
  <si>
    <t>11001.42</t>
  </si>
  <si>
    <t>126650100</t>
  </si>
  <si>
    <t>101.870000</t>
  </si>
  <si>
    <t>6519.68</t>
  </si>
  <si>
    <t>166764100</t>
  </si>
  <si>
    <t>63.00000000</t>
  </si>
  <si>
    <t>171.450000</t>
  </si>
  <si>
    <t>10801.35</t>
  </si>
  <si>
    <t>86.00000000</t>
  </si>
  <si>
    <t>15301.98</t>
  </si>
  <si>
    <t>77.00000000</t>
  </si>
  <si>
    <t>17144.05</t>
  </si>
  <si>
    <t>93.00000000</t>
  </si>
  <si>
    <t>40367.58</t>
  </si>
  <si>
    <t>235851102</t>
  </si>
  <si>
    <t>188.870000</t>
  </si>
  <si>
    <t>24741.97</t>
  </si>
  <si>
    <t>256746108</t>
  </si>
  <si>
    <t>58.00000000</t>
  </si>
  <si>
    <t>119.350000</t>
  </si>
  <si>
    <t>6922.30</t>
  </si>
  <si>
    <t>8088.66</t>
  </si>
  <si>
    <t>8160.46</t>
  </si>
  <si>
    <t>30212P303</t>
  </si>
  <si>
    <t>32.00000000</t>
  </si>
  <si>
    <t>262.150000</t>
  </si>
  <si>
    <t>8388.80</t>
  </si>
  <si>
    <t>72890.78000000</t>
  </si>
  <si>
    <t>72890.78</t>
  </si>
  <si>
    <t>143.00000000</t>
  </si>
  <si>
    <t>7121.40</t>
  </si>
  <si>
    <t>142.00000000</t>
  </si>
  <si>
    <t>20629.76</t>
  </si>
  <si>
    <t>7575.04</t>
  </si>
  <si>
    <t>795.00000000</t>
  </si>
  <si>
    <t>274505.55</t>
  </si>
  <si>
    <t>11.61%</t>
  </si>
  <si>
    <t>12001.00</t>
  </si>
  <si>
    <t>11846.01</t>
  </si>
  <si>
    <t>384802104</t>
  </si>
  <si>
    <t>10.00000000</t>
  </si>
  <si>
    <t>1342.570000</t>
  </si>
  <si>
    <t>13425.70</t>
  </si>
  <si>
    <t>40412C101</t>
  </si>
  <si>
    <t>387.760000</t>
  </si>
  <si>
    <t>8918.48</t>
  </si>
  <si>
    <t>43300A203</t>
  </si>
  <si>
    <t>30.00000000</t>
  </si>
  <si>
    <t>343.420000</t>
  </si>
  <si>
    <t>10302.60</t>
  </si>
  <si>
    <t>145.00000000</t>
  </si>
  <si>
    <t>14092.55</t>
  </si>
  <si>
    <t>45841N107</t>
  </si>
  <si>
    <t>67.00000000</t>
  </si>
  <si>
    <t>92.790000</t>
  </si>
  <si>
    <t>6216.93</t>
  </si>
  <si>
    <t>7049.90</t>
  </si>
  <si>
    <t>41.00000000</t>
  </si>
  <si>
    <t>10751.64</t>
  </si>
  <si>
    <t>16005.60</t>
  </si>
  <si>
    <t>177.00000000</t>
  </si>
  <si>
    <t>16197.27</t>
  </si>
  <si>
    <t>15415.07</t>
  </si>
  <si>
    <t>172.00000000</t>
  </si>
  <si>
    <t>13863.20</t>
  </si>
  <si>
    <t>6715.20</t>
  </si>
  <si>
    <t>526057104</t>
  </si>
  <si>
    <t>73.00000000</t>
  </si>
  <si>
    <t>92.950000</t>
  </si>
  <si>
    <t>6785.35</t>
  </si>
  <si>
    <t>532457108</t>
  </si>
  <si>
    <t>12.00000000</t>
  </si>
  <si>
    <t>1117.260000</t>
  </si>
  <si>
    <t>13407.12</t>
  </si>
  <si>
    <t>21.00000000</t>
  </si>
  <si>
    <t>7870.80</t>
  </si>
  <si>
    <t>538034109</t>
  </si>
  <si>
    <t>171.470000</t>
  </si>
  <si>
    <t>7030.27</t>
  </si>
  <si>
    <t>571903202</t>
  </si>
  <si>
    <t>53.00000000</t>
  </si>
  <si>
    <t>383.560000</t>
  </si>
  <si>
    <t>20328.68</t>
  </si>
  <si>
    <t>233.00000000</t>
  </si>
  <si>
    <t>129937.11</t>
  </si>
  <si>
    <t>5.50%</t>
  </si>
  <si>
    <t>191.00000000</t>
  </si>
  <si>
    <t>18087.70</t>
  </si>
  <si>
    <t>15784.45</t>
  </si>
  <si>
    <t>17.00000000</t>
  </si>
  <si>
    <t>9813.93</t>
  </si>
  <si>
    <t>595112103</t>
  </si>
  <si>
    <t>1048.510000</t>
  </si>
  <si>
    <t>10485.10</t>
  </si>
  <si>
    <t>223.00000000</t>
  </si>
  <si>
    <t>16020.32</t>
  </si>
  <si>
    <t>1270.00000000</t>
  </si>
  <si>
    <t>252730.00</t>
  </si>
  <si>
    <t>10.69%</t>
  </si>
  <si>
    <t>11828.16</t>
  </si>
  <si>
    <t>60491.52</t>
  </si>
  <si>
    <t>2.56%</t>
  </si>
  <si>
    <t>11980.92</t>
  </si>
  <si>
    <t>7255.86</t>
  </si>
  <si>
    <t>351.00000000</t>
  </si>
  <si>
    <t>39838.50</t>
  </si>
  <si>
    <t>74460D109</t>
  </si>
  <si>
    <t>317.920000</t>
  </si>
  <si>
    <t>13670.56</t>
  </si>
  <si>
    <t>74743L100</t>
  </si>
  <si>
    <t>51.00000000</t>
  </si>
  <si>
    <t>158.730000</t>
  </si>
  <si>
    <t>8095.23</t>
  </si>
  <si>
    <t>V7780T103</t>
  </si>
  <si>
    <t>320.950000</t>
  </si>
  <si>
    <t>16047.50</t>
  </si>
  <si>
    <t>15585.75</t>
  </si>
  <si>
    <t>7456.50</t>
  </si>
  <si>
    <t>775711104</t>
  </si>
  <si>
    <t>152.00000000</t>
  </si>
  <si>
    <t>44.540000</t>
  </si>
  <si>
    <t>6770.08</t>
  </si>
  <si>
    <t>37.00000000</t>
  </si>
  <si>
    <t>8457.83</t>
  </si>
  <si>
    <t>808513105</t>
  </si>
  <si>
    <t>289.00000000</t>
  </si>
  <si>
    <t>91.390000</t>
  </si>
  <si>
    <t>26411.71</t>
  </si>
  <si>
    <t>235.00000000</t>
  </si>
  <si>
    <t>7625.75</t>
  </si>
  <si>
    <t>828806109</t>
  </si>
  <si>
    <t>222.150000</t>
  </si>
  <si>
    <t>16216.95</t>
  </si>
  <si>
    <t>10381.49</t>
  </si>
  <si>
    <t>9932.50</t>
  </si>
  <si>
    <t>21036P108</t>
  </si>
  <si>
    <t>143.020000</t>
  </si>
  <si>
    <t>7580.06</t>
  </si>
  <si>
    <t>21330.24</t>
  </si>
  <si>
    <t>15872.04</t>
  </si>
  <si>
    <t>87256C101</t>
  </si>
  <si>
    <t>203.510000</t>
  </si>
  <si>
    <t>10786.03</t>
  </si>
  <si>
    <t>377.560000</t>
  </si>
  <si>
    <t>7928.76</t>
  </si>
  <si>
    <t>332.00000000</t>
  </si>
  <si>
    <t>124675.96</t>
  </si>
  <si>
    <t>5.27%</t>
  </si>
  <si>
    <t>882508104</t>
  </si>
  <si>
    <t>303.110000</t>
  </si>
  <si>
    <t>8487.08</t>
  </si>
  <si>
    <t>21416.50</t>
  </si>
  <si>
    <t>8067.50</t>
  </si>
  <si>
    <t>92537N108</t>
  </si>
  <si>
    <t>316.430000</t>
  </si>
  <si>
    <t>6961.46</t>
  </si>
  <si>
    <t>9565.29</t>
  </si>
  <si>
    <t>084423102</t>
  </si>
  <si>
    <t>109.00000000</t>
  </si>
  <si>
    <t>70.050000</t>
  </si>
  <si>
    <t>7635.45</t>
  </si>
  <si>
    <t>136.00000000</t>
  </si>
  <si>
    <t>10292.48</t>
  </si>
  <si>
    <t>-84393.67000000</t>
  </si>
  <si>
    <t>-84393.67</t>
  </si>
  <si>
    <t>-3.57%</t>
  </si>
  <si>
    <t>003881307</t>
  </si>
  <si>
    <t>3432.00000000</t>
  </si>
  <si>
    <t>4.700000</t>
  </si>
  <si>
    <t>16130.40</t>
  </si>
  <si>
    <t>1433861.00</t>
  </si>
  <si>
    <t>00676P107</t>
  </si>
  <si>
    <t>1580.00000000</t>
  </si>
  <si>
    <t>30.060000</t>
  </si>
  <si>
    <t>47494.80</t>
  </si>
  <si>
    <t>042068205</t>
  </si>
  <si>
    <t>286.00000000</t>
  </si>
  <si>
    <t>359.080000</t>
  </si>
  <si>
    <t>102696.88</t>
  </si>
  <si>
    <t>7.16%</t>
  </si>
  <si>
    <t>127387108</t>
  </si>
  <si>
    <t>198.00000000</t>
  </si>
  <si>
    <t>372.400000</t>
  </si>
  <si>
    <t>73735.20</t>
  </si>
  <si>
    <t>5.14%</t>
  </si>
  <si>
    <t>157210105</t>
  </si>
  <si>
    <t>45.035000</t>
  </si>
  <si>
    <t>29723.10</t>
  </si>
  <si>
    <t>254687106</t>
  </si>
  <si>
    <t>101.120000</t>
  </si>
  <si>
    <t>66739.20</t>
  </si>
  <si>
    <t>4.65%</t>
  </si>
  <si>
    <t>25659T107</t>
  </si>
  <si>
    <t>52.640000</t>
  </si>
  <si>
    <t>23740.64</t>
  </si>
  <si>
    <t>25754A201</t>
  </si>
  <si>
    <t>287.620000</t>
  </si>
  <si>
    <t>31638.20</t>
  </si>
  <si>
    <t>29296.41000000</t>
  </si>
  <si>
    <t>29296.41</t>
  </si>
  <si>
    <t>531229755</t>
  </si>
  <si>
    <t>550.00000000</t>
  </si>
  <si>
    <t>90.030000</t>
  </si>
  <si>
    <t>49516.50</t>
  </si>
  <si>
    <t>418056107</t>
  </si>
  <si>
    <t>83.280000</t>
  </si>
  <si>
    <t>37559.28</t>
  </si>
  <si>
    <t>75206.56</t>
  </si>
  <si>
    <t>5.25%</t>
  </si>
  <si>
    <t>45867G101</t>
  </si>
  <si>
    <t>274.050000</t>
  </si>
  <si>
    <t>27130.95</t>
  </si>
  <si>
    <t>53220K504</t>
  </si>
  <si>
    <t>284.910000</t>
  </si>
  <si>
    <t>37608.12</t>
  </si>
  <si>
    <t>577081102</t>
  </si>
  <si>
    <t>2101.00000000</t>
  </si>
  <si>
    <t>13.880000</t>
  </si>
  <si>
    <t>29161.88</t>
  </si>
  <si>
    <t>580135101</t>
  </si>
  <si>
    <t>273.880000</t>
  </si>
  <si>
    <t>108456.48</t>
  </si>
  <si>
    <t>7.56%</t>
  </si>
  <si>
    <t>1090.00000000</t>
  </si>
  <si>
    <t>78305.60</t>
  </si>
  <si>
    <t>654902204</t>
  </si>
  <si>
    <t>2951.00000000</t>
  </si>
  <si>
    <t>13.810000</t>
  </si>
  <si>
    <t>40753.31</t>
  </si>
  <si>
    <t>747525103</t>
  </si>
  <si>
    <t>505.00000000</t>
  </si>
  <si>
    <t>197.410000</t>
  </si>
  <si>
    <t>99692.05</t>
  </si>
  <si>
    <t>6.95%</t>
  </si>
  <si>
    <t>242.00000000</t>
  </si>
  <si>
    <t>124.520000</t>
  </si>
  <si>
    <t>30133.84</t>
  </si>
  <si>
    <t>G7709Q104</t>
  </si>
  <si>
    <t>979.00000000</t>
  </si>
  <si>
    <t>54.280000</t>
  </si>
  <si>
    <t>53140.12</t>
  </si>
  <si>
    <t>3.71%</t>
  </si>
  <si>
    <t>871607107</t>
  </si>
  <si>
    <t>463.930000</t>
  </si>
  <si>
    <t>61238.76</t>
  </si>
  <si>
    <t>4.27%</t>
  </si>
  <si>
    <t>82728C102</t>
  </si>
  <si>
    <t>1502.00000000</t>
  </si>
  <si>
    <t>11.820000</t>
  </si>
  <si>
    <t>17753.64</t>
  </si>
  <si>
    <t>47010.81</t>
  </si>
  <si>
    <t>874054109</t>
  </si>
  <si>
    <t>76.00000000</t>
  </si>
  <si>
    <t>235.770000</t>
  </si>
  <si>
    <t>17918.52</t>
  </si>
  <si>
    <t>92343E102</t>
  </si>
  <si>
    <t>187.00000000</t>
  </si>
  <si>
    <t>252.080000</t>
  </si>
  <si>
    <t>47138.96</t>
  </si>
  <si>
    <t>974155103</t>
  </si>
  <si>
    <t>155.790000</t>
  </si>
  <si>
    <t>23991.66</t>
  </si>
  <si>
    <t>934550203</t>
  </si>
  <si>
    <t>26.930000</t>
  </si>
  <si>
    <t>26956.93</t>
  </si>
  <si>
    <t>98419J206</t>
  </si>
  <si>
    <t>484.00000000</t>
  </si>
  <si>
    <t>42.150000</t>
  </si>
  <si>
    <t>20400.60</t>
  </si>
  <si>
    <t>98423J101</t>
  </si>
  <si>
    <t>7.850000</t>
  </si>
  <si>
    <t>20724.00</t>
  </si>
  <si>
    <t>988498101</t>
  </si>
  <si>
    <t>407.00000000</t>
  </si>
  <si>
    <t>153.020000</t>
  </si>
  <si>
    <t>62279.14</t>
  </si>
  <si>
    <t>577.56000000</t>
  </si>
  <si>
    <t>577.56</t>
  </si>
  <si>
    <t>570.102495</t>
  </si>
  <si>
    <t>75.91%</t>
  </si>
  <si>
    <t>976332.00</t>
  </si>
  <si>
    <t>19.077879</t>
  </si>
  <si>
    <t>-2.54%</t>
  </si>
  <si>
    <t>45.170565</t>
  </si>
  <si>
    <t>-6.01%</t>
  </si>
  <si>
    <t>73.792208</t>
  </si>
  <si>
    <t>9.83%</t>
  </si>
  <si>
    <t>18.63%</t>
  </si>
  <si>
    <t>40790.24000000</t>
  </si>
  <si>
    <t>40790.24</t>
  </si>
  <si>
    <t>4.18%</t>
  </si>
  <si>
    <t>99.08000000</t>
  </si>
  <si>
    <t>99.08</t>
  </si>
  <si>
    <t>580.745956</t>
  </si>
  <si>
    <t>82.19%</t>
  </si>
  <si>
    <t>4734168.50</t>
  </si>
  <si>
    <t>-67.00000000</t>
  </si>
  <si>
    <t>30.994972</t>
  </si>
  <si>
    <t>-4.39%</t>
  </si>
  <si>
    <t>29.037820</t>
  </si>
  <si>
    <t>-4.11%</t>
  </si>
  <si>
    <t>47.486611</t>
  </si>
  <si>
    <t>6.72%</t>
  </si>
  <si>
    <t>878000.00000000</t>
  </si>
  <si>
    <t>875877.41</t>
  </si>
  <si>
    <t>18.50%</t>
  </si>
  <si>
    <t>47039.45000000</t>
  </si>
  <si>
    <t>47039.45</t>
  </si>
  <si>
    <t>4368.35000000</t>
  </si>
  <si>
    <t>4368.35</t>
  </si>
  <si>
    <t>74.36%</t>
  </si>
  <si>
    <t>1226640.00</t>
  </si>
  <si>
    <t>23.747057</t>
  </si>
  <si>
    <t>-3.10%</t>
  </si>
  <si>
    <t>34.885246</t>
  </si>
  <si>
    <t>-4.55%</t>
  </si>
  <si>
    <t>9.63%</t>
  </si>
  <si>
    <t>190000.00000000</t>
  </si>
  <si>
    <t>183836.20</t>
  </si>
  <si>
    <t>14.99%</t>
  </si>
  <si>
    <t>106219.79000000</t>
  </si>
  <si>
    <t>106219.79</t>
  </si>
  <si>
    <t>8.66%</t>
  </si>
  <si>
    <t>167.01000000</t>
  </si>
  <si>
    <t>167.01</t>
  </si>
  <si>
    <t>78.00000000</t>
  </si>
  <si>
    <t>583.402481</t>
  </si>
  <si>
    <t>84.67%</t>
  </si>
  <si>
    <t>5374362.00</t>
  </si>
  <si>
    <t>-78.00000000</t>
  </si>
  <si>
    <t>54.761009</t>
  </si>
  <si>
    <t>-7.95%</t>
  </si>
  <si>
    <t>20.602443</t>
  </si>
  <si>
    <t>-2.99%</t>
  </si>
  <si>
    <t>43.098913</t>
  </si>
  <si>
    <t>6.26%</t>
  </si>
  <si>
    <t>930000.00000000</t>
  </si>
  <si>
    <t>902778.92</t>
  </si>
  <si>
    <t>16.80%</t>
  </si>
  <si>
    <t>172653.54000000</t>
  </si>
  <si>
    <t>172653.54</t>
  </si>
  <si>
    <t>3.21%</t>
  </si>
  <si>
    <t>38.93000000</t>
  </si>
  <si>
    <t>38.93</t>
  </si>
  <si>
    <t>3774.00000000</t>
  </si>
  <si>
    <t>199.30%</t>
  </si>
  <si>
    <t>235792.00</t>
  </si>
  <si>
    <t>26815.00000000</t>
  </si>
  <si>
    <t>26815.00</t>
  </si>
  <si>
    <t>11.37%</t>
  </si>
  <si>
    <t>-261287.28000000</t>
  </si>
  <si>
    <t>-261287.28</t>
  </si>
  <si>
    <t>34.00000000</t>
  </si>
  <si>
    <t>239.495494</t>
  </si>
  <si>
    <t>80.04%</t>
  </si>
  <si>
    <t>1017320.00</t>
  </si>
  <si>
    <t>-34.00000000</t>
  </si>
  <si>
    <t>11.356236</t>
  </si>
  <si>
    <t>-3.80%</t>
  </si>
  <si>
    <t>7.957447</t>
  </si>
  <si>
    <t>-2.66%</t>
  </si>
  <si>
    <t>18.819787</t>
  </si>
  <si>
    <t>6.29%</t>
  </si>
  <si>
    <t>187000.00000000</t>
  </si>
  <si>
    <t>180933.52</t>
  </si>
  <si>
    <t>17.79%</t>
  </si>
  <si>
    <t>23722.76000000</t>
  </si>
  <si>
    <t>23722.76</t>
  </si>
  <si>
    <t>2.33%</t>
  </si>
  <si>
    <t>54.74000000</t>
  </si>
  <si>
    <t>54.74</t>
  </si>
  <si>
    <t>163.00000000</t>
  </si>
  <si>
    <t>240.603815</t>
  </si>
  <si>
    <t>82.47%</t>
  </si>
  <si>
    <t>4755702.50</t>
  </si>
  <si>
    <t>-163.00000000</t>
  </si>
  <si>
    <t>13.630917</t>
  </si>
  <si>
    <t>-4.67%</t>
  </si>
  <si>
    <t>6.554536</t>
  </si>
  <si>
    <t>-2.25%</t>
  </si>
  <si>
    <t>15.785036</t>
  </si>
  <si>
    <t>5.41%</t>
  </si>
  <si>
    <t>857000.00000000</t>
  </si>
  <si>
    <t>854928.18</t>
  </si>
  <si>
    <t>17.98%</t>
  </si>
  <si>
    <t>46241.01000000</t>
  </si>
  <si>
    <t>46241.01</t>
  </si>
  <si>
    <t>4470.54000000</t>
  </si>
  <si>
    <t>4470.54</t>
  </si>
  <si>
    <t>1583.00000000</t>
  </si>
  <si>
    <t>321.660000</t>
  </si>
  <si>
    <t>200.28%</t>
  </si>
  <si>
    <t>254243.00</t>
  </si>
  <si>
    <t>25207.00000000</t>
  </si>
  <si>
    <t>25207.00</t>
  </si>
  <si>
    <t>9.91%</t>
  </si>
  <si>
    <t>-280229.42000000</t>
  </si>
  <si>
    <t>-280229.42</t>
  </si>
  <si>
    <t>-110.22%</t>
  </si>
  <si>
    <t>02553E106</t>
  </si>
  <si>
    <t>1396.00000000</t>
  </si>
  <si>
    <t>18.500000</t>
  </si>
  <si>
    <t>25826.00</t>
  </si>
  <si>
    <t>1188504.00</t>
  </si>
  <si>
    <t>002896207</t>
  </si>
  <si>
    <t>376.00000000</t>
  </si>
  <si>
    <t>88.830000</t>
  </si>
  <si>
    <t>33400.08</t>
  </si>
  <si>
    <t>2.81%</t>
  </si>
  <si>
    <t>G0260P102</t>
  </si>
  <si>
    <t>35.100000</t>
  </si>
  <si>
    <t>31590.00</t>
  </si>
  <si>
    <t>2.66%</t>
  </si>
  <si>
    <t>M2029K104</t>
  </si>
  <si>
    <t>45.090000</t>
  </si>
  <si>
    <t>20290.50</t>
  </si>
  <si>
    <t>118440106</t>
  </si>
  <si>
    <t>279.00000000</t>
  </si>
  <si>
    <t>44.570000</t>
  </si>
  <si>
    <t>12435.03</t>
  </si>
  <si>
    <t>099406100</t>
  </si>
  <si>
    <t>177.480000</t>
  </si>
  <si>
    <t>28751.76</t>
  </si>
  <si>
    <t>2.42%</t>
  </si>
  <si>
    <t>129500104</t>
  </si>
  <si>
    <t>522.00000000</t>
  </si>
  <si>
    <t>12.970000</t>
  </si>
  <si>
    <t>6770.34</t>
  </si>
  <si>
    <t>198516106</t>
  </si>
  <si>
    <t>64.510000</t>
  </si>
  <si>
    <t>14514.75</t>
  </si>
  <si>
    <t>1.22%</t>
  </si>
  <si>
    <t>G1890L107</t>
  </si>
  <si>
    <t>16528.32</t>
  </si>
  <si>
    <t>146229109</t>
  </si>
  <si>
    <t>369.00000000</t>
  </si>
  <si>
    <t>43.330000</t>
  </si>
  <si>
    <t>15988.77</t>
  </si>
  <si>
    <t>227046109</t>
  </si>
  <si>
    <t>121.400000</t>
  </si>
  <si>
    <t>30592.80</t>
  </si>
  <si>
    <t>2.57%</t>
  </si>
  <si>
    <t>250565108</t>
  </si>
  <si>
    <t>1629.00000000</t>
  </si>
  <si>
    <t>6.220000</t>
  </si>
  <si>
    <t>10132.38</t>
  </si>
  <si>
    <t>243537107</t>
  </si>
  <si>
    <t>105.700000</t>
  </si>
  <si>
    <t>49467.60</t>
  </si>
  <si>
    <t>49425.17000000</t>
  </si>
  <si>
    <t>49425.17</t>
  </si>
  <si>
    <t>30260D103</t>
  </si>
  <si>
    <t>11.780000</t>
  </si>
  <si>
    <t>10071.90</t>
  </si>
  <si>
    <t>34988V106</t>
  </si>
  <si>
    <t>1188.00000000</t>
  </si>
  <si>
    <t>4.030000</t>
  </si>
  <si>
    <t>4787.64</t>
  </si>
  <si>
    <t>364760108</t>
  </si>
  <si>
    <t>1532.00000000</t>
  </si>
  <si>
    <t>20.920000</t>
  </si>
  <si>
    <t>32049.44</t>
  </si>
  <si>
    <t>2.70%</t>
  </si>
  <si>
    <t>371532102</t>
  </si>
  <si>
    <t>6357.60</t>
  </si>
  <si>
    <t>36237H101</t>
  </si>
  <si>
    <t>387.00000000</t>
  </si>
  <si>
    <t>34.400000</t>
  </si>
  <si>
    <t>13312.80</t>
  </si>
  <si>
    <t>375916103</t>
  </si>
  <si>
    <t>711.00000000</t>
  </si>
  <si>
    <t>54.080000</t>
  </si>
  <si>
    <t>38450.88</t>
  </si>
  <si>
    <t>3.24%</t>
  </si>
  <si>
    <t>135086106</t>
  </si>
  <si>
    <t>702.00000000</t>
  </si>
  <si>
    <t>9.470000</t>
  </si>
  <si>
    <t>6647.94</t>
  </si>
  <si>
    <t>479167108</t>
  </si>
  <si>
    <t>46.080000</t>
  </si>
  <si>
    <t>4976.64</t>
  </si>
  <si>
    <t>50050N103</t>
  </si>
  <si>
    <t>78.000000</t>
  </si>
  <si>
    <t>26676.00</t>
  </si>
  <si>
    <t>52736R102</t>
  </si>
  <si>
    <t>738.00000000</t>
  </si>
  <si>
    <t>23.560000</t>
  </si>
  <si>
    <t>17387.28</t>
  </si>
  <si>
    <t>550021109</t>
  </si>
  <si>
    <t>113.090000</t>
  </si>
  <si>
    <t>42748.02</t>
  </si>
  <si>
    <t>654106103</t>
  </si>
  <si>
    <t>2502.00000000</t>
  </si>
  <si>
    <t>41.820000</t>
  </si>
  <si>
    <t>104633.64</t>
  </si>
  <si>
    <t>8.80%</t>
  </si>
  <si>
    <t>H5919C104</t>
  </si>
  <si>
    <t>1178.00000000</t>
  </si>
  <si>
    <t>36.920000</t>
  </si>
  <si>
    <t>43491.76</t>
  </si>
  <si>
    <t>691497309</t>
  </si>
  <si>
    <t>35.820000</t>
  </si>
  <si>
    <t>7092.36</t>
  </si>
  <si>
    <t>693656100</t>
  </si>
  <si>
    <t>72.710000</t>
  </si>
  <si>
    <t>17668.53</t>
  </si>
  <si>
    <t>N3167Y103</t>
  </si>
  <si>
    <t>348.750000</t>
  </si>
  <si>
    <t>81607.50</t>
  </si>
  <si>
    <t>6.87%</t>
  </si>
  <si>
    <t>774515100</t>
  </si>
  <si>
    <t>40.650000</t>
  </si>
  <si>
    <t>5853.60</t>
  </si>
  <si>
    <t>88339P101</t>
  </si>
  <si>
    <t>981.00000000</t>
  </si>
  <si>
    <t>12.860000</t>
  </si>
  <si>
    <t>12615.66</t>
  </si>
  <si>
    <t>74967X103</t>
  </si>
  <si>
    <t>156.540000</t>
  </si>
  <si>
    <t>21132.90</t>
  </si>
  <si>
    <t>52195.50</t>
  </si>
  <si>
    <t>4.39%</t>
  </si>
  <si>
    <t>76156B107</t>
  </si>
  <si>
    <t>441.00000000</t>
  </si>
  <si>
    <t>22.940000</t>
  </si>
  <si>
    <t>10116.54</t>
  </si>
  <si>
    <t>860897107</t>
  </si>
  <si>
    <t>1399.00000000</t>
  </si>
  <si>
    <t>4.410000</t>
  </si>
  <si>
    <t>6169.59</t>
  </si>
  <si>
    <t>556269108</t>
  </si>
  <si>
    <t>42.290000</t>
  </si>
  <si>
    <t>21314.16</t>
  </si>
  <si>
    <t>88556E102</t>
  </si>
  <si>
    <t>6.540000</t>
  </si>
  <si>
    <t>10594.80</t>
  </si>
  <si>
    <t>56605.50</t>
  </si>
  <si>
    <t>904311107</t>
  </si>
  <si>
    <t>2088.00000000</t>
  </si>
  <si>
    <t>6.060000</t>
  </si>
  <si>
    <t>12653.28</t>
  </si>
  <si>
    <t>917047102</t>
  </si>
  <si>
    <t>72.320000</t>
  </si>
  <si>
    <t>25384.32</t>
  </si>
  <si>
    <t>918204108</t>
  </si>
  <si>
    <t>1683.00000000</t>
  </si>
  <si>
    <t>17.220000</t>
  </si>
  <si>
    <t>28981.26</t>
  </si>
  <si>
    <t>926400102</t>
  </si>
  <si>
    <t>80.640000</t>
  </si>
  <si>
    <t>37739.52</t>
  </si>
  <si>
    <t>3.18%</t>
  </si>
  <si>
    <t>93403J106</t>
  </si>
  <si>
    <t>801.00000000</t>
  </si>
  <si>
    <t>26.850000</t>
  </si>
  <si>
    <t>21506.85</t>
  </si>
  <si>
    <t>978097103</t>
  </si>
  <si>
    <t>17.540000</t>
  </si>
  <si>
    <t>13891.68</t>
  </si>
  <si>
    <t>98585X104</t>
  </si>
  <si>
    <t>49.640000</t>
  </si>
  <si>
    <t>39761.64</t>
  </si>
  <si>
    <t>3.35%</t>
  </si>
  <si>
    <t>N30577105</t>
  </si>
  <si>
    <t>882.00000000</t>
  </si>
  <si>
    <t>13.110000</t>
  </si>
  <si>
    <t>11563.02</t>
  </si>
  <si>
    <t>989817101</t>
  </si>
  <si>
    <t>19.110000</t>
  </si>
  <si>
    <t>4987.71</t>
  </si>
  <si>
    <t>-8246.10000000</t>
  </si>
  <si>
    <t>-8246.10</t>
  </si>
  <si>
    <t>-0.69%</t>
  </si>
  <si>
    <t>26627.00000000</t>
  </si>
  <si>
    <t>49.630000</t>
  </si>
  <si>
    <t>661380.00</t>
  </si>
  <si>
    <t>25000</t>
  </si>
  <si>
    <t>5.000000000000</t>
  </si>
  <si>
    <t>137335.96000000</t>
  </si>
  <si>
    <t>137335.96</t>
  </si>
  <si>
    <t>20.77%</t>
  </si>
  <si>
    <t>-797585.04000000</t>
  </si>
  <si>
    <t>-797585.04</t>
  </si>
  <si>
    <t>-120.59%</t>
  </si>
  <si>
    <t>1363.00000000</t>
  </si>
  <si>
    <t>197.52%</t>
  </si>
  <si>
    <t>260536.00</t>
  </si>
  <si>
    <t>22771.00000000</t>
  </si>
  <si>
    <t>22771.00</t>
  </si>
  <si>
    <t>8.74%</t>
  </si>
  <si>
    <t>-276929.29000000</t>
  </si>
  <si>
    <t>-276929.29</t>
  </si>
  <si>
    <t>-106.29%</t>
  </si>
  <si>
    <t>20072.00000000</t>
  </si>
  <si>
    <t>28.010000</t>
  </si>
  <si>
    <t>197.70%</t>
  </si>
  <si>
    <t>284375.00</t>
  </si>
  <si>
    <t>26730.00000000</t>
  </si>
  <si>
    <t>26730.00</t>
  </si>
  <si>
    <t>9.40%</t>
  </si>
  <si>
    <t>-304655.81000000</t>
  </si>
  <si>
    <t>-304655.81</t>
  </si>
  <si>
    <t>-107.13%</t>
  </si>
  <si>
    <t>363.650000</t>
  </si>
  <si>
    <t>468224.00</t>
  </si>
  <si>
    <t>186080.85000000</t>
  </si>
  <si>
    <t>186080.85</t>
  </si>
  <si>
    <t>39.74%</t>
  </si>
  <si>
    <t>-653982.20000000</t>
  </si>
  <si>
    <t>-653982.20</t>
  </si>
  <si>
    <t>-139.67%</t>
  </si>
  <si>
    <t>5890.00000000</t>
  </si>
  <si>
    <t>297.230000</t>
  </si>
  <si>
    <t>199.51%</t>
  </si>
  <si>
    <t>877471.00</t>
  </si>
  <si>
    <t>35000</t>
  </si>
  <si>
    <t>7.000000000000</t>
  </si>
  <si>
    <t>178019.23000000</t>
  </si>
  <si>
    <t>178019.23</t>
  </si>
  <si>
    <t>20.29%</t>
  </si>
  <si>
    <t>-1051520.99000000</t>
  </si>
  <si>
    <t>-1051520.99</t>
  </si>
  <si>
    <t>-119.84%</t>
  </si>
  <si>
    <t>2061.00000000</t>
  </si>
  <si>
    <t>675.690000</t>
  </si>
  <si>
    <t>697164.00</t>
  </si>
  <si>
    <t>30000</t>
  </si>
  <si>
    <t>6.000000000000</t>
  </si>
  <si>
    <t>280111.64000000</t>
  </si>
  <si>
    <t>280111.64</t>
  </si>
  <si>
    <t>40.18%</t>
  </si>
  <si>
    <t>-975667.61000000</t>
  </si>
  <si>
    <t>-975667.61</t>
  </si>
  <si>
    <t>-139.95%</t>
  </si>
  <si>
    <t>02451V309</t>
  </si>
  <si>
    <t>19616.00000000</t>
  </si>
  <si>
    <t>2.700000</t>
  </si>
  <si>
    <t>52963.20</t>
  </si>
  <si>
    <t>2066872.00</t>
  </si>
  <si>
    <t>80000</t>
  </si>
  <si>
    <t>16.000000000000</t>
  </si>
  <si>
    <t>00130H105</t>
  </si>
  <si>
    <t>4448.00000000</t>
  </si>
  <si>
    <t>65296.64</t>
  </si>
  <si>
    <t>012653101</t>
  </si>
  <si>
    <t>496.00000000</t>
  </si>
  <si>
    <t>147.840000</t>
  </si>
  <si>
    <t>73328.64</t>
  </si>
  <si>
    <t>4208.00000000</t>
  </si>
  <si>
    <t>52684.16</t>
  </si>
  <si>
    <t>2.55%</t>
  </si>
  <si>
    <t>23529.60</t>
  </si>
  <si>
    <t>416.00000000</t>
  </si>
  <si>
    <t>32402.24</t>
  </si>
  <si>
    <t>229637.76</t>
  </si>
  <si>
    <t>11.11%</t>
  </si>
  <si>
    <t>29355A107</t>
  </si>
  <si>
    <t>2928.00000000</t>
  </si>
  <si>
    <t>47.820000</t>
  </si>
  <si>
    <t>140016.96</t>
  </si>
  <si>
    <t>6.77%</t>
  </si>
  <si>
    <t>29275Y102</t>
  </si>
  <si>
    <t>218.940000</t>
  </si>
  <si>
    <t>108594.24</t>
  </si>
  <si>
    <t>293594107</t>
  </si>
  <si>
    <t>11872.00000000</t>
  </si>
  <si>
    <t>5.940000</t>
  </si>
  <si>
    <t>70519.68</t>
  </si>
  <si>
    <t>3.41%</t>
  </si>
  <si>
    <t>29415C101</t>
  </si>
  <si>
    <t>12128.00000000</t>
  </si>
  <si>
    <t>73495.68</t>
  </si>
  <si>
    <t>3.56%</t>
  </si>
  <si>
    <t>31584.48000000</t>
  </si>
  <si>
    <t>31584.48</t>
  </si>
  <si>
    <t>34379V103</t>
  </si>
  <si>
    <t>5984.00000000</t>
  </si>
  <si>
    <t>19.750000</t>
  </si>
  <si>
    <t>118184.00</t>
  </si>
  <si>
    <t>5.72%</t>
  </si>
  <si>
    <t>86378.56</t>
  </si>
  <si>
    <t>59516C106</t>
  </si>
  <si>
    <t>33904.00000000</t>
  </si>
  <si>
    <t>1.180000</t>
  </si>
  <si>
    <t>40006.72</t>
  </si>
  <si>
    <t>29280W109</t>
  </si>
  <si>
    <t>16688.00000000</t>
  </si>
  <si>
    <t>3.930000</t>
  </si>
  <si>
    <t>65583.84</t>
  </si>
  <si>
    <t>86771W105</t>
  </si>
  <si>
    <t>8128.00000000</t>
  </si>
  <si>
    <t>14.420000</t>
  </si>
  <si>
    <t>117205.76</t>
  </si>
  <si>
    <t>5.67%</t>
  </si>
  <si>
    <t>83417M104</t>
  </si>
  <si>
    <t>2352.00000000</t>
  </si>
  <si>
    <t>49.740000</t>
  </si>
  <si>
    <t>116988.48</t>
  </si>
  <si>
    <t>5.66%</t>
  </si>
  <si>
    <t>78397Q109</t>
  </si>
  <si>
    <t>50928.00000000</t>
  </si>
  <si>
    <t>0.905100</t>
  </si>
  <si>
    <t>46094.93</t>
  </si>
  <si>
    <t>2.23%</t>
  </si>
  <si>
    <t>83422N105</t>
  </si>
  <si>
    <t>19904.00000000</t>
  </si>
  <si>
    <t>2.640000</t>
  </si>
  <si>
    <t>52546.56</t>
  </si>
  <si>
    <t>2.54%</t>
  </si>
  <si>
    <t>833635105</t>
  </si>
  <si>
    <t>976.00000000</t>
  </si>
  <si>
    <t>75.580000</t>
  </si>
  <si>
    <t>73766.08</t>
  </si>
  <si>
    <t>85859N300</t>
  </si>
  <si>
    <t>4640.00000000</t>
  </si>
  <si>
    <t>7.450000</t>
  </si>
  <si>
    <t>34568.00</t>
  </si>
  <si>
    <t>35834F104</t>
  </si>
  <si>
    <t>3648.00000000</t>
  </si>
  <si>
    <t>8.530000</t>
  </si>
  <si>
    <t>31117.44</t>
  </si>
  <si>
    <t>330466.40</t>
  </si>
  <si>
    <t>15.99%</t>
  </si>
  <si>
    <t>-104.81000000</t>
  </si>
  <si>
    <t>-104.81</t>
  </si>
  <si>
    <t>37353.00000000</t>
  </si>
  <si>
    <t>24.300000</t>
  </si>
  <si>
    <t>199.73%</t>
  </si>
  <si>
    <t>454462.50</t>
  </si>
  <si>
    <t>45282.43000000</t>
  </si>
  <si>
    <t>45282.43</t>
  </si>
  <si>
    <t>9.96%</t>
  </si>
  <si>
    <t>-498579.15000000</t>
  </si>
  <si>
    <t>-498579.15</t>
  </si>
  <si>
    <t>-109.71%</t>
  </si>
  <si>
    <t>1441.00000000</t>
  </si>
  <si>
    <t>25131.04</t>
  </si>
  <si>
    <t>1554773.00</t>
  </si>
  <si>
    <t>47652.00</t>
  </si>
  <si>
    <t>10624.68</t>
  </si>
  <si>
    <t>319.00000000</t>
  </si>
  <si>
    <t>16447.64</t>
  </si>
  <si>
    <t>19952.46</t>
  </si>
  <si>
    <t>90435.84</t>
  </si>
  <si>
    <t>5.82%</t>
  </si>
  <si>
    <t>09857L108</t>
  </si>
  <si>
    <t>181.250000</t>
  </si>
  <si>
    <t>67787.50</t>
  </si>
  <si>
    <t>053774105</t>
  </si>
  <si>
    <t>44.00000000</t>
  </si>
  <si>
    <t>175.290000</t>
  </si>
  <si>
    <t>7712.76</t>
  </si>
  <si>
    <t>1342.00000000</t>
  </si>
  <si>
    <t>38797.22</t>
  </si>
  <si>
    <t>2.50%</t>
  </si>
  <si>
    <t>169905106</t>
  </si>
  <si>
    <t>88.00000000</t>
  </si>
  <si>
    <t>112.040000</t>
  </si>
  <si>
    <t>9859.52</t>
  </si>
  <si>
    <t>15529.14</t>
  </si>
  <si>
    <t>15628.80</t>
  </si>
  <si>
    <t>649.00000000</t>
  </si>
  <si>
    <t>58831.85</t>
  </si>
  <si>
    <t>88985.60</t>
  </si>
  <si>
    <t>252784301</t>
  </si>
  <si>
    <t>12.190000</t>
  </si>
  <si>
    <t>10861.29</t>
  </si>
  <si>
    <t>34603.80</t>
  </si>
  <si>
    <t>64886.28000000</t>
  </si>
  <si>
    <t>64886.28</t>
  </si>
  <si>
    <t>9097.00</t>
  </si>
  <si>
    <t>10214.82</t>
  </si>
  <si>
    <t>83001C108</t>
  </si>
  <si>
    <t>23.020000</t>
  </si>
  <si>
    <t>10635.24</t>
  </si>
  <si>
    <t>37890B100</t>
  </si>
  <si>
    <t>1133.00000000</t>
  </si>
  <si>
    <t>9.380000</t>
  </si>
  <si>
    <t>10627.54</t>
  </si>
  <si>
    <t>448579102</t>
  </si>
  <si>
    <t>197.320000</t>
  </si>
  <si>
    <t>19534.68</t>
  </si>
  <si>
    <t>43283X105</t>
  </si>
  <si>
    <t>54.670000</t>
  </si>
  <si>
    <t>12027.40</t>
  </si>
  <si>
    <t>165.00000000</t>
  </si>
  <si>
    <t>56664.30</t>
  </si>
  <si>
    <t>44107P104</t>
  </si>
  <si>
    <t>1144.00000000</t>
  </si>
  <si>
    <t>24.580000</t>
  </si>
  <si>
    <t>28119.52</t>
  </si>
  <si>
    <t>44332N106</t>
  </si>
  <si>
    <t>506.00000000</t>
  </si>
  <si>
    <t>41.770000</t>
  </si>
  <si>
    <t>21135.62</t>
  </si>
  <si>
    <t>42806J700</t>
  </si>
  <si>
    <t>3.000000</t>
  </si>
  <si>
    <t>2607.00</t>
  </si>
  <si>
    <t>45857P806</t>
  </si>
  <si>
    <t>209.00000000</t>
  </si>
  <si>
    <t>172.700000</t>
  </si>
  <si>
    <t>36094.30</t>
  </si>
  <si>
    <t>8407.08</t>
  </si>
  <si>
    <t>535219109</t>
  </si>
  <si>
    <t>26.980000</t>
  </si>
  <si>
    <t>8903.40</t>
  </si>
  <si>
    <t>726.00000000</t>
  </si>
  <si>
    <t>36982.44</t>
  </si>
  <si>
    <t>24166.56</t>
  </si>
  <si>
    <t>55087P104</t>
  </si>
  <si>
    <t>14.400000</t>
  </si>
  <si>
    <t>15048.00</t>
  </si>
  <si>
    <t>35837.23</t>
  </si>
  <si>
    <t>59068.24</t>
  </si>
  <si>
    <t>3.80%</t>
  </si>
  <si>
    <t>20201.61</t>
  </si>
  <si>
    <t>V5633W109</t>
  </si>
  <si>
    <t>51.680000</t>
  </si>
  <si>
    <t>12506.56</t>
  </si>
  <si>
    <t>91879Q109</t>
  </si>
  <si>
    <t>121.00000000</t>
  </si>
  <si>
    <t>142.020000</t>
  </si>
  <si>
    <t>17184.42</t>
  </si>
  <si>
    <t>639193101</t>
  </si>
  <si>
    <t>308.00000000</t>
  </si>
  <si>
    <t>21.780000</t>
  </si>
  <si>
    <t>6708.24</t>
  </si>
  <si>
    <t>G66721104</t>
  </si>
  <si>
    <t>21.010000</t>
  </si>
  <si>
    <t>21955.45</t>
  </si>
  <si>
    <t>21611.04</t>
  </si>
  <si>
    <t>70509V100</t>
  </si>
  <si>
    <t>561.00000000</t>
  </si>
  <si>
    <t>18.620000</t>
  </si>
  <si>
    <t>10445.82</t>
  </si>
  <si>
    <t>700517105</t>
  </si>
  <si>
    <t>14.340000</t>
  </si>
  <si>
    <t>11830.50</t>
  </si>
  <si>
    <t>81282V100</t>
  </si>
  <si>
    <t>46.870000</t>
  </si>
  <si>
    <t>7217.98</t>
  </si>
  <si>
    <t>67078.55</t>
  </si>
  <si>
    <t>4.31%</t>
  </si>
  <si>
    <t>78377T107</t>
  </si>
  <si>
    <t>129.770000</t>
  </si>
  <si>
    <t>19984.58</t>
  </si>
  <si>
    <t>74965L101</t>
  </si>
  <si>
    <t>836.00000000</t>
  </si>
  <si>
    <t>11.320000</t>
  </si>
  <si>
    <t>9463.52</t>
  </si>
  <si>
    <t>42061.80</t>
  </si>
  <si>
    <t>13828.10</t>
  </si>
  <si>
    <t>89677Q107</t>
  </si>
  <si>
    <t>46.300000</t>
  </si>
  <si>
    <t>33613.80</t>
  </si>
  <si>
    <t>894164102</t>
  </si>
  <si>
    <t>76.680000</t>
  </si>
  <si>
    <t>15182.64</t>
  </si>
  <si>
    <t>896945201</t>
  </si>
  <si>
    <t>12.980000</t>
  </si>
  <si>
    <t>8424.02</t>
  </si>
  <si>
    <t>51693.84</t>
  </si>
  <si>
    <t>902.00000000</t>
  </si>
  <si>
    <t>66612.70</t>
  </si>
  <si>
    <t>57164Y107</t>
  </si>
  <si>
    <t>99.150000</t>
  </si>
  <si>
    <t>13087.80</t>
  </si>
  <si>
    <t>G93A5A101</t>
  </si>
  <si>
    <t>297.00000000</t>
  </si>
  <si>
    <t>103.050000</t>
  </si>
  <si>
    <t>30605.85</t>
  </si>
  <si>
    <t>1.97%</t>
  </si>
  <si>
    <t>21240E105</t>
  </si>
  <si>
    <t>814.00000000</t>
  </si>
  <si>
    <t>9.230000</t>
  </si>
  <si>
    <t>7513.22</t>
  </si>
  <si>
    <t>98311A105</t>
  </si>
  <si>
    <t>85.810000</t>
  </si>
  <si>
    <t>16046.47</t>
  </si>
  <si>
    <t>1008.05000000</t>
  </si>
  <si>
    <t>1008.05</t>
  </si>
  <si>
    <t>023939101</t>
  </si>
  <si>
    <t>729.00000000</t>
  </si>
  <si>
    <t>14857.02</t>
  </si>
  <si>
    <t>3221856.00</t>
  </si>
  <si>
    <t>135000</t>
  </si>
  <si>
    <t>27.000000000000</t>
  </si>
  <si>
    <t>53349.30</t>
  </si>
  <si>
    <t>19194.30</t>
  </si>
  <si>
    <t>23693.04</t>
  </si>
  <si>
    <t>1134.00000000</t>
  </si>
  <si>
    <t>63934.92</t>
  </si>
  <si>
    <t>38867.85</t>
  </si>
  <si>
    <t>1.21%</t>
  </si>
  <si>
    <t>24950.16</t>
  </si>
  <si>
    <t>12763L105</t>
  </si>
  <si>
    <t>28.750000</t>
  </si>
  <si>
    <t>8538.75</t>
  </si>
  <si>
    <t>20825C104</t>
  </si>
  <si>
    <t>106.920000</t>
  </si>
  <si>
    <t>115473.60</t>
  </si>
  <si>
    <t>1107.00000000</t>
  </si>
  <si>
    <t>189795.15</t>
  </si>
  <si>
    <t>5.89%</t>
  </si>
  <si>
    <t>52661A108</t>
  </si>
  <si>
    <t>44.690000</t>
  </si>
  <si>
    <t>19306.08</t>
  </si>
  <si>
    <t>25179M103</t>
  </si>
  <si>
    <t>42.740000</t>
  </si>
  <si>
    <t>48467.16</t>
  </si>
  <si>
    <t>26875P101</t>
  </si>
  <si>
    <t>134.450000</t>
  </si>
  <si>
    <t>90753.75</t>
  </si>
  <si>
    <t>2.82%</t>
  </si>
  <si>
    <t>26884L109</t>
  </si>
  <si>
    <t>1053.00000000</t>
  </si>
  <si>
    <t>51.480000</t>
  </si>
  <si>
    <t>54208.44</t>
  </si>
  <si>
    <t>25278X109</t>
  </si>
  <si>
    <t>183.480000</t>
  </si>
  <si>
    <t>59447.52</t>
  </si>
  <si>
    <t>59244.74000000</t>
  </si>
  <si>
    <t>59244.74</t>
  </si>
  <si>
    <t>102263.04</t>
  </si>
  <si>
    <t>406216101</t>
  </si>
  <si>
    <t>1323.00000000</t>
  </si>
  <si>
    <t>44849.70</t>
  </si>
  <si>
    <t>446413106</t>
  </si>
  <si>
    <t>279.620000</t>
  </si>
  <si>
    <t>30198.96</t>
  </si>
  <si>
    <t>423452101</t>
  </si>
  <si>
    <t>32.760000</t>
  </si>
  <si>
    <t>14152.32</t>
  </si>
  <si>
    <t>111804.30</t>
  </si>
  <si>
    <t>3.47%</t>
  </si>
  <si>
    <t>25779.60</t>
  </si>
  <si>
    <t>2538.00000000</t>
  </si>
  <si>
    <t>82713.42</t>
  </si>
  <si>
    <t>485924104</t>
  </si>
  <si>
    <t>44.840000</t>
  </si>
  <si>
    <t>18160.20</t>
  </si>
  <si>
    <t>567.00000000</t>
  </si>
  <si>
    <t>27187.65</t>
  </si>
  <si>
    <t>53115L104</t>
  </si>
  <si>
    <t>621.00000000</t>
  </si>
  <si>
    <t>26.210000</t>
  </si>
  <si>
    <t>16276.41</t>
  </si>
  <si>
    <t>30983.04</t>
  </si>
  <si>
    <t>119468.52</t>
  </si>
  <si>
    <t>68565.42</t>
  </si>
  <si>
    <t>19926.00</t>
  </si>
  <si>
    <t>32796.90</t>
  </si>
  <si>
    <t>56585A102</t>
  </si>
  <si>
    <t>246.510000</t>
  </si>
  <si>
    <t>93180.78</t>
  </si>
  <si>
    <t>25515.00</t>
  </si>
  <si>
    <t>576485205</t>
  </si>
  <si>
    <t>50.090000</t>
  </si>
  <si>
    <t>21638.88</t>
  </si>
  <si>
    <t>637215104</t>
  </si>
  <si>
    <t>125.990000</t>
  </si>
  <si>
    <t>6803.46</t>
  </si>
  <si>
    <t>75435.84</t>
  </si>
  <si>
    <t>680665205</t>
  </si>
  <si>
    <t>20.990000</t>
  </si>
  <si>
    <t>13601.52</t>
  </si>
  <si>
    <t>1836.00000000</t>
  </si>
  <si>
    <t>14100.48</t>
  </si>
  <si>
    <t>674599105</t>
  </si>
  <si>
    <t>51.090000</t>
  </si>
  <si>
    <t>60694.92</t>
  </si>
  <si>
    <t>1161.00000000</t>
  </si>
  <si>
    <t>131773.50</t>
  </si>
  <si>
    <t>71424F105</t>
  </si>
  <si>
    <t>1944.00000000</t>
  </si>
  <si>
    <t>18.700000</t>
  </si>
  <si>
    <t>36352.80</t>
  </si>
  <si>
    <t>718546104</t>
  </si>
  <si>
    <t>168.640000</t>
  </si>
  <si>
    <t>91065.60</t>
  </si>
  <si>
    <t>703481101</t>
  </si>
  <si>
    <t>1674.00000000</t>
  </si>
  <si>
    <t>9.520000</t>
  </si>
  <si>
    <t>15936.48</t>
  </si>
  <si>
    <t>8574.12</t>
  </si>
  <si>
    <t>64569.96</t>
  </si>
  <si>
    <t>945.00000000</t>
  </si>
  <si>
    <t>174881.70</t>
  </si>
  <si>
    <t>5.43%</t>
  </si>
  <si>
    <t>808625107</t>
  </si>
  <si>
    <t>108.470000</t>
  </si>
  <si>
    <t>23429.52</t>
  </si>
  <si>
    <t>806857108</t>
  </si>
  <si>
    <t>1566.00000000</t>
  </si>
  <si>
    <t>46.610000</t>
  </si>
  <si>
    <t>72991.26</t>
  </si>
  <si>
    <t>831754106</t>
  </si>
  <si>
    <t>486.00000000</t>
  </si>
  <si>
    <t>16.120000</t>
  </si>
  <si>
    <t>7834.32</t>
  </si>
  <si>
    <t>71424.18</t>
  </si>
  <si>
    <t>87612G101</t>
  </si>
  <si>
    <t>266.320000</t>
  </si>
  <si>
    <t>79097.04</t>
  </si>
  <si>
    <t>92333F101</t>
  </si>
  <si>
    <t>10.510000</t>
  </si>
  <si>
    <t>11918.34</t>
  </si>
  <si>
    <t>91913Y100</t>
  </si>
  <si>
    <t>242.430000</t>
  </si>
  <si>
    <t>91638.54</t>
  </si>
  <si>
    <t>92242T101</t>
  </si>
  <si>
    <t>76.030000</t>
  </si>
  <si>
    <t>16422.48</t>
  </si>
  <si>
    <t>G48833118</t>
  </si>
  <si>
    <t>84.490000</t>
  </si>
  <si>
    <t>18249.84</t>
  </si>
  <si>
    <t>969457100</t>
  </si>
  <si>
    <t>75.870000</t>
  </si>
  <si>
    <t>100376.01</t>
  </si>
  <si>
    <t>30231G102</t>
  </si>
  <si>
    <t>1917.00000000</t>
  </si>
  <si>
    <t>136.900000</t>
  </si>
  <si>
    <t>262437.30</t>
  </si>
  <si>
    <t>2679.86000000</t>
  </si>
  <si>
    <t>2679.86</t>
  </si>
  <si>
    <t>0.08%</t>
  </si>
  <si>
    <t>4545.00000000</t>
  </si>
  <si>
    <t>154.260000</t>
  </si>
  <si>
    <t>199.71%</t>
  </si>
  <si>
    <t>351069.00</t>
  </si>
  <si>
    <t>231723.37000000</t>
  </si>
  <si>
    <t>231723.37</t>
  </si>
  <si>
    <t>66.01%</t>
  </si>
  <si>
    <t>-581708.90000000</t>
  </si>
  <si>
    <t>-581708.90</t>
  </si>
  <si>
    <t>-165.70%</t>
  </si>
  <si>
    <t>00971T101</t>
  </si>
  <si>
    <t>119.480000</t>
  </si>
  <si>
    <t>120435.84</t>
  </si>
  <si>
    <t>2626440.00</t>
  </si>
  <si>
    <t>1712.00000000</t>
  </si>
  <si>
    <t>49031.68</t>
  </si>
  <si>
    <t>002121101</t>
  </si>
  <si>
    <t>34.180000</t>
  </si>
  <si>
    <t>62344.32</t>
  </si>
  <si>
    <t>2.37%</t>
  </si>
  <si>
    <t>88711.68</t>
  </si>
  <si>
    <t>3.38%</t>
  </si>
  <si>
    <t>M22465104</t>
  </si>
  <si>
    <t>124.680000</t>
  </si>
  <si>
    <t>83784.96</t>
  </si>
  <si>
    <t>279976.32</t>
  </si>
  <si>
    <t>10.66%</t>
  </si>
  <si>
    <t>170995.20</t>
  </si>
  <si>
    <t>6.51%</t>
  </si>
  <si>
    <t>1504.00000000</t>
  </si>
  <si>
    <t>88299.84</t>
  </si>
  <si>
    <t>315616102</t>
  </si>
  <si>
    <t>320.00000000</t>
  </si>
  <si>
    <t>384.780000</t>
  </si>
  <si>
    <t>123129.60</t>
  </si>
  <si>
    <t>4.69%</t>
  </si>
  <si>
    <t>31822.88000000</t>
  </si>
  <si>
    <t>31822.88</t>
  </si>
  <si>
    <t>167362.56</t>
  </si>
  <si>
    <t>6.37%</t>
  </si>
  <si>
    <t>668771108</t>
  </si>
  <si>
    <t>4544.00000000</t>
  </si>
  <si>
    <t>107056.64</t>
  </si>
  <si>
    <t>4.08%</t>
  </si>
  <si>
    <t>107270.40</t>
  </si>
  <si>
    <t>64119N608</t>
  </si>
  <si>
    <t>2272.00000000</t>
  </si>
  <si>
    <t>9.500000</t>
  </si>
  <si>
    <t>21584.00</t>
  </si>
  <si>
    <t>1264.00000000</t>
  </si>
  <si>
    <t>149885.12</t>
  </si>
  <si>
    <t>5.71%</t>
  </si>
  <si>
    <t>39153.92</t>
  </si>
  <si>
    <t>1184.00000000</t>
  </si>
  <si>
    <t>337747.84</t>
  </si>
  <si>
    <t>12.86%</t>
  </si>
  <si>
    <t>74758T303</t>
  </si>
  <si>
    <t>115.340000</t>
  </si>
  <si>
    <t>83044.80</t>
  </si>
  <si>
    <t>781154109</t>
  </si>
  <si>
    <t>112078.08</t>
  </si>
  <si>
    <t>M81873107</t>
  </si>
  <si>
    <t>1568.00000000</t>
  </si>
  <si>
    <t>28.100000</t>
  </si>
  <si>
    <t>44060.80</t>
  </si>
  <si>
    <t>753422104</t>
  </si>
  <si>
    <t>7.080000</t>
  </si>
  <si>
    <t>36249.60</t>
  </si>
  <si>
    <t>3520.00000000</t>
  </si>
  <si>
    <t>44246.40</t>
  </si>
  <si>
    <t>88025T102</t>
  </si>
  <si>
    <t>73708.80</t>
  </si>
  <si>
    <t>87969B101</t>
  </si>
  <si>
    <t>6656.00000000</t>
  </si>
  <si>
    <t>4.340000</t>
  </si>
  <si>
    <t>28887.04</t>
  </si>
  <si>
    <t>2320.00000000</t>
  </si>
  <si>
    <t>86512.80</t>
  </si>
  <si>
    <t>89598.08</t>
  </si>
  <si>
    <t>-561.23000000</t>
  </si>
  <si>
    <t>-561.23</t>
  </si>
  <si>
    <t>-0.02%</t>
  </si>
  <si>
    <t>18013.00000000</t>
  </si>
  <si>
    <t>45.010000</t>
  </si>
  <si>
    <t>199.17%</t>
  </si>
  <si>
    <t>407072.00</t>
  </si>
  <si>
    <t>137885.38000000</t>
  </si>
  <si>
    <t>137885.38</t>
  </si>
  <si>
    <t>33.87%</t>
  </si>
  <si>
    <t>-541510.10000000</t>
  </si>
  <si>
    <t>-541510.10</t>
  </si>
  <si>
    <t>-133.03%</t>
  </si>
  <si>
    <t>6787.00000000</t>
  </si>
  <si>
    <t>149.710000</t>
  </si>
  <si>
    <t>199.76%</t>
  </si>
  <si>
    <t>508653.00</t>
  </si>
  <si>
    <t>67931.63000000</t>
  </si>
  <si>
    <t>67931.63</t>
  </si>
  <si>
    <t>13.36%</t>
  </si>
  <si>
    <t>-575391.72000000</t>
  </si>
  <si>
    <t>-575391.72</t>
  </si>
  <si>
    <t>-113.12%</t>
  </si>
  <si>
    <t>48283.00000000</t>
  </si>
  <si>
    <t>15.780000</t>
  </si>
  <si>
    <t>200.19%</t>
  </si>
  <si>
    <t>380596.00</t>
  </si>
  <si>
    <t>126871.41000000</t>
  </si>
  <si>
    <t>126871.41</t>
  </si>
  <si>
    <t>33.33%</t>
  </si>
  <si>
    <t>-508277.95000000</t>
  </si>
  <si>
    <t>-508277.95</t>
  </si>
  <si>
    <t>-133.55%</t>
  </si>
  <si>
    <t>11176.00000000</t>
  </si>
  <si>
    <t>86.950000</t>
  </si>
  <si>
    <t>199.83%</t>
  </si>
  <si>
    <t>486278.00</t>
  </si>
  <si>
    <t>139719.17000000</t>
  </si>
  <si>
    <t>139719.17</t>
  </si>
  <si>
    <t>28.73%</t>
  </si>
  <si>
    <t>-625317.91000000</t>
  </si>
  <si>
    <t>-625317.91</t>
  </si>
  <si>
    <t>-128.59%</t>
  </si>
  <si>
    <t>11860.00000000</t>
  </si>
  <si>
    <t>44.510000</t>
  </si>
  <si>
    <t>200.06%</t>
  </si>
  <si>
    <t>263869.00</t>
  </si>
  <si>
    <t>74688.62000000</t>
  </si>
  <si>
    <t>74688.62</t>
  </si>
  <si>
    <t>28.31%</t>
  </si>
  <si>
    <t>-338792.34000000</t>
  </si>
  <si>
    <t>-338792.34</t>
  </si>
  <si>
    <t>-128.39%</t>
  </si>
  <si>
    <t>3882.00000000</t>
  </si>
  <si>
    <t>192.170000</t>
  </si>
  <si>
    <t>199.09%</t>
  </si>
  <si>
    <t>374706.00</t>
  </si>
  <si>
    <t>152173.60000000</t>
  </si>
  <si>
    <t>152173.60</t>
  </si>
  <si>
    <t>40.61%</t>
  </si>
  <si>
    <t>-523494.33000000</t>
  </si>
  <si>
    <t>-523494.33</t>
  </si>
  <si>
    <t>-139.71%</t>
  </si>
  <si>
    <t>11496.00000000</t>
  </si>
  <si>
    <t>73.970000</t>
  </si>
  <si>
    <t>200.08%</t>
  </si>
  <si>
    <t>425013.00</t>
  </si>
  <si>
    <t>62996.90000000</t>
  </si>
  <si>
    <t>62996.90</t>
  </si>
  <si>
    <t>14.82%</t>
  </si>
  <si>
    <t>-488377.78000000</t>
  </si>
  <si>
    <t>-488377.78</t>
  </si>
  <si>
    <t>-114.91%</t>
  </si>
  <si>
    <t>33664.00000000</t>
  </si>
  <si>
    <t>51.160000</t>
  </si>
  <si>
    <t>860849.50</t>
  </si>
  <si>
    <t>77720.17000000</t>
  </si>
  <si>
    <t>77720.17</t>
  </si>
  <si>
    <t>9.03%</t>
  </si>
  <si>
    <t>-939315.91000000</t>
  </si>
  <si>
    <t>-939315.91</t>
  </si>
  <si>
    <t>-109.11%</t>
  </si>
  <si>
    <t>11992.00000000</t>
  </si>
  <si>
    <t>53.570000</t>
  </si>
  <si>
    <t>199.92%</t>
  </si>
  <si>
    <t>321328.50</t>
  </si>
  <si>
    <t>47928.68000000</t>
  </si>
  <si>
    <t>47928.68</t>
  </si>
  <si>
    <t>14.92%</t>
  </si>
  <si>
    <t>-369071.71000000</t>
  </si>
  <si>
    <t>-369071.71</t>
  </si>
  <si>
    <t>-114.86%</t>
  </si>
  <si>
    <t>25328.00000000</t>
  </si>
  <si>
    <t>53.720000</t>
  </si>
  <si>
    <t>199.99%</t>
  </si>
  <si>
    <t>680337.50</t>
  </si>
  <si>
    <t>63211.95000000</t>
  </si>
  <si>
    <t>63211.95</t>
  </si>
  <si>
    <t>9.29%</t>
  </si>
  <si>
    <t>-743702.66000000</t>
  </si>
  <si>
    <t>-743702.66</t>
  </si>
  <si>
    <t>-109.31%</t>
  </si>
  <si>
    <t>4428.00000000</t>
  </si>
  <si>
    <t>180.210000</t>
  </si>
  <si>
    <t>399364.50</t>
  </si>
  <si>
    <t>58577.51000000</t>
  </si>
  <si>
    <t>58577.51</t>
  </si>
  <si>
    <t>14.67%</t>
  </si>
  <si>
    <t>-457125.72000000</t>
  </si>
  <si>
    <t>-457125.72</t>
  </si>
  <si>
    <t>-114.46%</t>
  </si>
  <si>
    <t>6861.00000000</t>
  </si>
  <si>
    <t>183.050000</t>
  </si>
  <si>
    <t>199.63%</t>
  </si>
  <si>
    <t>629121.00</t>
  </si>
  <si>
    <t>182940.52000000</t>
  </si>
  <si>
    <t>182940.52</t>
  </si>
  <si>
    <t>29.08%</t>
  </si>
  <si>
    <t>-809734.85000000</t>
  </si>
  <si>
    <t>-809734.85</t>
  </si>
  <si>
    <t>-128.71%</t>
  </si>
  <si>
    <t>15855.00000000</t>
  </si>
  <si>
    <t>84.440000</t>
  </si>
  <si>
    <t>199.89%</t>
  </si>
  <si>
    <t>669777.50</t>
  </si>
  <si>
    <t>266145.24000000</t>
  </si>
  <si>
    <t>266145.24</t>
  </si>
  <si>
    <t>-935339.56000000</t>
  </si>
  <si>
    <t>-935339.56</t>
  </si>
  <si>
    <t>-139.65%</t>
  </si>
  <si>
    <t>23752.00000000</t>
  </si>
  <si>
    <t>45.540000</t>
  </si>
  <si>
    <t>199.86%</t>
  </si>
  <si>
    <t>541204.00</t>
  </si>
  <si>
    <t>201302.04000000</t>
  </si>
  <si>
    <t>201302.04</t>
  </si>
  <si>
    <t>37.20%</t>
  </si>
  <si>
    <t>-741901.57000000</t>
  </si>
  <si>
    <t>-741901.57</t>
  </si>
  <si>
    <t>-137.08%</t>
  </si>
  <si>
    <t>7154.00000000</t>
  </si>
  <si>
    <t>153.350000</t>
  </si>
  <si>
    <t>199.77%</t>
  </si>
  <si>
    <t>549158.00</t>
  </si>
  <si>
    <t>325983.43000000</t>
  </si>
  <si>
    <t>325983.43</t>
  </si>
  <si>
    <t>59.36%</t>
  </si>
  <si>
    <t>-873932.27000000</t>
  </si>
  <si>
    <t>-873932.27</t>
  </si>
  <si>
    <t>-159.14%</t>
  </si>
  <si>
    <t>6206.00000000</t>
  </si>
  <si>
    <t>115.070000</t>
  </si>
  <si>
    <t>357364.50</t>
  </si>
  <si>
    <t>100000.00000000</t>
  </si>
  <si>
    <t>100000.00</t>
  </si>
  <si>
    <t>27.98%</t>
  </si>
  <si>
    <t>-456748.76000000</t>
  </si>
  <si>
    <t>-456748.76</t>
  </si>
  <si>
    <t>-127.81%</t>
  </si>
  <si>
    <t>8927.00000000</t>
  </si>
  <si>
    <t>58.410000</t>
  </si>
  <si>
    <t>261018.00</t>
  </si>
  <si>
    <t>70000.00000000</t>
  </si>
  <si>
    <t>70000.00</t>
  </si>
  <si>
    <t>26.82%</t>
  </si>
  <si>
    <t>-330445.59000000</t>
  </si>
  <si>
    <t>-330445.59</t>
  </si>
  <si>
    <t>-126.60%</t>
  </si>
  <si>
    <t>1861.00000000</t>
  </si>
  <si>
    <t>618.920000</t>
  </si>
  <si>
    <t>199.48%</t>
  </si>
  <si>
    <t>577395.00</t>
  </si>
  <si>
    <t>161828.49000000</t>
  </si>
  <si>
    <t>161828.49</t>
  </si>
  <si>
    <t>28.03%</t>
  </si>
  <si>
    <t>-736122.20000000</t>
  </si>
  <si>
    <t>-736122.20</t>
  </si>
  <si>
    <t>-127.49%</t>
  </si>
  <si>
    <t>104.720000</t>
  </si>
  <si>
    <t>582175.00</t>
  </si>
  <si>
    <t>135523.96000000</t>
  </si>
  <si>
    <t>135523.96</t>
  </si>
  <si>
    <t>23.28%</t>
  </si>
  <si>
    <t>-713547.62000000</t>
  </si>
  <si>
    <t>-713547.62</t>
  </si>
  <si>
    <t>-122.57%</t>
  </si>
  <si>
    <t>12441.00000000</t>
  </si>
  <si>
    <t>80.120000</t>
  </si>
  <si>
    <t>199.78%</t>
  </si>
  <si>
    <t>498932.00</t>
  </si>
  <si>
    <t>143991.75000000</t>
  </si>
  <si>
    <t>143991.75</t>
  </si>
  <si>
    <t>28.86%</t>
  </si>
  <si>
    <t>-641941.60000000</t>
  </si>
  <si>
    <t>-641941.60</t>
  </si>
  <si>
    <t>-128.66%</t>
  </si>
  <si>
    <t>7665.00000000</t>
  </si>
  <si>
    <t>83.830000</t>
  </si>
  <si>
    <t>199.61%</t>
  </si>
  <si>
    <t>321898.50</t>
  </si>
  <si>
    <t>222908.07000000</t>
  </si>
  <si>
    <t>222908.07</t>
  </si>
  <si>
    <t>69.25%</t>
  </si>
  <si>
    <t>-543521.34000000</t>
  </si>
  <si>
    <t>-543521.34</t>
  </si>
  <si>
    <t>-168.85%</t>
  </si>
  <si>
    <t>5555.00000000</t>
  </si>
  <si>
    <t>84.340000</t>
  </si>
  <si>
    <t>234513.00</t>
  </si>
  <si>
    <t>49722.16000000</t>
  </si>
  <si>
    <t>49722.16</t>
  </si>
  <si>
    <t>21.20%</t>
  </si>
  <si>
    <t>-283747.19000000</t>
  </si>
  <si>
    <t>-283747.19</t>
  </si>
  <si>
    <t>-120.99%</t>
  </si>
  <si>
    <t>006739106</t>
  </si>
  <si>
    <t>97.200000</t>
  </si>
  <si>
    <t>11761.20</t>
  </si>
  <si>
    <t>1552050.50</t>
  </si>
  <si>
    <t>398182303</t>
  </si>
  <si>
    <t>50.100000</t>
  </si>
  <si>
    <t>23146.20</t>
  </si>
  <si>
    <t>H01301128</t>
  </si>
  <si>
    <t>67.930000</t>
  </si>
  <si>
    <t>38108.73</t>
  </si>
  <si>
    <t>117043109</t>
  </si>
  <si>
    <t>84.850000</t>
  </si>
  <si>
    <t>18667.00</t>
  </si>
  <si>
    <t>112463104</t>
  </si>
  <si>
    <t>1078.00000000</t>
  </si>
  <si>
    <t>14.690000</t>
  </si>
  <si>
    <t>15835.82</t>
  </si>
  <si>
    <t>4.37%</t>
  </si>
  <si>
    <t>10950A106</t>
  </si>
  <si>
    <t>418.00000000</t>
  </si>
  <si>
    <t>67.610000</t>
  </si>
  <si>
    <t>28260.98</t>
  </si>
  <si>
    <t>131193104</t>
  </si>
  <si>
    <t>18.080000</t>
  </si>
  <si>
    <t>14319.36</t>
  </si>
  <si>
    <t>1419.00000000</t>
  </si>
  <si>
    <t>41023.29</t>
  </si>
  <si>
    <t>29528.07</t>
  </si>
  <si>
    <t>59829.00</t>
  </si>
  <si>
    <t>23918K108</t>
  </si>
  <si>
    <t>213.040000</t>
  </si>
  <si>
    <t>25777.84</t>
  </si>
  <si>
    <t>29261A100</t>
  </si>
  <si>
    <t>102.250000</t>
  </si>
  <si>
    <t>23619.75</t>
  </si>
  <si>
    <t>29358P101</t>
  </si>
  <si>
    <t>164.070000</t>
  </si>
  <si>
    <t>21657.24</t>
  </si>
  <si>
    <t>63845R107</t>
  </si>
  <si>
    <t>17.610000</t>
  </si>
  <si>
    <t>9104.37</t>
  </si>
  <si>
    <t>44814.82000000</t>
  </si>
  <si>
    <t>44814.82</t>
  </si>
  <si>
    <t>005098108</t>
  </si>
  <si>
    <t>109.500000</t>
  </si>
  <si>
    <t>14454.00</t>
  </si>
  <si>
    <t>15635.62</t>
  </si>
  <si>
    <t>17985.00</t>
  </si>
  <si>
    <t>3.65%</t>
  </si>
  <si>
    <t>444859102</t>
  </si>
  <si>
    <t>361.640000</t>
  </si>
  <si>
    <t>55692.56</t>
  </si>
  <si>
    <t>3.59%</t>
  </si>
  <si>
    <t>12464.76</t>
  </si>
  <si>
    <t>176.00000000</t>
  </si>
  <si>
    <t>196637.76</t>
  </si>
  <si>
    <t>502175102</t>
  </si>
  <si>
    <t>38.070000</t>
  </si>
  <si>
    <t>11725.56</t>
  </si>
  <si>
    <t>53190C102</t>
  </si>
  <si>
    <t>38.870000</t>
  </si>
  <si>
    <t>22661.21</t>
  </si>
  <si>
    <t>40344.48</t>
  </si>
  <si>
    <t>2.60%</t>
  </si>
  <si>
    <t>58507V107</t>
  </si>
  <si>
    <t>36.050000</t>
  </si>
  <si>
    <t>16258.55</t>
  </si>
  <si>
    <t>G5960L103</t>
  </si>
  <si>
    <t>80.130000</t>
  </si>
  <si>
    <t>65225.82</t>
  </si>
  <si>
    <t>639027101</t>
  </si>
  <si>
    <t>20.860000</t>
  </si>
  <si>
    <t>4359.74</t>
  </si>
  <si>
    <t>1221.00000000</t>
  </si>
  <si>
    <t>25653.21</t>
  </si>
  <si>
    <t>635906100</t>
  </si>
  <si>
    <t>202.810000</t>
  </si>
  <si>
    <t>13385.46</t>
  </si>
  <si>
    <t>63633D104</t>
  </si>
  <si>
    <t>75.210000</t>
  </si>
  <si>
    <t>15718.89</t>
  </si>
  <si>
    <t>29415F104</t>
  </si>
  <si>
    <t>616.00000000</t>
  </si>
  <si>
    <t>26.040000</t>
  </si>
  <si>
    <t>16040.64</t>
  </si>
  <si>
    <t>681936100</t>
  </si>
  <si>
    <t>47.380000</t>
  </si>
  <si>
    <t>27622.54</t>
  </si>
  <si>
    <t>70805E109</t>
  </si>
  <si>
    <t>34.580000</t>
  </si>
  <si>
    <t>10650.64</t>
  </si>
  <si>
    <t>70614W100</t>
  </si>
  <si>
    <t>2222.00000000</t>
  </si>
  <si>
    <t>5.730000</t>
  </si>
  <si>
    <t>12732.06</t>
  </si>
  <si>
    <t>63548.10</t>
  </si>
  <si>
    <t>817565104</t>
  </si>
  <si>
    <t>74.040000</t>
  </si>
  <si>
    <t>21175.44</t>
  </si>
  <si>
    <t>140475203</t>
  </si>
  <si>
    <t>38.580000</t>
  </si>
  <si>
    <t>9336.36</t>
  </si>
  <si>
    <t>87918A105</t>
  </si>
  <si>
    <t>7.810000</t>
  </si>
  <si>
    <t>12199.22</t>
  </si>
  <si>
    <t>18556.56</t>
  </si>
  <si>
    <t>54565.72</t>
  </si>
  <si>
    <t>3.52%</t>
  </si>
  <si>
    <t>35140.05</t>
  </si>
  <si>
    <t>92686J106</t>
  </si>
  <si>
    <t>37.870000</t>
  </si>
  <si>
    <t>18329.08</t>
  </si>
  <si>
    <t>92276F100</t>
  </si>
  <si>
    <t>86.570000</t>
  </si>
  <si>
    <t>44756.69</t>
  </si>
  <si>
    <t>2.88%</t>
  </si>
  <si>
    <t>95040Q104</t>
  </si>
  <si>
    <t>352.00000000</t>
  </si>
  <si>
    <t>221.430000</t>
  </si>
  <si>
    <t>77943.36</t>
  </si>
  <si>
    <t>24906P109</t>
  </si>
  <si>
    <t>1089.00000000</t>
  </si>
  <si>
    <t>10.520000</t>
  </si>
  <si>
    <t>11456.28</t>
  </si>
  <si>
    <t>810.94000000</t>
  </si>
  <si>
    <t>810.94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</si>
</sst>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Data...4022107986</v>
        <stp/>
        <stp>BDP|15095798624468365278</stp>
        <tr r="AU527" s="1"/>
      </tp>
      <tp t="s">
        <v>#N/A Requesting Data...3290681987</v>
        <stp/>
        <stp>BDP|12251008683708908814</stp>
        <tr r="AU881" s="1"/>
      </tp>
      <tp t="s">
        <v>#N/A Requesting Data...4017868505</v>
        <stp/>
        <stp>BDP|13977459988234596188</stp>
        <tr r="H756" s="1"/>
      </tp>
      <tp t="s">
        <v>#N/A Requesting Data...2312539597</v>
        <stp/>
        <stp>BDP|18065904499121109310</stp>
        <tr r="AT515" s="1"/>
      </tp>
      <tp t="s">
        <v>#N/A Requesting Data...1541382904</v>
        <stp/>
        <stp>BDP|17077691393590193228</stp>
        <tr r="E1895" s="1"/>
      </tp>
      <tp t="s">
        <v>#N/A Requesting Data...1391720654</v>
        <stp/>
        <stp>BDP|17301255041033970870</stp>
        <tr r="AO1063" s="1"/>
      </tp>
      <tp t="s">
        <v>#N/A Requesting Data...3705362117</v>
        <stp/>
        <stp>BDP|14651411589972188062</stp>
        <tr r="AV263" s="1"/>
      </tp>
      <tp t="s">
        <v>#N/A Requesting Data...3486902659</v>
        <stp/>
        <stp>BDP|17073315156212722989</stp>
        <tr r="H839" s="1"/>
      </tp>
      <tp t="s">
        <v>#N/A Requesting Data...4042096819</v>
        <stp/>
        <stp>BDP|14586004186434378286</stp>
        <tr r="AU660" s="1"/>
      </tp>
      <tp t="s">
        <v>#N/A Requesting Data...3399124431</v>
        <stp/>
        <stp>BDP|14699981713513283578</stp>
        <tr r="J956" s="1"/>
      </tp>
      <tp t="s">
        <v>#N/A Requesting Data...1620906148</v>
        <stp/>
        <stp>BDP|11178804034806529684</stp>
        <tr r="J357" s="1"/>
      </tp>
      <tp t="s">
        <v>#N/A Requesting Data...1835738664</v>
        <stp/>
        <stp>BDP|15578546282546233496</stp>
        <tr r="J860" s="1"/>
      </tp>
      <tp t="s">
        <v>#N/A Requesting Data...3475522599</v>
        <stp/>
        <stp>BDP|10697395296811399113</stp>
        <tr r="AT845" s="1"/>
      </tp>
      <tp t="s">
        <v>#N/A Requesting Data...793135347</v>
        <stp/>
        <stp>BDP|11899479931288425413</stp>
        <tr r="AU528" s="1"/>
      </tp>
      <tp t="s">
        <v>#N/A Requesting Data...4263638015</v>
        <stp/>
        <stp>BDP|10926401249038356283</stp>
        <tr r="AV526" s="1"/>
      </tp>
      <tp t="s">
        <v>#N/A Requesting Data...3863934068</v>
        <stp/>
        <stp>BDP|12884116791586569669</stp>
        <tr r="AU223" s="1"/>
      </tp>
      <tp t="s">
        <v>#N/A Requesting Data...1480957493</v>
        <stp/>
        <stp>BDP|13104513765158703288</stp>
        <tr r="E1755" s="1"/>
      </tp>
      <tp t="s">
        <v>#N/A Requesting Data...4286945960</v>
        <stp/>
        <stp>BDP|10390881160072572647</stp>
        <tr r="AR774" s="1"/>
      </tp>
      <tp t="s">
        <v>#N/A Requesting Data...3594171558</v>
        <stp/>
        <stp>BDP|14836957962269181841</stp>
        <tr r="AT300" s="1"/>
      </tp>
      <tp t="s">
        <v>#N/A Requesting Data...3480983715</v>
        <stp/>
        <stp>BDP|18333039897208844351</stp>
        <tr r="AV875" s="1"/>
      </tp>
      <tp t="s">
        <v>#N/A Requesting Data...1359292054</v>
        <stp/>
        <stp>BDP|16913427996473594226</stp>
        <tr r="AV654" s="1"/>
      </tp>
      <tp t="s">
        <v>#N/A Requesting Data...2199422166</v>
        <stp/>
        <stp>BDP|17644315898735455211</stp>
        <tr r="AT464" s="1"/>
      </tp>
      <tp t="s">
        <v>#N/A Requesting Data...4253148632</v>
        <stp/>
        <stp>BDP|10996876550131330678</stp>
        <tr r="J114" s="1"/>
      </tp>
      <tp t="s">
        <v>#N/A Requesting Data...3239404488</v>
        <stp/>
        <stp>BDP|15896715151514479917</stp>
        <tr r="E219" s="1"/>
      </tp>
      <tp t="s">
        <v>#N/A Requesting Data...4256034492</v>
        <stp/>
        <stp>BDP|11839329907290957895</stp>
        <tr r="AT512" s="1"/>
      </tp>
      <tp t="s">
        <v>#N/A Requesting Data...290493628</v>
        <stp/>
        <stp>BDP|11924327221909457331</stp>
        <tr r="J1446" s="1"/>
      </tp>
      <tp t="s">
        <v>#N/A Requesting Data...2057360337</v>
        <stp/>
        <stp>BDP|16348968669762279133</stp>
        <tr r="J96" s="1"/>
      </tp>
      <tp t="s">
        <v>#N/A Requesting Data...2079894167</v>
        <stp/>
        <stp>BDP|18428055564976899208</stp>
        <tr r="J843" s="1"/>
      </tp>
      <tp t="s">
        <v>#N/A Requesting Data...2668232725</v>
        <stp/>
        <stp>BDP|10481247437219217281</stp>
        <tr r="AV695" s="1"/>
      </tp>
      <tp t="s">
        <v>#N/A Requesting Data...3411595127</v>
        <stp/>
        <stp>BDP|13128095051785443906</stp>
        <tr r="H1106" s="1"/>
        <tr r="H1574" s="1"/>
        <tr r="H58" s="1"/>
      </tp>
      <tp t="s">
        <v>#N/A Requesting Data...3367347365</v>
        <stp/>
        <stp>BDP|15161002268768037142</stp>
        <tr r="E1417" s="1"/>
      </tp>
      <tp t="s">
        <v>#N/A Requesting Data...1008561462</v>
        <stp/>
        <stp>BDP|14590542358937300975</stp>
        <tr r="AV494" s="1"/>
      </tp>
      <tp t="s">
        <v>#N/A Requesting Data...211509698</v>
        <stp/>
        <stp>BDP|16827868415342478735</stp>
        <tr r="AP6" s="1"/>
      </tp>
      <tp t="s">
        <v>#N/A Requesting Data...627900321</v>
        <stp/>
        <stp>BDP|14953063084602693413</stp>
        <tr r="H1505" s="1"/>
      </tp>
      <tp t="s">
        <v>#N/A Requesting Data...1735535183</v>
        <stp/>
        <stp>BDP|11393559449969375301</stp>
        <tr r="E76" s="1"/>
      </tp>
      <tp t="s">
        <v>#N/A Requesting Data...789495049</v>
        <stp/>
        <stp>BDP|10395250170999293687</stp>
        <tr r="E1382" s="1"/>
      </tp>
      <tp t="s">
        <v>#N/A Requesting Data...2473111059</v>
        <stp/>
        <stp>BDP|10681502561788939122</stp>
        <tr r="E1292" s="1"/>
        <tr r="E23" s="1"/>
        <tr r="E969" s="1"/>
      </tp>
      <tp t="s">
        <v>#N/A Requesting Data...1315336937</v>
        <stp/>
        <stp>BDP|10335810343185507387</stp>
        <tr r="AV606" s="1"/>
      </tp>
      <tp t="s">
        <v>#N/A Requesting Data...2961668849</v>
        <stp/>
        <stp>BDP|16762481013550863980</stp>
        <tr r="AT705" s="1"/>
      </tp>
      <tp t="s">
        <v>#N/A Requesting Data...1520357345</v>
        <stp/>
        <stp>BDP|15600896011273421562</stp>
        <tr r="AU661" s="1"/>
      </tp>
      <tp t="s">
        <v>#N/A Requesting Data...822296390</v>
        <stp/>
        <stp>BDP|17536725199665503674</stp>
        <tr r="H1312" s="1"/>
      </tp>
      <tp t="s">
        <v>#N/A Requesting Data...333398877</v>
        <stp/>
        <stp>BDP|12872920652976765203</stp>
        <tr r="H204" s="1"/>
      </tp>
      <tp t="s">
        <v>#N/A Requesting Data...2225365015</v>
        <stp/>
        <stp>BDP|15059724371256488984</stp>
        <tr r="AV848" s="1"/>
      </tp>
      <tp t="s">
        <v>#N/A Requesting Data...2089712141</v>
        <stp/>
        <stp>BDP|11361001041027405895</stp>
        <tr r="H982" s="1"/>
      </tp>
      <tp t="s">
        <v>#N/A Requesting Data...3997380834</v>
        <stp/>
        <stp>BDP|10812127990697396568</stp>
        <tr r="AT507" s="1"/>
      </tp>
      <tp t="s">
        <v>#N/A Requesting Data...2686638252</v>
        <stp/>
        <stp>BDP|15971423788586453583</stp>
        <tr r="AT836" s="1"/>
      </tp>
      <tp t="s">
        <v>#N/A Requesting Data...1220289974</v>
        <stp/>
        <stp>BDP|18328281983371506926</stp>
        <tr r="E540" s="1"/>
      </tp>
      <tp t="s">
        <v>#N/A Requesting Data...3182472936</v>
        <stp/>
        <stp>BDP|11219365328599371300</stp>
        <tr r="AV602" s="1"/>
      </tp>
      <tp t="s">
        <v>#N/A Requesting Data...3089269781</v>
        <stp/>
        <stp>BDP|14845371600859385430</stp>
        <tr r="J854" s="1"/>
      </tp>
      <tp t="s">
        <v>#N/A Requesting Data...3573840320</v>
        <stp/>
        <stp>BDP|17980977617505556024</stp>
        <tr r="AT317" s="1"/>
      </tp>
      <tp t="s">
        <v>#N/A Requesting Data...931407666</v>
        <stp/>
        <stp>BDP|13720927519615197436</stp>
        <tr r="J1023" s="1"/>
      </tp>
      <tp t="s">
        <v>#N/A Requesting Data...4288994885</v>
        <stp/>
        <stp>BDP|16561981049420885128</stp>
        <tr r="AR1994" s="1"/>
      </tp>
      <tp t="s">
        <v>#N/A Requesting Data...1157912217</v>
        <stp/>
        <stp>BDP|17263099114334663879</stp>
        <tr r="J430" s="1"/>
      </tp>
      <tp t="s">
        <v>#N/A Requesting Data...2325303191</v>
        <stp/>
        <stp>BDP|16888508611149162167</stp>
        <tr r="H1090" s="1"/>
        <tr r="H1137" s="1"/>
        <tr r="H1639" s="1"/>
        <tr r="H1939" s="1"/>
      </tp>
      <tp t="s">
        <v>#N/A Requesting Data...1271388961</v>
        <stp/>
        <stp>BDP|11458095923938397130</stp>
        <tr r="H2100" s="1"/>
      </tp>
      <tp t="s">
        <v>#N/A Requesting Data...2934390304</v>
        <stp/>
        <stp>BDP|13553616572338079080</stp>
        <tr r="H1508" s="1"/>
      </tp>
      <tp t="s">
        <v>#N/A Requesting Data...3907519504</v>
        <stp/>
        <stp>BDP|13204889510849320974</stp>
        <tr r="AU525" s="1"/>
      </tp>
      <tp t="s">
        <v>#N/A Requesting Data...2144702303</v>
        <stp/>
        <stp>BDP|12498180515100906813</stp>
        <tr r="J2060" s="1"/>
      </tp>
      <tp t="s">
        <v>#N/A Requesting Data...3676274584</v>
        <stp/>
        <stp>BDP|10196917864353270673</stp>
        <tr r="J454" s="1"/>
      </tp>
      <tp t="s">
        <v>#N/A Requesting Data...2378928782</v>
        <stp/>
        <stp>BDP|17396976227776534072</stp>
        <tr r="J1318" s="1"/>
      </tp>
      <tp t="s">
        <v>#N/A Requesting Data...3230325083</v>
        <stp/>
        <stp>BDP|16241850456815540457</stp>
        <tr r="H1340" s="1"/>
        <tr r="H1817" s="1"/>
      </tp>
      <tp t="s">
        <v>#N/A Requesting Data...3832678033</v>
        <stp/>
        <stp>BDP|16795171843041469860</stp>
        <tr r="H1524" s="1"/>
      </tp>
      <tp t="s">
        <v>#N/A Requesting Data...4249270488</v>
        <stp/>
        <stp>BDP|10896987853373752554</stp>
        <tr r="J543" s="1"/>
      </tp>
      <tp t="s">
        <v>#N/A Requesting Data...1860118393</v>
        <stp/>
        <stp>BDP|11021672186010035500</stp>
        <tr r="H915" s="1"/>
      </tp>
      <tp t="s">
        <v>#N/A Requesting Data...1645124046</v>
        <stp/>
        <stp>BDP|15100842145856629578</stp>
        <tr r="AU692" s="1"/>
      </tp>
      <tp t="s">
        <v>#N/A Requesting Data...1386313062</v>
        <stp/>
        <stp>BDP|11475221002688647133</stp>
        <tr r="H1509" s="1"/>
      </tp>
      <tp t="s">
        <v>#N/A Requesting Data...1501107146</v>
        <stp/>
        <stp>BDP|12092093619141644878</stp>
        <tr r="H2077" s="1"/>
      </tp>
      <tp t="s">
        <v>#N/A Requesting Data...3079034780</v>
        <stp/>
        <stp>BDP|18327151708056621597</stp>
        <tr r="E160" s="1"/>
      </tp>
      <tp t="s">
        <v>#N/A Requesting Data...268807698</v>
        <stp/>
        <stp>BDP|14724125008446967950</stp>
        <tr r="H679" s="1"/>
      </tp>
      <tp t="s">
        <v>#N/A Requesting Data...1908788911</v>
        <stp/>
        <stp>BDP|10169949256070162623</stp>
        <tr r="E1229" s="1"/>
      </tp>
      <tp t="s">
        <v>#N/A Requesting Data...2381869756</v>
        <stp/>
        <stp>BDP|15410929873497645630</stp>
        <tr r="E1289" s="1"/>
      </tp>
      <tp t="s">
        <v>#N/A Requesting Data...1504676698</v>
        <stp/>
        <stp>BDP|18072268371063166461</stp>
        <tr r="AU627" s="1"/>
      </tp>
      <tp t="s">
        <v>#N/A Requesting Data...2064220837</v>
        <stp/>
        <stp>BDP|11115869518711970367</stp>
        <tr r="AV666" s="1"/>
      </tp>
      <tp t="s">
        <v>#N/A Requesting Data...1413458989</v>
        <stp/>
        <stp>BDP|16849128017585407994</stp>
        <tr r="E1748" s="1"/>
      </tp>
      <tp t="s">
        <v>#N/A Requesting Data...2111747820</v>
        <stp/>
        <stp>BDP|16632130496060579467</stp>
        <tr r="J1571" s="1"/>
      </tp>
      <tp t="s">
        <v>#N/A Requesting Data...1893993062</v>
        <stp/>
        <stp>BDP|14851870736310002595</stp>
        <tr r="H595" s="1"/>
      </tp>
      <tp t="s">
        <v>#N/A Requesting Data...3823806371</v>
        <stp/>
        <stp>BDP|18093994245847477883</stp>
        <tr r="J1555" s="1"/>
      </tp>
      <tp t="s">
        <v>#N/A Requesting Data...356601661</v>
        <stp/>
        <stp>BDP|13160153719229813051</stp>
        <tr r="H2060" s="1"/>
      </tp>
      <tp t="s">
        <v>#N/A Requesting Data...1098777291</v>
        <stp/>
        <stp>BDP|15354796299197235617</stp>
        <tr r="E1683" s="1"/>
      </tp>
      <tp t="s">
        <v>#N/A Requesting Data...3340444742</v>
        <stp/>
        <stp>BDP|15014044790615067340</stp>
        <tr r="AV851" s="1"/>
      </tp>
      <tp t="s">
        <v>#N/A Requesting Data...921555506</v>
        <stp/>
        <stp>BDP|18026054515134570769</stp>
        <tr r="E1766" s="1"/>
      </tp>
      <tp t="s">
        <v>#N/A Requesting Data...3783523194</v>
        <stp/>
        <stp>BDP|12186261437960797947</stp>
        <tr r="J161" s="1"/>
      </tp>
      <tp t="s">
        <v>#N/A Requesting Data...1971137615</v>
        <stp/>
        <stp>BDP|13523016803900621922</stp>
        <tr r="H1568" s="1"/>
        <tr r="H57" s="1"/>
      </tp>
      <tp t="s">
        <v>#N/A Requesting Data...2504626358</v>
        <stp/>
        <stp>BDP|13121836217840523032</stp>
        <tr r="E1068" s="1"/>
        <tr r="E1109" s="1"/>
        <tr r="E1577" s="1"/>
        <tr r="E171" s="1"/>
      </tp>
      <tp t="s">
        <v>#N/A Requesting Data...2367216227</v>
        <stp/>
        <stp>BDP|12378871762631275774</stp>
        <tr r="AU717" s="1"/>
      </tp>
      <tp t="s">
        <v>#N/A Requesting Data...1582808169</v>
        <stp/>
        <stp>BDP|14439579101932706962</stp>
        <tr r="E314" s="1"/>
      </tp>
      <tp t="s">
        <v>#N/A Requesting Data...1542823115</v>
        <stp/>
        <stp>BDP|13175669391007689133</stp>
        <tr r="E745" s="1"/>
      </tp>
      <tp t="s">
        <v>#N/A Requesting Data...2823684910</v>
        <stp/>
        <stp>BDP|14837045191442854562</stp>
        <tr r="H891" s="1"/>
      </tp>
      <tp t="s">
        <v>#N/A Requesting Data...565799161</v>
        <stp/>
        <stp>BDP|18245195262643851627</stp>
        <tr r="J1775" s="1"/>
      </tp>
      <tp t="s">
        <v>#N/A Requesting Data...1756914218</v>
        <stp/>
        <stp>BDP|17914647348029226640</stp>
        <tr r="J458" s="1"/>
      </tp>
      <tp t="s">
        <v>#N/A Requesting Data...3044737313</v>
        <stp/>
        <stp>BDP|14189645380024674417</stp>
        <tr r="E99" s="1"/>
      </tp>
      <tp t="s">
        <v>#N/A Requesting Data...983451085</v>
        <stp/>
        <stp>BDP|14485670961589585758</stp>
        <tr r="H434" s="1"/>
      </tp>
      <tp t="s">
        <v>#N/A Requesting Data...317550387</v>
        <stp/>
        <stp>BDP|14694958527663488629</stp>
        <tr r="J1228" s="1"/>
      </tp>
      <tp t="s">
        <v>#N/A Requesting Data...911545895</v>
        <stp/>
        <stp>BDP|16352557153794265855</stp>
        <tr r="H624" s="1"/>
      </tp>
      <tp t="s">
        <v>#N/A Requesting Data...3342743774</v>
        <stp/>
        <stp>BDP|11367941103242726012</stp>
        <tr r="E1539" s="1"/>
      </tp>
      <tp t="s">
        <v>#N/A Requesting Data...3245607393</v>
        <stp/>
        <stp>BDP|17301074904518333569</stp>
        <tr r="H474" s="1"/>
      </tp>
      <tp t="s">
        <v>#N/A Requesting Data...2388748964</v>
        <stp/>
        <stp>BDP|10153888799452757924</stp>
        <tr r="E207" s="1"/>
      </tp>
      <tp t="s">
        <v>#N/A Requesting Data...1489935119</v>
        <stp/>
        <stp>BDP|12235671120879773575</stp>
        <tr r="H1530" s="1"/>
      </tp>
      <tp t="s">
        <v>#N/A Requesting Data...3043395942</v>
        <stp/>
        <stp>BDP|10585679486080096417</stp>
        <tr r="E509" s="1"/>
      </tp>
      <tp t="s">
        <v>#N/A Requesting Data...573934877</v>
        <stp/>
        <stp>BDP|17510184064333484981</stp>
        <tr r="AU738" s="1"/>
      </tp>
      <tp t="s">
        <v>#N/A Requesting Data...2278639155</v>
        <stp/>
        <stp>BDP|11154699499614667021</stp>
        <tr r="H1084" s="1"/>
        <tr r="H1442" s="1"/>
      </tp>
      <tp t="s">
        <v>#N/A Requesting Data...499433235</v>
        <stp/>
        <stp>BDP|12227243973548838584</stp>
        <tr r="J585" s="1"/>
      </tp>
      <tp t="s">
        <v>#N/A Requesting Data...3914229470</v>
        <stp/>
        <stp>BDP|14920973065731721096</stp>
        <tr r="E310" s="1"/>
      </tp>
      <tp t="s">
        <v>#N/A Requesting Data...3959360012</v>
        <stp/>
        <stp>BDP|16052367827455276861</stp>
        <tr r="J319" s="1"/>
      </tp>
      <tp t="s">
        <v>#N/A Requesting Data...2343217462</v>
        <stp/>
        <stp>BDP|13398304621941769902</stp>
        <tr r="E886" s="1"/>
      </tp>
      <tp t="s">
        <v>#N/A Requesting Data...2265720919</v>
        <stp/>
        <stp>BDP|10129971428095936420</stp>
        <tr r="E2093" s="1"/>
      </tp>
      <tp t="s">
        <v>#N/A Requesting Data...3162532298</v>
        <stp/>
        <stp>BDP|10019480995123113496</stp>
        <tr r="E1098" s="1"/>
        <tr r="E1985" s="1"/>
      </tp>
      <tp t="s">
        <v>#N/A Requesting Data...2432188538</v>
        <stp/>
        <stp>BDP|10734834949474169290</stp>
        <tr r="J207" s="1"/>
      </tp>
      <tp t="s">
        <v>#N/A Requesting Data...3399555623</v>
        <stp/>
        <stp>BDP|17060064194184278050</stp>
        <tr r="H1402" s="1"/>
      </tp>
      <tp t="s">
        <v>#N/A Requesting Data...1973985001</v>
        <stp/>
        <stp>BDP|16905533649024418938</stp>
        <tr r="J580" s="1"/>
      </tp>
      <tp t="s">
        <v>#N/A Requesting Data...1098192177</v>
        <stp/>
        <stp>BDP|14186732977487063912</stp>
        <tr r="AV564" s="1"/>
      </tp>
      <tp t="s">
        <v>#N/A Requesting Data...2340928481</v>
        <stp/>
        <stp>BDP|10794350175657622955</stp>
        <tr r="J754" s="1"/>
      </tp>
      <tp t="s">
        <v>#N/A Requesting Data...4120340024</v>
        <stp/>
        <stp>BDP|16774028755290709930</stp>
        <tr r="J449" s="1"/>
      </tp>
      <tp t="s">
        <v>#N/A Requesting Data...362536151</v>
        <stp/>
        <stp>BDP|12214398738680673819</stp>
        <tr r="AV294" s="1"/>
      </tp>
      <tp t="s">
        <v>#N/A Requesting Data...340993891</v>
        <stp/>
        <stp>BDP|13772828731282432049</stp>
        <tr r="H1782" s="1"/>
      </tp>
      <tp t="s">
        <v>#N/A Requesting Data...4006025489</v>
        <stp/>
        <stp>BDP|13073606488013415487</stp>
        <tr r="J1533" s="1"/>
      </tp>
      <tp t="s">
        <v>#N/A Requesting Data...917469542</v>
        <stp/>
        <stp>BDP|14992250649011467959</stp>
        <tr r="E1863" s="1"/>
        <tr r="E2071" s="1"/>
      </tp>
      <tp t="s">
        <v>#N/A Requesting Data...3737974847</v>
        <stp/>
        <stp>BDP|17230639371208354478</stp>
        <tr r="AU368" s="1"/>
      </tp>
      <tp t="s">
        <v>#N/A Requesting Data...2910651491</v>
        <stp/>
        <stp>BDP|12640462834946515965</stp>
        <tr r="H1027" s="1"/>
      </tp>
      <tp t="s">
        <v>#N/A Requesting Data...1309204178</v>
        <stp/>
        <stp>BDP|12267474887555048159</stp>
        <tr r="H1160" s="1"/>
        <tr r="H1584" s="1"/>
        <tr r="H231" s="1"/>
      </tp>
      <tp t="s">
        <v>#N/A Requesting Data...465417814</v>
        <stp/>
        <stp>BDP|12873330066189989434</stp>
        <tr r="J286" s="1"/>
      </tp>
      <tp t="s">
        <v>#N/A Requesting Data...689098979</v>
        <stp/>
        <stp>BDP|10084219157975509841</stp>
        <tr r="AV393" s="1"/>
      </tp>
      <tp t="s">
        <v>#N/A Requesting Data...4077250272</v>
        <stp/>
        <stp>BDP|12985087821638345245</stp>
        <tr r="E675" s="1"/>
      </tp>
      <tp t="s">
        <v>#N/A Requesting Data...1231932433</v>
        <stp/>
        <stp>BDP|13677932344422405629</stp>
        <tr r="E1197" s="1"/>
        <tr r="E151" s="1"/>
      </tp>
      <tp t="s">
        <v>#N/A Requesting Data...2871418316</v>
        <stp/>
        <stp>BDP|10093309173927192958</stp>
        <tr r="H307" s="1"/>
      </tp>
      <tp t="s">
        <v>#N/A Requesting Data...3524218667</v>
        <stp/>
        <stp>BDP|16033880801567827365</stp>
        <tr r="J742" s="1"/>
      </tp>
      <tp t="s">
        <v>#N/A Requesting Data...2056823753</v>
        <stp/>
        <stp>BDP|15427056760040373952</stp>
        <tr r="E1185" s="1"/>
      </tp>
      <tp t="s">
        <v>#N/A Requesting Data...1048394192</v>
        <stp/>
        <stp>BDP|15060708995689513878</stp>
        <tr r="J1281" s="1"/>
      </tp>
      <tp t="s">
        <v>#N/A Requesting Data...1761032500</v>
        <stp/>
        <stp>BDP|14430724152214509862</stp>
        <tr r="E10" s="1"/>
      </tp>
      <tp t="s">
        <v>#N/A Requesting Data...3822919742</v>
        <stp/>
        <stp>BDP|17248589898497597606</stp>
        <tr r="E641" s="1"/>
      </tp>
      <tp t="s">
        <v>#N/A Requesting Data...4282828790</v>
        <stp/>
        <stp>BDP|12711751962490117963</stp>
        <tr r="H603" s="1"/>
      </tp>
      <tp t="s">
        <v>#N/A Requesting Data...1728914657</v>
        <stp/>
        <stp>BDP|16567267985082140403</stp>
        <tr r="J1244" s="1"/>
      </tp>
      <tp t="s">
        <v>#N/A Requesting Data...1835987613</v>
        <stp/>
        <stp>BDP|16608878407160087414</stp>
        <tr r="J1141" s="1"/>
        <tr r="J1944" s="1"/>
        <tr r="J946" s="1"/>
      </tp>
      <tp t="s">
        <v>#N/A Requesting Data...1610781681</v>
        <stp/>
        <stp>BDP|15405895939411368503</stp>
        <tr r="J1518" s="1"/>
      </tp>
      <tp t="s">
        <v>#N/A Requesting Data...2799590747</v>
        <stp/>
        <stp>BDP|13282862712170387038</stp>
        <tr r="AU355" s="1"/>
      </tp>
      <tp t="s">
        <v>#N/A Requesting Data...2204649301</v>
        <stp/>
        <stp>BDP|15916950072298101999</stp>
        <tr r="J973" s="1"/>
      </tp>
      <tp t="s">
        <v>#N/A Requesting Data...2291556040</v>
        <stp/>
        <stp>BDP|13399620136185917983</stp>
        <tr r="E398" s="1"/>
      </tp>
      <tp t="s">
        <v>#N/A Requesting Data...3028871967</v>
        <stp/>
        <stp>BDP|18331459467692629217</stp>
        <tr r="AV219" s="1"/>
      </tp>
      <tp t="s">
        <v>#N/A Requesting Data...3322391091</v>
        <stp/>
        <stp>BDP|13812869116578608883</stp>
        <tr r="J1853" s="1"/>
        <tr r="J20" s="1"/>
        <tr r="J2064" s="1"/>
      </tp>
      <tp t="s">
        <v>#N/A Requesting Data...3291070203</v>
        <stp/>
        <stp>BDP|11689988734852953353</stp>
        <tr r="J239" s="1"/>
      </tp>
      <tp t="s">
        <v>#N/A Requesting Data...1729878308</v>
        <stp/>
        <stp>BDP|10047645504804332857</stp>
        <tr r="J1211" s="1"/>
      </tp>
      <tp t="s">
        <v>#N/A Requesting Data...1847934904</v>
        <stp/>
        <stp>BDP|17959510452469856448</stp>
        <tr r="J398" s="1"/>
      </tp>
      <tp t="s">
        <v>#N/A Requesting Data...3464864653</v>
        <stp/>
        <stp>BDP|16660710684480270376</stp>
        <tr r="J374" s="1"/>
      </tp>
      <tp t="s">
        <v>#N/A Requesting Data...1964498211</v>
        <stp/>
        <stp>BDP|15047315395373628642</stp>
        <tr r="E628" s="1"/>
      </tp>
      <tp t="s">
        <v>#N/A Requesting Data...2422880895</v>
        <stp/>
        <stp>BDP|10692994943511306699</stp>
        <tr r="J1941" s="1"/>
      </tp>
      <tp t="s">
        <v>#N/A Requesting Data...3250124250</v>
        <stp/>
        <stp>BDP|10773118614298250269</stp>
        <tr r="AR2006" s="1"/>
      </tp>
      <tp t="s">
        <v>#N/A Requesting Data...1508396933</v>
        <stp/>
        <stp>BDP|17485645225241065839</stp>
        <tr r="H1261" s="1"/>
      </tp>
      <tp t="s">
        <v>#N/A Requesting Data...363588213</v>
        <stp/>
        <stp>BDP|17003964993254259914</stp>
        <tr r="E1687" s="1"/>
      </tp>
      <tp t="s">
        <v>#N/A Requesting Data...1165435066</v>
        <stp/>
        <stp>BDP|12347178173319106708</stp>
        <tr r="AR773" s="1"/>
      </tp>
      <tp t="s">
        <v>#N/A Requesting Data...2710404958</v>
        <stp/>
        <stp>BDP|17381135962123104958</stp>
        <tr r="J115" s="1"/>
      </tp>
      <tp t="s">
        <v>#N/A Requesting Data...3644606961</v>
        <stp/>
        <stp>BDP|13145407569783437959</stp>
        <tr r="H69" s="1"/>
      </tp>
      <tp t="s">
        <v>#N/A Requesting Data...528601208</v>
        <stp/>
        <stp>BDP|15383828271314989507</stp>
        <tr r="E1112" s="1"/>
        <tr r="E1486" s="1"/>
        <tr r="E1582" s="1"/>
      </tp>
      <tp t="s">
        <v>#N/A Requesting Data...3777372982</v>
        <stp/>
        <stp>BDP|17619693193561214276</stp>
        <tr r="J1076" s="1"/>
      </tp>
      <tp t="s">
        <v>#N/A Requesting Data...2576328980</v>
        <stp/>
        <stp>BDP|13316495654221575826</stp>
        <tr r="AU697" s="1"/>
      </tp>
      <tp t="s">
        <v>#N/A Requesting Data...2451561498</v>
        <stp/>
        <stp>BDP|12994678846722722961</stp>
        <tr r="J1182" s="1"/>
      </tp>
      <tp t="s">
        <v>#N/A Requesting Data...1129492163</v>
        <stp/>
        <stp>BDP|16804765009389950368</stp>
        <tr r="H1426" s="1"/>
      </tp>
      <tp t="s">
        <v>#N/A Requesting Data...3995762218</v>
        <stp/>
        <stp>BDP|11357348528388361343</stp>
        <tr r="J1785" s="1"/>
      </tp>
      <tp t="s">
        <v>#N/A Requesting Data...3359502351</v>
        <stp/>
        <stp>BDP|15285143878070235842</stp>
        <tr r="J1067" s="1"/>
      </tp>
      <tp t="s">
        <v>#N/A Requesting Data...2153769624</v>
        <stp/>
        <stp>BDP|10640486596896977094</stp>
        <tr r="H1136" s="1"/>
      </tp>
      <tp t="s">
        <v>#N/A Requesting Data...1715390100</v>
        <stp/>
        <stp>BDP|17860636701363183932</stp>
        <tr r="J22" s="1"/>
      </tp>
      <tp t="s">
        <v>#N/A Requesting Data...2911264829</v>
        <stp/>
        <stp>BDP|10964919318292115194</stp>
        <tr r="J628" s="1"/>
      </tp>
      <tp t="s">
        <v>#N/A Requesting Data...3993711740</v>
        <stp/>
        <stp>BDP|12959650072039632108</stp>
        <tr r="J123" s="1"/>
      </tp>
      <tp t="s">
        <v>#N/A Requesting Data...882012067</v>
        <stp/>
        <stp>BDP|13189575580477680283</stp>
        <tr r="J1113" s="1"/>
      </tp>
      <tp t="s">
        <v>#N/A Requesting Data...4171749566</v>
        <stp/>
        <stp>BDP|13089848371140449797</stp>
        <tr r="AV255" s="1"/>
      </tp>
      <tp t="s">
        <v>#N/A Requesting Data...2255838092</v>
        <stp/>
        <stp>BDP|16931618120241034808</stp>
        <tr r="J1823" s="1"/>
      </tp>
      <tp t="s">
        <v>#N/A Requesting Data...3864856506</v>
        <stp/>
        <stp>BDP|15028148465381879818</stp>
        <tr r="AT374" s="1"/>
      </tp>
      <tp t="s">
        <v>#N/A Requesting Data...2452348914</v>
        <stp/>
        <stp>BDP|14985109621199277522</stp>
        <tr r="E1608" s="1"/>
        <tr r="E236" s="1"/>
        <tr r="E73" s="1"/>
        <tr r="E783" s="1"/>
        <tr r="E800" s="1"/>
      </tp>
      <tp t="s">
        <v>#N/A Requesting Data...3944245212</v>
        <stp/>
        <stp>BDP|13860910228356149585</stp>
        <tr r="AT463" s="1"/>
      </tp>
      <tp t="s">
        <v>#N/A Requesting Data...3784332571</v>
        <stp/>
        <stp>BDP|16516328111906869962</stp>
        <tr r="AV330" s="1"/>
      </tp>
      <tp t="s">
        <v>#N/A Requesting Data...3864955971</v>
        <stp/>
        <stp>BDP|17308175428756628924</stp>
        <tr r="J1848" s="1"/>
      </tp>
      <tp t="s">
        <v>#N/A Requesting Data...1751439252</v>
        <stp/>
        <stp>BDP|11256839559033420474</stp>
        <tr r="AV574" s="1"/>
      </tp>
      <tp t="s">
        <v>#N/A Requesting Data...3212294293</v>
        <stp/>
        <stp>BDP|14090511649657418976</stp>
        <tr r="H75" s="1"/>
      </tp>
      <tp t="s">
        <v>#N/A Requesting Data...760225443</v>
        <stp/>
        <stp>BDP|15499612229142627817</stp>
        <tr r="H519" s="1"/>
      </tp>
      <tp t="s">
        <v>#N/A Requesting Data...3387744117</v>
        <stp/>
        <stp>BDP|11352058459396329973</stp>
        <tr r="H325" s="1"/>
      </tp>
      <tp t="s">
        <v>#N/A Requesting Data...2505506679</v>
        <stp/>
        <stp>BDP|12109691528429862430</stp>
        <tr r="J963" s="1"/>
      </tp>
      <tp t="s">
        <v>#N/A Requesting Data...2434625088</v>
        <stp/>
        <stp>BDP|11599131141496994957</stp>
        <tr r="AV895" s="1"/>
      </tp>
      <tp t="s">
        <v>#N/A Requesting Data...4076100840</v>
        <stp/>
        <stp>BDP|10603212683012612391</stp>
        <tr r="J867" s="1"/>
      </tp>
      <tp t="s">
        <v>#N/A Requesting Data...1323172962</v>
        <stp/>
        <stp>BDP|16961698668645032839</stp>
        <tr r="AV466" s="1"/>
      </tp>
      <tp t="s">
        <v>#N/A Requesting Data...4015773679</v>
        <stp/>
        <stp>BDP|11706857554391846650</stp>
        <tr r="AP2003" s="1"/>
      </tp>
      <tp t="s">
        <v>#N/A Requesting Data...2467759749</v>
        <stp/>
        <stp>BDP|12179872835006007482</stp>
        <tr r="J915" s="1"/>
      </tp>
      <tp t="s">
        <v>#N/A Requesting Data...730226141</v>
        <stp/>
        <stp>BDP|13821971441493766624</stp>
        <tr r="J566" s="1"/>
      </tp>
      <tp t="s">
        <v>#N/A Requesting Data...1837902632</v>
        <stp/>
        <stp>BDP|11433407811787944873</stp>
        <tr r="E1834" s="1"/>
      </tp>
      <tp t="s">
        <v>#N/A Requesting Data...2872062056</v>
        <stp/>
        <stp>BDP|11608313792955977566</stp>
        <tr r="J272" s="1"/>
      </tp>
      <tp t="s">
        <v>#N/A Requesting Data...1168912796</v>
        <stp/>
        <stp>BDP|15302297959269878018</stp>
        <tr r="E388" s="1"/>
      </tp>
      <tp t="s">
        <v>#N/A Requesting Data...4061432153</v>
        <stp/>
        <stp>BDP|15899042836285419842</stp>
        <tr r="AU724" s="1"/>
      </tp>
      <tp t="s">
        <v>#N/A Requesting Data...3039368900</v>
        <stp/>
        <stp>BDP|10468492217099752779</stp>
        <tr r="AV430" s="1"/>
      </tp>
      <tp t="s">
        <v>#N/A Requesting Data...1181753986</v>
        <stp/>
        <stp>BDP|12390999767450298652</stp>
        <tr r="AU348" s="1"/>
      </tp>
      <tp t="s">
        <v>#N/A Requesting Data...853407911</v>
        <stp/>
        <stp>BDP|10459983996472351938</stp>
        <tr r="J1778" s="1"/>
      </tp>
      <tp t="s">
        <v>#N/A Requesting Data...3232794456</v>
        <stp/>
        <stp>BDP|16146088281430235505</stp>
        <tr r="E880" s="1"/>
      </tp>
      <tp t="s">
        <v>#N/A Requesting Data...3718756888</v>
        <stp/>
        <stp>BDP|11911807601486490466</stp>
        <tr r="H627" s="1"/>
      </tp>
      <tp t="s">
        <v>#N/A Requesting Data...3021242096</v>
        <stp/>
        <stp>BDP|15481327348168637120</stp>
        <tr r="J685" s="1"/>
      </tp>
      <tp t="s">
        <v>#N/A Requesting Data...1707789174</v>
        <stp/>
        <stp>BDP|10850639177673759913</stp>
        <tr r="AU669" s="1"/>
      </tp>
      <tp t="s">
        <v>#N/A Requesting Data...3965838684</v>
        <stp/>
        <stp>BDP|13243199705091790835</stp>
        <tr r="AT419" s="1"/>
      </tp>
      <tp t="s">
        <v>#N/A Requesting Data...1456384479</v>
        <stp/>
        <stp>BDP|11507248468036197827</stp>
        <tr r="AU618" s="1"/>
      </tp>
      <tp t="s">
        <v>#N/A Requesting Data...700658523</v>
        <stp/>
        <stp>BDP|12741069202719152089</stp>
        <tr r="E16" s="1"/>
        <tr r="E172" s="1"/>
      </tp>
      <tp t="s">
        <v>#N/A Requesting Data...2143704961</v>
        <stp/>
        <stp>BDP|15019880865153129366</stp>
        <tr r="H262" s="1"/>
      </tp>
      <tp t="s">
        <v>#N/A Requesting Data...1382920940</v>
        <stp/>
        <stp>BDP|18021186031843640225</stp>
        <tr r="H583" s="1"/>
      </tp>
      <tp t="s">
        <v>#N/A Requesting Data...3075215503</v>
        <stp/>
        <stp>BDP|13770282501952193820</stp>
        <tr r="H521" s="1"/>
      </tp>
      <tp t="s">
        <v>#N/A Requesting Data...2590755401</v>
        <stp/>
        <stp>BDP|13225500549060663900</stp>
        <tr r="H1512" s="1"/>
      </tp>
      <tp t="s">
        <v>#N/A Requesting Data...3942072298</v>
        <stp/>
        <stp>BDP|17064720487405801618</stp>
        <tr r="E601" s="1"/>
      </tp>
      <tp t="s">
        <v>#N/A Requesting Data...1777816345</v>
        <stp/>
        <stp>BDP|12399602737609014585</stp>
        <tr r="H574" s="1"/>
      </tp>
      <tp t="s">
        <v>#N/A Requesting Data...3525611833</v>
        <stp/>
        <stp>BDP|18024084556890336613</stp>
        <tr r="E1117" s="1"/>
        <tr r="E1590" s="1"/>
        <tr r="E65" s="1"/>
      </tp>
      <tp t="s">
        <v>#N/A Requesting Data...2768093590</v>
        <stp/>
        <stp>BDP|17777119580384306190</stp>
        <tr r="AU704" s="1"/>
      </tp>
      <tp t="s">
        <v>#N/A Requesting Data...2415620683</v>
        <stp/>
        <stp>BDP|14497130774511949865</stp>
        <tr r="AV546" s="1"/>
      </tp>
      <tp t="s">
        <v>#N/A Requesting Data...4088785361</v>
        <stp/>
        <stp>BDP|10871312466447007933</stp>
        <tr r="E1077" s="1"/>
      </tp>
      <tp t="s">
        <v>#N/A Requesting Data...3927928732</v>
        <stp/>
        <stp>BDP|11000885013663474033</stp>
        <tr r="E53" s="1"/>
      </tp>
      <tp t="s">
        <v>#N/A Requesting Data...1817444782</v>
        <stp/>
        <stp>BDP|14947370176319061244</stp>
        <tr r="H1401" s="1"/>
        <tr r="H1441" s="1"/>
      </tp>
      <tp t="s">
        <v>#N/A Requesting Data...1731466271</v>
        <stp/>
        <stp>BDP|15558191917067050975</stp>
        <tr r="H611" s="1"/>
      </tp>
      <tp t="s">
        <v>#N/A Requesting Data...2259793337</v>
        <stp/>
        <stp>BDP|14893372774169701231</stp>
        <tr r="E990" s="1"/>
      </tp>
      <tp t="s">
        <v>#N/A Requesting Data...1766400684</v>
        <stp/>
        <stp>BDP|12466080632453617979</stp>
        <tr r="AO2027" s="1"/>
      </tp>
      <tp t="s">
        <v>#N/A Requesting Data...4132300393</v>
        <stp/>
        <stp>BDP|15234569076059817553</stp>
        <tr r="H676" s="1"/>
      </tp>
      <tp t="s">
        <v>#N/A Requesting Data...2404994116</v>
        <stp/>
        <stp>BDP|15852530177958005433</stp>
        <tr r="H490" s="1"/>
      </tp>
      <tp t="s">
        <v>#N/A Requesting Data...2651800687</v>
        <stp/>
        <stp>BDP|15497300638608364604</stp>
        <tr r="AT752" s="1"/>
      </tp>
      <tp t="s">
        <v>#N/A Requesting Data...4067718982</v>
        <stp/>
        <stp>BDP|18249969780823830135</stp>
        <tr r="E1900" s="1"/>
      </tp>
      <tp t="s">
        <v>#N/A Requesting Data...3923195052</v>
        <stp/>
        <stp>BDP|18157431459497673525</stp>
        <tr r="E217" s="1"/>
        <tr r="E275" s="1"/>
      </tp>
      <tp t="s">
        <v>#N/A Requesting Data...4265807994</v>
        <stp/>
        <stp>BDP|11123177654026872853</stp>
        <tr r="AT905" s="1"/>
      </tp>
      <tp t="s">
        <v>#N/A Requesting Data...3222914997</v>
        <stp/>
        <stp>BDP|14577315435757716891</stp>
        <tr r="E1890" s="1"/>
      </tp>
      <tp t="s">
        <v>#N/A Requesting Data...1980239224</v>
        <stp/>
        <stp>BDP|16996512223583311964</stp>
        <tr r="AV388" s="1"/>
      </tp>
      <tp t="s">
        <v>#N/A Requesting Data...2177580036</v>
        <stp/>
        <stp>BDP|12711083092941150124</stp>
        <tr r="J443" s="1"/>
      </tp>
      <tp t="s">
        <v>#N/A Requesting Data...2747334270</v>
        <stp/>
        <stp>BDP|15838867747174044678</stp>
        <tr r="E639" s="1"/>
      </tp>
      <tp t="s">
        <v>#N/A Requesting Data...3530588176</v>
        <stp/>
        <stp>BDP|17358797687851500262</stp>
        <tr r="E1524" s="1"/>
      </tp>
      <tp t="s">
        <v>#N/A Requesting Data...1549260810</v>
        <stp/>
        <stp>BDP|12571187971267053828</stp>
        <tr r="E479" s="1"/>
      </tp>
      <tp t="s">
        <v>#N/A Requesting Data...2312526168</v>
        <stp/>
        <stp>BDP|12997012086169969892</stp>
        <tr r="H841" s="1"/>
      </tp>
      <tp t="s">
        <v>#N/A Requesting Data...4156892309</v>
        <stp/>
        <stp>BDP|14308954079831732062</stp>
        <tr r="AT598" s="1"/>
      </tp>
      <tp t="s">
        <v>#N/A Requesting Data...510090004</v>
        <stp/>
        <stp>BDP|18217830365684916937</stp>
        <tr r="J984" s="1"/>
      </tp>
      <tp t="s">
        <v>#N/A Requesting Data...2326477230</v>
        <stp/>
        <stp>BDP|16684358529015137952</stp>
        <tr r="AT904" s="1"/>
      </tp>
      <tp t="s">
        <v>#N/A Requesting Data...2185512922</v>
        <stp/>
        <stp>BDP|17025944686714506996</stp>
        <tr r="E2082" s="1"/>
      </tp>
      <tp t="s">
        <v>#N/A Requesting Data...3279693509</v>
        <stp/>
        <stp>BDP|15281048626649667586</stp>
        <tr r="H1887" s="1"/>
      </tp>
      <tp t="s">
        <v>#N/A Requesting Data...1987978731</v>
        <stp/>
        <stp>BDP|13856467584274444001</stp>
        <tr r="AV402" s="1"/>
      </tp>
      <tp t="s">
        <v>#N/A Requesting Data...2262314433</v>
        <stp/>
        <stp>BDP|12003945303142967207</stp>
        <tr r="E670" s="1"/>
      </tp>
      <tp t="s">
        <v>#N/A Requesting Data...1459033587</v>
        <stp/>
        <stp>BDP|12517950037357710419</stp>
        <tr r="E510" s="1"/>
      </tp>
      <tp t="s">
        <v>#N/A Requesting Data...3894521688</v>
        <stp/>
        <stp>BDP|13316188121978275398</stp>
        <tr r="J1283" s="1"/>
      </tp>
      <tp t="s">
        <v>#N/A Requesting Data...3310705465</v>
        <stp/>
        <stp>BDP|17461732609858955365</stp>
        <tr r="AT490" s="1"/>
      </tp>
      <tp t="s">
        <v>#N/A Requesting Data...4031626845</v>
        <stp/>
        <stp>BDP|12302644344229276202</stp>
        <tr r="E1487" s="1"/>
      </tp>
      <tp t="s">
        <v>#N/A Requesting Data...4217387581</v>
        <stp/>
        <stp>BDP|14227892542566164593</stp>
        <tr r="AV374" s="1"/>
      </tp>
      <tp t="s">
        <v>#N/A Requesting Data...2428261744</v>
        <stp/>
        <stp>BDP|15860320753199041185</stp>
        <tr r="H297" s="1"/>
      </tp>
      <tp t="s">
        <v>#N/A Requesting Data...4137588151</v>
        <stp/>
        <stp>BDP|11531675466233774925</stp>
        <tr r="H1225" s="1"/>
      </tp>
      <tp t="s">
        <v>#N/A Requesting Data...2592587634</v>
        <stp/>
        <stp>BDP|10693973211147178408</stp>
        <tr r="AT644" s="1"/>
      </tp>
      <tp t="s">
        <v>#N/A Requesting Data...1526474122</v>
        <stp/>
        <stp>BDP|18304267121796581517</stp>
        <tr r="E733" s="1"/>
      </tp>
      <tp t="s">
        <v>#N/A Requesting Data...2523926502</v>
        <stp/>
        <stp>BDP|10534576094955619202</stp>
        <tr r="J1115" s="1"/>
      </tp>
      <tp t="s">
        <v>#N/A Requesting Data...1646333329</v>
        <stp/>
        <stp>BDP|12294610403028675761</stp>
        <tr r="AU625" s="1"/>
      </tp>
      <tp t="s">
        <v>#N/A Requesting Data...2697396588</v>
        <stp/>
        <stp>BDP|17207398092025877311</stp>
        <tr r="AT756" s="1"/>
      </tp>
      <tp t="s">
        <v>#N/A Requesting Data...2310418906</v>
        <stp/>
        <stp>BDP|17127916047053589221</stp>
        <tr r="AT349" s="1"/>
      </tp>
      <tp t="s">
        <v>#N/A Requesting Data...3769107562</v>
        <stp/>
        <stp>BDP|15166441791790057346</stp>
        <tr r="J539" s="1"/>
      </tp>
      <tp t="s">
        <v>#N/A Requesting Data...2970810406</v>
        <stp/>
        <stp>BDP|14271916522515212137</stp>
        <tr r="E1914" s="1"/>
      </tp>
      <tp t="s">
        <v>#N/A Requesting Data...2280673024</v>
        <stp/>
        <stp>BDP|17218319697964509213</stp>
        <tr r="E1306" s="1"/>
      </tp>
      <tp t="s">
        <v>#N/A Requesting Data...3438531593</v>
        <stp/>
        <stp>BDP|10657741136136252961</stp>
        <tr r="H853" s="1"/>
      </tp>
      <tp t="s">
        <v>#N/A Requesting Data...3657645118</v>
        <stp/>
        <stp>BDP|10566340639728009381</stp>
        <tr r="AT554" s="1"/>
      </tp>
      <tp t="s">
        <v>#N/A Requesting Data...2663493013</v>
        <stp/>
        <stp>BDP|10183713264199465308</stp>
        <tr r="E141" s="1"/>
      </tp>
      <tp t="s">
        <v>#N/A Requesting Data...2253677682</v>
        <stp/>
        <stp>BDP|11742966760610958585</stp>
        <tr r="J100" s="1"/>
        <tr r="J1659" s="1"/>
        <tr r="J1894" s="1"/>
      </tp>
      <tp t="s">
        <v>#N/A Requesting Data...3312878475</v>
        <stp/>
        <stp>BDP|12879044393129982950</stp>
        <tr r="AT650" s="1"/>
      </tp>
      <tp t="s">
        <v>#N/A Requesting Data...428474283</v>
        <stp/>
        <stp>BDP|17658917247084394501</stp>
        <tr r="E1381" s="1"/>
      </tp>
      <tp t="s">
        <v>#N/A Requesting Data...1660308566</v>
        <stp/>
        <stp>BDP|16549440244428065569</stp>
        <tr r="H287" s="1"/>
      </tp>
      <tp t="s">
        <v>#N/A Requesting Data...4249873343</v>
        <stp/>
        <stp>BDP|15376165059978730287</stp>
        <tr r="E533" s="1"/>
      </tp>
      <tp t="s">
        <v>#N/A Requesting Data...1644348531</v>
        <stp/>
        <stp>BDP|14951222745050993941</stp>
        <tr r="AV405" s="1"/>
      </tp>
      <tp t="s">
        <v>#N/A Requesting Data...3732545307</v>
        <stp/>
        <stp>BDP|16786906156640509176</stp>
        <tr r="AU522" s="1"/>
      </tp>
      <tp t="s">
        <v>#N/A Requesting Data...1297834859</v>
        <stp/>
        <stp>BDP|10391950641344157253</stp>
        <tr r="AV881" s="1"/>
      </tp>
      <tp t="s">
        <v>#N/A Requesting Data...1714089902</v>
        <stp/>
        <stp>BDP|17894059898675464023</stp>
        <tr r="AV492" s="1"/>
      </tp>
      <tp t="s">
        <v>#N/A Requesting Data...2403333206</v>
        <stp/>
        <stp>BDP|10858989337959252862</stp>
        <tr r="AV320" s="1"/>
      </tp>
      <tp t="s">
        <v>#N/A Requesting Data...2719408371</v>
        <stp/>
        <stp>BDP|11145344027032167904</stp>
        <tr r="AT281" s="1"/>
      </tp>
      <tp t="s">
        <v>#N/A Requesting Data...1279510453</v>
        <stp/>
        <stp>BDP|14508873737103420721</stp>
        <tr r="J649" s="1"/>
      </tp>
      <tp t="s">
        <v>#N/A Requesting Data...1772721260</v>
        <stp/>
        <stp>BDP|14394649010608787038</stp>
        <tr r="E671" s="1"/>
      </tp>
      <tp t="s">
        <v>#N/A Requesting Data...1244211579</v>
        <stp/>
        <stp>BDP|18278670951259106961</stp>
        <tr r="J614" s="1"/>
      </tp>
      <tp t="s">
        <v>#N/A Requesting Data...3403961478</v>
        <stp/>
        <stp>BDP|15717048734329765427</stp>
        <tr r="AU391" s="1"/>
      </tp>
      <tp t="s">
        <v>#N/A Requesting Data...2886888537</v>
        <stp/>
        <stp>BDP|17702722594953575166</stp>
        <tr r="E1680" s="1"/>
      </tp>
      <tp t="s">
        <v>#N/A Requesting Data...2322708515</v>
        <stp/>
        <stp>BDP|11095799981566292385</stp>
        <tr r="H233" s="1"/>
      </tp>
      <tp t="s">
        <v>#N/A Requesting Data...3475438181</v>
        <stp/>
        <stp>BDP|13060420241099094117</stp>
        <tr r="J1142" s="1"/>
        <tr r="J1451" s="1"/>
      </tp>
      <tp t="s">
        <v>#N/A Requesting Data...1107086839</v>
        <stp/>
        <stp>BDP|12053494162348098395</stp>
        <tr r="J659" s="1"/>
      </tp>
      <tp t="s">
        <v>#N/A Requesting Data...2371185257</v>
        <stp/>
        <stp>BDP|11978222899513995294</stp>
        <tr r="H2074" s="1"/>
      </tp>
      <tp t="s">
        <v>#N/A Requesting Data...2393889036</v>
        <stp/>
        <stp>BDP|13454303619288613299</stp>
        <tr r="J325" s="1"/>
      </tp>
      <tp t="s">
        <v>#N/A Requesting Data...906406347</v>
        <stp/>
        <stp>BDP|12751722467948293024</stp>
        <tr r="E597" s="1"/>
      </tp>
      <tp t="s">
        <v>#N/A Requesting Data...3342309630</v>
        <stp/>
        <stp>BDP|11694973490899454376</stp>
        <tr r="H1547" s="1"/>
      </tp>
      <tp t="s">
        <v>#N/A Requesting Data...1645465388</v>
        <stp/>
        <stp>BDP|16379173788572881668</stp>
        <tr r="J558" s="1"/>
      </tp>
      <tp t="s">
        <v>#N/A Requesting Data...2857713333</v>
        <stp/>
        <stp>BDP|18034557471781473025</stp>
        <tr r="J1215" s="1"/>
      </tp>
      <tp t="s">
        <v>#N/A Requesting Data...3233713717</v>
        <stp/>
        <stp>BDP|10597079254546302874</stp>
        <tr r="E173" s="1"/>
      </tp>
      <tp t="s">
        <v>#N/A Requesting Data...2480462287</v>
        <stp/>
        <stp>BDP|14504820707854509378</stp>
        <tr r="H610" s="1"/>
      </tp>
      <tp t="s">
        <v>#N/A Requesting Data...2632920674</v>
        <stp/>
        <stp>BDP|16485128546888277009</stp>
        <tr r="AV508" s="1"/>
      </tp>
      <tp t="s">
        <v>#N/A Requesting Data...1216090416</v>
        <stp/>
        <stp>BDP|12412404275152766846</stp>
        <tr r="E659" s="1"/>
      </tp>
      <tp t="s">
        <v>#N/A Requesting Data...4101266755</v>
        <stp/>
        <stp>BDP|12791477406994458978</stp>
        <tr r="AT527" s="1"/>
      </tp>
      <tp t="s">
        <v>#N/A Requesting Data...2739081541</v>
        <stp/>
        <stp>BDP|10282035866775177834</stp>
        <tr r="AT529" s="1"/>
      </tp>
      <tp t="s">
        <v>#N/A Requesting Data...1561363016</v>
        <stp/>
        <stp>BDP|10019730773239299275</stp>
        <tr r="J1974" s="1"/>
      </tp>
      <tp t="s">
        <v>#N/A Requesting Data...2702276652</v>
        <stp/>
        <stp>BDP|17117077401919028521</stp>
        <tr r="AV421" s="1"/>
      </tp>
      <tp t="s">
        <v>#N/A Requesting Data...607464526</v>
        <stp/>
        <stp>BDP|18020712827326541066</stp>
        <tr r="AR2003" s="1"/>
      </tp>
      <tp t="s">
        <v>#N/A Requesting Data...2476901415</v>
        <stp/>
        <stp>BDP|16661654972299665521</stp>
        <tr r="H1752" s="1"/>
      </tp>
      <tp t="s">
        <v>#N/A Requesting Data...607037462</v>
        <stp/>
        <stp>BDP|17755621834041546816</stp>
        <tr r="J522" s="1"/>
      </tp>
      <tp t="s">
        <v>#N/A Requesting Data...2051075985</v>
        <stp/>
        <stp>BDP|10823106958816790923</stp>
        <tr r="AV873" s="1"/>
      </tp>
      <tp t="s">
        <v>#N/A Requesting Data...1816469937</v>
        <stp/>
        <stp>BDP|16477567082288770820</stp>
        <tr r="J493" s="1"/>
      </tp>
      <tp t="s">
        <v>#N/A Requesting Data...3142040428</v>
        <stp/>
        <stp>BDP|15377380855021935920</stp>
        <tr r="J1291" s="1"/>
        <tr r="J968" s="1"/>
      </tp>
      <tp t="s">
        <v>#N/A Requesting Data...2905035775</v>
        <stp/>
        <stp>BDP|10110473713977092919</stp>
        <tr r="AV350" s="1"/>
      </tp>
      <tp t="s">
        <v>#N/A Requesting Data...2533591534</v>
        <stp/>
        <stp>BDP|14605252129109689683</stp>
        <tr r="J1312" s="1"/>
      </tp>
      <tp t="s">
        <v>#N/A Requesting Data...1873566819</v>
        <stp/>
        <stp>BDP|13206461016265489823</stp>
        <tr r="E1911" s="1"/>
      </tp>
      <tp t="s">
        <v>#N/A Requesting Data...647663580</v>
        <stp/>
        <stp>BDP|18407403018364045287</stp>
        <tr r="AV379" s="1"/>
      </tp>
      <tp t="s">
        <v>#N/A Requesting Data...1285995547</v>
        <stp/>
        <stp>BDP|17107164596076407217</stp>
        <tr r="E1264" s="1"/>
      </tp>
      <tp t="s">
        <v>#N/A Requesting Data...2459482859</v>
        <stp/>
        <stp>BDP|14010252955568150051</stp>
        <tr r="E191" s="1"/>
        <tr r="E44" s="1"/>
      </tp>
      <tp t="s">
        <v>#N/A Requesting Data...3681862336</v>
        <stp/>
        <stp>BDP|13628946428042821166</stp>
        <tr r="AV541" s="1"/>
      </tp>
      <tp t="s">
        <v>#N/A Requesting Data...811748216</v>
        <stp/>
        <stp>BDP|12932844019095757577</stp>
        <tr r="AV696" s="1"/>
      </tp>
      <tp t="s">
        <v>#N/A Requesting Data...2968193348</v>
        <stp/>
        <stp>BDP|13425198292042983226</stp>
        <tr r="AT390" s="1"/>
      </tp>
      <tp t="s">
        <v>#N/A Requesting Data...3618472601</v>
        <stp/>
        <stp>BDP|12725115462519783741</stp>
        <tr r="E22" s="1"/>
      </tp>
      <tp t="s">
        <v>#N/A Requesting Data...1644832403</v>
        <stp/>
        <stp>BDP|16421977123492234458</stp>
        <tr r="AU671" s="1"/>
      </tp>
      <tp t="s">
        <v>#N/A Requesting Data...1067097481</v>
        <stp/>
        <stp>BDP|18213078226622473302</stp>
        <tr r="J1658" s="1"/>
      </tp>
      <tp t="s">
        <v>#N/A Requesting Data...1488856499</v>
        <stp/>
        <stp>BDP|10786293298660555041</stp>
        <tr r="AV309" s="1"/>
      </tp>
      <tp t="s">
        <v>#N/A Requesting Data...914641026</v>
        <stp/>
        <stp>BDP|10935999192899342268</stp>
        <tr r="E349" s="1"/>
      </tp>
      <tp t="s">
        <v>#N/A Requesting Data...3289083793</v>
        <stp/>
        <stp>BDP|10540076692377694516</stp>
        <tr r="AV683" s="1"/>
      </tp>
      <tp t="s">
        <v>#N/A Requesting Data...4288690386</v>
        <stp/>
        <stp>BDP|11683232733352345920</stp>
        <tr r="H1541" s="1"/>
        <tr r="H1852" s="1"/>
      </tp>
      <tp t="s">
        <v>#N/A Requesting Data...1138510254</v>
        <stp/>
        <stp>BDP|16860432259185719927</stp>
        <tr r="H1286" s="1"/>
      </tp>
      <tp t="s">
        <v>#N/A Requesting Data...3837252107</v>
        <stp/>
        <stp>BDP|10698718552708110135</stp>
        <tr r="AT217" s="1"/>
        <tr r="AT275" s="1"/>
      </tp>
      <tp t="s">
        <v>#N/A Requesting Data...1857669973</v>
        <stp/>
        <stp>BDP|15716387888164710174</stp>
        <tr r="H626" s="1"/>
      </tp>
      <tp t="s">
        <v>#N/A Requesting Data...3517867551</v>
        <stp/>
        <stp>BDP|14698500073974513970</stp>
        <tr r="H2093" s="1"/>
      </tp>
      <tp t="s">
        <v>#N/A Requesting Data...2798529458</v>
        <stp/>
        <stp>BDP|11107947709130976320</stp>
        <tr r="AU921" s="1"/>
      </tp>
      <tp t="s">
        <v>#N/A Requesting Data...3929046688</v>
        <stp/>
        <stp>BDP|13550572500068001551</stp>
        <tr r="H220" s="1"/>
      </tp>
      <tp t="s">
        <v>#N/A Requesting Data...3766273723</v>
        <stp/>
        <stp>BDP|17320304185514144303</stp>
        <tr r="J1117" s="1"/>
        <tr r="J1590" s="1"/>
        <tr r="J65" s="1"/>
      </tp>
      <tp t="s">
        <v>#N/A Requesting Data...793352122</v>
        <stp/>
        <stp>BDP|17210528708148774194</stp>
        <tr r="AV712" s="1"/>
      </tp>
      <tp t="s">
        <v>#N/A Requesting Data...575905007</v>
        <stp/>
        <stp>BDP|14381222273643174950</stp>
        <tr r="H1318" s="1"/>
      </tp>
      <tp t="s">
        <v>#N/A Requesting Data...2927644427</v>
        <stp/>
        <stp>BDP|12062499800475918863</stp>
        <tr r="AT380" s="1"/>
      </tp>
      <tp t="s">
        <v>#N/A Requesting Data...3747058738</v>
        <stp/>
        <stp>BDP|13274008501668021052</stp>
        <tr r="J1980" s="1"/>
      </tp>
      <tp t="s">
        <v>#N/A Requesting Data...4129134992</v>
        <stp/>
        <stp>BDP|17149629800403004951</stp>
        <tr r="AV516" s="1"/>
      </tp>
      <tp t="s">
        <v>#N/A Requesting Data...2976736805</v>
        <stp/>
        <stp>BDP|18316378107299583900</stp>
        <tr r="H1860" s="1"/>
      </tp>
      <tp t="s">
        <v>#N/A Requesting Data...2273359746</v>
        <stp/>
        <stp>BDP|12473761021349336560</stp>
        <tr r="AT725" s="1"/>
      </tp>
      <tp t="s">
        <v>#N/A Requesting Data...3500816126</v>
        <stp/>
        <stp>BDP|13983950696880420887</stp>
        <tr r="H1317" s="1"/>
      </tp>
      <tp t="s">
        <v>#N/A Requesting Data...1439294490</v>
        <stp/>
        <stp>BDP|17308263906788787629</stp>
        <tr r="H1788" s="1"/>
      </tp>
      <tp t="s">
        <v>#N/A Requesting Data...3198049224</v>
        <stp/>
        <stp>BDP|14515158183963625536</stp>
        <tr r="E1912" s="1"/>
      </tp>
      <tp t="s">
        <v>#N/A Requesting Data...2641760793</v>
        <stp/>
        <stp>BDP|12677494396676090107</stp>
        <tr r="AT703" s="1"/>
      </tp>
      <tp t="s">
        <v>#N/A Requesting Data...1159803324</v>
        <stp/>
        <stp>BDP|12090053934319921011</stp>
        <tr r="AV338" s="1"/>
      </tp>
      <tp t="s">
        <v>#N/A Requesting Data...2002858279</v>
        <stp/>
        <stp>BDP|15195441243019613493</stp>
        <tr r="H647" s="1"/>
      </tp>
      <tp t="s">
        <v>#N/A Requesting Data...898339247</v>
        <stp/>
        <stp>BDP|12174327887217898652</stp>
        <tr r="J677" s="1"/>
      </tp>
      <tp t="s">
        <v>#N/A Requesting Data...3013803981</v>
        <stp/>
        <stp>BDP|13712083434280486867</stp>
        <tr r="AV434" s="1"/>
      </tp>
      <tp t="s">
        <v>#N/A Requesting Data...3269773852</v>
        <stp/>
        <stp>BDP|17168125485292651498</stp>
        <tr r="E1091" s="1"/>
        <tr r="E1418" s="1"/>
      </tp>
      <tp t="s">
        <v>#N/A Requesting Data...932491681</v>
        <stp/>
        <stp>BDP|15717515136813896816</stp>
        <tr r="H972" s="1"/>
      </tp>
      <tp t="s">
        <v>#N/A Requesting Data...3966497048</v>
        <stp/>
        <stp>BDP|16600510208319621203</stp>
        <tr r="J116" s="1"/>
      </tp>
      <tp t="s">
        <v>#N/A Requesting Data...3614748563</v>
        <stp/>
        <stp>BDP|14918704959469193789</stp>
        <tr r="H548" s="1"/>
      </tp>
      <tp t="s">
        <v>#N/A Requesting Data...4241081787</v>
        <stp/>
        <stp>BDP|15739861722746319193</stp>
        <tr r="J1192" s="1"/>
      </tp>
      <tp t="s">
        <v>#N/A Requesting Data...1675056366</v>
        <stp/>
        <stp>BDP|12848370323869576217</stp>
        <tr r="J237" s="1"/>
        <tr r="J78" s="1"/>
      </tp>
      <tp t="s">
        <v>#N/A Requesting Data...3328852520</v>
        <stp/>
        <stp>BDP|13066768908355238942</stp>
        <tr r="AT876" s="1"/>
      </tp>
      <tp t="s">
        <v>#N/A Requesting Data...1872657425</v>
        <stp/>
        <stp>BDP|18340393092653021901</stp>
        <tr r="E866" s="1"/>
      </tp>
      <tp t="s">
        <v>#N/A Requesting Data...1570652607</v>
        <stp/>
        <stp>BDP|14641898444016249618</stp>
        <tr r="E1115" s="1"/>
      </tp>
      <tp t="s">
        <v>#N/A Requesting Data...3426468634</v>
        <stp/>
        <stp>BDP|11899915352875061035</stp>
        <tr r="H636" s="1"/>
      </tp>
      <tp t="s">
        <v>#N/A Requesting Data...3588346146</v>
        <stp/>
        <stp>BDP|11192371927521835918</stp>
        <tr r="E476" s="1"/>
      </tp>
      <tp t="s">
        <v>#N/A Requesting Data...1595830198</v>
        <stp/>
        <stp>BDP|17047714616409828073</stp>
        <tr r="AU582" s="1"/>
      </tp>
      <tp t="s">
        <v>#N/A Requesting Data...3928507596</v>
        <stp/>
        <stp>BDP|12376597347272497921</stp>
        <tr r="AV598" s="1"/>
      </tp>
      <tp t="s">
        <v>#N/A Requesting Data...2117148710</v>
        <stp/>
        <stp>BDP|15215221343818168396</stp>
        <tr r="AV637" s="1"/>
      </tp>
      <tp t="s">
        <v>#N/A Requesting Data...3404209024</v>
        <stp/>
        <stp>BDP|11124589918775919835</stp>
        <tr r="H62" s="1"/>
      </tp>
      <tp t="s">
        <v>#N/A Requesting Data...4276768264</v>
        <stp/>
        <stp>BDP|10287805509913182312</stp>
        <tr r="H528" s="1"/>
      </tp>
      <tp t="s">
        <v>#N/A Requesting Data...887123486</v>
        <stp/>
        <stp>BDP|11694768781167872124</stp>
        <tr r="E1134" s="1"/>
        <tr r="E1634" s="1"/>
        <tr r="E241" s="1"/>
        <tr r="E786" s="1"/>
        <tr r="E86" s="1"/>
      </tp>
      <tp t="s">
        <v>#N/A Requesting Data...3526152432</v>
        <stp/>
        <stp>BDP|13796164341467822938</stp>
        <tr r="E386" s="1"/>
      </tp>
      <tp t="s">
        <v>#N/A Requesting Data...2741405641</v>
        <stp/>
        <stp>BDP|12098847341497683180</stp>
        <tr r="J863" s="1"/>
      </tp>
      <tp t="s">
        <v>#N/A Requesting Data...2294139574</v>
        <stp/>
        <stp>BDP|10303220910669804227</stp>
        <tr r="H1778" s="1"/>
      </tp>
      <tp t="s">
        <v>#N/A Requesting Data...2790419960</v>
        <stp/>
        <stp>BDP|16156738463196243989</stp>
        <tr r="H178" s="1"/>
        <tr r="H1921" s="1"/>
        <tr r="H31" s="1"/>
      </tp>
      <tp t="s">
        <v>#N/A Requesting Data...2879322249</v>
        <stp/>
        <stp>BDP|16325801851583926005</stp>
        <tr r="AP1726" s="1"/>
      </tp>
      <tp t="s">
        <v>#N/A Requesting Data...1703045296</v>
        <stp/>
        <stp>BDP|12663948749811839685</stp>
        <tr r="E467" s="1"/>
      </tp>
      <tp t="s">
        <v>#N/A Requesting Data...3661225406</v>
        <stp/>
        <stp>BDP|17163214683025009082</stp>
        <tr r="J456" s="1"/>
      </tp>
      <tp t="s">
        <v>#N/A Requesting Data...3817109207</v>
        <stp/>
        <stp>BDP|15244412263398379782</stp>
        <tr r="AT713" s="1"/>
      </tp>
      <tp t="s">
        <v>#N/A Requesting Data...784714677</v>
        <stp/>
        <stp>BDP|14660908192575798998</stp>
        <tr r="AV527" s="1"/>
      </tp>
      <tp t="s">
        <v>#N/A Requesting Data...3329137835</v>
        <stp/>
        <stp>BDP|13813531827805562937</stp>
        <tr r="E96" s="1"/>
      </tp>
      <tp t="s">
        <v>#N/A Requesting Data...2383263135</v>
        <stp/>
        <stp>BDP|15754910035351911608</stp>
        <tr r="E1076" s="1"/>
      </tp>
      <tp t="s">
        <v>#N/A Requesting Data...2819089869</v>
        <stp/>
        <stp>BDP|15575569117658773190</stp>
        <tr r="E462" s="1"/>
      </tp>
      <tp t="s">
        <v>#N/A Requesting Data...2229267186</v>
        <stp/>
        <stp>BDP|16021517206392573982</stp>
        <tr r="E676" s="1"/>
      </tp>
      <tp t="s">
        <v>#N/A Requesting Data...3359239099</v>
        <stp/>
        <stp>BDP|11870056497204397439</stp>
        <tr r="H1077" s="1"/>
      </tp>
      <tp t="s">
        <v>#N/A Requesting Data...2350522292</v>
        <stp/>
        <stp>BDP|17443963275115993449</stp>
        <tr r="AT558" s="1"/>
      </tp>
      <tp t="s">
        <v>#N/A Requesting Data...1925262079</v>
        <stp/>
        <stp>BDP|11973211580247760457</stp>
        <tr r="E281" s="1"/>
      </tp>
      <tp t="s">
        <v>#N/A Requesting Data...826895113</v>
        <stp/>
        <stp>BDP|14939021488891839563</stp>
        <tr r="H719" s="1"/>
      </tp>
      <tp t="s">
        <v>#N/A Requesting Data...628896978</v>
        <stp/>
        <stp>BDP|16880664996385657430</stp>
        <tr r="E1955" s="1"/>
      </tp>
      <tp t="s">
        <v>#N/A Requesting Data...1380313759</v>
        <stp/>
        <stp>BDP|13187956038045400452</stp>
        <tr r="AU761" s="1"/>
      </tp>
      <tp t="s">
        <v>#N/A Requesting Data...1924179188</v>
        <stp/>
        <stp>BDP|15840386963068926073</stp>
        <tr r="AV567" s="1"/>
      </tp>
      <tp t="s">
        <v>#N/A Requesting Data...2867653130</v>
        <stp/>
        <stp>BDP|15147607404072101993</stp>
        <tr r="E175" s="1"/>
      </tp>
      <tp t="s">
        <v>#N/A Requesting Data...3655663958</v>
        <stp/>
        <stp>BDP|16629820839441715477</stp>
        <tr r="E1165" s="1"/>
        <tr r="E1344" s="1"/>
      </tp>
      <tp t="s">
        <v>#N/A Requesting Data...2133525559</v>
        <stp/>
        <stp>BDP|17606510421100353883</stp>
        <tr r="J400" s="1"/>
      </tp>
      <tp t="s">
        <v>#N/A Requesting Data...3720328396</v>
        <stp/>
        <stp>BDP|15016057437269725780</stp>
        <tr r="E1163" s="1"/>
      </tp>
      <tp t="s">
        <v>#N/A Requesting Data...3260630641</v>
        <stp/>
        <stp>BDP|10356927718617780726</stp>
        <tr r="AT376" s="1"/>
      </tp>
      <tp t="s">
        <v>#N/A Requesting Data...3550329151</v>
        <stp/>
        <stp>BDP|13344179848789984798</stp>
        <tr r="H282" s="1"/>
      </tp>
      <tp t="s">
        <v>#N/A Requesting Data...3747379380</v>
        <stp/>
        <stp>BDP|17742417075059785583</stp>
        <tr r="J482" s="1"/>
      </tp>
      <tp t="s">
        <v>#N/A Requesting Data...2449491364</v>
        <stp/>
        <stp>BDP|10307797153202784822</stp>
        <tr r="E1071" s="1"/>
        <tr r="E928" s="1"/>
      </tp>
      <tp t="s">
        <v>#N/A Requesting Data...2914178761</v>
        <stp/>
        <stp>BDP|16640632411739981017</stp>
        <tr r="AU510" s="1"/>
      </tp>
      <tp t="s">
        <v>#N/A Requesting Data...736037584</v>
        <stp/>
        <stp>BDP|15292698743696325977</stp>
        <tr r="J1932" s="1"/>
        <tr r="J942" s="1"/>
      </tp>
      <tp t="s">
        <v>#N/A Requesting Data...1261919658</v>
        <stp/>
        <stp>BDP|16374855581749839737</stp>
        <tr r="H836" s="1"/>
      </tp>
      <tp t="s">
        <v>#N/A Requesting Data...1092805285</v>
        <stp/>
        <stp>BDP|18435752173789872961</stp>
        <tr r="J440" s="1"/>
      </tp>
      <tp t="s">
        <v>#N/A Requesting Data...2218293533</v>
        <stp/>
        <stp>BDP|12244340228722466961</stp>
        <tr r="H2089" s="1"/>
      </tp>
      <tp t="s">
        <v>#N/A Requesting Data...1953961200</v>
        <stp/>
        <stp>BDP|12424880471976461366</stp>
        <tr r="H201" s="1"/>
        <tr r="H257" s="1"/>
      </tp>
      <tp t="s">
        <v>#N/A Requesting Data...974529393</v>
        <stp/>
        <stp>BDP|16702962649501180266</stp>
        <tr r="J530" s="1"/>
      </tp>
      <tp t="s">
        <v>#N/A Requesting Data...3335720209</v>
        <stp/>
        <stp>BDP|14576644793333492096</stp>
        <tr r="E848" s="1"/>
      </tp>
      <tp t="s">
        <v>#N/A Requesting Data...2862895103</v>
        <stp/>
        <stp>BDP|15432317494082676580</stp>
        <tr r="J997" s="1"/>
      </tp>
      <tp t="s">
        <v>#N/A Requesting Data...1606596055</v>
        <stp/>
        <stp>BDP|14139062342321971934</stp>
        <tr r="J1299" s="1"/>
      </tp>
      <tp t="s">
        <v>#N/A Requesting Data...2007742477</v>
        <stp/>
        <stp>BDP|11378802859244747024</stp>
        <tr r="H810" s="1"/>
      </tp>
      <tp t="s">
        <v>#N/A Requesting Data...549474327</v>
        <stp/>
        <stp>BDP|17690928558301537267</stp>
        <tr r="AV447" s="1"/>
      </tp>
      <tp t="s">
        <v>#N/A Requesting Data...2682049418</v>
        <stp/>
        <stp>BDP|12425426025698853443</stp>
        <tr r="AV575" s="1"/>
      </tp>
      <tp t="s">
        <v>#N/A Requesting Data...2854869763</v>
        <stp/>
        <stp>BDP|11273404236918389686</stp>
        <tr r="J1287" s="1"/>
      </tp>
      <tp t="s">
        <v>#N/A Requesting Data...4034410394</v>
        <stp/>
        <stp>BDP|10467861071987831056</stp>
        <tr r="E1352" s="1"/>
      </tp>
      <tp t="s">
        <v>#N/A Requesting Data...2880748962</v>
        <stp/>
        <stp>BDP|14683977293255828940</stp>
        <tr r="J1131" s="1"/>
      </tp>
      <tp t="s">
        <v>#N/A Requesting Data...719646587</v>
        <stp/>
        <stp>BDP|12914302697192682264</stp>
        <tr r="H1260" s="1"/>
      </tp>
      <tp t="s">
        <v>#N/A Requesting Data...1941502116</v>
        <stp/>
        <stp>BDP|13011579083625835320</stp>
        <tr r="H370" s="1"/>
      </tp>
      <tp t="s">
        <v>#N/A Requesting Data...3413069761</v>
        <stp/>
        <stp>BDP|11936413146609178013</stp>
        <tr r="AU665" s="1"/>
      </tp>
      <tp t="s">
        <v>#N/A Requesting Data...3080342714</v>
        <stp/>
        <stp>BDP|11661010388391025015</stp>
        <tr r="AT853" s="1"/>
      </tp>
      <tp t="s">
        <v>#N/A Requesting Data...978804655</v>
        <stp/>
        <stp>BDP|10661024664286786898</stp>
        <tr r="J1637" s="1"/>
        <tr r="J1977" s="1"/>
        <tr r="J88" s="1"/>
      </tp>
      <tp t="s">
        <v>#N/A Requesting Data...3629582091</v>
        <stp/>
        <stp>BDP|17689904139375204038</stp>
        <tr r="J889" s="1"/>
      </tp>
      <tp t="s">
        <v>#N/A Requesting Data...1236461479</v>
        <stp/>
        <stp>BDP|12640947528227212667</stp>
        <tr r="AO1470" s="1"/>
      </tp>
      <tp t="s">
        <v>#N/A Requesting Data...2871343952</v>
        <stp/>
        <stp>BDP|12504142564809396484</stp>
        <tr r="H1871" s="1"/>
        <tr r="H2079" s="1"/>
        <tr r="H36" s="1"/>
      </tp>
      <tp t="s">
        <v>#N/A Requesting Data...2022821684</v>
        <stp/>
        <stp>BDP|17908098442782814949</stp>
        <tr r="E428" s="1"/>
      </tp>
      <tp t="s">
        <v>#N/A Requesting Data...2574175787</v>
        <stp/>
        <stp>BDP|12620151587334359793</stp>
        <tr r="AT883" s="1"/>
      </tp>
      <tp t="s">
        <v>#N/A Requesting Data...691008981</v>
        <stp/>
        <stp>BDP|13202485683636113167</stp>
        <tr r="AU876" s="1"/>
      </tp>
      <tp t="s">
        <v>#N/A Requesting Data...3658917256</v>
        <stp/>
        <stp>BDP|10448315308462389909</stp>
        <tr r="AV299" s="1"/>
      </tp>
      <tp t="s">
        <v>#N/A Requesting Data...606185539</v>
        <stp/>
        <stp>BDP|12998771348641233856</stp>
        <tr r="AV414" s="1"/>
      </tp>
      <tp t="s">
        <v>#N/A Requesting Data...4052022340</v>
        <stp/>
        <stp>BDP|16841630599584610559</stp>
        <tr r="AT626" s="1"/>
      </tp>
      <tp t="s">
        <v>#N/A Requesting Data...1890958705</v>
        <stp/>
        <stp>BDP|12952443019498495712</stp>
        <tr r="J495" s="1"/>
      </tp>
      <tp t="s">
        <v>#N/A Requesting Data...4157435110</v>
        <stp/>
        <stp>BDP|14991894251162216325</stp>
        <tr r="E1120" s="1"/>
        <tr r="E1593" s="1"/>
      </tp>
      <tp t="s">
        <v>#N/A Requesting Data...546382495</v>
        <stp/>
        <stp>BDP|16570902262730552138</stp>
        <tr r="E1081" s="1"/>
        <tr r="E77" s="1"/>
      </tp>
      <tp t="s">
        <v>#N/A Requesting Data...2184282475</v>
        <stp/>
        <stp>BDP|12475948135731769133</stp>
        <tr r="E301" s="1"/>
      </tp>
      <tp t="s">
        <v>#N/A Requesting Data...1340471872</v>
        <stp/>
        <stp>BDP|10998960509531373048</stp>
        <tr r="H295" s="1"/>
      </tp>
      <tp t="s">
        <v>#N/A Requesting Data...770071865</v>
        <stp/>
        <stp>BDP|11728942124504564630</stp>
        <tr r="AU312" s="1"/>
      </tp>
      <tp t="s">
        <v>#N/A Requesting Data...839264406</v>
        <stp/>
        <stp>BDP|14356806233133558444</stp>
        <tr r="H1293" s="1"/>
        <tr r="H24" s="1"/>
        <tr r="H970" s="1"/>
      </tp>
      <tp t="s">
        <v>#N/A Requesting Data...2645958477</v>
        <stp/>
        <stp>BDP|14820879245432899235</stp>
        <tr r="AV694" s="1"/>
      </tp>
      <tp t="s">
        <v>#N/A Requesting Data...2207177522</v>
        <stp/>
        <stp>BDP|17407287077488300292</stp>
        <tr r="E1028" s="1"/>
      </tp>
      <tp t="s">
        <v>#N/A Requesting Data...3012785107</v>
        <stp/>
        <stp>BDP|17152425120039799058</stp>
        <tr r="AT707" s="1"/>
      </tp>
      <tp t="s">
        <v>#N/A Requesting Data...739775654</v>
        <stp/>
        <stp>BDP|10238271424288251025</stp>
        <tr r="J752" s="1"/>
      </tp>
      <tp t="s">
        <v>#N/A Requesting Data...841240249</v>
        <stp/>
        <stp>BDP|10535694360810412883</stp>
        <tr r="H564" s="1"/>
      </tp>
      <tp t="s">
        <v>#N/A Requesting Data...1258442329</v>
        <stp/>
        <stp>BDP|15191309617687178872</stp>
        <tr r="E552" s="1"/>
      </tp>
      <tp t="s">
        <v>#N/A Requesting Data...3621430882</v>
        <stp/>
        <stp>BDP|16726627774677957885</stp>
        <tr r="E271" s="1"/>
      </tp>
      <tp t="s">
        <v>#N/A Requesting Data...1732024623</v>
        <stp/>
        <stp>BDP|16078483684890964259</stp>
        <tr r="H871" s="1"/>
      </tp>
      <tp t="s">
        <v>#N/A Requesting Data...2301959185</v>
        <stp/>
        <stp>BDP|18414812033539734216</stp>
        <tr r="AU658" s="1"/>
      </tp>
      <tp t="s">
        <v>#N/A Requesting Data...3745587928</v>
        <stp/>
        <stp>BDP|14444914662613052071</stp>
        <tr r="AT879" s="1"/>
      </tp>
      <tp t="s">
        <v>#N/A Requesting Data...598903384</v>
        <stp/>
        <stp>BDP|15916829858718189826</stp>
        <tr r="J872" s="1"/>
      </tp>
      <tp t="s">
        <v>#N/A Requesting Data...2357144612</v>
        <stp/>
        <stp>BDP|18030935297019468907</stp>
        <tr r="E1400" s="1"/>
        <tr r="E1440" s="1"/>
      </tp>
      <tp t="s">
        <v>#N/A Requesting Data...1631296844</v>
        <stp/>
        <stp>BDP|10447280098231437201</stp>
        <tr r="AV867" s="1"/>
      </tp>
      <tp t="s">
        <v>#N/A Requesting Data...3801506449</v>
        <stp/>
        <stp>BDP|14744056546609460139</stp>
        <tr r="E561" s="1"/>
      </tp>
      <tp t="s">
        <v>#N/A Requesting Data...3817783952</v>
        <stp/>
        <stp>BDP|16712729930192433821</stp>
        <tr r="AT914" s="1"/>
      </tp>
      <tp t="s">
        <v>#N/A Requesting Data...3124875553</v>
        <stp/>
        <stp>BDP|15792773810032445977</stp>
        <tr r="H659" s="1"/>
      </tp>
      <tp t="s">
        <v>#N/A Requesting Data...3418505027</v>
        <stp/>
        <stp>BDP|14528721441409299670</stp>
        <tr r="E436" s="1"/>
      </tp>
      <tp t="s">
        <v>#N/A Requesting Data...1244671291</v>
        <stp/>
        <stp>BDP|17588386980336952275</stp>
        <tr r="AV483" s="1"/>
      </tp>
      <tp t="s">
        <v>#N/A Requesting Data...2050282076</v>
        <stp/>
        <stp>BDP|13490748266949257371</stp>
        <tr r="J347" s="1"/>
      </tp>
      <tp t="s">
        <v>#N/A Requesting Data...1349555150</v>
        <stp/>
        <stp>BDP|17856187806427707925</stp>
        <tr r="J485" s="1"/>
      </tp>
      <tp t="s">
        <v>#N/A Requesting Data...1084690795</v>
        <stp/>
        <stp>BDP|11723923855645140021</stp>
        <tr r="J1173" s="1"/>
      </tp>
      <tp t="s">
        <v>#N/A Requesting Data...3142458169</v>
        <stp/>
        <stp>BDP|14061915448622206384</stp>
        <tr r="H1686" s="1"/>
      </tp>
      <tp t="s">
        <v>#N/A Requesting Data...4183659869</v>
        <stp/>
        <stp>BDP|15136733793562156130</stp>
        <tr r="E1022" s="1"/>
      </tp>
      <tp t="s">
        <v>#N/A Requesting Data...3372175851</v>
        <stp/>
        <stp>BDP|10888231427319698196</stp>
        <tr r="AV429" s="1"/>
      </tp>
      <tp t="s">
        <v>#N/A Requesting Data...2255723627</v>
        <stp/>
        <stp>BDP|15758854174816643439</stp>
        <tr r="AV592" s="1"/>
      </tp>
      <tp t="s">
        <v>#N/A Requesting Data...1633586494</v>
        <stp/>
        <stp>BDP|13756859106786328550</stp>
        <tr r="E458" s="1"/>
      </tp>
      <tp t="s">
        <v>#N/A Requesting Data...1852101976</v>
        <stp/>
        <stp>BDP|10663559405489545417</stp>
        <tr r="J273" s="1"/>
      </tp>
      <tp t="s">
        <v>#N/A Requesting Data...627156071</v>
        <stp/>
        <stp>BDP|11922924125460823248</stp>
        <tr r="AV385" s="1"/>
      </tp>
      <tp t="s">
        <v>#N/A Requesting Data...3901665652</v>
        <stp/>
        <stp>BDP|17408959085866246846</stp>
        <tr r="J13" s="1"/>
        <tr r="J1844" s="1"/>
      </tp>
      <tp t="s">
        <v>#N/A Requesting Data...1155151731</v>
        <stp/>
        <stp>BDP|16997098922365756975</stp>
        <tr r="AV593" s="1"/>
      </tp>
      <tp t="s">
        <v>#N/A Requesting Data...3360493541</v>
        <stp/>
        <stp>BDP|10984690813698294735</stp>
        <tr r="H291" s="1"/>
      </tp>
      <tp t="s">
        <v>#N/A Requesting Data...590736057</v>
        <stp/>
        <stp>BDP|10252427391120700542</stp>
        <tr r="H533" s="1"/>
      </tp>
      <tp t="s">
        <v>#N/A Requesting Data...1831073274</v>
        <stp/>
        <stp>BDP|11602775314788634711</stp>
        <tr r="E1139" s="1"/>
        <tr r="E91" s="1"/>
      </tp>
      <tp t="s">
        <v>#N/A Requesting Data...4046399720</v>
        <stp/>
        <stp>BDP|16496867173929551864</stp>
        <tr r="J128" s="1"/>
        <tr r="J1384" s="1"/>
      </tp>
      <tp t="s">
        <v>#N/A Requesting Data...4244480458</v>
        <stp/>
        <stp>BDP|16316754606339765056</stp>
        <tr r="AV437" s="1"/>
      </tp>
      <tp t="s">
        <v>#N/A Requesting Data...1387400048</v>
        <stp/>
        <stp>BDP|14548596196372161292</stp>
        <tr r="J1556" s="1"/>
      </tp>
      <tp t="s">
        <v>#N/A Requesting Data...949750274</v>
        <stp/>
        <stp>BDP|12257513942549417276</stp>
        <tr r="AV465" s="1"/>
      </tp>
      <tp t="s">
        <v>#N/A Requesting Data...1639661233</v>
        <stp/>
        <stp>BDP|12687804690733772847</stp>
        <tr r="AU347" s="1"/>
      </tp>
      <tp t="s">
        <v>#N/A Requesting Data...4204279056</v>
        <stp/>
        <stp>BDP|11323821812735161578</stp>
        <tr r="E1609" s="1"/>
        <tr r="E936" s="1"/>
      </tp>
      <tp t="s">
        <v>#N/A Requesting Data...3629299389</v>
        <stp/>
        <stp>BDP|13661144237899481048</stp>
        <tr r="E707" s="1"/>
      </tp>
      <tp t="s">
        <v>#N/A Requesting Data...2287575724</v>
        <stp/>
        <stp>BDP|10227617783017546109</stp>
        <tr r="J1033" s="1"/>
      </tp>
      <tp t="s">
        <v>#N/A Requesting Data...2472389817</v>
        <stp/>
        <stp>BDP|17899275926217509893</stp>
        <tr r="H502" s="1"/>
      </tp>
      <tp t="s">
        <v>#N/A Requesting Data...4156323353</v>
        <stp/>
        <stp>BDP|14306684088035286741</stp>
        <tr r="E102" s="1"/>
        <tr r="E1148" s="1"/>
        <tr r="E1660" s="1"/>
      </tp>
      <tp t="s">
        <v>#N/A Requesting Data...3959285909</v>
        <stp/>
        <stp>BDP|17517688220139084283</stp>
        <tr r="AO1798" s="1"/>
      </tp>
      <tp t="s">
        <v>#N/A Requesting Data...2916824654</v>
        <stp/>
        <stp>BDP|16162072981893507567</stp>
        <tr r="AV488" s="1"/>
      </tp>
      <tp t="s">
        <v>#N/A Requesting Data...1138385835</v>
        <stp/>
        <stp>BDP|10190604410359548602</stp>
        <tr r="E965" s="1"/>
      </tp>
      <tp t="s">
        <v>#N/A Requesting Data...3898883091</v>
        <stp/>
        <stp>BDP|17077302263188498235</stp>
        <tr r="AV579" s="1"/>
      </tp>
      <tp t="s">
        <v>#N/A Requesting Data...3830508910</v>
        <stp/>
        <stp>BDP|14173294542339994371</stp>
        <tr r="J1199" s="1"/>
      </tp>
      <tp t="s">
        <v>#N/A Requesting Data...2329367437</v>
        <stp/>
        <stp>BDP|16413378622086511906</stp>
        <tr r="AU264" s="1"/>
      </tp>
      <tp t="s">
        <v>#N/A Requesting Data...1135537355</v>
        <stp/>
        <stp>BDP|17430176284430094636</stp>
        <tr r="E522" s="1"/>
      </tp>
      <tp t="s">
        <v>#N/A Requesting Data...1453151689</v>
        <stp/>
        <stp>BDP|18260045206909436904</stp>
        <tr r="AU561" s="1"/>
      </tp>
      <tp t="s">
        <v>#N/A Requesting Data...3429644854</v>
        <stp/>
        <stp>BDP|16180530206353800888</stp>
        <tr r="H1671" s="1"/>
        <tr r="H1854" s="1"/>
      </tp>
      <tp t="s">
        <v>#N/A Requesting Data...1234135394</v>
        <stp/>
        <stp>BDP|17178073330615567973</stp>
        <tr r="AP1988" s="1"/>
      </tp>
      <tp t="s">
        <v>#N/A Requesting Data...2693534957</v>
        <stp/>
        <stp>BDP|11058950847606535234</stp>
        <tr r="H2061" s="1"/>
      </tp>
      <tp t="s">
        <v>#N/A Requesting Data...1019987672</v>
        <stp/>
        <stp>BDP|14166351794517715108</stp>
        <tr r="J295" s="1"/>
      </tp>
      <tp t="s">
        <v>#N/A Requesting Data...2097744249</v>
        <stp/>
        <stp>BDP|10608726878969977121</stp>
        <tr r="H1283" s="1"/>
      </tp>
      <tp t="s">
        <v>#N/A Requesting Data...3055106885</v>
        <stp/>
        <stp>BDP|11365843249557919209</stp>
        <tr r="AU593" s="1"/>
      </tp>
      <tp t="s">
        <v>#N/A Requesting Data...913915661</v>
        <stp/>
        <stp>BDP|11434819774461115777</stp>
        <tr r="AV353" s="1"/>
      </tp>
      <tp t="s">
        <v>#N/A Requesting Data...3379528115</v>
        <stp/>
        <stp>BDP|16647034941998785249</stp>
        <tr r="E2077" s="1"/>
      </tp>
      <tp t="s">
        <v>#N/A Requesting Data...4229564670</v>
        <stp/>
        <stp>BDP|10316302715489918389</stp>
        <tr r="E1398" s="1"/>
        <tr r="E1439" s="1"/>
      </tp>
      <tp t="s">
        <v>#N/A Requesting Data...777341324</v>
        <stp/>
        <stp>BDP|11128753422575449953</stp>
        <tr r="H691" s="1"/>
      </tp>
      <tp t="s">
        <v>#N/A Requesting Data...891878543</v>
        <stp/>
        <stp>BDP|15947809319214148069</stp>
        <tr r="E712" s="1"/>
      </tp>
      <tp t="s">
        <v>#N/A Requesting Data...1007209689</v>
        <stp/>
        <stp>BDP|10135370864558403514</stp>
        <tr r="AU837" s="1"/>
      </tp>
      <tp t="s">
        <v>#N/A Requesting Data...3796971782</v>
        <stp/>
        <stp>BDP|12226525292371521704</stp>
        <tr r="AV865" s="1"/>
      </tp>
      <tp t="s">
        <v>#N/A Requesting Data...1010184832</v>
        <stp/>
        <stp>BDP|17980053583701191694</stp>
        <tr r="AS2033" s="1"/>
      </tp>
      <tp t="s">
        <v>#N/A Requesting Data...1881489123</v>
        <stp/>
        <stp>BDP|10154754272779252132</stp>
        <tr r="E325" s="1"/>
      </tp>
      <tp t="s">
        <v>#N/A Requesting Data...2536051937</v>
        <stp/>
        <stp>BDP|14104458042345248938</stp>
        <tr r="J656" s="1"/>
      </tp>
      <tp t="s">
        <v>#N/A Requesting Data...4170656496</v>
        <stp/>
        <stp>BDP|13403866507035674645</stp>
        <tr r="E591" s="1"/>
      </tp>
      <tp t="s">
        <v>#N/A Requesting Data...2759341246</v>
        <stp/>
        <stp>BDP|14162185743961508891</stp>
        <tr r="AT835" s="1"/>
      </tp>
      <tp t="s">
        <v>#N/A Requesting Data...2910455531</v>
        <stp/>
        <stp>BDP|18328361926872203370</stp>
        <tr r="AT469" s="1"/>
      </tp>
      <tp t="s">
        <v>#N/A Requesting Data...2174799739</v>
        <stp/>
        <stp>BDP|15103539014311360834</stp>
        <tr r="AU853" s="1"/>
      </tp>
      <tp t="s">
        <v>#N/A Requesting Data...2287511521</v>
        <stp/>
        <stp>BDP|10451433190473199606</stp>
        <tr r="AU358" s="1"/>
      </tp>
      <tp t="s">
        <v>#N/A Requesting Data...3814717671</v>
        <stp/>
        <stp>BDP|17529417018752251884</stp>
        <tr r="H1576" s="1"/>
        <tr r="H59" s="1"/>
      </tp>
      <tp t="s">
        <v>#N/A Requesting Data...3226255358</v>
        <stp/>
        <stp>BDP|13734516591353371423</stp>
        <tr r="J1528" s="1"/>
      </tp>
      <tp t="s">
        <v>#N/A Requesting Data...3431539654</v>
        <stp/>
        <stp>BDP|12452972305525005600</stp>
        <tr r="H993" s="1"/>
      </tp>
      <tp t="s">
        <v>#N/A Requesting Data...3294086166</v>
        <stp/>
        <stp>BDP|17410362890373497608</stp>
        <tr r="AV458" s="1"/>
      </tp>
      <tp t="s">
        <v>#N/A Requesting Data...720663350</v>
        <stp/>
        <stp>BDP|10626973006789901880</stp>
        <tr r="J1057" s="1"/>
      </tp>
      <tp t="s">
        <v>#N/A Requesting Data...2481421984</v>
        <stp/>
        <stp>BDP|11039556315218690508</stp>
        <tr r="AT731" s="1"/>
      </tp>
      <tp t="s">
        <v>#N/A Requesting Data...3810120205</v>
        <stp/>
        <stp>BDP|16836503981517908463</stp>
        <tr r="H302" s="1"/>
      </tp>
      <tp t="s">
        <v>#N/A Requesting Data...3527527099</v>
        <stp/>
        <stp>BDP|17304470490222041020</stp>
        <tr r="AO196" s="1"/>
      </tp>
      <tp t="s">
        <v>#N/A Requesting Data...3340335410</v>
        <stp/>
        <stp>BDP|18185211414864421766</stp>
        <tr r="AS778" s="1"/>
      </tp>
      <tp t="s">
        <v>#N/A Requesting Data...811164134</v>
        <stp/>
        <stp>BDP|10555430881372775798</stp>
        <tr r="AV479" s="1"/>
      </tp>
      <tp t="s">
        <v>#N/A Requesting Data...2812643846</v>
        <stp/>
        <stp>BDP|18014897385126367768</stp>
        <tr r="AT698" s="1"/>
      </tp>
      <tp t="s">
        <v>#N/A Requesting Data...3247567469</v>
        <stp/>
        <stp>BDP|14491809048841497019</stp>
        <tr r="AT746" s="1"/>
      </tp>
      <tp t="s">
        <v>#N/A Requesting Data...3678443124</v>
        <stp/>
        <stp>BDP|15527602543578676690</stp>
        <tr r="E811" s="1"/>
      </tp>
      <tp t="s">
        <v>#N/A Requesting Data...897926261</v>
        <stp/>
        <stp>BDP|16285255876869017381</stp>
        <tr r="AV836" s="1"/>
      </tp>
      <tp t="s">
        <v>#N/A Requesting Data...2543961905</v>
        <stp/>
        <stp>BDP|10760500794943303682</stp>
        <tr r="H405" s="1"/>
      </tp>
      <tp t="s">
        <v>#N/A Requesting Data...1470412164</v>
        <stp/>
        <stp>BDP|14355838134082932452</stp>
        <tr r="J1483" s="1"/>
      </tp>
      <tp t="s">
        <v>#N/A Requesting Data...4088341144</v>
        <stp/>
        <stp>BDP|17717477889382341023</stp>
        <tr r="AT550" s="1"/>
      </tp>
      <tp t="s">
        <v>#N/A Requesting Data...3882401395</v>
        <stp/>
        <stp>BDP|11445368871054298892</stp>
        <tr r="AV268" s="1"/>
      </tp>
      <tp t="s">
        <v>#N/A Requesting Data...4080301009</v>
        <stp/>
        <stp>BDP|18271748368281154142</stp>
        <tr r="AV422" s="1"/>
      </tp>
      <tp t="s">
        <v>#N/A Requesting Data...1796671379</v>
        <stp/>
        <stp>BDP|16995432635098144056</stp>
        <tr r="E443" s="1"/>
      </tp>
      <tp t="s">
        <v>#N/A Requesting Data...1384563986</v>
        <stp/>
        <stp>BDP|12852480089495505279</stp>
        <tr r="H2086" s="1"/>
      </tp>
      <tp t="s">
        <v>#N/A Requesting Data...2620609474</v>
        <stp/>
        <stp>BDP|13397343066088359797</stp>
        <tr r="H1571" s="1"/>
      </tp>
      <tp t="s">
        <v>#N/A Requesting Data...1880986896</v>
        <stp/>
        <stp>BDP|18089221474373420794</stp>
        <tr r="E1750" s="1"/>
      </tp>
      <tp t="s">
        <v>#N/A Requesting Data...2777189279</v>
        <stp/>
        <stp>BDP|16815524846017240952</stp>
        <tr r="E1529" s="1"/>
      </tp>
      <tp t="s">
        <v>#N/A Requesting Data...2992711967</v>
        <stp/>
        <stp>BDP|10517679818137601979</stp>
        <tr r="AU703" s="1"/>
      </tp>
      <tp t="s">
        <v>#N/A Requesting Data...3377504031</v>
        <stp/>
        <stp>BDP|17024866358702208174</stp>
        <tr r="AS1838" s="1"/>
      </tp>
      <tp t="s">
        <v>#N/A Requesting Data...2255598177</v>
        <stp/>
        <stp>BDP|14608894167314048735</stp>
        <tr r="E755" s="1"/>
      </tp>
      <tp t="s">
        <v>#N/A Requesting Data...3811389085</v>
        <stp/>
        <stp>BDP|10303725789677454173</stp>
        <tr r="H284" s="1"/>
      </tp>
      <tp t="s">
        <v>#N/A Requesting Data...1847352118</v>
        <stp/>
        <stp>BDP|12471489501256544922</stp>
        <tr r="J1679" s="1"/>
      </tp>
      <tp t="s">
        <v>#N/A Requesting Data...1098923077</v>
        <stp/>
        <stp>BDP|17723520597644954618</stp>
        <tr r="H1494" s="1"/>
      </tp>
      <tp t="s">
        <v>#N/A Requesting Data...4064258907</v>
        <stp/>
        <stp>BDP|11898933916302206256</stp>
        <tr r="H937" s="1"/>
      </tp>
      <tp t="s">
        <v>#N/A Requesting Data...4199476107</v>
        <stp/>
        <stp>BDP|11201975039785762719</stp>
        <tr r="AT751" s="1"/>
      </tp>
      <tp t="s">
        <v>#N/A Requesting Data...3028523307</v>
        <stp/>
        <stp>BDP|12947820868006953302</stp>
        <tr r="H1477" s="1"/>
      </tp>
      <tp t="s">
        <v>#N/A Requesting Data...1434138707</v>
        <stp/>
        <stp>BDP|17160051712799861645</stp>
        <tr r="AV266" s="1"/>
      </tp>
      <tp t="s">
        <v>#N/A Requesting Data...1844857359</v>
        <stp/>
        <stp>BDP|16315986436565759007</stp>
        <tr r="E1850" s="1"/>
      </tp>
      <tp t="s">
        <v>#N/A Requesting Data...4175537413</v>
        <stp/>
        <stp>BDP|17570998923895264074</stp>
        <tr r="E1238" s="1"/>
      </tp>
      <tp t="s">
        <v>#N/A Requesting Data...2819510838</v>
        <stp/>
        <stp>BDP|14036870724211695683</stp>
        <tr r="H1285" s="1"/>
        <tr r="H967" s="1"/>
      </tp>
      <tp t="s">
        <v>#N/A Requesting Data...2922094208</v>
        <stp/>
        <stp>BDP|16314251112644087895</stp>
        <tr r="AU431" s="1"/>
      </tp>
      <tp t="s">
        <v>#N/A Requesting Data...871818393</v>
        <stp/>
        <stp>BDP|10458881336873506125</stp>
        <tr r="J1589" s="1"/>
      </tp>
      <tp t="s">
        <v>#N/A Requesting Data...3592660820</v>
        <stp/>
        <stp>BDP|17139312335666185897</stp>
        <tr r="J1920" s="1"/>
        <tr r="J30" s="1"/>
      </tp>
      <tp t="s">
        <v>#N/A Requesting Data...3363592148</v>
        <stp/>
        <stp>BDP|12565687144270423909</stp>
        <tr r="E581" s="1"/>
      </tp>
      <tp t="s">
        <v>#N/A Requesting Data...1168379716</v>
        <stp/>
        <stp>BDP|13061269183060872007</stp>
        <tr r="AO2039" s="1"/>
      </tp>
      <tp t="s">
        <v>#N/A Requesting Data...1653313733</v>
        <stp/>
        <stp>BDP|13043450696703940479</stp>
        <tr r="J1157" s="1"/>
      </tp>
      <tp t="s">
        <v>#N/A Requesting Data...2513483639</v>
        <stp/>
        <stp>BDP|12097869539086588675</stp>
        <tr r="AT397" s="1"/>
      </tp>
      <tp t="s">
        <v>#N/A Requesting Data...3594621215</v>
        <stp/>
        <stp>BDP|17806155596130065661</stp>
        <tr r="AV638" s="1"/>
      </tp>
      <tp t="s">
        <v>#N/A Requesting Data...4126187370</v>
        <stp/>
        <stp>BDP|10540602017749665794</stp>
        <tr r="J1187" s="1"/>
      </tp>
      <tp t="s">
        <v>#N/A Requesting Data...1743641557</v>
        <stp/>
        <stp>BDP|13428241986841999120</stp>
        <tr r="AU604" s="1"/>
      </tp>
      <tp t="s">
        <v>#N/A Requesting Data...893937794</v>
        <stp/>
        <stp>BDP|16716873519784502217</stp>
        <tr r="E1940" s="1"/>
      </tp>
      <tp t="s">
        <v>#N/A Requesting Data...981284354</v>
        <stp/>
        <stp>BDP|12506686285772770720</stp>
        <tr r="H308" s="1"/>
      </tp>
      <tp t="s">
        <v>#N/A Requesting Data...3508089017</v>
        <stp/>
        <stp>BDP|16680402389247190434</stp>
        <tr r="E1891" s="1"/>
        <tr r="E2095" s="1"/>
      </tp>
      <tp t="s">
        <v>#N/A Requesting Data...1517183006</v>
        <stp/>
        <stp>BDP|15796228759232999990</stp>
        <tr r="H309" s="1"/>
      </tp>
      <tp t="s">
        <v>#N/A Requesting Data...1252037561</v>
        <stp/>
        <stp>BDP|14941197889610085454</stp>
        <tr r="H1578" s="1"/>
      </tp>
      <tp t="s">
        <v>#N/A Requesting Data...4065333047</v>
        <stp/>
        <stp>BDP|10676491587813309677</stp>
        <tr r="J312" s="1"/>
      </tp>
      <tp t="s">
        <v>#N/A Requesting Data...884652684</v>
        <stp/>
        <stp>BDP|14550707207413999977</stp>
        <tr r="H1010" s="1"/>
        <tr r="H1017" s="1"/>
        <tr r="H1020" s="1"/>
        <tr r="H1034" s="1"/>
        <tr r="H1064" s="1"/>
        <tr r="H1079" s="1"/>
        <tr r="H1124" s="1"/>
        <tr r="H1155" s="1"/>
        <tr r="H1166" s="1"/>
        <tr r="H1193" s="1"/>
        <tr r="H1226" s="1"/>
        <tr r="H1272" s="1"/>
        <tr r="H1278" s="1"/>
        <tr r="H129" s="1"/>
        <tr r="H1294" s="1"/>
        <tr r="H1329" s="1"/>
        <tr r="H1336" s="1"/>
        <tr r="H1345" s="1"/>
        <tr r="H1364" s="1"/>
        <tr r="H1367" s="1"/>
        <tr r="H1371" s="1"/>
        <tr r="H1385" s="1"/>
        <tr r="H1432" s="1"/>
        <tr r="H1436" s="1"/>
        <tr r="H1458" s="1"/>
        <tr r="H1465" s="1"/>
        <tr r="H1468" s="1"/>
        <tr r="H1471" s="1"/>
        <tr r="H1474" s="1"/>
        <tr r="H1496" s="1"/>
        <tr r="H150" s="1"/>
        <tr r="H1543" s="1"/>
        <tr r="H1562" s="1"/>
        <tr r="H1604" s="1"/>
        <tr r="H165" s="1"/>
        <tr r="H1674" s="1"/>
        <tr r="H1703" s="1"/>
        <tr r="H1710" s="1"/>
        <tr r="H1717" s="1"/>
        <tr r="H1724" s="1"/>
        <tr r="H1727" s="1"/>
        <tr r="H1734" s="1"/>
        <tr r="H1741" s="1"/>
        <tr r="H1744" s="1"/>
        <tr r="H1759" s="1"/>
        <tr r="H177" s="1"/>
        <tr r="H1796" s="1"/>
        <tr r="H1799" s="1"/>
        <tr r="H1802" s="1"/>
        <tr r="H1805" s="1"/>
        <tr r="H1808" s="1"/>
        <tr r="H1811" s="1"/>
        <tr r="H1824" s="1"/>
        <tr r="H1839" s="1"/>
        <tr r="H1857" s="1"/>
        <tr r="H1915" s="1"/>
        <tr r="H195" s="1"/>
        <tr r="H1959" s="1"/>
        <tr r="H1970" s="1"/>
        <tr r="H1989" s="1"/>
        <tr r="H199" s="1"/>
        <tr r="H1992" s="1"/>
        <tr r="H1995" s="1"/>
        <tr r="H1998" s="1"/>
        <tr r="H2001" s="1"/>
        <tr r="H2004" s="1"/>
        <tr r="H2007" s="1"/>
        <tr r="H2010" s="1"/>
        <tr r="H2013" s="1"/>
        <tr r="H2016" s="1"/>
        <tr r="H2019" s="1"/>
        <tr r="H2022" s="1"/>
        <tr r="H2025" s="1"/>
        <tr r="H2028" s="1"/>
        <tr r="H2031" s="1"/>
        <tr r="H2034" s="1"/>
        <tr r="H2037" s="1"/>
        <tr r="H2040" s="1"/>
        <tr r="H2043" s="1"/>
        <tr r="H2046" s="1"/>
        <tr r="H2049" s="1"/>
        <tr r="H2052" s="1"/>
        <tr r="H2069" s="1"/>
        <tr r="H224" s="1"/>
        <tr r="H234" s="1"/>
        <tr r="H25" s="1"/>
        <tr r="H253" s="1"/>
        <tr r="H277" s="1"/>
        <tr r="H4" s="1"/>
        <tr r="H471" s="1"/>
        <tr r="H562" s="1"/>
        <tr r="H7" s="1"/>
        <tr r="H70" s="1"/>
        <tr r="H764" s="1"/>
        <tr r="H771" s="1"/>
        <tr r="H782" s="1"/>
        <tr r="H794" s="1"/>
        <tr r="H798" s="1"/>
        <tr r="H816" s="1"/>
        <tr r="H823" s="1"/>
        <tr r="H830" s="1"/>
        <tr r="H925" s="1"/>
        <tr r="H932" s="1"/>
        <tr r="H971" s="1"/>
      </tp>
      <tp t="s">
        <v>#N/A Requesting Data...1657890773</v>
        <stp/>
        <stp>BDP|14703188833488146715</stp>
        <tr r="AS252" s="1"/>
      </tp>
      <tp t="s">
        <v>#N/A Requesting Data...2867753648</v>
        <stp/>
        <stp>BDP|12637839428009962881</stp>
        <tr r="AU637" s="1"/>
      </tp>
      <tp t="s">
        <v>#N/A Requesting Data...1020969424</v>
        <stp/>
        <stp>BDP|17083032775540978934</stp>
        <tr r="E1533" s="1"/>
      </tp>
      <tp t="s">
        <v>#N/A Requesting Data...1442550715</v>
        <stp/>
        <stp>BDP|15521662623159847149</stp>
        <tr r="E541" s="1"/>
      </tp>
      <tp t="s">
        <v>#N/A Requesting Data...2948574798</v>
        <stp/>
        <stp>BDP|14154660764148917564</stp>
        <tr r="E1353" s="1"/>
      </tp>
      <tp t="s">
        <v>#N/A Requesting Data...3071792473</v>
        <stp/>
        <stp>BDP|13968837426070034004</stp>
        <tr r="H1134" s="1"/>
        <tr r="H1634" s="1"/>
        <tr r="H241" s="1"/>
        <tr r="H786" s="1"/>
        <tr r="H86" s="1"/>
      </tp>
      <tp t="s">
        <v>#N/A Requesting Data...2067799108</v>
        <stp/>
        <stp>BDP|18399686164127295612</stp>
        <tr r="H146" s="1"/>
      </tp>
      <tp t="s">
        <v>#N/A Requesting Data...3327316501</v>
        <stp/>
        <stp>BDP|18267308509202168051</stp>
        <tr r="AR1473" s="1"/>
      </tp>
      <tp t="s">
        <v>#N/A Requesting Data...1126476459</v>
        <stp/>
        <stp>BDP|10512888890270306811</stp>
        <tr r="J621" s="1"/>
      </tp>
      <tp t="s">
        <v>#N/A Requesting Data...3020235531</v>
        <stp/>
        <stp>BDP|12951480678561794916</stp>
        <tr r="H1848" s="1"/>
      </tp>
      <tp t="s">
        <v>#N/A Requesting Data...1811270675</v>
        <stp/>
        <stp>BDP|12915149296144018746</stp>
        <tr r="J1694" s="1"/>
      </tp>
      <tp t="s">
        <v>#N/A Requesting Data...2554793851</v>
        <stp/>
        <stp>BDP|17404518558467030921</stp>
        <tr r="H804" s="1"/>
      </tp>
      <tp t="s">
        <v>#N/A Requesting Data...1492531249</v>
        <stp/>
        <stp>BDP|15269517836418918236</stp>
        <tr r="H1392" s="1"/>
      </tp>
      <tp t="s">
        <v>#N/A Requesting Data...1407391089</v>
        <stp/>
        <stp>BDP|13461990367472470712</stp>
        <tr r="H486" s="1"/>
      </tp>
      <tp t="s">
        <v>#N/A Requesting Data...1023857717</v>
        <stp/>
        <stp>BDP|11314322310738746295</stp>
        <tr r="H1382" s="1"/>
      </tp>
      <tp t="s">
        <v>#N/A Requesting Data...2846045888</v>
        <stp/>
        <stp>BDP|10292384280474704632</stp>
        <tr r="AV283" s="1"/>
      </tp>
      <tp t="s">
        <v>#N/A Requesting Data...1836726058</v>
        <stp/>
        <stp>BDP|11188636949363102945</stp>
        <tr r="H608" s="1"/>
      </tp>
      <tp t="s">
        <v>#N/A Requesting Data...3901678624</v>
        <stp/>
        <stp>BDP|14735878318814788015</stp>
        <tr r="E1782" s="1"/>
      </tp>
      <tp t="s">
        <v>#N/A Requesting Data...1880326099</v>
        <stp/>
        <stp>BDP|15211048276379776291</stp>
        <tr r="H1941" s="1"/>
      </tp>
      <tp t="s">
        <v>#N/A Requesting Data...2085443155</v>
        <stp/>
        <stp>BDP|12365133575134915926</stp>
        <tr r="H1194" s="1"/>
      </tp>
      <tp t="s">
        <v>#N/A Requesting Data...2605498394</v>
        <stp/>
        <stp>BDP|16184428891435536795</stp>
        <tr r="AU683" s="1"/>
      </tp>
      <tp t="s">
        <v>#N/A Requesting Data...1742499003</v>
        <stp/>
        <stp>BDP|10211580490203706632</stp>
        <tr r="E1930" s="1"/>
        <tr r="E37" s="1"/>
      </tp>
      <tp t="s">
        <v>#N/A Requesting Data...1938584490</v>
        <stp/>
        <stp>BDP|15688780398117144598</stp>
        <tr r="E1677" s="1"/>
        <tr r="E803" s="1"/>
      </tp>
      <tp t="s">
        <v>#N/A Requesting Data...1597287489</v>
        <stp/>
        <stp>BDP|14105322221999450574</stp>
        <tr r="AU868" s="1"/>
      </tp>
      <tp t="s">
        <v>#N/A Requesting Data...1425975825</v>
        <stp/>
        <stp>BDP|17501858247171068366</stp>
        <tr r="H761" s="1"/>
      </tp>
      <tp t="s">
        <v>#N/A Requesting Data...2723219986</v>
        <stp/>
        <stp>BDP|13230144898861714386</stp>
        <tr r="AV315" s="1"/>
      </tp>
      <tp t="s">
        <v>#N/A Requesting Data...3608362188</v>
        <stp/>
        <stp>BDP|17982090569489001183</stp>
        <tr r="AU494" s="1"/>
      </tp>
      <tp t="s">
        <v>#N/A Requesting Data...2804733436</v>
        <stp/>
        <stp>BDP|12725573892631776643</stp>
        <tr r="J718" s="1"/>
      </tp>
      <tp t="s">
        <v>#N/A Requesting Data...2145808735</v>
        <stp/>
        <stp>BDP|14942936130413370480</stp>
        <tr r="E263" s="1"/>
      </tp>
      <tp t="s">
        <v>#N/A Requesting Data...2856188464</v>
        <stp/>
        <stp>BDP|10019520785874783017</stp>
        <tr r="AO775" s="1"/>
      </tp>
      <tp t="s">
        <v>#N/A Requesting Data...1774059423</v>
        <stp/>
        <stp>BDP|12299830547876227156</stp>
        <tr r="J839" s="1"/>
      </tp>
      <tp t="s">
        <v>#N/A Requesting Data...2548927362</v>
        <stp/>
        <stp>BDP|14050867283819363467</stp>
        <tr r="AT580" s="1"/>
      </tp>
      <tp t="s">
        <v>#N/A Requesting Data...2629359837</v>
        <stp/>
        <stp>BDP|11787639738598552599</stp>
        <tr r="AT412" s="1"/>
      </tp>
      <tp t="s">
        <v>#N/A Requesting Data...1663500553</v>
        <stp/>
        <stp>BDP|15100157133229199764</stp>
        <tr r="H16" s="1"/>
        <tr r="H172" s="1"/>
      </tp>
      <tp t="s">
        <v>#N/A Requesting Data...4139435201</v>
        <stp/>
        <stp>BDP|16294635293979180935</stp>
        <tr r="E1038" s="1"/>
      </tp>
      <tp t="s">
        <v>#N/A Requesting Data...2677330771</v>
        <stp/>
        <stp>BDP|13854204388839621964</stp>
        <tr r="AT413" s="1"/>
      </tp>
      <tp t="s">
        <v>#N/A Requesting Data...4189194755</v>
        <stp/>
        <stp>BDP|18045869096909215928</stp>
        <tr r="H1544" s="1"/>
      </tp>
      <tp t="s">
        <v>#N/A Requesting Data...3171264170</v>
        <stp/>
        <stp>BDP|10032108426103670901</stp>
        <tr r="J500" s="1"/>
      </tp>
      <tp t="s">
        <v>#N/A Requesting Data...1786186481</v>
        <stp/>
        <stp>BDP|17456460891106764540</stp>
        <tr r="E214" s="1"/>
      </tp>
      <tp t="s">
        <v>#N/A Requesting Data...1575493889</v>
        <stp/>
        <stp>BDP|11266711483152138514</stp>
        <tr r="E248" s="1"/>
      </tp>
      <tp t="s">
        <v>#N/A Requesting Data...1173283067</v>
        <stp/>
        <stp>BDP|17455116237105526976</stp>
        <tr r="E356" s="1"/>
      </tp>
      <tp t="s">
        <v>#N/A Requesting Data...931899527</v>
        <stp/>
        <stp>BDP|11001966076322629462</stp>
        <tr r="J1532" s="1"/>
      </tp>
      <tp t="s">
        <v>#N/A Requesting Data...4237255656</v>
        <stp/>
        <stp>BDP|16763275335827351955</stp>
        <tr r="J307" s="1"/>
      </tp>
      <tp t="s">
        <v>#N/A Requesting Data...753501907</v>
        <stp/>
        <stp>BDP|16733447076175481927</stp>
        <tr r="H1029" s="1"/>
      </tp>
      <tp t="s">
        <v>#N/A Requesting Data...1441521170</v>
        <stp/>
        <stp>BDP|13373446794414277328</stp>
        <tr r="H401" s="1"/>
      </tp>
      <tp t="s">
        <v>#N/A Requesting Data...802682596</v>
        <stp/>
        <stp>BDP|12638256057238262458</stp>
        <tr r="AU867" s="1"/>
      </tp>
      <tp t="s">
        <v>#N/A Requesting Data...3840685853</v>
        <stp/>
        <stp>BDP|12673415992760491624</stp>
        <tr r="AT205" s="1"/>
      </tp>
      <tp t="s">
        <v>#N/A Requesting Data...1858431965</v>
        <stp/>
        <stp>BDP|16434106336845411854</stp>
        <tr r="E367" s="1"/>
      </tp>
      <tp t="s">
        <v>#N/A Requesting Data...3924851468</v>
        <stp/>
        <stp>BDP|12787816916967519569</stp>
        <tr r="E446" s="1"/>
      </tp>
      <tp t="s">
        <v>#N/A Requesting Data...2731570894</v>
        <stp/>
        <stp>BDP|13220093761415188983</stp>
        <tr r="AV715" s="1"/>
      </tp>
      <tp t="s">
        <v>#N/A Requesting Data...3260066793</v>
        <stp/>
        <stp>BDP|16507859631912667648</stp>
        <tr r="AV521" s="1"/>
      </tp>
      <tp t="s">
        <v>#N/A Requesting Data...3320156165</v>
        <stp/>
        <stp>BDP|15645185822538938767</stp>
        <tr r="H544" s="1"/>
      </tp>
      <tp t="s">
        <v>#N/A Requesting Data...1453470298</v>
        <stp/>
        <stp>BDP|10741763484113227544</stp>
        <tr r="J506" s="1"/>
      </tp>
      <tp t="s">
        <v>#N/A Requesting Data...1753942649</v>
        <stp/>
        <stp>BDP|17837787554328530423</stp>
        <tr r="J1983" s="1"/>
      </tp>
      <tp t="s">
        <v>#N/A Requesting Data...1864599709</v>
        <stp/>
        <stp>BDP|10935993108081352181</stp>
        <tr r="J279" s="1"/>
      </tp>
      <tp t="s">
        <v>#N/A Requesting Data...3178693413</v>
        <stp/>
        <stp>BDP|15006966269792835146</stp>
        <tr r="E1129" s="1"/>
        <tr r="E1630" s="1"/>
      </tp>
      <tp t="s">
        <v>#N/A Requesting Data...4258303376</v>
        <stp/>
        <stp>BDP|17964666787866946637</stp>
        <tr r="AT406" s="1"/>
      </tp>
      <tp t="s">
        <v>#N/A Requesting Data...4108277913</v>
        <stp/>
        <stp>BDP|14691153944021111942</stp>
        <tr r="E1202" s="1"/>
      </tp>
      <tp t="s">
        <v>#N/A Requesting Data...4236095812</v>
        <stp/>
        <stp>BDP|16071862442197449429</stp>
        <tr r="AT878" s="1"/>
      </tp>
      <tp t="s">
        <v>#N/A Requesting Data...2940269606</v>
        <stp/>
        <stp>BDP|17341979616425104310</stp>
        <tr r="H1000" s="1"/>
      </tp>
      <tp t="s">
        <v>#N/A Requesting Data...2882952339</v>
        <stp/>
        <stp>BDP|13635865606240094244</stp>
        <tr r="J1646" s="1"/>
        <tr r="J93" s="1"/>
      </tp>
      <tp t="s">
        <v>#N/A Requesting Data...1525460094</v>
        <stp/>
        <stp>BDP|15792025362162108843</stp>
        <tr r="E698" s="1"/>
      </tp>
      <tp t="s">
        <v>#N/A Requesting Data...1203338008</v>
        <stp/>
        <stp>BDP|15763631509399781380</stp>
        <tr r="J214" s="1"/>
      </tp>
      <tp t="s">
        <v>#N/A Requesting Data...1919624528</v>
        <stp/>
        <stp>BDP|12159267354514964882</stp>
        <tr r="E587" s="1"/>
      </tp>
      <tp t="s">
        <v>#N/A Requesting Data...1827127527</v>
        <stp/>
        <stp>BDP|11169635185095774327</stp>
        <tr r="J1188" s="1"/>
        <tr r="J1493" s="1"/>
        <tr r="J1602" s="1"/>
      </tp>
      <tp t="s">
        <v>#N/A Requesting Data...2431011919</v>
        <stp/>
        <stp>BDP|10503083558028010470</stp>
        <tr r="J1930" s="1"/>
        <tr r="J37" s="1"/>
      </tp>
      <tp t="s">
        <v>#N/A Requesting Data...3901408551</v>
        <stp/>
        <stp>BDP|17742956824435257063</stp>
        <tr r="AT895" s="1"/>
      </tp>
      <tp t="s">
        <v>#N/A Requesting Data...3357247882</v>
        <stp/>
        <stp>BDP|15702496989683225372</stp>
        <tr r="AV590" s="1"/>
      </tp>
      <tp t="s">
        <v>#N/A Requesting Data...2650080161</v>
        <stp/>
        <stp>BDP|11585637502977166977</stp>
        <tr r="E262" s="1"/>
      </tp>
      <tp t="s">
        <v>#N/A Requesting Data...3575687551</v>
        <stp/>
        <stp>BDP|17144595368555312812</stp>
        <tr r="E169" s="1"/>
        <tr r="E1816" s="1"/>
      </tp>
      <tp t="s">
        <v>#N/A Requesting Data...2178993754</v>
        <stp/>
        <stp>BDP|10496994639933641007</stp>
        <tr r="H388" s="1"/>
      </tp>
      <tp t="s">
        <v>#N/A Requesting Data...3908311935</v>
        <stp/>
        <stp>BDP|12773341131728765371</stp>
        <tr r="AT897" s="1"/>
      </tp>
      <tp t="s">
        <v>#N/A Requesting Data...3094261153</v>
        <stp/>
        <stp>BDP|10261485960028178392</stp>
        <tr r="AT370" s="1"/>
      </tp>
      <tp t="s">
        <v>#N/A Requesting Data...3562643143</v>
        <stp/>
        <stp>BDP|13209033873254465942</stp>
        <tr r="J489" s="1"/>
      </tp>
      <tp t="s">
        <v>#N/A Requesting Data...2298648588</v>
        <stp/>
        <stp>BDP|17623451192164115726</stp>
        <tr r="H1497" s="1"/>
        <tr r="H1605" s="1"/>
      </tp>
      <tp t="s">
        <v>#N/A Requesting Data...3104531757</v>
        <stp/>
        <stp>BDP|12229490488727064017</stp>
        <tr r="AT400" s="1"/>
      </tp>
      <tp t="s">
        <v>#N/A Requesting Data...1840793841</v>
        <stp/>
        <stp>BDP|16184019756808019232</stp>
        <tr r="AU219" s="1"/>
      </tp>
      <tp t="s">
        <v>#N/A Requesting Data...3457922775</v>
        <stp/>
        <stp>BDP|16822989920951593503</stp>
        <tr r="AU331" s="1"/>
      </tp>
      <tp t="s">
        <v>#N/A Requesting Data...1647112903</v>
        <stp/>
        <stp>BDP|13163804056796083125</stp>
        <tr r="E1224" s="1"/>
      </tp>
      <tp t="s">
        <v>#N/A Requesting Data...3349387191</v>
        <stp/>
        <stp>BDP|16174046994107376179</stp>
        <tr r="AT258" s="1"/>
      </tp>
      <tp t="s">
        <v>#N/A Requesting Data...2469984859</v>
        <stp/>
        <stp>BDP|16460131952502071909</stp>
        <tr r="E715" s="1"/>
      </tp>
      <tp t="s">
        <v>#N/A Requesting Data...1908986524</v>
        <stp/>
        <stp>BDP|18118923681233417332</stp>
        <tr r="H724" s="1"/>
      </tp>
      <tp t="s">
        <v>#N/A Requesting Data...1897764508</v>
        <stp/>
        <stp>BDP|10236091687140830111</stp>
        <tr r="J1835" s="1"/>
      </tp>
      <tp t="s">
        <v>#N/A Requesting Data...2378949853</v>
        <stp/>
        <stp>BDP|16446721295606570735</stp>
        <tr r="J1668" s="1"/>
      </tp>
      <tp t="s">
        <v>#N/A Requesting Data...4050800897</v>
        <stp/>
        <stp>BDP|16906501685822882016</stp>
        <tr r="J1077" s="1"/>
      </tp>
      <tp t="s">
        <v>#N/A Requesting Data...2133645533</v>
        <stp/>
        <stp>BDP|16512748453815151862</stp>
        <tr r="AV288" s="1"/>
      </tp>
      <tp t="s">
        <v>#N/A Requesting Data...3060897794</v>
        <stp/>
        <stp>BDP|16455497299091244333</stp>
        <tr r="J266" s="1"/>
      </tp>
      <tp t="s">
        <v>#N/A Requesting Data...3376746770</v>
        <stp/>
        <stp>BDP|13060736203855322871</stp>
        <tr r="AU889" s="1"/>
      </tp>
      <tp t="s">
        <v>#N/A Requesting Data...3452718911</v>
        <stp/>
        <stp>BDP|11340415543991405912</stp>
        <tr r="E1694" s="1"/>
      </tp>
      <tp t="s">
        <v>#N/A Requesting Data...2024012766</v>
        <stp/>
        <stp>BDP|18169626672531742128</stp>
        <tr r="E1048" s="1"/>
        <tr r="E943" s="1"/>
      </tp>
      <tp t="s">
        <v>#N/A Requesting Data...3075535471</v>
        <stp/>
        <stp>BDP|10634031260377994880</stp>
        <tr r="AT654" s="1"/>
      </tp>
      <tp t="s">
        <v>#N/A Requesting Data...1732516950</v>
        <stp/>
        <stp>BDP|16789205171702649841</stp>
        <tr r="E1231" s="1"/>
      </tp>
      <tp t="s">
        <v>#N/A Requesting Data...1520842152</v>
        <stp/>
        <stp>BDP|13140828501532337054</stp>
        <tr r="AU385" s="1"/>
      </tp>
      <tp t="s">
        <v>#N/A Requesting Data...1598051445</v>
        <stp/>
        <stp>BDP|10798015491394492475</stp>
        <tr r="AU204" s="1"/>
      </tp>
      <tp t="s">
        <v>#N/A Requesting Data...883643172</v>
        <stp/>
        <stp>BDP|16567522858226915927</stp>
        <tr r="H1357" s="1"/>
      </tp>
      <tp t="s">
        <v>#N/A Requesting Data...2893834562</v>
        <stp/>
        <stp>BDP|13077826470667422221</stp>
        <tr r="J367" s="1"/>
      </tp>
      <tp t="s">
        <v>#N/A Requesting Data...4015470720</v>
        <stp/>
        <stp>BDP|15292738592904037640</stp>
        <tr r="H271" s="1"/>
      </tp>
      <tp t="s">
        <v>#N/A Requesting Data...2418115164</v>
        <stp/>
        <stp>BDP|18137602177092663278</stp>
        <tr r="E220" s="1"/>
      </tp>
      <tp t="s">
        <v>#N/A Requesting Data...2841896197</v>
        <stp/>
        <stp>BDP|10722018397483781319</stp>
        <tr r="E483" s="1"/>
      </tp>
      <tp t="s">
        <v>#N/A Requesting Data...3748876307</v>
        <stp/>
        <stp>BDP|13573570187675797257</stp>
        <tr r="AV512" s="1"/>
      </tp>
      <tp t="s">
        <v>#N/A Requesting Data...1319742031</v>
        <stp/>
        <stp>BDP|15268571723599458259</stp>
        <tr r="AV392" s="1"/>
      </tp>
      <tp t="s">
        <v>#N/A Requesting Data...3513833023</v>
        <stp/>
        <stp>BDP|14187289389012730507</stp>
        <tr r="E1485" s="1"/>
      </tp>
      <tp t="s">
        <v>#N/A Requesting Data...3510802331</v>
        <stp/>
        <stp>BDP|17321135204306291918</stp>
        <tr r="J950" s="1"/>
      </tp>
      <tp t="s">
        <v>#N/A Requesting Data...4029811453</v>
        <stp/>
        <stp>BDP|17561400835261515821</stp>
        <tr r="E114" s="1"/>
      </tp>
      <tp t="s">
        <v>#N/A Requesting Data...1305841860</v>
        <stp/>
        <stp>BDP|15440226569760097888</stp>
        <tr r="AP164" s="1"/>
      </tp>
      <tp t="s">
        <v>#N/A Requesting Data...2187765494</v>
        <stp/>
        <stp>BDP|15928954744877944671</stp>
        <tr r="E833" s="1"/>
      </tp>
      <tp t="s">
        <v>#N/A Requesting Data...4281409118</v>
        <stp/>
        <stp>BDP|11775644491224287366</stp>
        <tr r="E1754" s="1"/>
      </tp>
      <tp t="s">
        <v>#N/A Requesting Data...3024787530</v>
        <stp/>
        <stp>BDP|11944272428449479148</stp>
        <tr r="E599" s="1"/>
      </tp>
      <tp t="s">
        <v>#N/A Requesting Data...2025905947</v>
        <stp/>
        <stp>BDP|10816950157251588496</stp>
        <tr r="AU599" s="1"/>
      </tp>
      <tp t="s">
        <v>#N/A Requesting Data...3914797570</v>
        <stp/>
        <stp>BDP|10625814451606956298</stp>
        <tr r="H1306" s="1"/>
      </tp>
      <tp t="s">
        <v>#N/A Requesting Data...4065535254</v>
        <stp/>
        <stp>BDP|12786920492418698379</stp>
        <tr r="H546" s="1"/>
      </tp>
      <tp t="s">
        <v>#N/A Requesting Data...2479555315</v>
        <stp/>
        <stp>BDP|14462512479129340694</stp>
        <tr r="J1773" s="1"/>
      </tp>
      <tp t="s">
        <v>#N/A Requesting Data...1469509841</v>
        <stp/>
        <stp>BDP|18415599023910285151</stp>
        <tr r="H1931" s="1"/>
      </tp>
      <tp t="s">
        <v>#N/A Requesting Data...4146937445</v>
        <stp/>
        <stp>BDP|10012029317708849744</stp>
        <tr r="AT331" s="1"/>
      </tp>
      <tp t="s">
        <v>#N/A Requesting Data...2754588482</v>
        <stp/>
        <stp>BDP|15572764846421567994</stp>
        <tr r="J205" s="1"/>
      </tp>
      <tp t="s">
        <v>#N/A Requesting Data...2587470683</v>
        <stp/>
        <stp>BDP|11256192614596517937</stp>
        <tr r="H706" s="1"/>
      </tp>
      <tp t="s">
        <v>#N/A Requesting Data...2520172287</v>
        <stp/>
        <stp>BDP|14872740179363443984</stp>
        <tr r="E313" s="1"/>
      </tp>
      <tp t="s">
        <v>#N/A Requesting Data...3958000625</v>
        <stp/>
        <stp>BDP|13509080783941433421</stp>
        <tr r="AV698" s="1"/>
      </tp>
      <tp t="s">
        <v>#N/A Requesting Data...4085020771</v>
        <stp/>
        <stp>BDP|16841716586365434238</stp>
        <tr r="AV491" s="1"/>
      </tp>
      <tp t="s">
        <v>#N/A Requesting Data...1986554139</v>
        <stp/>
        <stp>BDP|14311977644715956219</stp>
        <tr r="E1476" s="1"/>
      </tp>
      <tp t="s">
        <v>#N/A Requesting Data...1812181869</v>
        <stp/>
        <stp>BDP|12578264088444355203</stp>
        <tr r="J1760" s="1"/>
      </tp>
      <tp t="s">
        <v>#N/A Requesting Data...4164186651</v>
        <stp/>
        <stp>BDP|16892161271388127669</stp>
        <tr r="AT715" s="1"/>
      </tp>
      <tp t="s">
        <v>#N/A Requesting Data...3173552993</v>
        <stp/>
        <stp>BDP|11577387855091345830</stp>
        <tr r="AU549" s="1"/>
      </tp>
      <tp t="s">
        <v>#N/A Requesting Data...2510450281</v>
        <stp/>
        <stp>BDP|15229761777918927311</stp>
        <tr r="AT919" s="1"/>
      </tp>
      <tp t="s">
        <v>#N/A Requesting Data...3051570392</v>
        <stp/>
        <stp>BDP|11138444674358954439</stp>
        <tr r="AT651" s="1"/>
      </tp>
      <tp t="s">
        <v>#N/A Requesting Data...2252540817</v>
        <stp/>
        <stp>BDP|12096431679349098611</stp>
        <tr r="E178" s="1"/>
        <tr r="E1921" s="1"/>
        <tr r="E31" s="1"/>
      </tp>
      <tp t="s">
        <v>#N/A Requesting Data...3075003852</v>
        <stp/>
        <stp>BDP|18302251360413904146</stp>
        <tr r="J1002" s="1"/>
        <tr r="J1321" s="1"/>
      </tp>
      <tp t="s">
        <v>#N/A Requesting Data...3554895337</v>
        <stp/>
        <stp>BDP|12312711473589801527</stp>
        <tr r="E474" s="1"/>
      </tp>
      <tp t="s">
        <v>#N/A Requesting Data...1616838761</v>
        <stp/>
        <stp>BDP|15764678454150666898</stp>
        <tr r="E1192" s="1"/>
      </tp>
      <tp t="s">
        <v>#N/A Requesting Data...4031887805</v>
        <stp/>
        <stp>BDP|11638770089607725747</stp>
        <tr r="AV673" s="1"/>
      </tp>
      <tp t="s">
        <v>#N/A Requesting Data...1108818030</v>
        <stp/>
        <stp>BDP|11875826120480252530</stp>
        <tr r="J1261" s="1"/>
      </tp>
      <tp t="s">
        <v>#N/A Requesting Data...3536946475</v>
        <stp/>
        <stp>BDP|16095169109108764137</stp>
        <tr r="J411" s="1"/>
      </tp>
      <tp t="s">
        <v>#N/A Requesting Data...1266691664</v>
        <stp/>
        <stp>BDP|17874850829034959778</stp>
        <tr r="H980" s="1"/>
      </tp>
      <tp t="s">
        <v>#N/A Requesting Data...3417287649</v>
        <stp/>
        <stp>BDP|14448886404817224501</stp>
        <tr r="H1984" s="1"/>
      </tp>
      <tp t="s">
        <v>#N/A Requesting Data...3824169249</v>
        <stp/>
        <stp>BDP|14817944962264009148</stp>
        <tr r="E664" s="1"/>
      </tp>
      <tp t="s">
        <v>#N/A Requesting Data...807497464</v>
        <stp/>
        <stp>BDP|13051552488769207951</stp>
        <tr r="J302" s="1"/>
      </tp>
      <tp t="s">
        <v>#N/A Requesting Data...867323338</v>
        <stp/>
        <stp>BDP|13519994945632750247</stp>
        <tr r="AO815" s="1"/>
      </tp>
      <tp t="s">
        <v>#N/A Requesting Data...2253020186</v>
        <stp/>
        <stp>BDP|16611830820250953266</stp>
        <tr r="J1341" s="1"/>
        <tr r="J1818" s="1"/>
      </tp>
      <tp t="s">
        <v>#N/A Requesting Data...816000660</v>
        <stp/>
        <stp>BDP|10866557407288674364</stp>
        <tr r="H857" s="1"/>
      </tp>
      <tp t="s">
        <v>#N/A Requesting Data...3560066269</v>
        <stp/>
        <stp>BDP|16720618315938136786</stp>
        <tr r="AS1470" s="1"/>
      </tp>
      <tp t="s">
        <v>#N/A Requesting Data...804541446</v>
        <stp/>
        <stp>BDP|10203089273101118850</stp>
        <tr r="AU833" s="1"/>
      </tp>
      <tp t="s">
        <v>#N/A Requesting Data...4286895620</v>
        <stp/>
        <stp>BDP|11941673859958978431</stp>
        <tr r="AU273" s="1"/>
      </tp>
      <tp t="s">
        <v>#N/A Requesting Data...2245639694</v>
        <stp/>
        <stp>BDP|10113630782398943848</stp>
        <tr r="J504" s="1"/>
      </tp>
      <tp t="s">
        <v>#N/A Requesting Data...866182111</v>
        <stp/>
        <stp>BDP|16031092084194286424</stp>
        <tr r="AU261" s="1"/>
      </tp>
      <tp t="s">
        <v>#N/A Requesting Data...2011652453</v>
        <stp/>
        <stp>BDP|13287919156629873802</stp>
        <tr r="AU914" s="1"/>
      </tp>
      <tp t="s">
        <v>#N/A Requesting Data...1010521286</v>
        <stp/>
        <stp>BDP|11965041952298367211</stp>
        <tr r="H565" s="1"/>
      </tp>
      <tp t="s">
        <v>#N/A Requesting Data...1704365417</v>
        <stp/>
        <stp>BDP|15597296725312586915</stp>
        <tr r="J1691" s="1"/>
      </tp>
      <tp t="s">
        <v>#N/A Requesting Data...884980366</v>
        <stp/>
        <stp>BDP|10718581926579133051</stp>
        <tr r="J463" s="1"/>
      </tp>
      <tp t="s">
        <v>#N/A Requesting Data...2980147084</v>
        <stp/>
        <stp>BDP|14198834977733887619</stp>
        <tr r="H2092" s="1"/>
      </tp>
      <tp t="s">
        <v>#N/A Requesting Data...3433253348</v>
        <stp/>
        <stp>BDP|14148089922220402835</stp>
        <tr r="AV684" s="1"/>
      </tp>
      <tp t="s">
        <v>#N/A Requesting Data...4047616209</v>
        <stp/>
        <stp>BDP|16331667047023782996</stp>
        <tr r="H890" s="1"/>
      </tp>
      <tp t="s">
        <v>#N/A Requesting Data...2976657248</v>
        <stp/>
        <stp>BDP|10092641846048949472</stp>
        <tr r="J1521" s="1"/>
      </tp>
      <tp t="s">
        <v>#N/A Requesting Data...4073631888</v>
        <stp/>
        <stp>BDP|17668605699177096137</stp>
        <tr r="E1024" s="1"/>
      </tp>
      <tp t="s">
        <v>#N/A Requesting Data...1627459721</v>
        <stp/>
        <stp>BDP|12781930229445193209</stp>
        <tr r="AV504" s="1"/>
      </tp>
      <tp t="s">
        <v>#N/A Requesting Data...3926478881</v>
        <stp/>
        <stp>BDP|16692119754564872871</stp>
        <tr r="AV222" s="1"/>
      </tp>
      <tp t="s">
        <v>#N/A Requesting Data...2880956668</v>
        <stp/>
        <stp>BDP|12722320927895836868</stp>
        <tr r="AT273" s="1"/>
      </tp>
      <tp t="s">
        <v>#N/A Requesting Data...956227668</v>
        <stp/>
        <stp>BDP|17705860645873800608</stp>
        <tr r="E1210" s="1"/>
      </tp>
      <tp t="s">
        <v>#N/A Requesting Data...1279840432</v>
        <stp/>
        <stp>BDP|15104314773367827872</stp>
        <tr r="E693" s="1"/>
      </tp>
      <tp t="s">
        <v>#N/A Requesting Data...3127481423</v>
        <stp/>
        <stp>BDP|16712476850329694091</stp>
        <tr r="AU534" s="1"/>
      </tp>
      <tp t="s">
        <v>#N/A Requesting Data...3331282835</v>
        <stp/>
        <stp>BDP|10349541289822252134</stp>
        <tr r="AU340" s="1"/>
      </tp>
      <tp t="s">
        <v>#N/A Requesting Data...3472166047</v>
        <stp/>
        <stp>BDP|12703091619418115590</stp>
        <tr r="H1304" s="1"/>
      </tp>
      <tp t="s">
        <v>#N/A Requesting Data...2670450821</v>
        <stp/>
        <stp>BDP|16089902089779557023</stp>
        <tr r="H1223" s="1"/>
      </tp>
      <tp t="s">
        <v>#N/A Requesting Data...2541473498</v>
        <stp/>
        <stp>BDP|12673280923865201915</stp>
        <tr r="E1141" s="1"/>
        <tr r="E1944" s="1"/>
        <tr r="E946" s="1"/>
      </tp>
      <tp t="s">
        <v>#N/A Requesting Data...3907902381</v>
        <stp/>
        <stp>BDP|13000893742711167048</stp>
        <tr r="H1487" s="1"/>
      </tp>
      <tp t="s">
        <v>#N/A Requesting Data...3500807694</v>
        <stp/>
        <stp>BDP|10397961523185144093</stp>
        <tr r="AV319" s="1"/>
      </tp>
      <tp t="s">
        <v>#N/A Requesting Data...1324826403</v>
        <stp/>
        <stp>BDP|13531473568748485701</stp>
        <tr r="J557" s="1"/>
      </tp>
      <tp t="s">
        <v>#N/A Requesting Data...3170077471</v>
        <stp/>
        <stp>BDP|15888262257369326548</stp>
        <tr r="J183" s="1"/>
        <tr r="J38" s="1"/>
      </tp>
      <tp t="s">
        <v>#N/A Requesting Data...4079975928</v>
        <stp/>
        <stp>BDP|10056300783435917042</stp>
        <tr r="E201" s="1"/>
        <tr r="E257" s="1"/>
      </tp>
      <tp t="s">
        <v>#N/A Requesting Data...1459908800</v>
        <stp/>
        <stp>BDP|13446466776978384691</stp>
        <tr r="AO778" s="1"/>
      </tp>
      <tp t="s">
        <v>#N/A Requesting Data...1663699106</v>
        <stp/>
        <stp>BDP|17459112804769808171</stp>
        <tr r="E423" s="1"/>
      </tp>
      <tp t="s">
        <v>#N/A Requesting Data...2558631243</v>
        <stp/>
        <stp>BDP|11122886333436118251</stp>
        <tr r="E1410" s="1"/>
      </tp>
      <tp t="s">
        <v>#N/A Requesting Data...1193344930</v>
        <stp/>
        <stp>BDP|14664643699945343068</stp>
        <tr r="J427" s="1"/>
      </tp>
      <tp t="s">
        <v>#N/A Requesting Data...2822423855</v>
        <stp/>
        <stp>BDP|10203880665461772164</stp>
        <tr r="H1024" s="1"/>
      </tp>
      <tp t="s">
        <v>#N/A Requesting Data...3526462709</v>
        <stp/>
        <stp>BDP|11414397491691070423</stp>
        <tr r="AU754" s="1"/>
      </tp>
      <tp t="s">
        <v>#N/A Requesting Data...2881753075</v>
        <stp/>
        <stp>BDP|15702013340168518728</stp>
        <tr r="E761" s="1"/>
      </tp>
      <tp t="s">
        <v>#N/A Requesting Data...4006652779</v>
        <stp/>
        <stp>BDP|11640356496893629622</stp>
        <tr r="AV879" s="1"/>
      </tp>
      <tp t="s">
        <v>#N/A Requesting Data...1222322971</v>
        <stp/>
        <stp>BDP|18417318465135871690</stp>
        <tr r="E2056" s="1"/>
      </tp>
      <tp t="s">
        <v>#N/A Requesting Data...2133067882</v>
        <stp/>
        <stp>BDP|12635815664061589373</stp>
        <tr r="AU564" s="1"/>
      </tp>
      <tp t="s">
        <v>#N/A Requesting Data...3365558725</v>
        <stp/>
        <stp>BDP|18415783995548006084</stp>
        <tr r="E1318" s="1"/>
      </tp>
      <tp t="s">
        <v>#N/A Requesting Data...3397975382</v>
        <stp/>
        <stp>BDP|15790045799803225197</stp>
        <tr r="AT665" s="1"/>
      </tp>
      <tp t="s">
        <v>#N/A Requesting Data...2898348005</v>
        <stp/>
        <stp>BDP|12387038128257968904</stp>
        <tr r="AT269" s="1"/>
      </tp>
      <tp t="s">
        <v>#N/A Requesting Data...2150324372</v>
        <stp/>
        <stp>BDP|17862804752306843232</stp>
        <tr r="J2082" s="1"/>
      </tp>
      <tp t="s">
        <v>#N/A Requesting Data...3511619875</v>
        <stp/>
        <stp>BDP|17937022996051829144</stp>
        <tr r="AT272" s="1"/>
      </tp>
      <tp t="s">
        <v>#N/A Requesting Data...1313681853</v>
        <stp/>
        <stp>BDP|12112048984254980096</stp>
        <tr r="AU579" s="1"/>
      </tp>
      <tp t="s">
        <v>#N/A Requesting Data...3884039734</v>
        <stp/>
        <stp>BDP|18112857452159549226</stp>
        <tr r="E1541" s="1"/>
        <tr r="E1852" s="1"/>
      </tp>
      <tp t="s">
        <v>#N/A Requesting Data...4044848091</v>
        <stp/>
        <stp>BDP|17915080260519810680</stp>
        <tr r="E1663" s="1"/>
      </tp>
      <tp t="s">
        <v>#N/A Requesting Data...3284230707</v>
        <stp/>
        <stp>BDP|14558350740179934483</stp>
        <tr r="J654" s="1"/>
      </tp>
      <tp t="s">
        <v>#N/A Requesting Data...4217826827</v>
        <stp/>
        <stp>BDP|11620173521055778962</stp>
        <tr r="J176" s="1"/>
      </tp>
      <tp t="s">
        <v>#N/A Requesting Data...4154994643</v>
        <stp/>
        <stp>BDP|12300694338488080122</stp>
        <tr r="AT466" s="1"/>
      </tp>
      <tp t="s">
        <v>#N/A Requesting Data...3244068931</v>
        <stp/>
        <stp>BDP|12844971202054850159</stp>
        <tr r="J127" s="1"/>
      </tp>
      <tp t="s">
        <v>#N/A Requesting Data...2895408838</v>
        <stp/>
        <stp>BDP|17122994783698383087</stp>
        <tr r="H410" s="1"/>
      </tp>
      <tp t="s">
        <v>#N/A Requesting Data...2362128280</v>
        <stp/>
        <stp>BDP|11290264822296123972</stp>
        <tr r="J1828" s="1"/>
      </tp>
      <tp t="s">
        <v>#N/A Requesting Data...1428637583</v>
        <stp/>
        <stp>BDP|12611429095881877099</stp>
        <tr r="H1615" s="1"/>
      </tp>
      <tp t="s">
        <v>#N/A Requesting Data...3315606134</v>
        <stp/>
        <stp>BDP|13446637746867204835</stp>
        <tr r="E1143" s="1"/>
        <tr r="E95" s="1"/>
      </tp>
      <tp t="s">
        <v>#N/A Requesting Data...2866937876</v>
        <stp/>
        <stp>BDP|13988433793560905003</stp>
        <tr r="J1209" s="1"/>
      </tp>
      <tp t="s">
        <v>#N/A Requesting Data...1558757381</v>
        <stp/>
        <stp>BDP|10746646687386012641</stp>
        <tr r="J1437" s="1"/>
      </tp>
      <tp t="s">
        <v>#N/A Requesting Data...1568181193</v>
        <stp/>
        <stp>BDP|17901019211838025094</stp>
        <tr r="J1408" s="1"/>
        <tr r="J1976" s="1"/>
      </tp>
      <tp t="s">
        <v>#N/A Requesting Data...2543486931</v>
        <stp/>
        <stp>BDP|11548710320573255962</stp>
        <tr r="E127" s="1"/>
      </tp>
      <tp t="s">
        <v>#N/A Requesting Data...2028823940</v>
        <stp/>
        <stp>BDP|10877772403158465184</stp>
        <tr r="H112" s="1"/>
      </tp>
      <tp t="s">
        <v>#N/A Requesting Data...3290719321</v>
        <stp/>
        <stp>BDP|14996982748171971608</stp>
        <tr r="AT386" s="1"/>
      </tp>
      <tp t="s">
        <v>#N/A Requesting Data...3491097837</v>
        <stp/>
        <stp>BDP|15366234686068706917</stp>
        <tr r="AV448" s="1"/>
      </tp>
      <tp t="s">
        <v>#N/A Requesting Data...2701255581</v>
        <stp/>
        <stp>BDP|18088826692821869684</stp>
        <tr r="H1531" s="1"/>
      </tp>
      <tp t="s">
        <v>#N/A Requesting Data...2285229662</v>
        <stp/>
        <stp>BDP|13005698473254887819</stp>
        <tr r="AV904" s="1"/>
      </tp>
      <tp t="s">
        <v>#N/A Requesting Data...1015543444</v>
        <stp/>
        <stp>BDP|18075508071781417563</stp>
        <tr r="H193" s="1"/>
      </tp>
      <tp t="s">
        <v>#N/A Requesting Data...3707793427</v>
        <stp/>
        <stp>BDP|15491004690546350445</stp>
        <tr r="AU268" s="1"/>
      </tp>
      <tp t="s">
        <v>#N/A Requesting Data...1844211589</v>
        <stp/>
        <stp>BDP|14084424154078029351</stp>
        <tr r="AU840" s="1"/>
      </tp>
      <tp t="s">
        <v>#N/A Requesting Data...4052944865</v>
        <stp/>
        <stp>BDP|13599764643239108720</stp>
        <tr r="E877" s="1"/>
      </tp>
      <tp t="s">
        <v>#N/A Requesting Data...3801263859</v>
        <stp/>
        <stp>BDP|11988952378080731106</stp>
        <tr r="J579" s="1"/>
      </tp>
      <tp t="s">
        <v>#N/A Requesting Data...2200250843</v>
        <stp/>
        <stp>BDP|11388404433659143120</stp>
        <tr r="H338" s="1"/>
      </tp>
      <tp t="s">
        <v>#N/A Requesting Data...1447514454</v>
        <stp/>
        <stp>BDP|13706206199825880358</stp>
        <tr r="AV274" s="1"/>
      </tp>
      <tp t="s">
        <v>#N/A Requesting Data...3979145225</v>
        <stp/>
        <stp>BDP|11394247895612408655</stp>
        <tr r="H1351" s="1"/>
      </tp>
      <tp t="s">
        <v>#N/A Requesting Data...4137936989</v>
        <stp/>
        <stp>BDP|15049676118425499983</stp>
        <tr r="J383" s="1"/>
      </tp>
      <tp t="s">
        <v>#N/A Requesting Data...1703839265</v>
        <stp/>
        <stp>BDP|17400222165369470445</stp>
        <tr r="J321" s="1"/>
      </tp>
      <tp t="s">
        <v>#N/A Requesting Data...3500588529</v>
        <stp/>
        <stp>BDP|16183929248293111690</stp>
        <tr r="AU759" s="1"/>
      </tp>
      <tp t="s">
        <v>#N/A Requesting Data...4147793905</v>
        <stp/>
        <stp>BDP|16775175483771659061</stp>
        <tr r="AT477" s="1"/>
      </tp>
      <tp t="s">
        <v>#N/A Requesting Data...1171900738</v>
        <stp/>
        <stp>BDP|15497410063000199940</stp>
        <tr r="E1868" s="1"/>
      </tp>
      <tp t="s">
        <v>#N/A Requesting Data...2451477423</v>
        <stp/>
        <stp>BDP|15419965993308534374</stp>
        <tr r="AT724" s="1"/>
      </tp>
      <tp t="s">
        <v>#N/A Requesting Data...2630180998</v>
        <stp/>
        <stp>BDP|12322386668559253024</stp>
        <tr r="J109" s="1"/>
        <tr r="J1986" s="1"/>
      </tp>
      <tp t="s">
        <v>#N/A Requesting Data...1657052536</v>
        <stp/>
        <stp>BDP|14035109069999252483</stp>
        <tr r="J343" s="1"/>
      </tp>
      <tp t="s">
        <v>#N/A Requesting Data...4278727692</v>
        <stp/>
        <stp>BDP|12151856776731292238</stp>
        <tr r="H473" s="1"/>
      </tp>
      <tp t="s">
        <v>#N/A Requesting Data...1934845484</v>
        <stp/>
        <stp>BDP|14095882354261840666</stp>
        <tr r="H990" s="1"/>
      </tp>
      <tp t="s">
        <v>#N/A Requesting Data...3746552553</v>
        <stp/>
        <stp>BDP|16266258917393639844</stp>
        <tr r="AS164" s="1"/>
      </tp>
      <tp t="s">
        <v>#N/A Requesting Data...3926504898</v>
        <stp/>
        <stp>BDP|17385356295016806594</stp>
        <tr r="H530" s="1"/>
      </tp>
      <tp t="s">
        <v>#N/A Requesting Data...2940422542</v>
        <stp/>
        <stp>BDP|14841817787358898241</stp>
        <tr r="H588" s="1"/>
      </tp>
      <tp t="s">
        <v>#N/A Requesting Data...2326060503</v>
        <stp/>
        <stp>BDP|11492451080681273216</stp>
        <tr r="E1601" s="1"/>
        <tr r="E930" s="1"/>
      </tp>
      <tp t="s">
        <v>#N/A Requesting Data...3365438281</v>
        <stp/>
        <stp>BDP|14553690195953240696</stp>
        <tr r="H496" s="1"/>
      </tp>
      <tp t="s">
        <v>#N/A Requesting Data...3819681152</v>
        <stp/>
        <stp>BDP|14099976808591523284</stp>
        <tr r="J526" s="1"/>
      </tp>
      <tp t="s">
        <v>#N/A Requesting Data...1601613191</v>
        <stp/>
        <stp>BDP|12302266493787248069</stp>
        <tr r="AV480" s="1"/>
      </tp>
      <tp t="s">
        <v>#N/A Requesting Data...2878991386</v>
        <stp/>
        <stp>BDP|11915315940780223882</stp>
        <tr r="H949" s="1"/>
      </tp>
      <tp t="s">
        <v>#N/A Requesting Data...2342516437</v>
        <stp/>
        <stp>BDP|16857589098826834224</stp>
        <tr r="AV399" s="1"/>
      </tp>
      <tp t="s">
        <v>#N/A Requesting Data...2574791112</v>
        <stp/>
        <stp>BDP|12287558539323804941</stp>
        <tr r="AV687" s="1"/>
      </tp>
      <tp t="s">
        <v>#N/A Requesting Data...1369641022</v>
        <stp/>
        <stp>BDP|17067323912589652247</stp>
        <tr r="H2098" s="1"/>
      </tp>
      <tp t="s">
        <v>#N/A Requesting Data...2514207341</v>
        <stp/>
        <stp>BDP|17080687419196174829</stp>
        <tr r="E218" s="1"/>
      </tp>
      <tp t="s">
        <v>#N/A Requesting Data...1051198413</v>
        <stp/>
        <stp>BDP|16520345423301578854</stp>
        <tr r="H1654" s="1"/>
        <tr r="H1949" s="1"/>
        <tr r="H43" s="1"/>
      </tp>
      <tp t="s">
        <v>#N/A Requesting Data...2918095821</v>
        <stp/>
        <stp>BDP|18119624052296298319</stp>
        <tr r="J211" s="1"/>
      </tp>
      <tp t="s">
        <v>#N/A Requesting Data...2818440160</v>
        <stp/>
        <stp>BDP|11479713682184136443</stp>
        <tr r="J598" s="1"/>
      </tp>
      <tp t="s">
        <v>#N/A Requesting Data...2998365997</v>
        <stp/>
        <stp>BDP|15571521182096043076</stp>
        <tr r="AR1801" s="1"/>
      </tp>
      <tp t="s">
        <v>#N/A Requesting Data...3378462406</v>
        <stp/>
        <stp>BDP|15067570215197557828</stp>
        <tr r="AU855" s="1"/>
      </tp>
      <tp t="s">
        <v>#N/A Requesting Data...2079154724</v>
        <stp/>
        <stp>BDP|17648229519512811801</stp>
        <tr r="J1298" s="1"/>
      </tp>
      <tp t="s">
        <v>#N/A Requesting Data...3416611996</v>
        <stp/>
        <stp>BDP|18443996530808133491</stp>
        <tr r="J1056" s="1"/>
        <tr r="J1095" s="1"/>
        <tr r="J189" s="1"/>
      </tp>
      <tp t="s">
        <v>#N/A Requesting Data...1750264559</v>
        <stp/>
        <stp>BDP|16925138934342336884</stp>
        <tr r="H684" s="1"/>
      </tp>
      <tp t="s">
        <v>#N/A Requesting Data...1613628338</v>
        <stp/>
        <stp>BDP|13018135026067686961</stp>
        <tr r="E422" s="1"/>
      </tp>
      <tp t="s">
        <v>#N/A Requesting Data...3029988642</v>
        <stp/>
        <stp>BDP|11083858219511911709</stp>
        <tr r="H1035" s="1"/>
      </tp>
      <tp t="s">
        <v>#N/A Requesting Data...3590733120</v>
        <stp/>
        <stp>BDP|11783499948879575662</stp>
        <tr r="H1502" s="1"/>
        <tr r="H1622" s="1"/>
      </tp>
      <tp t="s">
        <v>#N/A Requesting Data...1783756104</v>
        <stp/>
        <stp>BDP|12182819013432695700</stp>
        <tr r="AV322" s="1"/>
      </tp>
      <tp t="s">
        <v>#N/A Requesting Data...1260136520</v>
        <stp/>
        <stp>BDP|16542958032931380341</stp>
        <tr r="E1528" s="1"/>
      </tp>
      <tp t="s">
        <v>#N/A Requesting Data...1460282946</v>
        <stp/>
        <stp>BDP|16408757891131403715</stp>
        <tr r="J1073" s="1"/>
      </tp>
      <tp t="s">
        <v>#N/A Requesting Data...4254875153</v>
        <stp/>
        <stp>BDP|15606010821709569061</stp>
        <tr r="J1862" s="1"/>
      </tp>
      <tp t="s">
        <v>#N/A Requesting Data...997487838</v>
        <stp/>
        <stp>BDP|12166720065454247911</stp>
        <tr r="H543" s="1"/>
      </tp>
      <tp t="s">
        <v>#N/A Requesting Data...2388669747</v>
        <stp/>
        <stp>BDP|17171991230597548480</stp>
        <tr r="H100" s="1"/>
        <tr r="H1659" s="1"/>
        <tr r="H1894" s="1"/>
      </tp>
      <tp t="s">
        <v>#N/A Requesting Data...1065355131</v>
        <stp/>
        <stp>BDP|11502258262149602202</stp>
        <tr r="J212" s="1"/>
      </tp>
      <tp t="s">
        <v>#N/A Requesting Data...2327662791</v>
        <stp/>
        <stp>BDP|13802961077075830658</stp>
        <tr r="J602" s="1"/>
      </tp>
      <tp t="s">
        <v>#N/A Requesting Data...2113021647</v>
        <stp/>
        <stp>BDP|11272051083693708478</stp>
        <tr r="AU746" s="1"/>
      </tp>
      <tp t="s">
        <v>#N/A Requesting Data...3622264509</v>
        <stp/>
        <stp>BDP|15248239387588614947</stp>
        <tr r="AV902" s="1"/>
      </tp>
      <tp t="s">
        <v>#N/A Requesting Data...4103016711</v>
        <stp/>
        <stp>BDP|13100474514989461126</stp>
        <tr r="E889" s="1"/>
      </tp>
      <tp t="s">
        <v>#N/A Requesting Data...1521875259</v>
        <stp/>
        <stp>BDP|17854773068330083831</stp>
        <tr r="AU350" s="1"/>
      </tp>
      <tp t="s">
        <v>#N/A Requesting Data...4086796858</v>
        <stp/>
        <stp>BDP|15003226792672114253</stp>
        <tr r="AT335" s="1"/>
      </tp>
      <tp t="s">
        <v>#N/A Requesting Data...3043640604</v>
        <stp/>
        <stp>BDP|12018747555226156846</stp>
        <tr r="AT535" s="1"/>
      </tp>
      <tp t="s">
        <v>#N/A Requesting Data...2506508347</v>
        <stp/>
        <stp>BDP|12270252440219650355</stp>
        <tr r="H212" s="1"/>
      </tp>
      <tp t="s">
        <v>#N/A Requesting Data...3670214590</v>
        <stp/>
        <stp>BDP|12462188344910925952</stp>
        <tr r="H1032" s="1"/>
        <tr r="H1116" s="1"/>
      </tp>
      <tp t="s">
        <v>#N/A Requesting Data...4083195593</v>
        <stp/>
        <stp>BDP|10962505516402296899</stp>
        <tr r="AT694" s="1"/>
      </tp>
      <tp t="s">
        <v>#N/A Requesting Data...3030671425</v>
        <stp/>
        <stp>BDP|17712004784012521321</stp>
        <tr r="AT643" s="1"/>
      </tp>
      <tp t="s">
        <v>#N/A Requesting Data...3432971549</v>
        <stp/>
        <stp>BDP|12196909047265747453</stp>
        <tr r="E1026" s="1"/>
        <tr r="E1567" s="1"/>
        <tr r="E56" s="1"/>
      </tp>
      <tp t="s">
        <v>#N/A Requesting Data...3603076617</v>
        <stp/>
        <stp>BDP|17377674214578705633</stp>
        <tr r="E267" s="1"/>
      </tp>
      <tp t="s">
        <v>#N/A Requesting Data...2985199601</v>
        <stp/>
        <stp>BDP|14105353541888267506</stp>
        <tr r="J1144" s="1"/>
      </tp>
      <tp t="s">
        <v>#N/A Requesting Data...3086782396</v>
        <stp/>
        <stp>BDP|13221809428362840557</stp>
        <tr r="J1547" s="1"/>
      </tp>
      <tp t="s">
        <v>#N/A Requesting Data...2872879516</v>
        <stp/>
        <stp>BDP|10431509087657267463</stp>
        <tr r="H909" s="1"/>
      </tp>
      <tp t="s">
        <v>#N/A Requesting Data...4252248284</v>
        <stp/>
        <stp>BDP|14388952700332381129</stp>
        <tr r="H1376" s="1"/>
      </tp>
      <tp t="s">
        <v>#N/A Requesting Data...2620349687</v>
        <stp/>
        <stp>BDP|11293801955543647161</stp>
        <tr r="H1974" s="1"/>
      </tp>
      <tp t="s">
        <v>#N/A Requesting Data...3489614504</v>
        <stp/>
        <stp>BDP|14368050994930404311</stp>
        <tr r="AT295" s="1"/>
      </tp>
      <tp t="s">
        <v>#N/A Requesting Data...2492169392</v>
        <stp/>
        <stp>BDP|12028264993862208502</stp>
        <tr r="AU858" s="1"/>
      </tp>
      <tp t="s">
        <v>#N/A Requesting Data...1131960165</v>
        <stp/>
        <stp>BDP|14243334018161840969</stp>
        <tr r="J1780" s="1"/>
      </tp>
      <tp t="s">
        <v>#N/A Requesting Data...3953239999</v>
        <stp/>
        <stp>BDP|16286796702888945771</stp>
        <tr r="J138" s="1"/>
      </tp>
      <tp t="s">
        <v>#N/A Requesting Data...3164047558</v>
        <stp/>
        <stp>BDP|13834566498220979182</stp>
        <tr r="J1892" s="1"/>
      </tp>
      <tp t="s">
        <v>#N/A Requesting Data...3282936665</v>
        <stp/>
        <stp>BDP|12272031940409369156</stp>
        <tr r="E1027" s="1"/>
      </tp>
      <tp t="s">
        <v>#N/A Requesting Data...4215578065</v>
        <stp/>
        <stp>BDP|15505183698984486764</stp>
        <tr r="E274" s="1"/>
      </tp>
      <tp t="s">
        <v>#N/A Requesting Data...3924225437</v>
        <stp/>
        <stp>BDP|14734715064409052251</stp>
        <tr r="J193" s="1"/>
      </tp>
      <tp t="s">
        <v>#N/A Requesting Data...1659656168</v>
        <stp/>
        <stp>BDP|13038535791113062254</stp>
        <tr r="AU450" s="1"/>
      </tp>
      <tp t="s">
        <v>#N/A Requesting Data...3294199125</v>
        <stp/>
        <stp>BDP|18372077427240038445</stp>
        <tr r="AT679" s="1"/>
      </tp>
      <tp t="s">
        <v>#N/A Requesting Data...3474839733</v>
        <stp/>
        <stp>BDP|14785000474398703520</stp>
        <tr r="J1687" s="1"/>
      </tp>
      <tp t="s">
        <v>#N/A Requesting Data...4105634029</v>
        <stp/>
        <stp>BDP|17792443690991285574</stp>
        <tr r="J1202" s="1"/>
      </tp>
      <tp t="s">
        <v>#N/A Requesting Data...3918317064</v>
        <stp/>
        <stp>BDP|13219421311409334144</stp>
        <tr r="E731" s="1"/>
      </tp>
      <tp t="s">
        <v>#N/A Requesting Data...1207600444</v>
        <stp/>
        <stp>BDP|13169976742068470865</stp>
        <tr r="E315" s="1"/>
      </tp>
      <tp t="s">
        <v>#N/A Requesting Data...2839075030</v>
        <stp/>
        <stp>BDP|16086058684797202757</stp>
        <tr r="J717" s="1"/>
      </tp>
      <tp t="s">
        <v>#N/A Requesting Data...3919723668</v>
        <stp/>
        <stp>BDP|11127106883141432700</stp>
        <tr r="E695" s="1"/>
      </tp>
      <tp t="s">
        <v>#N/A Requesting Data...2117952742</v>
        <stp/>
        <stp>BDP|10778552089084871757</stp>
        <tr r="E2057" s="1"/>
      </tp>
      <tp t="s">
        <v>#N/A Requesting Data...2509624907</v>
        <stp/>
        <stp>BDP|16449059141895866819</stp>
        <tr r="H916" s="1"/>
      </tp>
      <tp t="s">
        <v>#N/A Requesting Data...2025859061</v>
        <stp/>
        <stp>BDP|13395951624224352382</stp>
        <tr r="AV726" s="1"/>
      </tp>
      <tp t="s">
        <v>#N/A Requesting Data...1664798970</v>
        <stp/>
        <stp>BDP|15158292659085939817</stp>
        <tr r="J363" s="1"/>
      </tp>
      <tp t="s">
        <v>#N/A Requesting Data...3677811261</v>
        <stp/>
        <stp>BDP|14206597240592204801</stp>
        <tr r="J700" s="1"/>
      </tp>
      <tp t="s">
        <v>#N/A Requesting Data...3533528421</v>
        <stp/>
        <stp>BDP|11349042818628033760</stp>
        <tr r="AV626" s="1"/>
      </tp>
      <tp t="s">
        <v>#N/A Requesting Data...1191466485</v>
        <stp/>
        <stp>BDP|11993669842309167557</stp>
        <tr r="H872" s="1"/>
      </tp>
      <tp t="s">
        <v>#N/A Requesting Data...2467646653</v>
        <stp/>
        <stp>BDP|16917359588843960147</stp>
        <tr r="J1653" s="1"/>
        <tr r="J247" s="1"/>
      </tp>
      <tp t="s">
        <v>#N/A Requesting Data...1768639418</v>
        <stp/>
        <stp>BDP|12633880766180002312</stp>
        <tr r="J142" s="1"/>
      </tp>
      <tp t="s">
        <v>#N/A Requesting Data...2883792415</v>
        <stp/>
        <stp>BDP|18221580948021850737</stp>
        <tr r="E559" s="1"/>
      </tp>
      <tp t="s">
        <v>#N/A Requesting Data...2555639852</v>
        <stp/>
        <stp>BDP|13850124781055708054</stp>
        <tr r="AO773" s="1"/>
      </tp>
      <tp t="s">
        <v>#N/A Requesting Data...1352623660</v>
        <stp/>
        <stp>BDP|17550700892012762497</stp>
        <tr r="AV757" s="1"/>
      </tp>
      <tp t="s">
        <v>#N/A Requesting Data...3592342915</v>
        <stp/>
        <stp>BDP|12555248148668378338</stp>
        <tr r="AV423" s="1"/>
      </tp>
      <tp t="s">
        <v>#N/A Requesting Data...3339124259</v>
        <stp/>
        <stp>BDP|16077827448132363703</stp>
        <tr r="H1186" s="1"/>
        <tr r="H1488" s="1"/>
      </tp>
      <tp t="s">
        <v>#N/A Requesting Data...2062655805</v>
        <stp/>
        <stp>BDP|12372230671629008198</stp>
        <tr r="H1769" s="1"/>
      </tp>
      <tp t="s">
        <v>#N/A Requesting Data...3244295584</v>
        <stp/>
        <stp>BDP|11717724106088806136</stp>
        <tr r="H1239" s="1"/>
      </tp>
      <tp t="s">
        <v>#N/A Requesting Data...3735946912</v>
        <stp/>
        <stp>BDP|10111082111048408643</stp>
        <tr r="AV212" s="1"/>
      </tp>
      <tp t="s">
        <v>#N/A Requesting Data...2684630877</v>
        <stp/>
        <stp>BDP|15517735298303428722</stp>
        <tr r="H615" s="1"/>
      </tp>
      <tp t="s">
        <v>#N/A Requesting Data...3626264404</v>
        <stp/>
        <stp>BDP|11992732430128297206</stp>
        <tr r="E914" s="1"/>
      </tp>
      <tp t="s">
        <v>#N/A Requesting Data...2870882133</v>
        <stp/>
        <stp>BDP|15169899550021745640</stp>
        <tr r="J623" s="1"/>
      </tp>
      <tp t="s">
        <v>#N/A Requesting Data...2196649878</v>
        <stp/>
        <stp>BDP|18051004277552959259</stp>
        <tr r="H870" s="1"/>
      </tp>
      <tp t="s">
        <v>#N/A Requesting Data...1166333764</v>
        <stp/>
        <stp>BDP|15671747802188918528</stp>
        <tr r="AO2045" s="1"/>
      </tp>
      <tp t="s">
        <v>#N/A Requesting Data...3427037324</v>
        <stp/>
        <stp>BDP|15896957611224410635</stp>
        <tr r="J297" s="1"/>
      </tp>
      <tp t="s">
        <v>#N/A Requesting Data...4224644266</v>
        <stp/>
        <stp>BDP|16686293491454777627</stp>
        <tr r="AU502" s="1"/>
      </tp>
      <tp t="s">
        <v>#N/A Requesting Data...1945844838</v>
        <stp/>
        <stp>BDP|10295382616504691918</stp>
        <tr r="H1105" s="1"/>
        <tr r="H1478" s="1"/>
        <tr r="H1573" s="1"/>
      </tp>
      <tp t="s">
        <v>#N/A Requesting Data...3304325068</v>
        <stp/>
        <stp>BDP|12492525788189472914</stp>
        <tr r="AU418" s="1"/>
      </tp>
      <tp t="s">
        <v>#N/A Requesting Data...3757807067</v>
        <stp/>
        <stp>BDP|13333940068791421208</stp>
        <tr r="J763" s="1"/>
      </tp>
      <tp t="s">
        <v>#N/A Requesting Data...2550420068</v>
        <stp/>
        <stp>BDP|14431947128577335702</stp>
        <tr r="H1181" s="1"/>
      </tp>
      <tp t="s">
        <v>#N/A Requesting Data...3457077501</v>
        <stp/>
        <stp>BDP|10963847606206203124</stp>
        <tr r="E1258" s="1"/>
      </tp>
      <tp t="s">
        <v>#N/A Requesting Data...1638024802</v>
        <stp/>
        <stp>BDP|11556590247686213924</stp>
        <tr r="AU301" s="1"/>
      </tp>
      <tp t="s">
        <v>#N/A Requesting Data...2010707105</v>
        <stp/>
        <stp>BDP|16930947125037779546</stp>
        <tr r="E1509" s="1"/>
      </tp>
      <tp t="s">
        <v>#N/A Requesting Data...3180863428</v>
        <stp/>
        <stp>BDP|16339912617465662487</stp>
        <tr r="AV476" s="1"/>
      </tp>
      <tp t="s">
        <v>#N/A Requesting Data...1555965278</v>
        <stp/>
        <stp>BDP|17484113690181603192</stp>
        <tr r="AU887" s="1"/>
      </tp>
      <tp t="s">
        <v>#N/A Requesting Data...2013911310</v>
        <stp/>
        <stp>BDP|10569089052668029254</stp>
        <tr r="E727" s="1"/>
      </tp>
      <tp t="s">
        <v>#N/A Requesting Data...3698188865</v>
        <stp/>
        <stp>BDP|16880332946166152863</stp>
        <tr r="AT219" s="1"/>
      </tp>
      <tp t="s">
        <v>#N/A Requesting Data...1087753411</v>
        <stp/>
        <stp>BDP|10893116982302401450</stp>
        <tr r="AP1801" s="1"/>
      </tp>
      <tp t="s">
        <v>#N/A Requesting Data...3692193590</v>
        <stp/>
        <stp>BDP|10947105093315438240</stp>
        <tr r="H941" s="1"/>
      </tp>
      <tp t="s">
        <v>#N/A Requesting Data...2907990394</v>
        <stp/>
        <stp>BDP|10969618985934264556</stp>
        <tr r="AV734" s="1"/>
      </tp>
      <tp t="s">
        <v>#N/A Requesting Data...3878972644</v>
        <stp/>
        <stp>BDP|13443406329333556922</stp>
        <tr r="AU580" s="1"/>
      </tp>
      <tp t="s">
        <v>#N/A Requesting Data...3149028946</v>
        <stp/>
        <stp>BDP|14772440766289657094</stp>
        <tr r="AT577" s="1"/>
      </tp>
      <tp t="s">
        <v>#N/A Requesting Data...1819443078</v>
        <stp/>
        <stp>BDP|15044413583126042086</stp>
        <tr r="E496" s="1"/>
      </tp>
      <tp t="s">
        <v>#N/A Requesting Data...3362612375</v>
        <stp/>
        <stp>BDP|13844106177563398911</stp>
        <tr r="J1389" s="1"/>
        <tr r="J1858" s="1"/>
      </tp>
      <tp t="s">
        <v>#N/A Requesting Data...2088851579</v>
        <stp/>
        <stp>BDP|11056938656244811600</stp>
        <tr r="E1887" s="1"/>
      </tp>
      <tp t="s">
        <v>#N/A Requesting Data...1323594471</v>
        <stp/>
        <stp>BDP|16105446139909932782</stp>
        <tr r="H1291" s="1"/>
        <tr r="H968" s="1"/>
      </tp>
      <tp t="s">
        <v>#N/A Requesting Data...3689639937</v>
        <stp/>
        <stp>BDP|13652128503108271586</stp>
        <tr r="J1060" s="1"/>
      </tp>
      <tp t="s">
        <v>#N/A Requesting Data...1754378042</v>
        <stp/>
        <stp>BDP|15608228698068608975</stp>
        <tr r="J588" s="1"/>
      </tp>
      <tp t="s">
        <v>#N/A Requesting Data...3122772116</v>
        <stp/>
        <stp>BDP|10362291861459395259</stp>
        <tr r="AT481" s="1"/>
      </tp>
      <tp t="s">
        <v>#N/A Requesting Data...1459378989</v>
        <stp/>
        <stp>BDP|14300861927546959763</stp>
        <tr r="J1893" s="1"/>
        <tr r="J2096" s="1"/>
        <tr r="J45" s="1"/>
      </tp>
      <tp t="s">
        <v>#N/A Requesting Data...1739260747</v>
        <stp/>
        <stp>BDP|16492939924440678282</stp>
        <tr r="J509" s="1"/>
      </tp>
      <tp t="s">
        <v>#N/A Requesting Data...1690182280</v>
        <stp/>
        <stp>BDP|17991265557856360962</stp>
        <tr r="J1339" s="1"/>
      </tp>
      <tp t="s">
        <v>#N/A Requesting Data...2841824076</v>
        <stp/>
        <stp>BDP|15516823193743118883</stp>
        <tr r="AT718" s="1"/>
      </tp>
      <tp t="s">
        <v>#N/A Requesting Data...2281144828</v>
        <stp/>
        <stp>BDP|17415966361722732595</stp>
        <tr r="E1535" s="1"/>
      </tp>
      <tp t="s">
        <v>#N/A Requesting Data...3621395530</v>
        <stp/>
        <stp>BDP|11276765648008948582</stp>
        <tr r="H655" s="1"/>
      </tp>
      <tp t="s">
        <v>#N/A Requesting Data...3931780367</v>
        <stp/>
        <stp>BDP|15152048679044617964</stp>
        <tr r="J484" s="1"/>
      </tp>
      <tp t="s">
        <v>#N/A Requesting Data...3809383742</v>
        <stp/>
        <stp>BDP|17312003986164890415</stp>
        <tr r="AV615" s="1"/>
      </tp>
      <tp t="s">
        <v>#N/A Requesting Data...3564565317</v>
        <stp/>
        <stp>BDP|16383804104212871334</stp>
        <tr r="AU905" s="1"/>
      </tp>
      <tp t="s">
        <v>#N/A Requesting Data...2593105120</v>
        <stp/>
        <stp>BDP|16099247175109974544</stp>
        <tr r="E1506" s="1"/>
      </tp>
      <tp t="s">
        <v>#N/A Requesting Data...4058861729</v>
        <stp/>
        <stp>BDP|15159808949262457406</stp>
        <tr r="H1893" s="1"/>
        <tr r="H2096" s="1"/>
        <tr r="H45" s="1"/>
      </tp>
      <tp t="s">
        <v>#N/A Requesting Data...3525343534</v>
        <stp/>
        <stp>BDP|13968994660497814444</stp>
        <tr r="E723" s="1"/>
      </tp>
      <tp t="s">
        <v>#N/A Requesting Data...2539986907</v>
        <stp/>
        <stp>BDP|13720270075349015092</stp>
        <tr r="H108" s="1"/>
        <tr r="H1152" s="1"/>
      </tp>
      <tp t="s">
        <v>#N/A Requesting Data...3860178785</v>
        <stp/>
        <stp>BDP|12824945524434192258</stp>
        <tr r="AT536" s="1"/>
      </tp>
      <tp t="s">
        <v>#N/A Requesting Data...1153530927</v>
        <stp/>
        <stp>BDP|18075615393009960171</stp>
        <tr r="E2067" s="1"/>
      </tp>
      <tp t="s">
        <v>#N/A Requesting Data...2935208674</v>
        <stp/>
        <stp>BDP|14108099342856141971</stp>
        <tr r="H1786" s="1"/>
      </tp>
      <tp t="s">
        <v>#N/A Requesting Data...3902958329</v>
        <stp/>
        <stp>BDP|13517841735520262798</stp>
        <tr r="AV870" s="1"/>
      </tp>
      <tp t="s">
        <v>#N/A Requesting Data...3102012370</v>
        <stp/>
        <stp>BDP|11385635732409410293</stp>
        <tr r="H336" s="1"/>
      </tp>
      <tp t="s">
        <v>#N/A Requesting Data...3537071234</v>
        <stp/>
        <stp>BDP|17871846221084382617</stp>
        <tr r="J1545" s="1"/>
      </tp>
      <tp t="s">
        <v>#N/A Requesting Data...2831874754</v>
        <stp/>
        <stp>BDP|17402900715456800669</stp>
        <tr r="J676" s="1"/>
      </tp>
      <tp t="s">
        <v>#N/A Requesting Data...3111608322</v>
        <stp/>
        <stp>BDP|11013513771235849976</stp>
        <tr r="H1141" s="1"/>
        <tr r="H1944" s="1"/>
        <tr r="H946" s="1"/>
      </tp>
      <tp t="s">
        <v>#N/A Requesting Data...3106715711</v>
        <stp/>
        <stp>BDP|17791880504953212360</stp>
        <tr r="E1087" s="1"/>
      </tp>
      <tp t="s">
        <v>#N/A Requesting Data...2718923626</v>
        <stp/>
        <stp>BDP|11555396370189310307</stp>
        <tr r="AV650" s="1"/>
      </tp>
      <tp t="s">
        <v>#N/A Requesting Data...3238431856</v>
        <stp/>
        <stp>BDP|14251480196607740143</stp>
        <tr r="H440" s="1"/>
      </tp>
      <tp t="s">
        <v>#N/A Requesting Data...2657247543</v>
        <stp/>
        <stp>BDP|13514917471633370193</stp>
        <tr r="AU521" s="1"/>
      </tp>
      <tp t="s">
        <v>#N/A Requesting Data...3653197613</v>
        <stp/>
        <stp>BDP|17762320951109273789</stp>
        <tr r="H882" s="1"/>
      </tp>
      <tp t="s">
        <v>#N/A Requesting Data...3944096486</v>
        <stp/>
        <stp>BDP|15563120006639999261</stp>
        <tr r="H404" s="1"/>
      </tp>
      <tp t="s">
        <v>#N/A Requesting Data...3829328959</v>
        <stp/>
        <stp>BDP|10006698375806197831</stp>
        <tr r="H558" s="1"/>
      </tp>
      <tp t="s">
        <v>#N/A Requesting Data...2865288159</v>
        <stp/>
        <stp>BDP|12679916746535967561</stp>
        <tr r="H653" s="1"/>
      </tp>
      <tp t="s">
        <v>#N/A Requesting Data...2644356625</v>
        <stp/>
        <stp>BDP|14814809432251511119</stp>
        <tr r="H920" s="1"/>
      </tp>
      <tp t="s">
        <v>#N/A Requesting Data...2034223832</v>
        <stp/>
        <stp>BDP|16789021478618588660</stp>
        <tr r="H266" s="1"/>
      </tp>
      <tp t="s">
        <v>#N/A Requesting Data...1094958741</v>
        <stp/>
        <stp>BDP|15053820851541837656</stp>
        <tr r="AU741" s="1"/>
      </tp>
      <tp t="s">
        <v>#N/A Requesting Data...3000373757</v>
        <stp/>
        <stp>BDP|11703702514990124832</stp>
        <tr r="J935" s="1"/>
      </tp>
      <tp t="s">
        <v>#N/A Requesting Data...3024605079</v>
        <stp/>
        <stp>BDP|14535317702341041978</stp>
        <tr r="AT475" s="1"/>
      </tp>
      <tp t="s">
        <v>#N/A Requesting Data...1240780750</v>
        <stp/>
        <stp>BDP|15792578408508190782</stp>
        <tr r="J1537" s="1"/>
      </tp>
      <tp t="s">
        <v>#N/A Requesting Data...1420246326</v>
        <stp/>
        <stp>BDP|13093345287654073320</stp>
        <tr r="AU584" s="1"/>
      </tp>
      <tp t="s">
        <v>#N/A Requesting Data...4191444218</v>
        <stp/>
        <stp>BDP|18113457469100992552</stp>
        <tr r="H1677" s="1"/>
        <tr r="H803" s="1"/>
      </tp>
      <tp t="s">
        <v>#N/A Requesting Data...3655269139</v>
        <stp/>
        <stp>BDP|16726530298527904241</stp>
        <tr r="E922" s="1"/>
      </tp>
      <tp t="s">
        <v>#N/A Requesting Data...2311571382</v>
        <stp/>
        <stp>BDP|10235452087167950480</stp>
        <tr r="H1663" s="1"/>
      </tp>
      <tp t="s">
        <v>#N/A Requesting Data...4177749302</v>
        <stp/>
        <stp>BDP|10607139364921839987</stp>
        <tr r="H438" s="1"/>
      </tp>
      <tp t="s">
        <v>#N/A Requesting Data...3590544245</v>
        <stp/>
        <stp>BDP|16127347897292202113</stp>
        <tr r="AT305" s="1"/>
      </tp>
      <tp t="s">
        <v>#N/A Requesting Data...3730019124</v>
        <stp/>
        <stp>BDP|17034679333515118855</stp>
        <tr r="J274" s="1"/>
      </tp>
      <tp t="s">
        <v>#N/A Requesting Data...2513601584</v>
        <stp/>
        <stp>BDP|15330950710916763417</stp>
        <tr r="AT391" s="1"/>
      </tp>
      <tp t="s">
        <v>#N/A Requesting Data...1874831434</v>
        <stp/>
        <stp>BDP|10915065312939431795</stp>
        <tr r="E1503" s="1"/>
      </tp>
      <tp t="s">
        <v>#N/A Requesting Data...4171843829</v>
        <stp/>
        <stp>BDP|11630179894461255771</stp>
        <tr r="J135" s="1"/>
      </tp>
      <tp t="s">
        <v>#N/A Requesting Data...3502829962</v>
        <stp/>
        <stp>BDP|10493545697216631517</stp>
        <tr r="H1690" s="1"/>
      </tp>
      <tp t="s">
        <v>#N/A Requesting Data...2441972824</v>
        <stp/>
        <stp>BDP|14574010222408362159</stp>
        <tr r="E285" s="1"/>
      </tp>
      <tp t="s">
        <v>#N/A Requesting Data...3509994423</v>
        <stp/>
        <stp>BDP|11930232374373995878</stp>
        <tr r="AT711" s="1"/>
      </tp>
      <tp t="s">
        <v>#N/A Requesting Data...4136229744</v>
        <stp/>
        <stp>BDP|12298300729229913528</stp>
        <tr r="E1159" s="1"/>
        <tr r="E1904" s="1"/>
      </tp>
      <tp t="s">
        <v>#N/A Requesting Data...1555676517</v>
        <stp/>
        <stp>BDP|18419098066400877138</stp>
        <tr r="H424" s="1"/>
      </tp>
      <tp t="s">
        <v>#N/A Requesting Data...4247899919</v>
        <stp/>
        <stp>BDP|10131061568550813970</stp>
        <tr r="J1039" s="1"/>
      </tp>
      <tp t="s">
        <v>#N/A Requesting Data...1993740946</v>
        <stp/>
        <stp>BDP|10324902288187373983</stp>
        <tr r="AU466" s="1"/>
      </tp>
      <tp t="s">
        <v>#N/A Requesting Data...3354699373</v>
        <stp/>
        <stp>BDP|18125420921460554177</stp>
        <tr r="E1339" s="1"/>
      </tp>
      <tp t="s">
        <v>#N/A Requesting Data...2280792382</v>
        <stp/>
        <stp>BDP|10441464775494235853</stp>
        <tr r="E1423" s="1"/>
      </tp>
      <tp t="s">
        <v>#N/A Requesting Data...2697153606</v>
        <stp/>
        <stp>BDP|11822229059259702073</stp>
        <tr r="AT889" s="1"/>
      </tp>
      <tp t="s">
        <v>#N/A Requesting Data...3996864892</v>
        <stp/>
        <stp>BDP|18089852187680036717</stp>
        <tr r="H229" s="1"/>
      </tp>
      <tp t="s">
        <v>#N/A Requesting Data...4249054200</v>
        <stp/>
        <stp>BDP|12131001514975769913</stp>
        <tr r="H1039" s="1"/>
      </tp>
      <tp t="s">
        <v>#N/A Requesting Data...3538706316</v>
        <stp/>
        <stp>BDP|16593947177054500300</stp>
        <tr r="AU623" s="1"/>
      </tp>
      <tp t="s">
        <v>#N/A Requesting Data...3789251249</v>
        <stp/>
        <stp>BDP|15664423375998743155</stp>
        <tr r="H1338" s="1"/>
      </tp>
      <tp t="s">
        <v>#N/A Requesting Data...1728401115</v>
        <stp/>
        <stp>BDP|13955510728723087836</stp>
        <tr r="J1869" s="1"/>
        <tr r="J32" s="1"/>
      </tp>
      <tp t="s">
        <v>#N/A Requesting Data...3054932554</v>
        <stp/>
        <stp>BDP|16368274280780418335</stp>
        <tr r="H243" s="1"/>
      </tp>
      <tp t="s">
        <v>#N/A Requesting Data...2889156873</v>
        <stp/>
        <stp>BDP|12099092893890837416</stp>
        <tr r="J1288" s="1"/>
      </tp>
      <tp t="s">
        <v>#N/A Requesting Data...2164962960</v>
        <stp/>
        <stp>BDP|13570564581528652976</stp>
        <tr r="J1248" s="1"/>
      </tp>
      <tp t="s">
        <v>#N/A Requesting Data...4258733788</v>
        <stp/>
        <stp>BDP|10176982838742398701</stp>
        <tr r="AT864" s="1"/>
      </tp>
      <tp t="s">
        <v>#N/A Requesting Data...1815818959</v>
        <stp/>
        <stp>BDP|12454595714228230198</stp>
        <tr r="H1211" s="1"/>
      </tp>
      <tp t="s">
        <v>#N/A Requesting Data...2810134000</v>
        <stp/>
        <stp>BDP|18347044413712482420</stp>
        <tr r="AT888" s="1"/>
      </tp>
      <tp t="s">
        <v>#N/A Requesting Data...3446767455</v>
        <stp/>
        <stp>BDP|17376902122594691757</stp>
        <tr r="H1184" s="1"/>
      </tp>
      <tp t="s">
        <v>#N/A Requesting Data...3755226283</v>
        <stp/>
        <stp>BDP|17513967146916204351</stp>
        <tr r="H408" s="1"/>
      </tp>
      <tp t="s">
        <v>#N/A Requesting Data...1127322789</v>
        <stp/>
        <stp>BDP|16851170947364220888</stp>
        <tr r="J1511" s="1"/>
        <tr r="J1631" s="1"/>
      </tp>
      <tp t="s">
        <v>#N/A Requesting Data...4184037171</v>
        <stp/>
        <stp>BDP|14514562571670979991</stp>
        <tr r="H1835" s="1"/>
      </tp>
      <tp t="s">
        <v>#N/A Requesting Data...1343894944</v>
        <stp/>
        <stp>BDP|17255340497452314002</stp>
        <tr r="H244" s="1"/>
      </tp>
      <tp t="s">
        <v>#N/A Requesting Data...2506153697</v>
        <stp/>
        <stp>BDP|10644386807259865537</stp>
        <tr r="E29" s="1"/>
      </tp>
      <tp t="s">
        <v>#N/A Requesting Data...1324146232</v>
        <stp/>
        <stp>BDP|17285370896834400650</stp>
        <tr r="J137" s="1"/>
      </tp>
      <tp t="s">
        <v>#N/A Requesting Data...3655214600</v>
        <stp/>
        <stp>BDP|18063553872547711226</stp>
        <tr r="J575" s="1"/>
      </tp>
      <tp t="s">
        <v>#N/A Requesting Data...3401120008</v>
        <stp/>
        <stp>BDP|13287860499965874871</stp>
        <tr r="J1782" s="1"/>
      </tp>
      <tp t="s">
        <v>#N/A Requesting Data...3066141507</v>
        <stp/>
        <stp>BDP|12455441885392126360</stp>
        <tr r="AS1431" s="1"/>
      </tp>
      <tp t="s">
        <v>#N/A Requesting Data...1916778219</v>
        <stp/>
        <stp>BDP|12025350986305462353</stp>
        <tr r="AU924" s="1"/>
      </tp>
      <tp t="s">
        <v>#N/A Requesting Data...2999226653</v>
        <stp/>
        <stp>BDP|18044171163353214343</stp>
        <tr r="J306" s="1"/>
      </tp>
      <tp t="s">
        <v>#N/A Requesting Data...1174079633</v>
        <stp/>
        <stp>BDP|18362573707883172171</stp>
        <tr r="E1633" s="1"/>
        <tr r="E1682" s="1"/>
        <tr r="E84" s="1"/>
      </tp>
      <tp t="s">
        <v>#N/A Requesting Data...3912317402</v>
        <stp/>
        <stp>BDP|10493832052304515652</stp>
        <tr r="H1522" s="1"/>
      </tp>
      <tp t="s">
        <v>#N/A Requesting Data...3744254352</v>
        <stp/>
        <stp>BDP|14931866545840817776</stp>
        <tr r="AT208" s="1"/>
      </tp>
      <tp t="s">
        <v>#N/A Requesting Data...1496977527</v>
        <stp/>
        <stp>BDP|17793875565397626164</stp>
        <tr r="AO2012" s="1"/>
      </tp>
      <tp t="s">
        <v>#N/A Requesting Data...3816718708</v>
        <stp/>
        <stp>BDP|17134536717464505858</stp>
        <tr r="J1317" s="1"/>
      </tp>
      <tp t="s">
        <v>#N/A Requesting Data...2660503006</v>
        <stp/>
        <stp>BDP|17734568080944783134</stp>
        <tr r="J327" s="1"/>
      </tp>
      <tp t="s">
        <v>#N/A Requesting Data...3157847371</v>
        <stp/>
        <stp>BDP|11972865768014146438</stp>
        <tr r="E643" s="1"/>
      </tp>
      <tp t="s">
        <v>#N/A Requesting Data...3255555395</v>
        <stp/>
        <stp>BDP|10241124456678626354</stp>
        <tr r="H512" s="1"/>
      </tp>
      <tp t="s">
        <v>#N/A Requesting Data...1339986771</v>
        <stp/>
        <stp>BDP|14813213623369672296</stp>
        <tr r="E431" s="1"/>
      </tp>
      <tp t="s">
        <v>#N/A Requesting Data...3726289213</v>
        <stp/>
        <stp>BDP|13573443888410963050</stp>
        <tr r="J111" s="1"/>
      </tp>
      <tp t="s">
        <v>#N/A Requesting Data...3432711416</v>
        <stp/>
        <stp>BDP|17746650570318348145</stp>
        <tr r="J850" s="1"/>
      </tp>
      <tp t="s">
        <v>#N/A Requesting Data...2509285136</v>
        <stp/>
        <stp>BDP|16527849913179498935</stp>
        <tr r="H29" s="1"/>
      </tp>
      <tp t="s">
        <v>#N/A Requesting Data...1051270151</v>
        <stp/>
        <stp>BDP|16822556616039615483</stp>
        <tr r="J1203" s="1"/>
      </tp>
      <tp t="s">
        <v>#N/A Requesting Data...2086706643</v>
        <stp/>
        <stp>BDP|14038076905409625216</stp>
        <tr r="E539" s="1"/>
      </tp>
      <tp t="s">
        <v>#N/A Requesting Data...1476220747</v>
        <stp/>
        <stp>BDP|16593059781652644339</stp>
        <tr r="AU474" s="1"/>
      </tp>
      <tp t="s">
        <v>#N/A Requesting Data...3756360149</v>
        <stp/>
        <stp>BDP|13341968361675455646</stp>
        <tr r="AU305" s="1"/>
      </tp>
      <tp t="s">
        <v>#N/A Requesting Data...2039883469</v>
        <stp/>
        <stp>BDP|16751316656629246668</stp>
        <tr r="H1767" s="1"/>
      </tp>
      <tp t="s">
        <v>#N/A Requesting Data...1554724080</v>
        <stp/>
        <stp>BDP|11811976715325612388</stp>
        <tr r="AV724" s="1"/>
      </tp>
      <tp t="s">
        <v>#N/A Requesting Data...2490706764</v>
        <stp/>
        <stp>BDP|12073753846717075977</stp>
        <tr r="J1873" s="1"/>
      </tp>
      <tp t="s">
        <v>#N/A Requesting Data...2451653019</v>
        <stp/>
        <stp>BDP|17335823756097104223</stp>
        <tr r="E1090" s="1"/>
        <tr r="E1137" s="1"/>
        <tr r="E1639" s="1"/>
        <tr r="E1939" s="1"/>
      </tp>
      <tp t="s">
        <v>#N/A Requesting Data...1204185343</v>
        <stp/>
        <stp>BDP|11607852067951788170</stp>
        <tr r="E532" s="1"/>
      </tp>
      <tp t="s">
        <v>#N/A Requesting Data...1383162909</v>
        <stp/>
        <stp>BDP|13454294499704048300</stp>
        <tr r="H956" s="1"/>
      </tp>
      <tp t="s">
        <v>#N/A Requesting Data...2886337076</v>
        <stp/>
        <stp>BDP|18105320693618435507</stp>
        <tr r="H310" s="1"/>
      </tp>
      <tp t="s">
        <v>#N/A Requesting Data...4165767990</v>
        <stp/>
        <stp>BDP|12806385068311857943</stp>
        <tr r="AT381" s="1"/>
      </tp>
      <tp t="s">
        <v>#N/A Requesting Data...3651737952</v>
        <stp/>
        <stp>BDP|13120451296517368657</stp>
        <tr r="E729" s="1"/>
      </tp>
      <tp t="s">
        <v>#N/A Requesting Data...1951090789</v>
        <stp/>
        <stp>BDP|15380999416390849203</stp>
        <tr r="E1218" s="1"/>
      </tp>
      <tp t="s">
        <v>#N/A Requesting Data...3254875658</v>
        <stp/>
        <stp>BDP|14489030504632530929</stp>
        <tr r="J2092" s="1"/>
      </tp>
      <tp t="s">
        <v>#N/A Requesting Data...2313439388</v>
        <stp/>
        <stp>BDP|11140564523728557156</stp>
        <tr r="J250" s="1"/>
      </tp>
      <tp t="s">
        <v>#N/A Requesting Data...3379817852</v>
        <stp/>
        <stp>BDP|15694984861390131596</stp>
        <tr r="AT671" s="1"/>
      </tp>
      <tp t="s">
        <v>#N/A Requesting Data...2770285452</v>
        <stp/>
        <stp>BDP|14379712232667320848</stp>
        <tr r="E303" s="1"/>
      </tp>
      <tp t="s">
        <v>#N/A Requesting Data...2611333622</v>
        <stp/>
        <stp>BDP|16266531596641009409</stp>
        <tr r="E505" s="1"/>
      </tp>
      <tp t="s">
        <v>#N/A Requesting Data...1084757683</v>
        <stp/>
        <stp>BDP|12278497628868768331</stp>
        <tr r="AU636" s="1"/>
      </tp>
      <tp t="s">
        <v>#N/A Requesting Data...2700620330</v>
        <stp/>
        <stp>BDP|16787800850065974191</stp>
        <tr r="AU612" s="1"/>
      </tp>
      <tp t="s">
        <v>#N/A Requesting Data...1426449017</v>
        <stp/>
        <stp>BDP|16435903424723226158</stp>
        <tr r="H1862" s="1"/>
      </tp>
      <tp t="s">
        <v>#N/A Requesting Data...3501031261</v>
        <stp/>
        <stp>BDP|12969963615977895259</stp>
        <tr r="AT287" s="1"/>
      </tp>
      <tp t="s">
        <v>#N/A Requesting Data...2205174339</v>
        <stp/>
        <stp>BDP|11312612951424612921</stp>
        <tr r="J909" s="1"/>
      </tp>
      <tp t="s">
        <v>#N/A Requesting Data...2524324055</v>
        <stp/>
        <stp>BDP|17570236900179810397</stp>
        <tr r="H1415" s="1"/>
      </tp>
      <tp t="s">
        <v>#N/A Requesting Data...2046107600</v>
        <stp/>
        <stp>BDP|16240832032436377473</stp>
        <tr r="AU377" s="1"/>
      </tp>
      <tp t="s">
        <v>#N/A Requesting Data...2420528958</v>
        <stp/>
        <stp>BDP|17363929011597341755</stp>
        <tr r="J541" s="1"/>
      </tp>
      <tp t="s">
        <v>#N/A Requesting Data...3312105715</v>
        <stp/>
        <stp>BDP|13977859587299469591</stp>
        <tr r="H965" s="1"/>
      </tp>
      <tp t="s">
        <v>#N/A Requesting Data...1985403005</v>
        <stp/>
        <stp>BDP|17593387516768950244</stp>
        <tr r="E486" s="1"/>
      </tp>
      <tp t="s">
        <v>#N/A Requesting Data...3176564070</v>
        <stp/>
        <stp>BDP|15506741199803664787</stp>
        <tr r="J673" s="1"/>
      </tp>
      <tp t="s">
        <v>#N/A Requesting Data...1655419707</v>
        <stp/>
        <stp>BDP|11491834362330356006</stp>
        <tr r="J1234" s="1"/>
        <tr r="J1616" s="1"/>
      </tp>
      <tp t="s">
        <v>#N/A Requesting Data...1224594236</v>
        <stp/>
        <stp>BDP|11605466191137625418</stp>
        <tr r="H1200" s="1"/>
      </tp>
      <tp t="s">
        <v>#N/A Requesting Data...2618740951</v>
        <stp/>
        <stp>BDP|15969636689823333768</stp>
        <tr r="H1861" s="1"/>
      </tp>
      <tp t="s">
        <v>#N/A Requesting Data...1162320370</v>
        <stp/>
        <stp>BDP|15946741489855762058</stp>
        <tr r="AV746" s="1"/>
      </tp>
      <tp t="s">
        <v>#N/A Requesting Data...3692236424</v>
        <stp/>
        <stp>BDP|11691973775778499865</stp>
        <tr r="AU405" s="1"/>
      </tp>
      <tp t="s">
        <v>#N/A Requesting Data...3838217318</v>
        <stp/>
        <stp>BDP|17434435332696575966</stp>
        <tr r="AV223" s="1"/>
      </tp>
      <tp t="s">
        <v>#N/A Requesting Data...2700168190</v>
        <stp/>
        <stp>BDP|12421850386215508840</stp>
        <tr r="AV326" s="1"/>
      </tp>
      <tp t="s">
        <v>#N/A Requesting Data...2966794896</v>
        <stp/>
        <stp>BDP|16850878549860473545</stp>
        <tr r="E902" s="1"/>
      </tp>
      <tp t="s">
        <v>#N/A Requesting Data...3662783920</v>
        <stp/>
        <stp>BDP|10708489818953869992</stp>
        <tr r="AT743" s="1"/>
      </tp>
      <tp t="s">
        <v>#N/A Requesting Data...1090177829</v>
        <stp/>
        <stp>BDP|13945718137479981104</stp>
        <tr r="H1389" s="1"/>
        <tr r="H1858" s="1"/>
      </tp>
      <tp t="s">
        <v>#N/A Requesting Data...3588380477</v>
        <stp/>
        <stp>BDP|14075916747544984164</stp>
        <tr r="E722" s="1"/>
      </tp>
      <tp t="s">
        <v>#N/A Requesting Data...3008580275</v>
        <stp/>
        <stp>BDP|13739896125112324714</stp>
        <tr r="H426" s="1"/>
      </tp>
      <tp t="s">
        <v>#N/A Requesting Data...1519617210</v>
        <stp/>
        <stp>BDP|15272895047636747320</stp>
        <tr r="AU260" s="1"/>
      </tp>
      <tp t="s">
        <v>#N/A Requesting Data...2406000939</v>
        <stp/>
        <stp>BDP|17159072511748745291</stp>
        <tr r="H973" s="1"/>
      </tp>
      <tp t="s">
        <v>#N/A Requesting Data...2067557225</v>
        <stp/>
        <stp>BDP|13828382018104164902</stp>
        <tr r="E232" s="1"/>
      </tp>
      <tp t="s">
        <v>#N/A Requesting Data...2464294120</v>
        <stp/>
        <stp>BDP|15420924634537313486</stp>
        <tr r="AV460" s="1"/>
      </tp>
      <tp t="s">
        <v>#N/A Requesting Data...3092489202</v>
        <stp/>
        <stp>BDP|17612014910422995863</stp>
        <tr r="E1905" s="1"/>
        <tr r="E929" s="1"/>
      </tp>
      <tp t="s">
        <v>#N/A Requesting Data...3044015134</v>
        <stp/>
        <stp>BDP|11951619241569921682</stp>
        <tr r="H1405" s="1"/>
      </tp>
      <tp t="s">
        <v>#N/A Requesting Data...3088465986</v>
        <stp/>
        <stp>BDP|10655235129789073548</stp>
        <tr r="AT852" s="1"/>
      </tp>
      <tp t="s">
        <v>#N/A Requesting Data...1878568986</v>
        <stp/>
        <stp>BDP|15874979166051906781</stp>
        <tr r="H327" s="1"/>
      </tp>
      <tp t="s">
        <v>#N/A Requesting Data...3958665024</v>
        <stp/>
        <stp>BDP|14818659182844685214</stp>
        <tr r="E1623" s="1"/>
      </tp>
      <tp t="s">
        <v>#N/A Requesting Data...2865840501</v>
        <stp/>
        <stp>BDP|10338947629232355550</stp>
        <tr r="AU753" s="1"/>
      </tp>
      <tp t="s">
        <v>#N/A Requesting Data...2792982675</v>
        <stp/>
        <stp>BDP|10620894866437729563</stp>
        <tr r="J487" s="1"/>
      </tp>
      <tp t="s">
        <v>#N/A Requesting Data...1419208633</v>
        <stp/>
        <stp>BDP|10233491065186164877</stp>
        <tr r="E341" s="1"/>
      </tp>
      <tp t="s">
        <v>#N/A Requesting Data...3150084031</v>
        <stp/>
        <stp>BDP|13603781291157658614</stp>
        <tr r="J554" s="1"/>
      </tp>
      <tp t="s">
        <v>#N/A Requesting Data...1752198078</v>
        <stp/>
        <stp>BDP|12627389295217772349</stp>
        <tr r="H1126" s="1"/>
        <tr r="H136" s="1"/>
        <tr r="H1394" s="1"/>
        <tr r="H1614" s="1"/>
        <tr r="H74" s="1"/>
      </tp>
      <tp t="s">
        <v>#N/A Requesting Data...1421529984</v>
        <stp/>
        <stp>BDP|16492438199334059363</stp>
        <tr r="J1185" s="1"/>
      </tp>
      <tp t="s">
        <v>#N/A Requesting Data...3240659403</v>
        <stp/>
        <stp>BDP|16986331370019560744</stp>
        <tr r="J1162" s="1"/>
        <tr r="J961" s="1"/>
      </tp>
      <tp t="s">
        <v>#N/A Requesting Data...2110213081</v>
        <stp/>
        <stp>BDP|13992585722280957813</stp>
        <tr r="J12" s="1"/>
        <tr r="J1843" s="1"/>
      </tp>
      <tp t="s">
        <v>#N/A Requesting Data...3567474585</v>
        <stp/>
        <stp>BDP|11245340714797845819</stp>
        <tr r="AT285" s="1"/>
      </tp>
      <tp t="s">
        <v>#N/A Requesting Data...1987273152</v>
        <stp/>
        <stp>BDP|18356744478076085247</stp>
        <tr r="H1050" s="1"/>
      </tp>
      <tp t="s">
        <v>#N/A Requesting Data...3885024858</v>
        <stp/>
        <stp>BDP|18100466611606985746</stp>
        <tr r="AU662" s="1"/>
      </tp>
      <tp t="s">
        <v>#N/A Requesting Data...2827025028</v>
        <stp/>
        <stp>BDP|13912572916908704346</stp>
        <tr r="AV410" s="1"/>
      </tp>
      <tp t="s">
        <v>#N/A Requesting Data...2423897175</v>
        <stp/>
        <stp>BDP|12696968812480888611</stp>
        <tr r="AU390" s="1"/>
      </tp>
      <tp t="s">
        <v>#N/A Requesting Data...3109982449</v>
        <stp/>
        <stp>BDP|18136911253458081082</stp>
        <tr r="AT581" s="1"/>
      </tp>
      <tp t="s">
        <v>#N/A Requesting Data...2127561400</v>
        <stp/>
        <stp>BDP|18110043328684527237</stp>
        <tr r="E209" s="1"/>
      </tp>
      <tp t="s">
        <v>#N/A Requesting Data...1618278026</v>
        <stp/>
        <stp>BDP|10914667990605465601</stp>
        <tr r="H1911" s="1"/>
      </tp>
      <tp t="s">
        <v>#N/A Requesting Data...3893261333</v>
        <stp/>
        <stp>BDP|11213702917022902969</stp>
        <tr r="E655" s="1"/>
      </tp>
      <tp t="s">
        <v>#N/A Requesting Data...2259942550</v>
        <stp/>
        <stp>BDP|10556666185124537698</stp>
        <tr r="J1693" s="1"/>
      </tp>
      <tp t="s">
        <v>#N/A Requesting Data...3051691906</v>
        <stp/>
        <stp>BDP|10114839001433804714</stp>
        <tr r="AT684" s="1"/>
      </tp>
      <tp t="s">
        <v>#N/A Requesting Data...3558167414</v>
        <stp/>
        <stp>BDP|10310491604171468909</stp>
        <tr r="E677" s="1"/>
      </tp>
      <tp t="s">
        <v>#N/A Requesting Data...2454998608</v>
        <stp/>
        <stp>BDP|15652745185950553681</stp>
        <tr r="J716" s="1"/>
      </tp>
      <tp t="s">
        <v>#N/A Requesting Data...4255385645</v>
        <stp/>
        <stp>BDP|10440387396783408548</stp>
        <tr r="J811" s="1"/>
      </tp>
      <tp t="s">
        <v>#N/A Requesting Data...2362990563</v>
        <stp/>
        <stp>BDP|14105946510623781384</stp>
        <tr r="J840" s="1"/>
      </tp>
      <tp t="s">
        <v>#N/A Requesting Data...4077939050</v>
        <stp/>
        <stp>BDP|13370999797927690819</stp>
        <tr r="J1609" s="1"/>
        <tr r="J936" s="1"/>
      </tp>
      <tp t="s">
        <v>#N/A Requesting Data...2711481846</v>
        <stp/>
        <stp>BDP|12375880852706134526</stp>
        <tr r="AR198" s="1"/>
      </tp>
      <tp t="s">
        <v>#N/A Requesting Data...3028081004</v>
        <stp/>
        <stp>BDP|12630840949212675072</stp>
        <tr r="E370" s="1"/>
      </tp>
      <tp t="s">
        <v>#N/A Requesting Data...3946310021</v>
        <stp/>
        <stp>BDP|14128490513238455551</stp>
        <tr r="J502" s="1"/>
      </tp>
      <tp t="s">
        <v>#N/A Requesting Data...3745349988</v>
        <stp/>
        <stp>BDP|12198273069008772229</stp>
        <tr r="AU500" s="1"/>
      </tp>
      <tp t="s">
        <v>#N/A Requesting Data...1673555425</v>
        <stp/>
        <stp>BDP|11770844075551511393</stp>
        <tr r="AV619" s="1"/>
      </tp>
      <tp t="s">
        <v>#N/A Requesting Data...2244905545</v>
        <stp/>
        <stp>BDP|11825167647991469907</stp>
        <tr r="J1049" s="1"/>
        <tr r="J240" s="1"/>
      </tp>
      <tp t="s">
        <v>#N/A Requesting Data...2204151914</v>
        <stp/>
        <stp>BDP|15232843472277086196</stp>
        <tr r="J1024" s="1"/>
      </tp>
      <tp t="s">
        <v>#N/A Requesting Data...2814013317</v>
        <stp/>
        <stp>BDP|17144928038533100275</stp>
        <tr r="H1070" s="1"/>
      </tp>
      <tp t="s">
        <v>#N/A Requesting Data...1191073596</v>
        <stp/>
        <stp>BDP|10651209600078267699</stp>
        <tr r="H1688" s="1"/>
      </tp>
      <tp t="s">
        <v>#N/A Requesting Data...3369504295</v>
        <stp/>
        <stp>BDP|10227447893617830602</stp>
        <tr r="E1548" s="1"/>
      </tp>
      <tp t="s">
        <v>#N/A Requesting Data...2489096547</v>
        <stp/>
        <stp>BDP|15995868491599291106</stp>
        <tr r="AU455" s="1"/>
      </tp>
      <tp t="s">
        <v>#N/A Requesting Data...2829448792</v>
        <stp/>
        <stp>BDP|18309262195237425888</stp>
        <tr r="E1184" s="1"/>
      </tp>
      <tp t="s">
        <v>#N/A Requesting Data...3957951442</v>
        <stp/>
        <stp>BDP|10145387082875764204</stp>
        <tr r="H1545" s="1"/>
      </tp>
      <tp t="s">
        <v>#N/A Requesting Data...2993695189</v>
        <stp/>
        <stp>BDP|15206922748395483101</stp>
        <tr r="J155" s="1"/>
        <tr r="J1629" s="1"/>
      </tp>
      <tp t="s">
        <v>#N/A Requesting Data...3164900591</v>
        <stp/>
        <stp>BDP|16860451375919130052</stp>
        <tr r="AT604" s="1"/>
      </tp>
      <tp t="s">
        <v>#N/A Requesting Data...2898295340</v>
        <stp/>
        <stp>BDP|15247997569413648581</stp>
        <tr r="H111" s="1"/>
      </tp>
      <tp t="s">
        <v>#N/A Requesting Data...2984218368</v>
        <stp/>
        <stp>BDP|17833875762815254039</stp>
        <tr r="E213" s="1"/>
      </tp>
      <tp t="s">
        <v>#N/A Requesting Data...3640244505</v>
        <stp/>
        <stp>BDP|11268293427794914992</stp>
        <tr r="E143" s="1"/>
      </tp>
      <tp t="s">
        <v>#N/A Requesting Data...2662724535</v>
        <stp/>
        <stp>BDP|11729328985826468083</stp>
        <tr r="E465" s="1"/>
      </tp>
      <tp t="s">
        <v>#N/A Requesting Data...3825846665</v>
        <stp/>
        <stp>BDP|12128311084584204196</stp>
        <tr r="E1009" s="1"/>
        <tr r="E1271" s="1"/>
        <tr r="E1328" s="1"/>
        <tr r="E1363" s="1"/>
        <tr r="E1702" s="1"/>
        <tr r="E1716" s="1"/>
        <tr r="E1733" s="1"/>
        <tr r="E770" s="1"/>
        <tr r="E822" s="1"/>
        <tr r="E842" s="1"/>
      </tp>
      <tp t="s">
        <v>#N/A Requesting Data...1273284526</v>
        <stp/>
        <stp>BDP|15492812409213480271</stp>
        <tr r="E1867" s="1"/>
      </tp>
      <tp t="s">
        <v>#N/A Requesting Data...2867816651</v>
        <stp/>
        <stp>BDP|10666775296843898105</stp>
        <tr r="J209" s="1"/>
      </tp>
      <tp t="s">
        <v>#N/A Requesting Data...2217293013</v>
        <stp/>
        <stp>BDP|14944227261454282878</stp>
        <tr r="J596" s="1"/>
      </tp>
      <tp t="s">
        <v>#N/A Requesting Data...3562612653</v>
        <stp/>
        <stp>BDP|16422180182574618770</stp>
        <tr r="AU465" s="1"/>
      </tp>
      <tp t="s">
        <v>#N/A Requesting Data...1458061453</v>
        <stp/>
        <stp>BDP|15874292999131334342</stp>
        <tr r="H1765" s="1"/>
      </tp>
      <tp t="s">
        <v>#N/A Requesting Data...3677276173</v>
        <stp/>
        <stp>BDP|11830361487056027064</stp>
        <tr r="E1632" s="1"/>
      </tp>
      <tp t="s">
        <v>#N/A Requesting Data...2936842173</v>
        <stp/>
        <stp>BDP|11610882762810631343</stp>
        <tr r="AO2018" s="1"/>
      </tp>
      <tp t="s">
        <v>#N/A Requesting Data...1209582434</v>
        <stp/>
        <stp>BDP|14566889126684610632</stp>
        <tr r="H1099" s="1"/>
      </tp>
      <tp t="s">
        <v>#N/A Requesting Data...3508469510</v>
        <stp/>
        <stp>BDP|13857668792364375413</stp>
        <tr r="J1416" s="1"/>
      </tp>
      <tp t="s">
        <v>#N/A Requesting Data...3855780226</v>
        <stp/>
        <stp>BDP|11374846199175981991</stp>
        <tr r="J53" s="1"/>
      </tp>
      <tp t="s">
        <v>#N/A Requesting Data...3319913842</v>
        <stp/>
        <stp>BDP|13119806679345481523</stp>
        <tr r="J666" s="1"/>
      </tp>
      <tp t="s">
        <v>#N/A Requesting Data...4161554457</v>
        <stp/>
        <stp>BDP|13547164621515826948</stp>
        <tr r="AT309" s="1"/>
      </tp>
      <tp t="s">
        <v>#N/A Requesting Data...3790086481</v>
        <stp/>
        <stp>BDP|11850752976615098855</stp>
        <tr r="AT473" s="1"/>
      </tp>
      <tp t="s">
        <v>#N/A Requesting Data...3369265394</v>
        <stp/>
        <stp>BDP|12889392837578862609</stp>
        <tr r="AU214" s="1"/>
      </tp>
      <tp t="s">
        <v>#N/A Requesting Data...3268735451</v>
        <stp/>
        <stp>BDP|11097532568858176643</stp>
        <tr r="J1953" s="1"/>
      </tp>
      <tp t="s">
        <v>#N/A Requesting Data...2471173609</v>
        <stp/>
        <stp>BDP|11675386462039763150</stp>
        <tr r="J442" s="1"/>
      </tp>
      <tp t="s">
        <v>#N/A Requesting Data...2956680161</v>
        <stp/>
        <stp>BDP|11286339845788826223</stp>
        <tr r="AV533" s="1"/>
      </tp>
      <tp t="s">
        <v>#N/A Requesting Data...3251372543</v>
        <stp/>
        <stp>BDP|12157959673871926100</stp>
        <tr r="E1492" s="1"/>
      </tp>
      <tp t="s">
        <v>#N/A Requesting Data...3460747910</v>
        <stp/>
        <stp>BDP|14171956759200610457</stp>
        <tr r="E1691" s="1"/>
      </tp>
      <tp t="s">
        <v>#N/A Requesting Data...3547731172</v>
        <stp/>
        <stp>BDP|18008389833084344096</stp>
        <tr r="AU693" s="1"/>
      </tp>
      <tp t="s">
        <v>#N/A Requesting Data...2745388726</v>
        <stp/>
        <stp>BDP|11047946355818316930</stp>
        <tr r="J1037" s="1"/>
      </tp>
      <tp t="s">
        <v>#N/A Requesting Data...1978255252</v>
        <stp/>
        <stp>BDP|16582668794887107277</stp>
        <tr r="H1540" s="1"/>
      </tp>
      <tp t="s">
        <v>#N/A Requesting Data...3223549767</v>
        <stp/>
        <stp>BDP|16082207202830582860</stp>
        <tr r="AO1997" s="1"/>
      </tp>
      <tp t="s">
        <v>#N/A Requesting Data...1466828858</v>
        <stp/>
        <stp>BDP|16164553917997167937</stp>
        <tr r="J1108" s="1"/>
        <tr r="J927" s="1"/>
      </tp>
      <tp t="s">
        <v>#N/A Requesting Data...3384072499</v>
        <stp/>
        <stp>BDP|17331365172678136770</stp>
        <tr r="AU679" s="1"/>
      </tp>
      <tp t="s">
        <v>#N/A Requesting Data...4214013741</v>
        <stp/>
        <stp>BDP|15309301362988205429</stp>
        <tr r="H1550" s="1"/>
      </tp>
      <tp t="s">
        <v>#N/A Requesting Data...4084438108</v>
        <stp/>
        <stp>BDP|13449116624249618566</stp>
        <tr r="J1888" s="1"/>
        <tr r="J41" s="1"/>
      </tp>
      <tp t="s">
        <v>#N/A Requesting Data...4078788962</v>
        <stp/>
        <stp>BDP|14144524610128536474</stp>
        <tr r="J856" s="1"/>
      </tp>
      <tp t="s">
        <v>#N/A Requesting Data...3529100980</v>
        <stp/>
        <stp>BDP|12776348797982474614</stp>
        <tr r="AU363" s="1"/>
      </tp>
      <tp t="s">
        <v>#N/A Requesting Data...3370392881</v>
        <stp/>
        <stp>BDP|10720623083481772306</stp>
        <tr r="J756" s="1"/>
      </tp>
      <tp t="s">
        <v>#N/A Requesting Data...3176619762</v>
        <stp/>
        <stp>BDP|18318617806065647736</stp>
        <tr r="H265" s="1"/>
      </tp>
      <tp t="s">
        <v>#N/A Requesting Data...3961633198</v>
        <stp/>
        <stp>BDP|13531195099983622436</stp>
        <tr r="J1293" s="1"/>
        <tr r="J24" s="1"/>
        <tr r="J970" s="1"/>
      </tp>
      <tp t="s">
        <v>#N/A Requesting Data...3587184939</v>
        <stp/>
        <stp>BDP|16270618667539266366</stp>
        <tr r="H1145" s="1"/>
        <tr r="H1650" s="1"/>
      </tp>
      <tp t="s">
        <v>#N/A Requesting Data...1641171573</v>
        <stp/>
        <stp>BDP|11668676707412095962</stp>
        <tr r="H117" s="1"/>
      </tp>
      <tp t="s">
        <v>#N/A Requesting Data...4160125858</v>
        <stp/>
        <stp>BDP|18032475761833562536</stp>
        <tr r="H1831" s="1"/>
      </tp>
      <tp t="s">
        <v>#N/A Requesting Data...1270412526</v>
        <stp/>
        <stp>BDP|16565931866356838389</stp>
        <tr r="AU850" s="1"/>
      </tp>
      <tp t="s">
        <v>#N/A Requesting Data...2970102944</v>
        <stp/>
        <stp>BDP|14954161284063201297</stp>
        <tr r="E1286" s="1"/>
      </tp>
      <tp t="s">
        <v>#N/A Requesting Data...2533147133</v>
        <stp/>
        <stp>BDP|16537277472286549951</stp>
        <tr r="AU506" s="1"/>
      </tp>
      <tp t="s">
        <v>#N/A Requesting Data...2122135244</v>
        <stp/>
        <stp>BDP|17383639768859817208</stp>
        <tr r="AU512" s="1"/>
      </tp>
      <tp t="s">
        <v>#N/A Requesting Data...1292372626</v>
        <stp/>
        <stp>BDP|14659342703878279338</stp>
        <tr r="E1211" s="1"/>
      </tp>
      <tp t="s">
        <v>#N/A Requesting Data...2912179638</v>
        <stp/>
        <stp>BDP|12673715592225401517</stp>
        <tr r="E1203" s="1"/>
      </tp>
      <tp t="s">
        <v>#N/A Requesting Data...2979296980</v>
        <stp/>
        <stp>BDP|10489166923896961985</stp>
        <tr r="AT337" s="1"/>
      </tp>
      <tp t="s">
        <v>#N/A Requesting Data...3722407524</v>
        <stp/>
        <stp>BDP|12206593293330074282</stp>
        <tr r="H1169" s="1"/>
      </tp>
      <tp t="s">
        <v>#N/A Requesting Data...3868295639</v>
        <stp/>
        <stp>BDP|18392034138934862338</stp>
        <tr r="H176" s="1"/>
      </tp>
      <tp t="s">
        <v>#N/A Requesting Data...4160453563</v>
        <stp/>
        <stp>BDP|17534216180436460734</stp>
        <tr r="E1408" s="1"/>
        <tr r="E1976" s="1"/>
      </tp>
      <tp t="s">
        <v>#N/A Requesting Data...3077613635</v>
        <stp/>
        <stp>BDP|16912795181686058327</stp>
        <tr r="H617" s="1"/>
      </tp>
      <tp t="s">
        <v>#N/A Requesting Data...3417583446</v>
        <stp/>
        <stp>BDP|10985394972928206032</stp>
        <tr r="E487" s="1"/>
      </tp>
      <tp t="s">
        <v>#N/A Requesting Data...1227642743</v>
        <stp/>
        <stp>BDP|15905579722439807762</stp>
        <tr r="J1678" s="1"/>
      </tp>
      <tp t="s">
        <v>#N/A Requesting Data...2078674499</v>
        <stp/>
        <stp>BDP|14422892712606551781</stp>
        <tr r="E1107" s="1"/>
        <tr r="E1575" s="1"/>
      </tp>
      <tp t="s">
        <v>#N/A Requesting Data...4156266000</v>
        <stp/>
        <stp>BDP|13552718594744185533</stp>
        <tr r="J1524" s="1"/>
      </tp>
      <tp t="s">
        <v>#N/A Requesting Data...3446282440</v>
        <stp/>
        <stp>BDP|14017911630382539061</stp>
        <tr r="J483" s="1"/>
      </tp>
      <tp t="s">
        <v>#N/A Requesting Data...2202974707</v>
        <stp/>
        <stp>BDP|14278696198517238037</stp>
        <tr r="J322" s="1"/>
      </tp>
      <tp t="s">
        <v>#N/A Requesting Data...4147954509</v>
        <stp/>
        <stp>BDP|16275760563492212975</stp>
        <tr r="AT310" s="1"/>
      </tp>
      <tp t="s">
        <v>#N/A Requesting Data...1823084452</v>
        <stp/>
        <stp>BDP|11147111069603868933</stp>
        <tr r="E672" s="1"/>
      </tp>
      <tp t="s">
        <v>#N/A Requesting Data...2668517115</v>
        <stp/>
        <stp>BDP|17455049169705867844</stp>
        <tr r="AU475" s="1"/>
      </tp>
      <tp t="s">
        <v>#N/A Requesting Data...1547595427</v>
        <stp/>
        <stp>BDP|11206341195864168377</stp>
        <tr r="J216" s="1"/>
      </tp>
      <tp t="s">
        <v>#N/A Requesting Data...4074034493</v>
        <stp/>
        <stp>BDP|14063999414199829904</stp>
        <tr r="AU407" s="1"/>
      </tp>
      <tp t="s">
        <v>#N/A Requesting Data...2754909763</v>
        <stp/>
        <stp>BDP|11035108184725075115</stp>
        <tr r="J832" s="1"/>
      </tp>
      <tp t="s">
        <v>#N/A Requesting Data...4233406089</v>
        <stp/>
        <stp>BDP|18331266660666858684</stp>
        <tr r="E1195" s="1"/>
        <tr r="E2072" s="1"/>
      </tp>
      <tp t="s">
        <v>#N/A Requesting Data...2117008809</v>
        <stp/>
        <stp>BDP|12011834930380347550</stp>
        <tr r="H99" s="1"/>
      </tp>
      <tp t="s">
        <v>#N/A Requesting Data...2855818371</v>
        <stp/>
        <stp>BDP|12825620287493047385</stp>
        <tr r="H1168" s="1"/>
      </tp>
      <tp t="s">
        <v>#N/A Requesting Data...3360234476</v>
        <stp/>
        <stp>BDP|13710311452049663071</stp>
        <tr r="AT534" s="1"/>
      </tp>
      <tp t="s">
        <v>#N/A Requesting Data...1424551620</v>
        <stp/>
        <stp>BDP|12563150885562517557</stp>
        <tr r="H448" s="1"/>
      </tp>
      <tp t="s">
        <v>#N/A Requesting Data...2958503658</v>
        <stp/>
        <stp>BDP|11977488763406625900</stp>
        <tr r="E1280" s="1"/>
        <tr r="E1569" s="1"/>
        <tr r="E228" s="1"/>
        <tr r="E781" s="1"/>
      </tp>
      <tp t="s">
        <v>#N/A Requesting Data...2076118595</v>
        <stp/>
        <stp>BDP|11853775359689289607</stp>
        <tr r="H1398" s="1"/>
        <tr r="H1439" s="1"/>
      </tp>
      <tp t="s">
        <v>#N/A Requesting Data...3114406258</v>
        <stp/>
        <stp>BDP|15038306713938495338</stp>
        <tr r="E272" s="1"/>
      </tp>
      <tp t="s">
        <v>#N/A Requesting Data...1942239734</v>
        <stp/>
        <stp>BDP|11060867156731537119</stp>
        <tr r="J294" s="1"/>
      </tp>
      <tp t="s">
        <v>#N/A Requesting Data...3160750346</v>
        <stp/>
        <stp>BDP|12397060061450180817</stp>
        <tr r="AV759" s="1"/>
      </tp>
      <tp t="s">
        <v>#N/A Requesting Data...3115098515</v>
        <stp/>
        <stp>BDP|17009366343638830492</stp>
        <tr r="E1043" s="1"/>
        <tr r="E79" s="1"/>
      </tp>
      <tp t="s">
        <v>#N/A Requesting Data...4245570957</v>
        <stp/>
        <stp>BDP|14616793365250758994</stp>
        <tr r="H1981" s="1"/>
      </tp>
      <tp t="s">
        <v>#N/A Requesting Data...4142266228</v>
        <stp/>
        <stp>BDP|15407732510007731846</stp>
        <tr r="AT566" s="1"/>
      </tp>
      <tp t="s">
        <v>#N/A Requesting Data...1584901442</v>
        <stp/>
        <stp>BDP|11480906116043021669</stp>
        <tr r="AV847" s="1"/>
      </tp>
      <tp t="s">
        <v>#N/A Requesting Data...4240702927</v>
        <stp/>
        <stp>BDP|16234900962384276162</stp>
        <tr r="H1038" s="1"/>
      </tp>
      <tp t="s">
        <v>#N/A Requesting Data...4087064666</v>
        <stp/>
        <stp>BDP|11064993404425977102</stp>
        <tr r="AO1810" s="1"/>
      </tp>
      <tp t="s">
        <v>#N/A Requesting Data...4178743507</v>
        <stp/>
        <stp>BDP|17384832607492009104</stp>
        <tr r="AV540" s="1"/>
      </tp>
      <tp t="s">
        <v>#N/A Requesting Data...3223621074</v>
        <stp/>
        <stp>BDP|12080823684298768666</stp>
        <tr r="AV616" s="1"/>
      </tp>
      <tp t="s">
        <v>#N/A Requesting Data...2431664679</v>
        <stp/>
        <stp>BDP|10162620150687188851</stp>
        <tr r="E2090" s="1"/>
      </tp>
      <tp t="s">
        <v>#N/A Requesting Data...4084441111</v>
        <stp/>
        <stp>BDP|15762653941489185251</stp>
        <tr r="H393" s="1"/>
      </tp>
      <tp t="s">
        <v>#N/A Requesting Data...3524027547</v>
        <stp/>
        <stp>BDP|11353884559003199347</stp>
        <tr r="AP1457" s="1"/>
      </tp>
      <tp t="s">
        <v>#N/A Requesting Data...1799185706</v>
        <stp/>
        <stp>BDP|15066507010708209558</stp>
        <tr r="E350" s="1"/>
      </tp>
      <tp t="s">
        <v>#N/A Requesting Data...4061998073</v>
        <stp/>
        <stp>BDP|10441166311679415506</stp>
        <tr r="AT286" s="1"/>
      </tp>
      <tp t="s">
        <v>#N/A Requesting Data...2306084756</v>
        <stp/>
        <stp>BDP|13200861870934323408</stp>
        <tr r="H402" s="1"/>
      </tp>
      <tp t="s">
        <v>#N/A Requesting Data...3392456324</v>
        <stp/>
        <stp>BDP|12705910664699254873</stp>
        <tr r="AS198" s="1"/>
      </tp>
      <tp t="s">
        <v>#N/A Requesting Data...2990055412</v>
        <stp/>
        <stp>BDP|12150286229177645916</stp>
        <tr r="H865" s="1"/>
      </tp>
      <tp t="s">
        <v>#N/A Requesting Data...2598296899</v>
        <stp/>
        <stp>BDP|14643945140214705124</stp>
        <tr r="J1214" s="1"/>
      </tp>
      <tp t="s">
        <v>#N/A Requesting Data...2451233164</v>
        <stp/>
        <stp>BDP|11511901637185040253</stp>
        <tr r="AP777" s="1"/>
      </tp>
      <tp t="s">
        <v>#N/A Requesting Data...3899233666</v>
        <stp/>
        <stp>BDP|15700166097327294639</stp>
        <tr r="AV893" s="1"/>
      </tp>
      <tp t="s">
        <v>#N/A Requesting Data...2574517510</v>
        <stp/>
        <stp>BDP|16354759880637650266</stp>
        <tr r="J620" s="1"/>
      </tp>
      <tp t="s">
        <v>#N/A Requesting Data...1422817995</v>
        <stp/>
        <stp>BDP|17363380819351144858</stp>
        <tr r="AV544" s="1"/>
      </tp>
      <tp t="s">
        <v>#N/A Requesting Data...3446218802</v>
        <stp/>
        <stp>BDP|13365215694615157118</stp>
        <tr r="AU398" s="1"/>
      </tp>
      <tp t="s">
        <v>#N/A Requesting Data...2315404668</v>
        <stp/>
        <stp>BDP|15239770180076625052</stp>
        <tr r="J1311" s="1"/>
        <tr r="J1635" s="1"/>
        <tr r="J986" s="1"/>
      </tp>
      <tp t="s">
        <v>#N/A Requesting Data...2311860791</v>
        <stp/>
        <stp>BDP|15376891007012232396</stp>
        <tr r="H897" s="1"/>
      </tp>
      <tp t="s">
        <v>#N/A Requesting Data...1211090318</v>
        <stp/>
        <stp>BDP|18261142501354817194</stp>
        <tr r="E1103" s="1"/>
        <tr r="E55" s="1"/>
      </tp>
      <tp t="s">
        <v>#N/A Requesting Data...2040759633</v>
        <stp/>
        <stp>BDP|17633642890896468208</stp>
        <tr r="H1117" s="1"/>
        <tr r="H1590" s="1"/>
        <tr r="H65" s="1"/>
      </tp>
      <tp t="s">
        <v>#N/A Requesting Data...3793196065</v>
        <stp/>
        <stp>BDP|10535664163974187871</stp>
        <tr r="E1157" s="1"/>
      </tp>
      <tp t="s">
        <v>#N/A Requesting Data...4273077599</v>
        <stp/>
        <stp>BDP|13627221992753178715</stp>
        <tr r="H419" s="1"/>
      </tp>
      <tp t="s">
        <v>#N/A Requesting Data...2496655094</v>
        <stp/>
        <stp>BDP|15027179953954634945</stp>
        <tr r="H1511" s="1"/>
        <tr r="H1631" s="1"/>
      </tp>
      <tp t="s">
        <v>#N/A Requesting Data...1516065892</v>
        <stp/>
        <stp>BDP|12289512298074474766</stp>
        <tr r="J2094" s="1"/>
      </tp>
      <tp t="s">
        <v>#N/A Requesting Data...1327827299</v>
        <stp/>
        <stp>BDP|12981181397591951662</stp>
        <tr r="AV550" s="1"/>
      </tp>
      <tp t="s">
        <v>#N/A Requesting Data...2623625733</v>
        <stp/>
        <stp>BDP|11618498996307970696</stp>
        <tr r="H1173" s="1"/>
      </tp>
      <tp t="s">
        <v>#N/A Requesting Data...1295813800</v>
        <stp/>
        <stp>BDP|14876613446859531235</stp>
        <tr r="J869" s="1"/>
      </tp>
      <tp t="s">
        <v>#N/A Requesting Data...4128150475</v>
        <stp/>
        <stp>BDP|10226316186320897641</stp>
        <tr r="E1131" s="1"/>
      </tp>
      <tp t="s">
        <v>#N/A Requesting Data...3341363335</v>
        <stp/>
        <stp>BDP|16284565094050862717</stp>
        <tr r="AP1838" s="1"/>
      </tp>
      <tp t="s">
        <v>#N/A Requesting Data...1537358034</v>
        <stp/>
        <stp>BDP|12985851235324788070</stp>
        <tr r="AV334" s="1"/>
      </tp>
      <tp t="s">
        <v>#N/A Requesting Data...3077101439</v>
        <stp/>
        <stp>BDP|10701370857188863365</stp>
        <tr r="E953" s="1"/>
      </tp>
      <tp t="s">
        <v>#N/A Requesting Data...3865425302</v>
        <stp/>
        <stp>BDP|10241988170985061637</stp>
        <tr r="AT511" s="1"/>
      </tp>
      <tp t="s">
        <v>#N/A Requesting Data...3337911479</v>
        <stp/>
        <stp>BDP|10127642295245046789</stp>
        <tr r="H609" s="1"/>
      </tp>
      <tp t="s">
        <v>#N/A Requesting Data...1727633652</v>
        <stp/>
        <stp>BDP|13032615455234808942</stp>
        <tr r="J425" s="1"/>
      </tp>
      <tp t="s">
        <v>#N/A Requesting Data...3291828965</v>
        <stp/>
        <stp>BDP|14070465365083971821</stp>
        <tr r="J1684" s="1"/>
      </tp>
      <tp t="s">
        <v>#N/A Requesting Data...4176571654</v>
        <stp/>
        <stp>BDP|15305684087182068478</stp>
        <tr r="E895" s="1"/>
      </tp>
      <tp t="s">
        <v>#N/A Requesting Data...3876236829</v>
        <stp/>
        <stp>BDP|15946878834780071317</stp>
        <tr r="AV729" s="1"/>
      </tp>
      <tp t="s">
        <v>#N/A Requesting Data...4026087040</v>
        <stp/>
        <stp>BDP|16100781456501458809</stp>
        <tr r="AV335" s="1"/>
      </tp>
      <tp t="s">
        <v>#N/A Requesting Data...3885757505</v>
        <stp/>
        <stp>BDP|17760159635740405880</stp>
        <tr r="E424" s="1"/>
      </tp>
      <tp t="s">
        <v>#N/A Requesting Data...4053796111</v>
        <stp/>
        <stp>BDP|11801674985385083710</stp>
        <tr r="J989" s="1"/>
      </tp>
      <tp t="s">
        <v>#N/A Requesting Data...3889809885</v>
        <stp/>
        <stp>BDP|13019976834856143295</stp>
        <tr r="H1668" s="1"/>
      </tp>
      <tp t="s">
        <v>#N/A Requesting Data...3284004011</v>
        <stp/>
        <stp>BDP|17620788810839000550</stp>
        <tr r="E905" s="1"/>
      </tp>
      <tp t="s">
        <v>#N/A Requesting Data...1612212213</v>
        <stp/>
        <stp>BDP|14139705783882195485</stp>
        <tr r="J1239" s="1"/>
      </tp>
      <tp t="s">
        <v>#N/A Requesting Data...1980629587</v>
        <stp/>
        <stp>BDP|14689919648584559010</stp>
        <tr r="AV287" s="1"/>
      </tp>
      <tp t="s">
        <v>#N/A Requesting Data...3313155532</v>
        <stp/>
        <stp>BDP|10020899231712484472</stp>
        <tr r="AT843" s="1"/>
      </tp>
      <tp t="s">
        <v>#N/A Requesting Data...2382618686</v>
        <stp/>
        <stp>BDP|13827701278919273798</stp>
        <tr r="H888" s="1"/>
      </tp>
      <tp t="s">
        <v>#N/A Requesting Data...2184148540</v>
        <stp/>
        <stp>BDP|13084389583763921691</stp>
        <tr r="H492" s="1"/>
      </tp>
      <tp t="s">
        <v>#N/A Requesting Data...3989479568</v>
        <stp/>
        <stp>BDP|18063038165404578796</stp>
        <tr r="J480" s="1"/>
      </tp>
      <tp t="s">
        <v>#N/A Requesting Data...2891441132</v>
        <stp/>
        <stp>BDP|16493021639190638830</stp>
        <tr r="J255" s="1"/>
      </tp>
      <tp t="s">
        <v>#N/A Requesting Data...1521993745</v>
        <stp/>
        <stp>BDP|15964453577003640878</stp>
        <tr r="J1623" s="1"/>
      </tp>
      <tp t="s">
        <v>#N/A Requesting Data...1626322528</v>
        <stp/>
        <stp>BDP|16248509608079429742</stp>
        <tr r="AV551" s="1"/>
      </tp>
      <tp t="s">
        <v>#N/A Requesting Data...3636790915</v>
        <stp/>
        <stp>BDP|11450961165980457394</stp>
        <tr r="AV327" s="1"/>
      </tp>
      <tp t="s">
        <v>#N/A Requesting Data...1643892586</v>
        <stp/>
        <stp>BDP|15966909172950725668</stp>
        <tr r="E203" s="1"/>
      </tp>
      <tp t="s">
        <v>#N/A Requesting Data...3884761277</v>
        <stp/>
        <stp>BDP|14720894907503112221</stp>
        <tr r="H1695" s="1"/>
      </tp>
      <tp t="s">
        <v>#N/A Requesting Data...3637582446</v>
        <stp/>
        <stp>BDP|17209383767137778806</stp>
        <tr r="AT586" s="1"/>
      </tp>
      <tp t="s">
        <v>#N/A Requesting Data...1753988876</v>
        <stp/>
        <stp>BDP|15081732888033086410</stp>
        <tr r="AU873" s="1"/>
      </tp>
      <tp t="s">
        <v>#N/A Requesting Data...3890447644</v>
        <stp/>
        <stp>BDP|11060471728173629936</stp>
        <tr r="AU606" s="1"/>
      </tp>
      <tp t="s">
        <v>#N/A Requesting Data...4143909845</v>
        <stp/>
        <stp>BDP|17068778091624990053</stp>
        <tr r="AT399" s="1"/>
      </tp>
      <tp t="s">
        <v>#N/A Requesting Data...2948405170</v>
        <stp/>
        <stp>BDP|11898419182684672473</stp>
        <tr r="E2085" s="1"/>
      </tp>
      <tp t="s">
        <v>#N/A Requesting Data...2503990446</v>
        <stp/>
        <stp>BDP|11902009667913114951</stp>
        <tr r="E1031" s="1"/>
      </tp>
      <tp t="s">
        <v>#N/A Requesting Data...3051593531</v>
        <stp/>
        <stp>BDP|15332399193451184321</stp>
        <tr r="H1520" s="1"/>
      </tp>
      <tp t="s">
        <v>#N/A Requesting Data...3590099155</v>
        <stp/>
        <stp>BDP|14812979868091492794</stp>
        <tr r="AT748" s="1"/>
      </tp>
      <tp t="s">
        <v>#N/A Requesting Data...4088870903</v>
        <stp/>
        <stp>BDP|16269866849785658216</stp>
        <tr r="AU335" s="1"/>
      </tp>
      <tp t="s">
        <v>#N/A Requesting Data...2832371378</v>
        <stp/>
        <stp>BDP|16177716994620848519</stp>
        <tr r="AU486" s="1"/>
      </tp>
      <tp t="s">
        <v>#N/A Requesting Data...2990076334</v>
        <stp/>
        <stp>BDP|12733362598867692229</stp>
        <tr r="E749" s="1"/>
      </tp>
      <tp t="s">
        <v>#N/A Requesting Data...3533241651</v>
        <stp/>
        <stp>BDP|12104441373845820934</stp>
        <tr r="E579" s="1"/>
      </tp>
      <tp t="s">
        <v>#N/A Requesting Data...3216262185</v>
        <stp/>
        <stp>BDP|10971463812251095901</stp>
        <tr r="E2078" s="1"/>
      </tp>
      <tp t="s">
        <v>#N/A Requesting Data...3954808962</v>
        <stp/>
        <stp>BDP|12811871043457996480</stp>
        <tr r="E1769" s="1"/>
      </tp>
      <tp t="s">
        <v>#N/A Requesting Data...4191263136</v>
        <stp/>
        <stp>BDP|10073974718102519771</stp>
        <tr r="AT340" s="1"/>
      </tp>
      <tp t="s">
        <v>#N/A Requesting Data...3573482613</v>
        <stp/>
        <stp>BDP|13518045438699065446</stp>
        <tr r="H1195" s="1"/>
        <tr r="H2072" s="1"/>
      </tp>
      <tp t="s">
        <v>#N/A Requesting Data...1386893003</v>
        <stp/>
        <stp>BDP|16091694334369769779</stp>
        <tr r="J1212" s="1"/>
      </tp>
      <tp t="s">
        <v>#N/A Requesting Data...1713047870</v>
        <stp/>
        <stp>BDP|10122699515832736871</stp>
        <tr r="J2098" s="1"/>
      </tp>
      <tp t="s">
        <v>#N/A Requesting Data...2630161436</v>
        <stp/>
        <stp>BDP|17501419004818964647</stp>
        <tr r="AT859" s="1"/>
      </tp>
      <tp t="s">
        <v>#N/A Requesting Data...4149884761</v>
        <stp/>
        <stp>BDP|12955586891541529284</stp>
        <tr r="E489" s="1"/>
      </tp>
      <tp t="s">
        <v>#N/A Requesting Data...1641363100</v>
        <stp/>
        <stp>BDP|14036804509087721632</stp>
        <tr r="H1131" s="1"/>
      </tp>
      <tp t="s">
        <v>#N/A Requesting Data...2957442684</v>
        <stp/>
        <stp>BDP|11953529491320437027</stp>
        <tr r="H1814" s="1"/>
      </tp>
      <tp t="s">
        <v>#N/A Requesting Data...2805433315</v>
        <stp/>
        <stp>BDP|13364867832966237391</stp>
        <tr r="AR1019" s="1"/>
      </tp>
      <tp t="s">
        <v>#N/A Requesting Data...3723508405</v>
        <stp/>
        <stp>BDP|15816360730068187033</stp>
        <tr r="E440" s="1"/>
      </tp>
      <tp t="s">
        <v>#N/A Requesting Data...2877986733</v>
        <stp/>
        <stp>BDP|15015716499006374079</stp>
        <tr r="J118" s="1"/>
      </tp>
      <tp t="s">
        <v>#N/A Requesting Data...3283452033</v>
        <stp/>
        <stp>BDP|14930107647194313819</stp>
        <tr r="H501" s="1"/>
      </tp>
      <tp t="s">
        <v>#N/A Requesting Data...3153989710</v>
        <stp/>
        <stp>BDP|17307770601454879913</stp>
        <tr r="J958" s="1"/>
      </tp>
      <tp t="s">
        <v>#N/A Requesting Data...1522093516</v>
        <stp/>
        <stp>BDP|15657822537753957062</stp>
        <tr r="AU328" s="1"/>
      </tp>
      <tp t="s">
        <v>#N/A Requesting Data...3134661274</v>
        <stp/>
        <stp>BDP|15928644951319358236</stp>
        <tr r="H1564" s="1"/>
        <tr r="H50" s="1"/>
        <tr r="H780" s="1"/>
      </tp>
      <tp t="s">
        <v>#N/A Requesting Data...2771063660</v>
        <stp/>
        <stp>BDP|16596945520933552385</stp>
        <tr r="E1648" s="1"/>
        <tr r="E94" s="1"/>
      </tp>
      <tp t="s">
        <v>#N/A Requesting Data...2320216441</v>
        <stp/>
        <stp>BDP|15804016375796926997</stp>
        <tr r="E1558" s="1"/>
      </tp>
      <tp t="s">
        <v>#N/A Requesting Data...3361093597</v>
        <stp/>
        <stp>BDP|17775992424492778312</stp>
        <tr r="E1247" s="1"/>
      </tp>
      <tp t="s">
        <v>#N/A Requesting Data...3358923428</v>
        <stp/>
        <stp>BDP|15737875189889461122</stp>
        <tr r="E504" s="1"/>
      </tp>
      <tp t="s">
        <v>#N/A Requesting Data...3055974336</v>
        <stp/>
        <stp>BDP|14725989223722248010</stp>
        <tr r="E1920" s="1"/>
        <tr r="E30" s="1"/>
      </tp>
      <tp t="s">
        <v>#N/A Requesting Data...2635435680</v>
        <stp/>
        <stp>BDP|16161966298482249928</stp>
        <tr r="H1257" s="1"/>
      </tp>
      <tp t="s">
        <v>#N/A Requesting Data...1722961453</v>
        <stp/>
        <stp>BDP|17863836571947251271</stp>
        <tr r="AU222" s="1"/>
      </tp>
      <tp t="s">
        <v>#N/A Requesting Data...3542619693</v>
        <stp/>
        <stp>BDP|14157382102128006244</stp>
        <tr r="H1411" s="1"/>
        <tr r="H1447" s="1"/>
      </tp>
      <tp t="s">
        <v>#N/A Requesting Data...3063059978</v>
        <stp/>
        <stp>BDP|15914247764794464826</stp>
        <tr r="H733" s="1"/>
      </tp>
      <tp t="s">
        <v>#N/A Requesting Data...1428615589</v>
        <stp/>
        <stp>BDP|17101365199791501143</stp>
        <tr r="J388" s="1"/>
      </tp>
      <tp t="s">
        <v>#N/A Requesting Data...1813788074</v>
        <stp/>
        <stp>BDP|13328181696984485262</stp>
        <tr r="E2081" s="1"/>
      </tp>
      <tp t="s">
        <v>#N/A Requesting Data...3012518219</v>
        <stp/>
        <stp>BDP|16476114661778906421</stp>
        <tr r="J1381" s="1"/>
      </tp>
      <tp t="s">
        <v>#N/A Requesting Data...2454657135</v>
        <stp/>
        <stp>BDP|14269813323796742582</stp>
        <tr r="E757" s="1"/>
      </tp>
      <tp t="s">
        <v>#N/A Requesting Data...2892356621</v>
        <stp/>
        <stp>BDP|11230861532712080584</stp>
        <tr r="E1898" s="1"/>
      </tp>
      <tp t="s">
        <v>#N/A Requesting Data...2222805167</v>
        <stp/>
        <stp>BDP|12788096766431136871</stp>
        <tr r="AV361" s="1"/>
      </tp>
      <tp t="s">
        <v>#N/A Requesting Data...1496849877</v>
        <stp/>
        <stp>BDP|17827287289854441436</stp>
        <tr r="E383" s="1"/>
      </tp>
      <tp t="s">
        <v>#N/A Requesting Data...2081058700</v>
        <stp/>
        <stp>BDP|11469569818748451003</stp>
        <tr r="AP1991" s="1"/>
      </tp>
      <tp t="s">
        <v>#N/A Requesting Data...1602422681</v>
        <stp/>
        <stp>BDP|16386959627928827877</stp>
        <tr r="AV758" s="1"/>
      </tp>
      <tp t="s">
        <v>#N/A Requesting Data...3010481622</v>
        <stp/>
        <stp>BDP|14826759584555687315</stp>
        <tr r="AV291" s="1"/>
      </tp>
      <tp t="s">
        <v>#N/A Requesting Data...2023423944</v>
        <stp/>
        <stp>BDP|16918600994694601055</stp>
        <tr r="E1170" s="1"/>
        <tr r="E1347" s="1"/>
      </tp>
      <tp t="s">
        <v>#N/A Requesting Data...4269325542</v>
        <stp/>
        <stp>BDP|14558446467609872203</stp>
        <tr r="AU321" s="1"/>
      </tp>
      <tp t="s">
        <v>#N/A Requesting Data...1305211951</v>
        <stp/>
        <stp>BDP|11904475546809444529</stp>
        <tr r="J379" s="1"/>
      </tp>
      <tp t="s">
        <v>#N/A Requesting Data...3310320127</v>
        <stp/>
        <stp>BDP|10406444988490290149</stp>
        <tr r="AU530" s="1"/>
      </tp>
      <tp t="s">
        <v>#N/A Requesting Data...3100469087</v>
        <stp/>
        <stp>BDP|10980302242643307969</stp>
        <tr r="H1813" s="1"/>
      </tp>
      <tp t="s">
        <v>#N/A Requesting Data...1540874081</v>
        <stp/>
        <stp>BDP|16977195619923127890</stp>
        <tr r="AU672" s="1"/>
      </tp>
      <tp t="s">
        <v>#N/A Requesting Data...1815684182</v>
        <stp/>
        <stp>BDP|15140035483894149415</stp>
        <tr r="H685" s="1"/>
      </tp>
      <tp t="s">
        <v>#N/A Requesting Data...3161734939</v>
        <stp/>
        <stp>BDP|13737616914468574169</stp>
        <tr r="E148" s="1"/>
      </tp>
      <tp t="s">
        <v>#N/A Requesting Data...2174749649</v>
        <stp/>
        <stp>BDP|18021581039414118719</stp>
        <tr r="J103" s="1"/>
        <tr r="J1150" s="1"/>
        <tr r="J1662" s="1"/>
      </tp>
      <tp t="s">
        <v>#N/A Requesting Data...3730789226</v>
        <stp/>
        <stp>BDP|14897792261809293135</stp>
        <tr r="AT479" s="1"/>
      </tp>
      <tp t="s">
        <v>#N/A Requesting Data...3573415584</v>
        <stp/>
        <stp>BDP|11352549491297468735</stp>
        <tr r="AS776" s="1"/>
      </tp>
      <tp t="s">
        <v>#N/A Requesting Data...4156160378</v>
        <stp/>
        <stp>BDP|18407964353270639967</stp>
        <tr r="J66" s="1"/>
      </tp>
      <tp t="s">
        <v>#N/A Requesting Data...3399146193</v>
        <stp/>
        <stp>BDP|15223087209798568075</stp>
        <tr r="AU393" s="1"/>
      </tp>
      <tp t="s">
        <v>#N/A Requesting Data...2429179255</v>
        <stp/>
        <stp>BDP|16739314592208001950</stp>
        <tr r="E1502" s="1"/>
        <tr r="E1622" s="1"/>
      </tp>
      <tp t="s">
        <v>#N/A Requesting Data...3906167352</v>
        <stp/>
        <stp>BDP|14472855661677878096</stp>
        <tr r="AR2036" s="1"/>
      </tp>
      <tp t="s">
        <v>#N/A Requesting Data...2901402190</v>
        <stp/>
        <stp>BDP|13406980546444391788</stp>
        <tr r="J720" s="1"/>
      </tp>
      <tp t="s">
        <v>#N/A Requesting Data...3943507272</v>
        <stp/>
        <stp>BDP|13154841648970557283</stp>
        <tr r="J1761" s="1"/>
      </tp>
      <tp t="s">
        <v>#N/A Requesting Data...1574204021</v>
        <stp/>
        <stp>BDP|16021549869408507086</stp>
        <tr r="H1963" s="1"/>
      </tp>
      <tp t="s">
        <v>#N/A Requesting Data...4012566763</v>
        <stp/>
        <stp>BDP|11014300205947334863</stp>
        <tr r="J418" s="1"/>
      </tp>
      <tp t="s">
        <v>#N/A Requesting Data...1830116017</v>
        <stp/>
        <stp>BDP|17113413449952039897</stp>
        <tr r="AP815" s="1"/>
      </tp>
      <tp t="s">
        <v>#N/A Requesting Data...2106142857</v>
        <stp/>
        <stp>BDP|13035612691066469749</stp>
        <tr r="J617" s="1"/>
      </tp>
      <tp t="s">
        <v>#N/A Requesting Data...3582294274</v>
        <stp/>
        <stp>BDP|10206932225440389670</stp>
        <tr r="AU538" s="1"/>
      </tp>
      <tp t="s">
        <v>#N/A Requesting Data...3369154436</v>
        <stp/>
        <stp>BDP|16181099735570537887</stp>
        <tr r="J651" s="1"/>
      </tp>
      <tp t="s">
        <v>#N/A Requesting Data...1842938483</v>
        <stp/>
        <stp>BDP|15704659066991403907</stp>
        <tr r="E506" s="1"/>
      </tp>
      <tp t="s">
        <v>#N/A Requesting Data...3565006746</v>
        <stp/>
        <stp>BDP|15133074111739337046</stp>
        <tr r="E1965" s="1"/>
      </tp>
      <tp t="s">
        <v>#N/A Requesting Data...3119155071</v>
        <stp/>
        <stp>BDP|15840429364018796290</stp>
        <tr r="H2063" s="1"/>
        <tr r="H64" s="1"/>
      </tp>
      <tp t="s">
        <v>#N/A Requesting Data...2184755426</v>
        <stp/>
        <stp>BDP|16288200662997180823</stp>
        <tr r="AV348" s="1"/>
      </tp>
      <tp t="s">
        <v>#N/A Requesting Data...3139018983</v>
        <stp/>
        <stp>BDP|14819399927699597108</stp>
        <tr r="J1747" s="1"/>
      </tp>
      <tp t="s">
        <v>#N/A Requesting Data...2747248641</v>
        <stp/>
        <stp>BDP|14508960752246655349</stp>
        <tr r="AT755" s="1"/>
      </tp>
      <tp t="s">
        <v>#N/A Requesting Data...3838026768</v>
        <stp/>
        <stp>BDP|15477265369744925819</stp>
        <tr r="J365" s="1"/>
      </tp>
      <tp t="s">
        <v>#N/A Requesting Data...3855437668</v>
        <stp/>
        <stp>BDP|10053979916376175334</stp>
        <tr r="AV345" s="1"/>
      </tp>
      <tp t="s">
        <v>#N/A Requesting Data...3849096035</v>
        <stp/>
        <stp>BDP|11151601214463751816</stp>
        <tr r="J328" s="1"/>
      </tp>
      <tp t="s">
        <v>#N/A Requesting Data...1443265054</v>
        <stp/>
        <stp>BDP|11730997809256464302</stp>
        <tr r="E365" s="1"/>
      </tp>
      <tp t="s">
        <v>#N/A Requesting Data...1474895277</v>
        <stp/>
        <stp>BDP|13462105693586501017</stp>
        <tr r="AV380" s="1"/>
      </tp>
      <tp t="s">
        <v>#N/A Requesting Data...3651827417</v>
        <stp/>
        <stp>BDP|13661738346645587851</stp>
        <tr r="H460" s="1"/>
      </tp>
      <tp t="s">
        <v>#N/A Requesting Data...3044581187</v>
        <stp/>
        <stp>BDP|18422337932134749111</stp>
        <tr r="E108" s="1"/>
        <tr r="E1152" s="1"/>
      </tp>
      <tp t="s">
        <v>#N/A Requesting Data...4261692760</v>
        <stp/>
        <stp>BDP|16242406992925585365</stp>
        <tr r="J1755" s="1"/>
      </tp>
      <tp t="s">
        <v>#N/A Requesting Data...3480064399</v>
        <stp/>
        <stp>BDP|11862976273092630095</stp>
        <tr r="E1379" s="1"/>
        <tr r="E1588" s="1"/>
      </tp>
      <tp t="s">
        <v>#N/A Requesting Data...4006695043</v>
        <stp/>
        <stp>BDP|16352962923342566207</stp>
        <tr r="J797" s="1"/>
      </tp>
      <tp t="s">
        <v>#N/A Requesting Data...1725811945</v>
        <stp/>
        <stp>BDP|15690103875639930786</stp>
        <tr r="J1603" s="1"/>
        <tr r="J1856" s="1"/>
      </tp>
      <tp t="s">
        <v>#N/A Requesting Data...2283627125</v>
        <stp/>
        <stp>BDP|14185872754492178611</stp>
        <tr r="H1251" s="1"/>
      </tp>
      <tp t="s">
        <v>#N/A Requesting Data...2530261281</v>
        <stp/>
        <stp>BDP|12520019793150050651</stp>
        <tr r="AV556" s="1"/>
      </tp>
      <tp t="s">
        <v>#N/A Requesting Data...1827402639</v>
        <stp/>
        <stp>BDP|14192821304105416415</stp>
        <tr r="E699" s="1"/>
      </tp>
      <tp t="s">
        <v>#N/A Requesting Data...3614389480</v>
        <stp/>
        <stp>BDP|14940082659785257986</stp>
        <tr r="J966" s="1"/>
      </tp>
      <tp t="s">
        <v>#N/A Requesting Data...3694549464</v>
        <stp/>
        <stp>BDP|10540135124287352934</stp>
        <tr r="AT339" s="1"/>
      </tp>
      <tp t="s">
        <v>#N/A Requesting Data...1530380971</v>
        <stp/>
        <stp>BDP|15028558867858582358</stp>
        <tr r="H994" s="1"/>
      </tp>
      <tp t="s">
        <v>#N/A Requesting Data...2930991155</v>
        <stp/>
        <stp>BDP|10698655890925371720</stp>
        <tr r="H1314" s="1"/>
      </tp>
      <tp t="s">
        <v>#N/A Requesting Data...2643860008</v>
        <stp/>
        <stp>BDP|16592088149408577735</stp>
        <tr r="J1748" s="1"/>
      </tp>
      <tp t="s">
        <v>#N/A Requesting Data...2428992958</v>
        <stp/>
        <stp>BDP|14790196694588766984</stp>
        <tr r="AU309" s="1"/>
      </tp>
      <tp t="s">
        <v>#N/A Requesting Data...2241291679</v>
        <stp/>
        <stp>BDP|17296652793704172107</stp>
        <tr r="AU296" s="1"/>
      </tp>
      <tp t="s">
        <v>#N/A Requesting Data...2523344891</v>
        <stp/>
        <stp>BDP|13893874478486582773</stp>
        <tr r="E940" s="1"/>
      </tp>
      <tp t="s">
        <v>#N/A Requesting Data...2858939147</v>
        <stp/>
        <stp>BDP|16182444575280741828</stp>
        <tr r="H1514" s="1"/>
      </tp>
      <tp t="s">
        <v>#N/A Requesting Data...1455250510</v>
        <stp/>
        <stp>BDP|13304764480277938694</stp>
        <tr r="J1374" s="1"/>
      </tp>
      <tp t="s">
        <v>#N/A Requesting Data...1420459347</v>
        <stp/>
        <stp>BDP|12327814578280864073</stp>
        <tr r="J616" s="1"/>
      </tp>
      <tp t="s">
        <v>#N/A Requesting Data...4268186477</v>
        <stp/>
        <stp>BDP|16821720075412815927</stp>
        <tr r="AV587" s="1"/>
      </tp>
      <tp t="s">
        <v>#N/A Requesting Data...4199325515</v>
        <stp/>
        <stp>BDP|12683379120047058943</stp>
        <tr r="AU742" s="1"/>
      </tp>
      <tp t="s">
        <v>#N/A Requesting Data...2137277762</v>
        <stp/>
        <stp>BDP|13773903674921327159</stp>
        <tr r="E401" s="1"/>
      </tp>
      <tp t="s">
        <v>#N/A Requesting Data...3797431635</v>
        <stp/>
        <stp>BDP|16313395449414123877</stp>
        <tr r="E292" s="1"/>
      </tp>
      <tp t="s">
        <v>#N/A Requesting Data...2345794334</v>
        <stp/>
        <stp>BDP|15471520262513213836</stp>
        <tr r="J119" s="1"/>
      </tp>
      <tp t="s">
        <v>#N/A Requesting Data...2496548917</v>
        <stp/>
        <stp>BDP|14875488050651058958</stp>
        <tr r="E1233" s="1"/>
      </tp>
      <tp t="s">
        <v>#N/A Requesting Data...2678658152</v>
        <stp/>
        <stp>BDP|15636613422385632964</stp>
        <tr r="AP2000" s="1"/>
      </tp>
      <tp t="s">
        <v>#N/A Requesting Data...2113964602</v>
        <stp/>
        <stp>BDP|17593507815496235861</stp>
        <tr r="J1954" s="1"/>
      </tp>
      <tp t="s">
        <v>#N/A Requesting Data...2833128022</v>
        <stp/>
        <stp>BDP|18291646524780722114</stp>
        <tr r="AU216" s="1"/>
      </tp>
      <tp t="s">
        <v>#N/A Requesting Data...4159278344</v>
        <stp/>
        <stp>BDP|12355956641172395005</stp>
        <tr r="AT434" s="1"/>
      </tp>
      <tp t="s">
        <v>#N/A Requesting Data...3038498110</v>
        <stp/>
        <stp>BDP|14612252922528099151</stp>
        <tr r="H1884" s="1"/>
      </tp>
      <tp t="s">
        <v>#N/A Requesting Data...1820995762</v>
        <stp/>
        <stp>BDP|14714507814128784502</stp>
        <tr r="E1508" s="1"/>
      </tp>
      <tp t="s">
        <v>#N/A Requesting Data...4190774451</v>
        <stp/>
        <stp>BDP|10618647381710204352</stp>
        <tr r="J918" s="1"/>
      </tp>
      <tp t="s">
        <v>#N/A Requesting Data...2496158644</v>
        <stp/>
        <stp>BDP|17774602661388189239</stp>
        <tr r="E1094" s="1"/>
        <tr r="E951" s="1"/>
      </tp>
      <tp t="s">
        <v>#N/A Requesting Data...2021556279</v>
        <stp/>
        <stp>BDP|17588027455516108941</stp>
        <tr r="H631" s="1"/>
      </tp>
      <tp t="s">
        <v>#N/A Requesting Data...3283727704</v>
        <stp/>
        <stp>BDP|13870502399364752619</stp>
        <tr r="E1934" s="1"/>
      </tp>
      <tp t="s">
        <v>#N/A Requesting Data...3647784169</v>
        <stp/>
        <stp>BDP|12654723882316885693</stp>
        <tr r="H1785" s="1"/>
      </tp>
      <tp t="s">
        <v>#N/A Requesting Data...1958472365</v>
        <stp/>
        <stp>BDP|13571780425568892375</stp>
        <tr r="H361" s="1"/>
      </tp>
      <tp t="s">
        <v>#N/A Requesting Data...3871442798</v>
        <stp/>
        <stp>BDP|10700272606397176805</stp>
        <tr r="E1391" s="1"/>
      </tp>
      <tp t="s">
        <v>#N/A Requesting Data...3660142246</v>
        <stp/>
        <stp>BDP|18301906885214671071</stp>
        <tr r="H813" s="1"/>
      </tp>
      <tp t="s">
        <v>#N/A Requesting Data...3322534732</v>
        <stp/>
        <stp>BDP|17158856389598945233</stp>
        <tr r="J2100" s="1"/>
      </tp>
      <tp t="s">
        <v>#N/A Requesting Data...1828026673</v>
        <stp/>
        <stp>BDP|15535633891504742374</stp>
        <tr r="AR1063" s="1"/>
      </tp>
      <tp t="s">
        <v>#N/A Requesting Data...1422690486</v>
        <stp/>
        <stp>BDP|13724251527899390716</stp>
        <tr r="J334" s="1"/>
      </tp>
      <tp t="s">
        <v>#N/A Requesting Data...3618762003</v>
        <stp/>
        <stp>BDP|17419543313706505808</stp>
        <tr r="AU649" s="1"/>
      </tp>
      <tp t="s">
        <v>#N/A Requesting Data...3404882407</v>
        <stp/>
        <stp>BDP|18182081996399869511</stp>
        <tr r="H618" s="1"/>
      </tp>
      <tp t="s">
        <v>#N/A Requesting Data...1667597534</v>
        <stp/>
        <stp>BDP|15129506947451947897</stp>
        <tr r="H1066" s="1"/>
      </tp>
      <tp t="s">
        <v>#N/A Requesting Data...2276992860</v>
        <stp/>
        <stp>BDP|11828503694481870123</stp>
        <tr r="J1781" s="1"/>
      </tp>
      <tp t="s">
        <v>#N/A Requesting Data...3267590304</v>
        <stp/>
        <stp>BDP|11311996748344543511</stp>
        <tr r="J632" s="1"/>
      </tp>
      <tp t="s">
        <v>#N/A Requesting Data...4000261419</v>
        <stp/>
        <stp>BDP|12140378497772489733</stp>
        <tr r="H1110" s="1"/>
        <tr r="H1819" s="1"/>
        <tr r="H61" s="1"/>
      </tp>
      <tp t="s">
        <v>#N/A Requesting Data...2649170374</v>
        <stp/>
        <stp>BDP|14613750530018329565</stp>
        <tr r="J1241" s="1"/>
      </tp>
      <tp t="s">
        <v>#N/A Requesting Data...1848676520</v>
        <stp/>
        <stp>BDP|17484859242055602337</stp>
        <tr r="E1536" s="1"/>
      </tp>
      <tp t="s">
        <v>#N/A Requesting Data...1722153012</v>
        <stp/>
        <stp>BDP|10074102602469351571</stp>
        <tr r="H1529" s="1"/>
      </tp>
      <tp t="s">
        <v>#N/A Requesting Data...1742775978</v>
        <stp/>
        <stp>BDP|13647949386714812450</stp>
        <tr r="H1091" s="1"/>
        <tr r="H1418" s="1"/>
      </tp>
      <tp t="s">
        <v>#N/A Requesting Data...2107689151</v>
        <stp/>
        <stp>BDP|15808365604534399003</stp>
        <tr r="E1144" s="1"/>
      </tp>
      <tp t="s">
        <v>#N/A Requesting Data...2458023868</v>
        <stp/>
        <stp>BDP|17259398627813382764</stp>
        <tr r="E329" s="1"/>
      </tp>
      <tp t="s">
        <v>#N/A Requesting Data...2447445101</v>
        <stp/>
        <stp>BDP|12695680776620908186</stp>
        <tr r="J1190" s="1"/>
      </tp>
      <tp t="s">
        <v>#N/A Requesting Data...2510114325</v>
        <stp/>
        <stp>BDP|11181645427000817735</stp>
        <tr r="H844" s="1"/>
      </tp>
      <tp t="s">
        <v>#N/A Requesting Data...3227772913</v>
        <stp/>
        <stp>BDP|17259988905334276846</stp>
        <tr r="AV484" s="1"/>
      </tp>
      <tp t="s">
        <v>#N/A Requesting Data...2280345196</v>
        <stp/>
        <stp>BDP|18108644725586157889</stp>
        <tr r="E46" s="1"/>
      </tp>
      <tp t="s">
        <v>#N/A Requesting Data...2142382097</v>
        <stp/>
        <stp>BDP|12747308633585866553</stp>
        <tr r="H337" s="1"/>
      </tp>
      <tp t="s">
        <v>#N/A Requesting Data...1733595394</v>
        <stp/>
        <stp>BDP|15190444798368464204</stp>
        <tr r="E550" s="1"/>
      </tp>
      <tp t="s">
        <v>#N/A Requesting Data...2146776427</v>
        <stp/>
        <stp>BDP|17518480713050037070</stp>
        <tr r="AU454" s="1"/>
      </tp>
      <tp t="s">
        <v>#N/A Requesting Data...3852153072</v>
        <stp/>
        <stp>BDP|11916175310667274457</stp>
        <tr r="AT622" s="1"/>
      </tp>
      <tp t="s">
        <v>#N/A Requesting Data...3092478264</v>
        <stp/>
        <stp>BDP|15888583199993718872</stp>
        <tr r="AU589" s="1"/>
      </tp>
      <tp t="s">
        <v>#N/A Requesting Data...1810677008</v>
        <stp/>
        <stp>BDP|16792534280829442090</stp>
        <tr r="H1841" s="1"/>
        <tr r="H9" s="1"/>
      </tp>
      <tp t="s">
        <v>#N/A Requesting Data...3236586422</v>
        <stp/>
        <stp>BDP|14753495961554662004</stp>
        <tr r="AT404" s="1"/>
      </tp>
      <tp t="s">
        <v>#N/A Requesting Data...3531215382</v>
        <stp/>
        <stp>BDP|14349475869411033541</stp>
        <tr r="H1049" s="1"/>
        <tr r="H240" s="1"/>
      </tp>
      <tp t="s">
        <v>#N/A Requesting Data...2851353645</v>
        <stp/>
        <stp>BDP|17453471478237279105</stp>
        <tr r="E934" s="1"/>
      </tp>
      <tp t="s">
        <v>#N/A Requesting Data...3458552121</v>
        <stp/>
        <stp>BDP|18110956223987700685</stp>
        <tr r="AT438" s="1"/>
      </tp>
      <tp t="s">
        <v>#N/A Requesting Data...2347890499</v>
        <stp/>
        <stp>BDP|14097591161003402642</stp>
        <tr r="J256" s="1"/>
      </tp>
      <tp t="s">
        <v>#N/A Requesting Data...2759340476</v>
        <stp/>
        <stp>BDP|14531522790803652996</stp>
        <tr r="AU397" s="1"/>
      </tp>
      <tp t="s">
        <v>#N/A Requesting Data...2285304262</v>
        <stp/>
        <stp>BDP|10564872539789193023</stp>
        <tr r="H1653" s="1"/>
        <tr r="H247" s="1"/>
      </tp>
      <tp t="s">
        <v>#N/A Requesting Data...3645964375</v>
        <stp/>
        <stp>BDP|16232432607063975379</stp>
        <tr r="E725" s="1"/>
      </tp>
      <tp t="s">
        <v>#N/A Requesting Data...2039747316</v>
        <stp/>
        <stp>BDP|14076045035946142380</stp>
        <tr r="AV347" s="1"/>
      </tp>
      <tp t="s">
        <v>#N/A Requesting Data...2677478394</v>
        <stp/>
        <stp>BDP|14896962921895455838</stp>
        <tr r="E1589" s="1"/>
      </tp>
      <tp t="s">
        <v>#N/A Requesting Data...1846677871</v>
        <stp/>
        <stp>BDP|11125644882454773988</stp>
        <tr r="AU208" s="1"/>
      </tp>
      <tp t="s">
        <v>#N/A Requesting Data...3632776314</v>
        <stp/>
        <stp>BDP|10851538275114055464</stp>
        <tr r="H1400" s="1"/>
        <tr r="H1440" s="1"/>
      </tp>
      <tp t="s">
        <v>#N/A Requesting Data...3695113440</v>
        <stp/>
        <stp>BDP|15924967413909627623</stp>
        <tr r="AR196" s="1"/>
      </tp>
      <tp t="s">
        <v>#N/A Requesting Data...1595763915</v>
        <stp/>
        <stp>BDP|10558157598839118316</stp>
        <tr r="J1035" s="1"/>
      </tp>
      <tp t="s">
        <v>#N/A Requesting Data...1595263773</v>
        <stp/>
        <stp>BDP|18333342588555775400</stp>
        <tr r="AU302" s="1"/>
      </tp>
      <tp t="s">
        <v>#N/A Requesting Data...2059210623</v>
        <stp/>
        <stp>BDP|13934713776148266945</stp>
        <tr r="AU470" s="1"/>
      </tp>
      <tp t="s">
        <v>#N/A Requesting Data...2304832875</v>
        <stp/>
        <stp>BDP|10144301489741761875</stp>
        <tr r="H753" s="1"/>
      </tp>
      <tp t="s">
        <v>#N/A Requesting Data...2894573648</v>
        <stp/>
        <stp>BDP|14297786217338242879</stp>
        <tr r="H114" s="1"/>
      </tp>
      <tp t="s">
        <v>#N/A Requesting Data...2004265951</v>
        <stp/>
        <stp>BDP|11177231393351810914</stp>
        <tr r="E435" s="1"/>
      </tp>
      <tp t="s">
        <v>#N/A Requesting Data...3677239500</v>
        <stp/>
        <stp>BDP|11500730717372862712</stp>
        <tr r="H991" s="1"/>
      </tp>
      <tp t="s">
        <v>#N/A Requesting Data...3548121891</v>
        <stp/>
        <stp>BDP|10464711119453219767</stp>
        <tr r="H1464" s="1"/>
        <tr r="H1723" s="1"/>
        <tr r="H793" s="1"/>
      </tp>
      <tp t="s">
        <v>#N/A Requesting Data...2134219493</v>
        <stp/>
        <stp>BDP|17173389791066452970</stp>
        <tr r="E402" s="1"/>
      </tp>
      <tp t="s">
        <v>#N/A Requesting Data...3548297717</v>
        <stp/>
        <stp>BDP|16309119639773821586</stp>
        <tr r="H1094" s="1"/>
        <tr r="H951" s="1"/>
      </tp>
      <tp t="s">
        <v>#N/A Requesting Data...2165749750</v>
        <stp/>
        <stp>BDP|16412234118825324275</stp>
        <tr r="H315" s="1"/>
      </tp>
      <tp t="s">
        <v>#N/A Requesting Data...3633578122</v>
        <stp/>
        <stp>BDP|10670330145507916229</stp>
        <tr r="E66" s="1"/>
      </tp>
      <tp t="s">
        <v>#N/A Requesting Data...1832238551</v>
        <stp/>
        <stp>BDP|11608179770390314591</stp>
        <tr r="E377" s="1"/>
      </tp>
      <tp t="s">
        <v>#N/A Requesting Data...3765669644</v>
        <stp/>
        <stp>BDP|11313196172932798749</stp>
        <tr r="J517" s="1"/>
      </tp>
      <tp t="s">
        <v>#N/A Requesting Data...2802031482</v>
        <stp/>
        <stp>BDP|17027411664802681580</stp>
        <tr r="J1031" s="1"/>
      </tp>
      <tp t="s">
        <v>#N/A Requesting Data...2901744096</v>
        <stp/>
        <stp>BDP|18148968672075775199</stp>
        <tr r="AT857" s="1"/>
      </tp>
      <tp t="s">
        <v>#N/A Requesting Data...2973704721</v>
        <stp/>
        <stp>BDP|10552866217832924968</stp>
        <tr r="AT923" s="1"/>
      </tp>
      <tp t="s">
        <v>#N/A Requesting Data...1683355009</v>
        <stp/>
        <stp>BDP|17755023355108375881</stp>
        <tr r="E1121" s="1"/>
        <tr r="E1596" s="1"/>
        <tr r="E67" s="1"/>
      </tp>
      <tp t="s">
        <v>#N/A Requesting Data...2899048696</v>
        <stp/>
        <stp>BDP|12796419402186603291</stp>
        <tr r="J1259" s="1"/>
      </tp>
      <tp t="s">
        <v>#N/A Requesting Data...3044650286</v>
        <stp/>
        <stp>BDP|10635916029318050154</stp>
        <tr r="J1169" s="1"/>
      </tp>
      <tp t="s">
        <v>#N/A Requesting Data...4089043979</v>
        <stp/>
        <stp>BDP|10852488239047792253</stp>
        <tr r="E555" s="1"/>
      </tp>
      <tp t="s">
        <v>#N/A Requesting Data...1839081339</v>
        <stp/>
        <stp>BDP|15856076026785012023</stp>
        <tr r="AU336" s="1"/>
      </tp>
      <tp t="s">
        <v>#N/A Requesting Data...1612722115</v>
        <stp/>
        <stp>BDP|13572295428482676395</stp>
        <tr r="AU552" s="1"/>
      </tp>
      <tp t="s">
        <v>#N/A Requesting Data...1843782920</v>
        <stp/>
        <stp>BDP|14456081320552535626</stp>
        <tr r="E528" s="1"/>
      </tp>
      <tp t="s">
        <v>#N/A Requesting Data...1614721937</v>
        <stp/>
        <stp>BDP|14803029867595567523</stp>
        <tr r="E1136" s="1"/>
      </tp>
      <tp t="s">
        <v>#N/A Requesting Data...1897526299</v>
        <stp/>
        <stp>BDP|13925183878444284312</stp>
        <tr r="E1248" s="1"/>
      </tp>
      <tp t="s">
        <v>#N/A Requesting Data...2860620221</v>
        <stp/>
        <stp>BDP|13618439060983869078</stp>
        <tr r="E1401" s="1"/>
        <tr r="E1441" s="1"/>
      </tp>
      <tp t="s">
        <v>#N/A Requesting Data...2742466986</v>
        <stp/>
        <stp>BDP|14595548553805036385</stp>
        <tr r="E915" s="1"/>
      </tp>
      <tp t="s">
        <v>#N/A Requesting Data...4238956636</v>
        <stp/>
        <stp>BDP|13851002809960262196</stp>
        <tr r="J1979" s="1"/>
      </tp>
      <tp t="s">
        <v>#N/A Requesting Data...2040740227</v>
        <stp/>
        <stp>BDP|16024368215946864018</stp>
        <tr r="E1542" s="1"/>
      </tp>
      <tp t="s">
        <v>#N/A Requesting Data...2763712202</v>
        <stp/>
        <stp>BDP|12209551276027953528</stp>
        <tr r="E1181" s="1"/>
      </tp>
      <tp t="s">
        <v>#N/A Requesting Data...1852261153</v>
        <stp/>
        <stp>BDP|16435532015419940913</stp>
        <tr r="J1306" s="1"/>
      </tp>
      <tp t="s">
        <v>#N/A Requesting Data...4179977603</v>
        <stp/>
        <stp>BDP|10327565208145358243</stp>
        <tr r="E897" s="1"/>
      </tp>
      <tp t="s">
        <v>#N/A Requesting Data...3881404908</v>
        <stp/>
        <stp>BDP|11321767173082451180</stp>
        <tr r="H940" s="1"/>
      </tp>
      <tp t="s">
        <v>#N/A Requesting Data...1805416748</v>
        <stp/>
        <stp>BDP|12226080773756400175</stp>
        <tr r="E2100" s="1"/>
      </tp>
      <tp t="s">
        <v>#N/A Requesting Data...1649657766</v>
        <stp/>
        <stp>BDP|11944374323136686419</stp>
        <tr r="E1355" s="1"/>
      </tp>
      <tp t="s">
        <v>#N/A Requesting Data...2459378334</v>
        <stp/>
        <stp>BDP|13372406429161336635</stp>
        <tr r="J597" s="1"/>
      </tp>
      <tp t="s">
        <v>#N/A Requesting Data...1661224719</v>
        <stp/>
        <stp>BDP|14627695031322245165</stp>
        <tr r="J808" s="1"/>
      </tp>
      <tp t="s">
        <v>#N/A Requesting Data...3044285731</v>
        <stp/>
        <stp>BDP|11983672671061475364</stp>
        <tr r="AR2012" s="1"/>
      </tp>
      <tp t="s">
        <v>#N/A Requesting Data...4097517399</v>
        <stp/>
        <stp>BDP|12600119382878008189</stp>
        <tr r="AU631" s="1"/>
      </tp>
      <tp t="s">
        <v>#N/A Requesting Data...3937018401</v>
        <stp/>
        <stp>BDP|17509481732915730756</stp>
        <tr r="AT299" s="1"/>
      </tp>
      <tp t="s">
        <v>#N/A Requesting Data...3283424851</v>
        <stp/>
        <stp>BDP|17657122049885702573</stp>
        <tr r="E1200" s="1"/>
      </tp>
      <tp t="s">
        <v>#N/A Requesting Data...3950895983</v>
        <stp/>
        <stp>BDP|13715948368716270848</stp>
        <tr r="AU399" s="1"/>
      </tp>
      <tp t="s">
        <v>#N/A Requesting Data...2153353208</v>
        <stp/>
        <stp>BDP|15877581077494263184</stp>
        <tr r="J1969" s="1"/>
      </tp>
      <tp t="s">
        <v>#N/A Requesting Data...4129604118</v>
        <stp/>
        <stp>BDP|14233764353040214486</stp>
        <tr r="H1608" s="1"/>
        <tr r="H236" s="1"/>
        <tr r="H73" s="1"/>
        <tr r="H783" s="1"/>
        <tr r="H800" s="1"/>
      </tp>
      <tp t="s">
        <v>#N/A Requesting Data...2927013762</v>
        <stp/>
        <stp>BDP|14622664803082889269</stp>
        <tr r="J1530" s="1"/>
      </tp>
      <tp t="s">
        <v>#N/A Requesting Data...1916612884</v>
        <stp/>
        <stp>BDP|14620668603838778893</stp>
        <tr r="J1861" s="1"/>
      </tp>
      <tp t="s">
        <v>#N/A Requesting Data...2355536075</v>
        <stp/>
        <stp>BDP|15020271050084246481</stp>
        <tr r="H713" s="1"/>
      </tp>
      <tp t="s">
        <v>#N/A Requesting Data...2723016336</v>
        <stp/>
        <stp>BDP|14139274409277126332</stp>
        <tr r="E882" s="1"/>
      </tp>
      <tp t="s">
        <v>#N/A Requesting Data...3053682402</v>
        <stp/>
        <stp>BDP|16457427392640033993</stp>
        <tr r="H1157" s="1"/>
      </tp>
      <tp t="s">
        <v>#N/A Requesting Data...2190432271</v>
        <stp/>
        <stp>BDP|15047769348653609745</stp>
        <tr r="J1594" s="1"/>
      </tp>
      <tp t="s">
        <v>#N/A Requesting Data...2308544878</v>
        <stp/>
        <stp>BDP|13848451766205105669</stp>
        <tr r="J15" s="1"/>
        <tr r="J1901" s="1"/>
      </tp>
      <tp t="s">
        <v>#N/A Requesting Data...2382179206</v>
        <stp/>
        <stp>BDP|10738766021166938159</stp>
        <tr r="AS1457" s="1"/>
      </tp>
      <tp t="s">
        <v>#N/A Requesting Data...2254158452</v>
        <stp/>
        <stp>BDP|13185704967541947130</stp>
        <tr r="AU535" s="1"/>
      </tp>
      <tp t="s">
        <v>#N/A Requesting Data...4270226334</v>
        <stp/>
        <stp>BDP|15051023368707609602</stp>
        <tr r="H1092" s="1"/>
        <tr r="H1982" s="1"/>
      </tp>
      <tp t="s">
        <v>#N/A Requesting Data...4142410518</v>
        <stp/>
        <stp>BDP|15500718317388797983</stp>
        <tr r="H1679" s="1"/>
      </tp>
      <tp t="s">
        <v>#N/A Requesting Data...2762398971</v>
        <stp/>
        <stp>BDP|12770597291748794449</stp>
        <tr r="AT750" s="1"/>
      </tp>
      <tp t="s">
        <v>#N/A Requesting Data...2385643595</v>
        <stp/>
        <stp>BDP|17634293945605543634</stp>
        <tr r="H261" s="1"/>
      </tp>
      <tp t="s">
        <v>#N/A Requesting Data...2782868810</v>
        <stp/>
        <stp>BDP|13239570568237008517</stp>
        <tr r="AS777" s="1"/>
      </tp>
      <tp t="s">
        <v>#N/A Requesting Data...1726812063</v>
        <stp/>
        <stp>BDP|10428814918142887999</stp>
        <tr r="E903" s="1"/>
      </tp>
      <tp t="s">
        <v>#N/A Requesting Data...2174449623</v>
        <stp/>
        <stp>BDP|13556321187243864945</stp>
        <tr r="J492" s="1"/>
      </tp>
      <tp t="s">
        <v>#N/A Requesting Data...3423890956</v>
        <stp/>
        <stp>BDP|16044515071900969665</stp>
        <tr r="H1403" s="1"/>
        <tr r="H1443" s="1"/>
      </tp>
      <tp t="s">
        <v>#N/A Requesting Data...2299020364</v>
        <stp/>
        <stp>BDP|15747018879702740275</stp>
        <tr r="E1243" s="1"/>
      </tp>
      <tp t="s">
        <v>#N/A Requesting Data...1513675720</v>
        <stp/>
        <stp>BDP|14740741704128996917</stp>
        <tr r="AU668" s="1"/>
      </tp>
      <tp t="s">
        <v>#N/A Requesting Data...2830353571</v>
        <stp/>
        <stp>BDP|15778000110093868508</stp>
        <tr r="E608" s="1"/>
      </tp>
      <tp t="s">
        <v>#N/A Requesting Data...2171287572</v>
        <stp/>
        <stp>BDP|16351423239761317248</stp>
        <tr r="AU220" s="1"/>
      </tp>
      <tp t="s">
        <v>#N/A Requesting Data...3702209226</v>
        <stp/>
        <stp>BDP|15989549662696557251</stp>
        <tr r="H876" s="1"/>
      </tp>
      <tp t="s">
        <v>#N/A Requesting Data...3761393473</v>
        <stp/>
        <stp>BDP|15281017605873964403</stp>
        <tr r="E380" s="1"/>
      </tp>
      <tp t="s">
        <v>#N/A Requesting Data...3861270897</v>
        <stp/>
        <stp>BDP|14846418135052156329</stp>
        <tr r="E813" s="1"/>
      </tp>
      <tp t="s">
        <v>#N/A Requesting Data...3034368430</v>
        <stp/>
        <stp>BDP|17090881713345133958</stp>
        <tr r="H1445" s="1"/>
      </tp>
      <tp t="s">
        <v>#N/A Requesting Data...3858209003</v>
        <stp/>
        <stp>BDP|16642695130367408645</stp>
        <tr r="J647" s="1"/>
      </tp>
      <tp t="s">
        <v>#N/A Requesting Data...2137391175</v>
        <stp/>
        <stp>BDP|11950619088515863878</stp>
        <tr r="E1507" s="1"/>
      </tp>
      <tp t="s">
        <v>#N/A Requesting Data...1709295083</v>
        <stp/>
        <stp>BDP|13413097472510546653</stp>
        <tr r="H219" s="1"/>
      </tp>
      <tp t="s">
        <v>#N/A Requesting Data...2131268394</v>
        <stp/>
        <stp>BDP|13950557442709271929</stp>
        <tr r="AU556" s="1"/>
      </tp>
      <tp t="s">
        <v>#N/A Requesting Data...4222495441</v>
        <stp/>
        <stp>BDP|14557947485694843328</stp>
        <tr r="E865" s="1"/>
      </tp>
      <tp t="s">
        <v>#N/A Requesting Data...1766385380</v>
        <stp/>
        <stp>BDP|17414029070407909512</stp>
        <tr r="AV559" s="1"/>
      </tp>
      <tp t="s">
        <v>#N/A Requesting Data...3958300986</v>
        <stp/>
        <stp>BDP|15498453428935791409</stp>
        <tr r="J710" s="1"/>
      </tp>
      <tp t="s">
        <v>#N/A Requesting Data...2405311014</v>
        <stp/>
        <stp>BDP|14880043166823145355</stp>
        <tr r="H1407" s="1"/>
      </tp>
      <tp t="s">
        <v>#N/A Requesting Data...2047689098</v>
        <stp/>
        <stp>BDP|16449394561079563877</stp>
        <tr r="E568" s="1"/>
      </tp>
      <tp t="s">
        <v>#N/A Requesting Data...1971849617</v>
        <stp/>
        <stp>BDP|16619826008005136934</stp>
        <tr r="H740" s="1"/>
      </tp>
      <tp t="s">
        <v>#N/A Requesting Data...3775580865</v>
        <stp/>
        <stp>BDP|14747966113388479686</stp>
        <tr r="E1265" s="1"/>
      </tp>
      <tp t="s">
        <v>#N/A Requesting Data...1732340790</v>
        <stp/>
        <stp>BDP|16945331406243385419</stp>
        <tr r="H1978" s="1"/>
      </tp>
      <tp t="s">
        <v>#N/A Requesting Data...1897856002</v>
        <stp/>
        <stp>BDP|11710116394592520995</stp>
        <tr r="H953" s="1"/>
      </tp>
      <tp t="s">
        <v>#N/A Requesting Data...2305146579</v>
        <stp/>
        <stp>BDP|10144494454116102535</stp>
        <tr r="J353" s="1"/>
      </tp>
      <tp t="s">
        <v>#N/A Requesting Data...3765034969</v>
        <stp/>
        <stp>BDP|14656856883140685670</stp>
        <tr r="J1499" s="1"/>
      </tp>
      <tp t="s">
        <v>#N/A Requesting Data...4204285374</v>
        <stp/>
        <stp>BDP|14285390082025845806</stp>
        <tr r="E1221" s="1"/>
      </tp>
      <tp t="s">
        <v>#N/A Requesting Data...3059341056</v>
        <stp/>
        <stp>BDP|12190144223143431036</stp>
        <tr r="J358" s="1"/>
      </tp>
      <tp t="s">
        <v>#N/A Requesting Data...1634069487</v>
        <stp/>
        <stp>BDP|14250808797314609326</stp>
        <tr r="AV656" s="1"/>
      </tp>
      <tp t="s">
        <v>#N/A Requesting Data...4081068703</v>
        <stp/>
        <stp>BDP|10491498561908840854</stp>
        <tr r="E1893" s="1"/>
        <tr r="E2096" s="1"/>
        <tr r="E45" s="1"/>
      </tp>
      <tp t="s">
        <v>#N/A Requesting Data...3573481473</v>
        <stp/>
        <stp>BDP|17473079745344049577</stp>
        <tr r="E1879" s="1"/>
      </tp>
      <tp t="s">
        <v>#N/A Requesting Data...4256491534</v>
        <stp/>
        <stp>BDP|11228142426125742569</stp>
        <tr r="H1498" s="1"/>
        <tr r="H1610" s="1"/>
      </tp>
      <tp t="s">
        <v>#N/A Requesting Data...3848570037</v>
        <stp/>
        <stp>BDP|14541296970265951649</stp>
        <tr r="J1787" s="1"/>
      </tp>
      <tp t="s">
        <v>#N/A Requesting Data...2113248699</v>
        <stp/>
        <stp>BDP|17552113026593614550</stp>
        <tr r="H1107" s="1"/>
        <tr r="H1575" s="1"/>
      </tp>
      <tp t="s">
        <v>#N/A Requesting Data...2063516064</v>
        <stp/>
        <stp>BDP|18268851773473325660</stp>
        <tr r="J979" s="1"/>
      </tp>
      <tp t="s">
        <v>#N/A Requesting Data...3943994290</v>
        <stp/>
        <stp>BDP|11586937006623987980</stp>
        <tr r="H389" s="1"/>
      </tp>
      <tp t="s">
        <v>#N/A Requesting Data...3354806046</v>
        <stp/>
        <stp>BDP|12130503689334141987</stp>
        <tr r="J885" s="1"/>
      </tp>
      <tp t="s">
        <v>#N/A Requesting Data...4144828221</v>
        <stp/>
        <stp>BDP|11069223744436510327</stp>
        <tr r="AU548" s="1"/>
      </tp>
      <tp t="s">
        <v>#N/A Requesting Data...3935512842</v>
        <stp/>
        <stp>BDP|14057485516971772289</stp>
        <tr r="J159" s="1"/>
      </tp>
      <tp t="s">
        <v>#N/A Requesting Data...3722860666</v>
        <stp/>
        <stp>BDP|17870488504508348968</stp>
        <tr r="E1110" s="1"/>
        <tr r="E1819" s="1"/>
        <tr r="E61" s="1"/>
      </tp>
      <tp t="s">
        <v>#N/A Requesting Data...4277834608</v>
        <stp/>
        <stp>BDP|15401627328021671296</stp>
        <tr r="J712" s="1"/>
      </tp>
      <tp t="s">
        <v>#N/A Requesting Data...4104675229</v>
        <stp/>
        <stp>BDP|17197930084672325648</stp>
        <tr r="J1213" s="1"/>
      </tp>
      <tp t="s">
        <v>#N/A Requesting Data...1588222408</v>
        <stp/>
        <stp>BDP|11872411948273023002</stp>
        <tr r="H104" s="1"/>
      </tp>
      <tp t="s">
        <v>#N/A Requesting Data...3584073276</v>
        <stp/>
        <stp>BDP|10092259530251736235</stp>
        <tr r="H157" s="1"/>
      </tp>
      <tp t="s">
        <v>#N/A Requesting Data...3558369632</v>
        <stp/>
        <stp>BDP|10086124678407251386</stp>
        <tr r="AU483" s="1"/>
      </tp>
      <tp t="s">
        <v>#N/A Requesting Data...1750938884</v>
        <stp/>
        <stp>BDP|13949286520990286138</stp>
        <tr r="J964" s="1"/>
      </tp>
      <tp t="s">
        <v>#N/A Requesting Data...4262922989</v>
        <stp/>
        <stp>BDP|11935878896056827403</stp>
        <tr r="E2101" s="1"/>
      </tp>
      <tp t="s">
        <v>#N/A Requesting Data...2710321989</v>
        <stp/>
        <stp>BDP|17213390361550845028</stp>
        <tr r="AU849" s="1"/>
      </tp>
      <tp t="s">
        <v>#N/A Requesting Data...3222603727</v>
        <stp/>
        <stp>BDP|10495339545256273308</stp>
        <tr r="J1860" s="1"/>
      </tp>
      <tp t="s">
        <v>#N/A Requesting Data...2747618424</v>
        <stp/>
        <stp>BDP|13056111640977677376</stp>
        <tr r="H18" s="1"/>
        <tr r="H1851" s="1"/>
      </tp>
      <tp t="s">
        <v>#N/A Requesting Data...4144583098</v>
        <stp/>
        <stp>BDP|14693834631328117553</stp>
        <tr r="AT209" s="1"/>
      </tp>
      <tp t="s">
        <v>#N/A Requesting Data...3605098502</v>
        <stp/>
        <stp>BDP|14246480350147355093</stp>
        <tr r="AU888" s="1"/>
      </tp>
      <tp t="s">
        <v>#N/A Requesting Data...2014229963</v>
        <stp/>
        <stp>BDP|12507953396456235645</stp>
        <tr r="E1282" s="1"/>
        <tr r="E960" s="1"/>
      </tp>
      <tp t="s">
        <v>#N/A Requesting Data...2608349744</v>
        <stp/>
        <stp>BDP|13353163490678327163</stp>
        <tr r="AU701" s="1"/>
      </tp>
      <tp t="s">
        <v>#N/A Requesting Data...4095504960</v>
        <stp/>
        <stp>BDP|12709402437436231122</stp>
        <tr r="AT410" s="1"/>
      </tp>
      <tp t="s">
        <v>#N/A Requesting Data...1658453903</v>
        <stp/>
        <stp>BDP|16234674194392113903</stp>
        <tr r="J1059" s="1"/>
      </tp>
      <tp t="s">
        <v>#N/A Requesting Data...2068266177</v>
        <stp/>
        <stp>BDP|14981725470736029083</stp>
        <tr r="E548" s="1"/>
      </tp>
      <tp t="s">
        <v>#N/A Requesting Data...3131264819</v>
        <stp/>
        <stp>BDP|17598325791417707822</stp>
        <tr r="E244" s="1"/>
      </tp>
      <tp t="s">
        <v>#N/A Requesting Data...2050480087</v>
        <stp/>
        <stp>BDP|16401176911036480254</stp>
        <tr r="AV625" s="1"/>
      </tp>
      <tp t="s">
        <v>#N/A Requesting Data...3915149954</v>
        <stp/>
        <stp>BDP|17331016435692383476</stp>
        <tr r="AV693" s="1"/>
      </tp>
      <tp t="s">
        <v>#N/A Requesting Data...3139410919</v>
        <stp/>
        <stp>BDP|16634034945568672858</stp>
        <tr r="J1390" s="1"/>
        <tr r="J1859" s="1"/>
      </tp>
      <tp t="s">
        <v>#N/A Requesting Data...2005705279</v>
        <stp/>
        <stp>BDP|11488749200541792541</stp>
        <tr r="E1919" s="1"/>
      </tp>
      <tp t="s">
        <v>#N/A Requesting Data...2999235926</v>
        <stp/>
        <stp>BDP|10337719154765215570</stp>
        <tr r="AU758" s="1"/>
      </tp>
      <tp t="s">
        <v>#N/A Requesting Data...3553486017</v>
        <stp/>
        <stp>BDP|10454858436001357874</stp>
        <tr r="E126" s="1"/>
        <tr r="E1380" s="1"/>
      </tp>
      <tp t="s">
        <v>#N/A Requesting Data...1948768982</v>
        <stp/>
        <stp>BDP|12089621440431319320</stp>
        <tr r="J1896" s="1"/>
        <tr r="J2097" s="1"/>
      </tp>
      <tp t="s">
        <v>#N/A Requesting Data...3350870171</v>
        <stp/>
        <stp>BDP|17228839227337029856</stp>
        <tr r="E682" s="1"/>
      </tp>
      <tp t="s">
        <v>#N/A Requesting Data...3002854097</v>
        <stp/>
        <stp>BDP|12961672008711250774</stp>
        <tr r="E674" s="1"/>
      </tp>
      <tp t="s">
        <v>#N/A Requesting Data...2448522688</v>
        <stp/>
        <stp>BDP|11579038629909907857</stp>
        <tr r="H1489" s="1"/>
      </tp>
      <tp t="s">
        <v>#N/A Requesting Data...3631166803</v>
        <stp/>
        <stp>BDP|14710992499797556110</stp>
        <tr r="E756" s="1"/>
      </tp>
      <tp t="s">
        <v>#N/A Requesting Data...3106131372</v>
        <stp/>
        <stp>BDP|11710091834396100682</stp>
        <tr r="H399" s="1"/>
      </tp>
      <tp t="s">
        <v>#N/A Requesting Data...2317356984</v>
        <stp/>
        <stp>BDP|13145245480498033366</stp>
        <tr r="J738" s="1"/>
      </tp>
      <tp t="s">
        <v>#N/A Requesting Data...3100335531</v>
        <stp/>
        <stp>BDP|11320432379188831822</stp>
        <tr r="AV477" s="1"/>
      </tp>
      <tp t="s">
        <v>#N/A Requesting Data...1972410829</v>
        <stp/>
        <stp>BDP|17872296995697560921</stp>
        <tr r="H2088" s="1"/>
      </tp>
      <tp t="s">
        <v>#N/A Requesting Data...3649441883</v>
        <stp/>
        <stp>BDP|16213946827769252602</stp>
        <tr r="AT356" s="1"/>
      </tp>
      <tp t="s">
        <v>#N/A Requesting Data...3064907507</v>
        <stp/>
        <stp>BDP|17120137939256901111</stp>
        <tr r="E1786" s="1"/>
      </tp>
      <tp t="s">
        <v>#N/A Requesting Data...2833396165</v>
        <stp/>
        <stp>BDP|12704791849165140650</stp>
        <tr r="H1427" s="1"/>
      </tp>
      <tp t="s">
        <v>#N/A Requesting Data...3283111733</v>
        <stp/>
        <stp>BDP|16663527613264304468</stp>
        <tr r="AT304" s="1"/>
      </tp>
      <tp t="s">
        <v>#N/A Requesting Data...2644933507</v>
        <stp/>
        <stp>BDP|12019166907328296915</stp>
        <tr r="H1235" s="1"/>
      </tp>
      <tp t="s">
        <v>#N/A Requesting Data...3328622390</v>
        <stp/>
        <stp>BDP|15101451027995616476</stp>
        <tr r="H867" s="1"/>
      </tp>
      <tp t="s">
        <v>#N/A Requesting Data...3961473913</v>
        <stp/>
        <stp>BDP|12885084653655556040</stp>
        <tr r="E918" s="1"/>
      </tp>
      <tp t="s">
        <v>#N/A Requesting Data...3656750120</v>
        <stp/>
        <stp>BDP|12087752935505133132</stp>
        <tr r="H884" s="1"/>
      </tp>
      <tp t="s">
        <v>#N/A Requesting Data...3673631138</v>
        <stp/>
        <stp>BDP|11598130652615635200</stp>
        <tr r="E864" s="1"/>
      </tp>
      <tp t="s">
        <v>#N/A Requesting Data...2752660890</v>
        <stp/>
        <stp>BDP|13610620842417606426</stp>
        <tr r="H300" s="1"/>
      </tp>
      <tp t="s">
        <v>#N/A Requesting Data...2541798437</v>
        <stp/>
        <stp>BDP|11022042437913522349</stp>
        <tr r="J902" s="1"/>
      </tp>
      <tp t="s">
        <v>#N/A Requesting Data...2365015807</v>
        <stp/>
        <stp>BDP|15556637454096759276</stp>
        <tr r="H235" s="1"/>
      </tp>
      <tp t="s">
        <v>#N/A Requesting Data...3566755982</v>
        <stp/>
        <stp>BDP|13554527750671432011</stp>
        <tr r="AT393" s="1"/>
      </tp>
      <tp t="s">
        <v>#N/A Requesting Data...4043750003</v>
        <stp/>
        <stp>BDP|11722901380777727520</stp>
        <tr r="E1942" s="1"/>
      </tp>
      <tp t="s">
        <v>#N/A Requesting Data...2544307220</v>
        <stp/>
        <stp>BDP|17421555926192357018</stp>
        <tr r="H1128" s="1"/>
        <tr r="H1628" s="1"/>
        <tr r="H784" s="1"/>
        <tr r="H81" s="1"/>
      </tp>
      <tp t="s">
        <v>#N/A Requesting Data...3485897213</v>
        <stp/>
        <stp>BDP|15795022165546068752</stp>
        <tr r="H1910" s="1"/>
      </tp>
      <tp t="s">
        <v>#N/A Requesting Data...2445333887</v>
        <stp/>
        <stp>BDP|17589373073559007846</stp>
        <tr r="H1781" s="1"/>
      </tp>
      <tp t="s">
        <v>#N/A Requesting Data...2933657914</v>
        <stp/>
        <stp>BDP|11757509923854624078</stp>
        <tr r="H363" s="1"/>
      </tp>
      <tp t="s">
        <v>#N/A Requesting Data...2906419030</v>
        <stp/>
        <stp>BDP|16706231265142383276</stp>
        <tr r="H805" s="1"/>
      </tp>
      <tp t="s">
        <v>#N/A Requesting Data...2099173767</v>
        <stp/>
        <stp>BDP|15314760492291207800</stp>
        <tr r="H731" s="1"/>
      </tp>
      <tp t="s">
        <v>#N/A Requesting Data...2946385203</v>
        <stp/>
        <stp>BDP|12952281081243243970</stp>
        <tr r="E1299" s="1"/>
      </tp>
      <tp t="s">
        <v>#N/A Requesting Data...2116391552</v>
        <stp/>
        <stp>BDP|16514442417401733043</stp>
        <tr r="H470" s="1"/>
      </tp>
      <tp t="s">
        <v>#N/A Requesting Data...4208971541</v>
        <stp/>
        <stp>BDP|14977256925576455087</stp>
        <tr r="H864" s="1"/>
      </tp>
      <tp t="s">
        <v>#N/A Requesting Data...3971740556</v>
        <stp/>
        <stp>BDP|14007651011448860996</stp>
        <tr r="AR1726" s="1"/>
      </tp>
      <tp t="s">
        <v>#N/A Requesting Data...3326532335</v>
        <stp/>
        <stp>BDP|17606717146293035542</stp>
        <tr r="H911" s="1"/>
      </tp>
      <tp t="s">
        <v>#N/A Requesting Data...2353658485</v>
        <stp/>
        <stp>BDP|17058292284878157781</stp>
        <tr r="AV258" s="1"/>
      </tp>
      <tp t="s">
        <v>#N/A Requesting Data...3451567498</v>
        <stp/>
        <stp>BDP|17023465221993610055</stp>
        <tr r="AV218" s="1"/>
      </tp>
      <tp t="s">
        <v>#N/A Requesting Data...3857294420</v>
        <stp/>
        <stp>BDP|13696371044114213231</stp>
        <tr r="E1171" s="1"/>
        <tr r="E1826" s="1"/>
      </tp>
      <tp t="s">
        <v>#N/A Requesting Data...2873211076</v>
        <stp/>
        <stp>BDP|16115621554122792541</stp>
        <tr r="AU201" s="1"/>
        <tr r="AU257" s="1"/>
      </tp>
      <tp t="s">
        <v>#N/A Requesting Data...3892615481</v>
        <stp/>
        <stp>BDP|11214242226291202269</stp>
        <tr r="AU270" s="1"/>
      </tp>
      <tp t="s">
        <v>#N/A Requesting Data...2480099019</v>
        <stp/>
        <stp>BDP|15944519565734132081</stp>
        <tr r="E964" s="1"/>
      </tp>
      <tp t="s">
        <v>#N/A Requesting Data...1584189955</v>
        <stp/>
        <stp>BDP|16470844145598781061</stp>
        <tr r="AV703" s="1"/>
      </tp>
      <tp t="s">
        <v>#N/A Requesting Data...2559974041</v>
        <stp/>
        <stp>BDP|13905183136877136427</stp>
        <tr r="J985" s="1"/>
      </tp>
      <tp t="s">
        <v>#N/A Requesting Data...3552639392</v>
        <stp/>
        <stp>BDP|17384110247588301823</stp>
        <tr r="E2098" s="1"/>
      </tp>
      <tp t="s">
        <v>#N/A Requesting Data...2732560610</v>
        <stp/>
        <stp>BDP|18226057393746248528</stp>
        <tr r="AU869" s="1"/>
      </tp>
      <tp t="s">
        <v>#N/A Requesting Data...4148541981</v>
        <stp/>
        <stp>BDP|11698757924517570162</stp>
        <tr r="E259" s="1"/>
      </tp>
      <tp t="s">
        <v>#N/A Requesting Data...3350896962</v>
        <stp/>
        <stp>BDP|15677455017393552159</stp>
        <tr r="E468" s="1"/>
      </tp>
      <tp t="s">
        <v>#N/A Requesting Data...3253072564</v>
        <stp/>
        <stp>BDP|11660098265414811166</stp>
        <tr r="E809" s="1"/>
      </tp>
      <tp t="s">
        <v>#N/A Requesting Data...1580438679</v>
        <stp/>
        <stp>BDP|17202177375043488003</stp>
        <tr r="H1853" s="1"/>
        <tr r="H20" s="1"/>
        <tr r="H2064" s="1"/>
      </tp>
      <tp t="s">
        <v>#N/A Requesting Data...2747242760</v>
        <stp/>
        <stp>BDP|12047241947721472739</stp>
        <tr r="J733" s="1"/>
      </tp>
      <tp t="s">
        <v>#N/A Requesting Data...3039405064</v>
        <stp/>
        <stp>BDP|15941020099689777717</stp>
        <tr r="E1917" s="1"/>
      </tp>
      <tp t="s">
        <v>#N/A Requesting Data...2810177190</v>
        <stp/>
        <stp>BDP|10154394475574873211</stp>
        <tr r="AT212" s="1"/>
      </tp>
      <tp t="s">
        <v>#N/A Requesting Data...2862808369</v>
        <stp/>
        <stp>BDP|11761341255565596079</stp>
        <tr r="E1860" s="1"/>
      </tp>
      <tp t="s">
        <v>#N/A Requesting Data...2381295501</v>
        <stp/>
        <stp>BDP|11234154785448673200</stp>
        <tr r="J593" s="1"/>
      </tp>
      <tp t="s">
        <v>#N/A Requesting Data...3631277176</v>
        <stp/>
        <stp>BDP|18126849630274379515</stp>
        <tr r="J167" s="1"/>
        <tr r="J226" s="1"/>
      </tp>
      <tp t="s">
        <v>#N/A Requesting Data...3572851031</v>
        <stp/>
        <stp>BDP|12376675755914715711</stp>
        <tr r="H362" s="1"/>
      </tp>
      <tp t="s">
        <v>#N/A Requesting Data...2400733092</v>
        <stp/>
        <stp>BDP|11644037025621468039</stp>
        <tr r="H901" s="1"/>
      </tp>
      <tp t="s">
        <v>#N/A Requesting Data...3511988907</v>
        <stp/>
        <stp>BDP|10068148551423124532</stp>
        <tr r="J1642" s="1"/>
        <tr r="J1885" s="1"/>
        <tr r="J2091" s="1"/>
      </tp>
      <tp t="s">
        <v>#N/A Requesting Data...2019745346</v>
        <stp/>
        <stp>BDP|16485525344007224276</stp>
        <tr r="AV752" s="1"/>
      </tp>
      <tp t="s">
        <v>#N/A Requesting Data...2402468648</v>
        <stp/>
        <stp>BDP|11084670950339378934</stp>
        <tr r="J356" s="1"/>
      </tp>
      <tp t="s">
        <v>#N/A Requesting Data...4156762474</v>
        <stp/>
        <stp>BDP|13485244825044038527</stp>
        <tr r="E808" s="1"/>
      </tp>
      <tp t="s">
        <v>#N/A Requesting Data...2349468274</v>
        <stp/>
        <stp>BDP|13386306670682714736</stp>
        <tr r="E1118" s="1"/>
        <tr r="E1591" s="1"/>
        <tr r="E1966" s="1"/>
      </tp>
      <tp t="s">
        <v>#N/A Requesting Data...3700214990</v>
        <stp/>
        <stp>BDP|16012675510373389031</stp>
        <tr r="E600" s="1"/>
      </tp>
      <tp t="s">
        <v>#N/A Requesting Data...2184522877</v>
        <stp/>
        <stp>BDP|15706237122312288530</stp>
        <tr r="E1300" s="1"/>
        <tr r="E974" s="1"/>
      </tp>
      <tp t="s">
        <v>#N/A Requesting Data...1721797133</v>
        <stp/>
        <stp>BDP|17015211054726299402</stp>
        <tr r="AV536" s="1"/>
      </tp>
      <tp t="s">
        <v>#N/A Requesting Data...1786226497</v>
        <stp/>
        <stp>BDP|13415134701111431154</stp>
        <tr r="E1789" s="1"/>
      </tp>
      <tp t="s">
        <v>#N/A Requesting Data...2205116536</v>
        <stp/>
        <stp>BDP|10795921011898111223</stp>
        <tr r="H1178" s="1"/>
        <tr r="H1935" s="1"/>
      </tp>
      <tp t="s">
        <v>#N/A Requesting Data...2167627136</v>
        <stp/>
        <stp>BDP|13955695876871916188</stp>
        <tr r="J1675" s="1"/>
      </tp>
      <tp t="s">
        <v>#N/A Requesting Data...3017742884</v>
        <stp/>
        <stp>BDP|15061874768621148897</stp>
        <tr r="H763" s="1"/>
      </tp>
      <tp t="s">
        <v>#N/A Requesting Data...2999673410</v>
        <stp/>
        <stp>BDP|13641458043228287951</stp>
        <tr r="J1304" s="1"/>
      </tp>
      <tp t="s">
        <v>#N/A Requesting Data...3747603294</v>
        <stp/>
        <stp>BDP|10530492118532390508</stp>
        <tr r="AT290" s="1"/>
      </tp>
      <tp t="s">
        <v>#N/A Requesting Data...3713598539</v>
        <stp/>
        <stp>BDP|18360602861973695930</stp>
        <tr r="E900" s="1"/>
      </tp>
      <tp t="s">
        <v>#N/A Requesting Data...3909961648</v>
        <stp/>
        <stp>BDP|10500000013203788071</stp>
        <tr r="AT457" s="1"/>
      </tp>
      <tp t="s">
        <v>#N/A Requesting Data...2116856072</v>
        <stp/>
        <stp>BDP|10937602437977135091</stp>
        <tr r="J722" s="1"/>
      </tp>
      <tp t="s">
        <v>#N/A Requesting Data...1921569956</v>
        <stp/>
        <stp>BDP|12725338601616364503</stp>
        <tr r="J89" s="1"/>
      </tp>
      <tp t="s">
        <v>#N/A Requesting Data...2722904199</v>
        <stp/>
        <stp>BDP|11098638483015571839</stp>
        <tr r="E626" s="1"/>
      </tp>
      <tp t="s">
        <v>#N/A Requesting Data...4041819091</v>
        <stp/>
        <stp>BDP|10080676301160575456</stp>
        <tr r="AV620" s="1"/>
      </tp>
      <tp t="s">
        <v>#N/A Requesting Data...2448485437</v>
        <stp/>
        <stp>BDP|12185089079217747019</stp>
        <tr r="J1832" s="1"/>
      </tp>
      <tp t="s">
        <v>#N/A Requesting Data...2547509303</v>
        <stp/>
        <stp>BDP|13075644004162229543</stp>
        <tr r="E113" s="1"/>
      </tp>
      <tp t="s">
        <v>#N/A Requesting Data...1681810899</v>
        <stp/>
        <stp>BDP|10185469633561493468</stp>
        <tr r="E1204" s="1"/>
      </tp>
      <tp t="s">
        <v>#N/A Requesting Data...2195459852</v>
        <stp/>
        <stp>BDP|11555337574885240395</stp>
        <tr r="H130" s="1"/>
      </tp>
      <tp t="s">
        <v>#N/A Requesting Data...3086904362</v>
        <stp/>
        <stp>BDP|15379491824334392447</stp>
        <tr r="J262" s="1"/>
      </tp>
      <tp t="s">
        <v>#N/A Requesting Data...1884983654</v>
        <stp/>
        <stp>BDP|13306009959373160626</stp>
        <tr r="E161" s="1"/>
      </tp>
      <tp t="s">
        <v>#N/A Requesting Data...2316121934</v>
        <stp/>
        <stp>BDP|18077767672242594982</stp>
        <tr r="E403" s="1"/>
      </tp>
      <tp t="s">
        <v>#N/A Requesting Data...4262230793</v>
        <stp/>
        <stp>BDP|12591413061165949657</stp>
        <tr r="AP2018" s="1"/>
      </tp>
      <tp t="s">
        <v>#N/A Requesting Data...2156241736</v>
        <stp/>
        <stp>BDP|13785839899388359978</stp>
        <tr r="H105" s="1"/>
      </tp>
      <tp t="s">
        <v>#N/A Requesting Data...3824278656</v>
        <stp/>
        <stp>BDP|16165142146279396990</stp>
        <tr r="J871" s="1"/>
      </tp>
      <tp t="s">
        <v>#N/A Requesting Data...3096290468</v>
        <stp/>
        <stp>BDP|14811019972341441161</stp>
        <tr r="H397" s="1"/>
      </tp>
      <tp t="s">
        <v>#N/A Requesting Data...2193513834</v>
        <stp/>
        <stp>BDP|12003178209436624613</stp>
        <tr r="AV612" s="1"/>
      </tp>
      <tp t="s">
        <v>#N/A Requesting Data...2380512073</v>
        <stp/>
        <stp>BDP|12105978962388975641</stp>
        <tr r="J191" s="1"/>
        <tr r="J44" s="1"/>
      </tp>
      <tp t="s">
        <v>#N/A Requesting Data...2624403283</v>
        <stp/>
        <stp>BDP|12087395267731100566</stp>
        <tr r="AU298" s="1"/>
      </tp>
      <tp t="s">
        <v>#N/A Requesting Data...3547428080</v>
        <stp/>
        <stp>BDP|12694601339065317158</stp>
        <tr r="AV613" s="1"/>
      </tp>
      <tp t="s">
        <v>#N/A Requesting Data...3710152936</v>
        <stp/>
        <stp>BDP|16950617115112002042</stp>
        <tr r="E193" s="1"/>
      </tp>
      <tp t="s">
        <v>#N/A Requesting Data...3228776107</v>
        <stp/>
        <stp>BDP|10201384753497760276</stp>
        <tr r="H126" s="1"/>
        <tr r="H1380" s="1"/>
      </tp>
      <tp t="s">
        <v>#N/A Requesting Data...3428551073</v>
        <stp/>
        <stp>BDP|10223098643261211639</stp>
        <tr r="E807" s="1"/>
      </tp>
      <tp t="s">
        <v>#N/A Requesting Data...2588051319</v>
        <stp/>
        <stp>BDP|17501935135876998831</stp>
        <tr r="H754" s="1"/>
      </tp>
      <tp t="s">
        <v>#N/A Requesting Data...3493844054</v>
        <stp/>
        <stp>BDP|14428201148324733526</stp>
        <tr r="J405" s="1"/>
      </tp>
      <tp t="s">
        <v>#N/A Requesting Data...2401027221</v>
        <stp/>
        <stp>BDP|10314100045642923461</stp>
        <tr r="J340" s="1"/>
      </tp>
      <tp t="s">
        <v>#N/A Requesting Data...3583431966</v>
        <stp/>
        <stp>BDP|13633259938212459369</stp>
        <tr r="AU843" s="1"/>
      </tp>
      <tp t="s">
        <v>#N/A Requesting Data...4156623141</v>
        <stp/>
        <stp>BDP|13016969143319492498</stp>
        <tr r="J432" s="1"/>
      </tp>
      <tp t="s">
        <v>#N/A Requesting Data...2951461496</v>
        <stp/>
        <stp>BDP|14433042920320924519</stp>
        <tr r="AP198" s="1"/>
      </tp>
      <tp t="s">
        <v>#N/A Requesting Data...2641277147</v>
        <stp/>
        <stp>BDP|13848349978445892143</stp>
        <tr r="AU496" s="1"/>
      </tp>
      <tp t="s">
        <v>#N/A Requesting Data...1923787702</v>
        <stp/>
        <stp>BDP|13237495487288432407</stp>
        <tr r="E1607" s="1"/>
        <tr r="E1916" s="1"/>
        <tr r="E27" s="1"/>
      </tp>
      <tp t="s">
        <v>#N/A Requesting Data...1876772313</v>
        <stp/>
        <stp>BDP|10721063627620711190</stp>
        <tr r="AU610" s="1"/>
      </tp>
      <tp t="s">
        <v>#N/A Requesting Data...1914193776</v>
        <stp/>
        <stp>BDP|14446107858522755136</stp>
        <tr r="E111" s="1"/>
      </tp>
      <tp t="s">
        <v>#N/A Requesting Data...3963126791</v>
        <stp/>
        <stp>BDP|16083568327247913506</stp>
        <tr r="J1392" s="1"/>
      </tp>
      <tp t="s">
        <v>#N/A Requesting Data...3110554753</v>
        <stp/>
        <stp>BDP|13205513916624883059</stp>
        <tr r="AV558" s="1"/>
      </tp>
      <tp t="s">
        <v>#N/A Requesting Data...3112940439</v>
        <stp/>
        <stp>BDP|17458995264138551340</stp>
        <tr r="J560" s="1"/>
      </tp>
      <tp t="s">
        <v>#N/A Requesting Data...3891620775</v>
        <stp/>
        <stp>BDP|10830873154557013930</stp>
        <tr r="H386" s="1"/>
      </tp>
      <tp t="s">
        <v>#N/A Requesting Data...3158588026</v>
        <stp/>
        <stp>BDP|12338536035905850262</stp>
        <tr r="AT855" s="1"/>
      </tp>
      <tp t="s">
        <v>#N/A Requesting Data...4081868663</v>
        <stp/>
        <stp>BDP|17101196590919304504</stp>
        <tr r="AU734" s="1"/>
      </tp>
      <tp t="s">
        <v>#N/A Requesting Data...2189190395</v>
        <stp/>
        <stp>BDP|10892482039132118632</stp>
        <tr r="E585" s="1"/>
      </tp>
      <tp t="s">
        <v>#N/A Requesting Data...1842089588</v>
        <stp/>
        <stp>BDP|13139407348451386111</stp>
        <tr r="J1850" s="1"/>
      </tp>
      <tp t="s">
        <v>#N/A Requesting Data...2439375519</v>
        <stp/>
        <stp>BDP|16836616092089389334</stp>
        <tr r="J68" s="1"/>
      </tp>
      <tp t="s">
        <v>#N/A Requesting Data...2311813512</v>
        <stp/>
        <stp>BDP|15493256629402644456</stp>
        <tr r="AU514" s="1"/>
      </tp>
      <tp t="s">
        <v>#N/A Requesting Data...2912753544</v>
        <stp/>
        <stp>BDP|14887140697359971692</stp>
        <tr r="AT862" s="1"/>
      </tp>
      <tp t="s">
        <v>#N/A Requesting Data...3389246636</v>
        <stp/>
        <stp>BDP|17871565577871445763</stp>
        <tr r="H1834" s="1"/>
      </tp>
      <tp t="s">
        <v>#N/A Requesting Data...2615717227</v>
        <stp/>
        <stp>BDP|15653980557992488868</stp>
        <tr r="H506" s="1"/>
      </tp>
      <tp t="s">
        <v>#N/A Requesting Data...2078335328</v>
        <stp/>
        <stp>BDP|15016659309936649616</stp>
        <tr r="H732" s="1"/>
      </tp>
      <tp t="s">
        <v>#N/A Requesting Data...3663755699</v>
        <stp/>
        <stp>BDP|11100962183461741281</stp>
        <tr r="AV871" s="1"/>
      </tp>
      <tp t="s">
        <v>#N/A Requesting Data...2671045293</v>
        <stp/>
        <stp>BDP|15925985583520092798</stp>
        <tr r="H1542" s="1"/>
      </tp>
      <tp t="s">
        <v>#N/A Requesting Data...2574185350</v>
        <stp/>
        <stp>BDP|11853054946545602366</stp>
        <tr r="AV264" s="1"/>
      </tp>
      <tp t="s">
        <v>#N/A Requesting Data...3248933127</v>
        <stp/>
        <stp>BDP|13682044965383481585</stp>
        <tr r="E1521" s="1"/>
      </tp>
      <tp t="s">
        <v>#N/A Requesting Data...1835663715</v>
        <stp/>
        <stp>BDP|15270913306537635884</stp>
        <tr r="H103" s="1"/>
        <tr r="H1150" s="1"/>
        <tr r="H1662" s="1"/>
      </tp>
      <tp t="s">
        <v>#N/A Requesting Data...3885907558</v>
        <stp/>
        <stp>BDP|11863354450444485028</stp>
        <tr r="H1929" s="1"/>
        <tr r="H35" s="1"/>
      </tp>
      <tp t="s">
        <v>#N/A Requesting Data...4004238741</v>
        <stp/>
        <stp>BDP|13053728600001036698</stp>
        <tr r="J1423" s="1"/>
      </tp>
      <tp t="s">
        <v>#N/A Requesting Data...4031209155</v>
        <stp/>
        <stp>BDP|11003197807517554403</stp>
        <tr r="E854" s="1"/>
      </tp>
      <tp t="s">
        <v>#N/A Requesting Data...4177462390</v>
        <stp/>
        <stp>BDP|14717789301230147055</stp>
        <tr r="H737" s="1"/>
      </tp>
      <tp t="s">
        <v>#N/A Requesting Data...3308869722</v>
        <stp/>
        <stp>BDP|14462775306854723483</stp>
        <tr r="J646" s="1"/>
      </tp>
      <tp t="s">
        <v>#N/A Requesting Data...1838388364</v>
        <stp/>
        <stp>BDP|17491003869484612615</stp>
        <tr r="E1343" s="1"/>
      </tp>
      <tp t="s">
        <v>#N/A Requesting Data...2026917570</v>
        <stp/>
        <stp>BDP|10607496257923369110</stp>
        <tr r="J1087" s="1"/>
      </tp>
      <tp t="s">
        <v>#N/A Requesting Data...2280016938</v>
        <stp/>
        <stp>BDP|10238136922936135680</stp>
        <tr r="J1762" s="1"/>
      </tp>
      <tp t="s">
        <v>#N/A Requesting Data...2165115436</v>
        <stp/>
        <stp>BDP|10602906143969854774</stp>
        <tr r="AU574" s="1"/>
      </tp>
      <tp t="s">
        <v>#N/A Requesting Data...3042376249</v>
        <stp/>
        <stp>BDP|16282022469033167022</stp>
        <tr r="H663" s="1"/>
      </tp>
      <tp t="s">
        <v>#N/A Requesting Data...2460043712</v>
        <stp/>
        <stp>BDP|10150522942164373682</stp>
        <tr r="H423" s="1"/>
      </tp>
      <tp t="s">
        <v>#N/A Requesting Data...4222012136</v>
        <stp/>
        <stp>BDP|14107547301344844663</stp>
        <tr r="J906" s="1"/>
      </tp>
      <tp t="s">
        <v>#N/A Requesting Data...3216277917</v>
        <stp/>
        <stp>BDP|13567915984269363897</stp>
        <tr r="E1104" s="1"/>
        <tr r="E1570" s="1"/>
      </tp>
      <tp t="s">
        <v>#N/A Requesting Data...3785334429</v>
        <stp/>
        <stp>BDP|15512289872774780720</stp>
        <tr r="H242" s="1"/>
      </tp>
      <tp t="s">
        <v>#N/A Requesting Data...2225379721</v>
        <stp/>
        <stp>BDP|13234053065896891006</stp>
        <tr r="AV495" s="1"/>
      </tp>
      <tp t="s">
        <v>#N/A Requesting Data...3667714222</v>
        <stp/>
        <stp>BDP|15413192110251461731</stp>
        <tr r="J556" s="1"/>
      </tp>
      <tp t="s">
        <v>#N/A Requesting Data...1800947709</v>
        <stp/>
        <stp>BDP|12582161738970668373</stp>
        <tr r="AS1991" s="1"/>
      </tp>
      <tp t="s">
        <v>#N/A Requesting Data...3428168393</v>
        <stp/>
        <stp>BDP|13823852872456260909</stp>
        <tr r="H1119" s="1"/>
      </tp>
      <tp t="s">
        <v>#N/A Requesting Data...3170544958</v>
        <stp/>
        <stp>BDP|11925498772590639197</stp>
        <tr r="AU594" s="1"/>
      </tp>
      <tp t="s">
        <v>#N/A Requesting Data...2637962393</v>
        <stp/>
        <stp>BDP|17894164064263279051</stp>
        <tr r="AV722" s="1"/>
      </tp>
      <tp t="s">
        <v>#N/A Requesting Data...2901995945</v>
        <stp/>
        <stp>BDP|13043889947155233907</stp>
        <tr r="H1775" s="1"/>
      </tp>
      <tp t="s">
        <v>#N/A Requesting Data...3686290803</v>
        <stp/>
        <stp>BDP|17210449317995477488</stp>
        <tr r="AU757" s="1"/>
      </tp>
      <tp t="s">
        <v>#N/A Requesting Data...3760473002</v>
        <stp/>
        <stp>BDP|10819132955223092434</stp>
        <tr r="AV463" s="1"/>
      </tp>
      <tp t="s">
        <v>#N/A Requesting Data...2269876248</v>
        <stp/>
        <stp>BDP|17053032175327254492</stp>
        <tr r="E179" s="1"/>
        <tr r="E33" s="1"/>
      </tp>
      <tp t="s">
        <v>#N/A Requesting Data...2406944148</v>
        <stp/>
        <stp>BDP|15884522563021300479</stp>
        <tr r="AV634" s="1"/>
      </tp>
      <tp t="s">
        <v>#N/A Requesting Data...3162264621</v>
        <stp/>
        <stp>BDP|13460455857499339886</stp>
        <tr r="J1491" s="1"/>
      </tp>
      <tp t="s">
        <v>#N/A Requesting Data...3110845914</v>
        <stp/>
        <stp>BDP|13740616388688251613</stp>
        <tr r="J1507" s="1"/>
      </tp>
      <tp t="s">
        <v>#N/A Requesting Data...2498760924</v>
        <stp/>
        <stp>BDP|10960429886876128917</stp>
        <tr r="E609" s="1"/>
      </tp>
      <tp t="s">
        <v>#N/A Requesting Data...1779011482</v>
        <stp/>
        <stp>BDP|12204411021112927560</stp>
        <tr r="E358" s="1"/>
      </tp>
      <tp t="s">
        <v>#N/A Requesting Data...3730752501</v>
        <stp/>
        <stp>BDP|13865666238440851530</stp>
        <tr r="J2055" s="1"/>
      </tp>
      <tp t="s">
        <v>#N/A Requesting Data...1779526304</v>
        <stp/>
        <stp>BDP|13985108505607767660</stp>
        <tr r="AV855" s="1"/>
      </tp>
      <tp t="s">
        <v>#N/A Requesting Data...3216638217</v>
        <stp/>
        <stp>BDP|14107604678042306474</stp>
        <tr r="H1343" s="1"/>
      </tp>
      <tp t="s">
        <v>#N/A Requesting Data...3428241086</v>
        <stp/>
        <stp>BDP|18364996367695010101</stp>
        <tr r="E1847" s="1"/>
        <tr r="E2059" s="1"/>
      </tp>
      <tp t="s">
        <v>#N/A Requesting Data...3430384985</v>
        <stp/>
        <stp>BDP|11155611499768571512</stp>
        <tr r="J160" s="1"/>
      </tp>
      <tp t="s">
        <v>#N/A Requesting Data...2656155315</v>
        <stp/>
        <stp>BDP|10856805557187738954</stp>
        <tr r="AS2027" s="1"/>
      </tp>
      <tp t="s">
        <v>#N/A Requesting Data...2897053970</v>
        <stp/>
        <stp>BDP|17492307668781796065</stp>
        <tr r="H26" s="1"/>
      </tp>
      <tp t="s">
        <v>#N/A Requesting Data...3327405055</v>
        <stp/>
        <stp>BDP|13334323978324704037</stp>
        <tr r="J75" s="1"/>
      </tp>
      <tp t="s">
        <v>#N/A Requesting Data...2223147595</v>
        <stp/>
        <stp>BDP|15854329533095000357</stp>
        <tr r="AU271" s="1"/>
      </tp>
      <tp t="s">
        <v>#N/A Requesting Data...2776246723</v>
        <stp/>
        <stp>BDP|15051163169225590467</stp>
        <tr r="H1387" s="1"/>
      </tp>
      <tp t="s">
        <v>#N/A Requesting Data...3930424225</v>
        <stp/>
        <stp>BDP|14689788057147096254</stp>
        <tr r="J413" s="1"/>
      </tp>
      <tp t="s">
        <v>#N/A Requesting Data...3666132162</v>
        <stp/>
        <stp>BDP|13486989186198678904</stp>
        <tr r="AU318" s="1"/>
      </tp>
      <tp t="s">
        <v>#N/A Requesting Data...2385424271</v>
        <stp/>
        <stp>BDP|10242088444872469560</stp>
        <tr r="AU906" s="1"/>
      </tp>
      <tp t="s">
        <v>#N/A Requesting Data...2183351863</v>
        <stp/>
        <stp>BDP|15476432944552927465</stp>
        <tr r="J1792" s="1"/>
      </tp>
      <tp t="s">
        <v>#N/A Requesting Data...3417224701</v>
        <stp/>
        <stp>BDP|10969645357625770515</stp>
        <tr r="E534" s="1"/>
      </tp>
      <tp t="s">
        <v>#N/A Requesting Data...4185939688</v>
        <stp/>
        <stp>BDP|16309185945992682243</stp>
        <tr r="J1120" s="1"/>
        <tr r="J1593" s="1"/>
      </tp>
      <tp t="s">
        <v>#N/A Requesting Data...2312346321</v>
        <stp/>
        <stp>BDP|17878861751508421174</stp>
        <tr r="AU841" s="1"/>
      </tp>
      <tp t="s">
        <v>#N/A Requesting Data...4078155582</v>
        <stp/>
        <stp>BDP|11048952028990039919</stp>
        <tr r="J518" s="1"/>
      </tp>
      <tp t="s">
        <v>#N/A Requesting Data...3618497557</v>
        <stp/>
        <stp>BDP|13377787160186506724</stp>
        <tr r="J1198" s="1"/>
      </tp>
      <tp t="s">
        <v>#N/A Requesting Data...2847128260</v>
        <stp/>
        <stp>BDP|14651659520775852646</stp>
        <tr r="AU700" s="1"/>
      </tp>
      <tp t="s">
        <v>#N/A Requesting Data...2995104015</v>
        <stp/>
        <stp>BDP|11001286096889010010</stp>
        <tr r="H202" s="1"/>
      </tp>
      <tp t="s">
        <v>#N/A Requesting Data...2694962356</v>
        <stp/>
        <stp>BDP|17189545149421530465</stp>
        <tr r="J1387" s="1"/>
      </tp>
      <tp t="s">
        <v>#N/A Requesting Data...2553999837</v>
        <stp/>
        <stp>BDP|10254472729231328409</stp>
        <tr r="J1090" s="1"/>
        <tr r="J1137" s="1"/>
        <tr r="J1639" s="1"/>
        <tr r="J1939" s="1"/>
      </tp>
      <tp t="s">
        <v>#N/A Requesting Data...2303861126</v>
        <stp/>
        <stp>BDP|14868012313370507609</stp>
        <tr r="H120" s="1"/>
      </tp>
      <tp t="s">
        <v>#N/A Requesting Data...3108894499</v>
        <stp/>
        <stp>BDP|16447621977147794390</stp>
        <tr r="AT358" s="1"/>
      </tp>
      <tp t="s">
        <v>#N/A Requesting Data...4073250865</v>
        <stp/>
        <stp>BDP|10978181712725967655</stp>
        <tr r="H573" s="1"/>
      </tp>
      <tp t="s">
        <v>#N/A Requesting Data...3520611732</v>
        <stp/>
        <stp>BDP|17277217679030015153</stp>
        <tr r="J112" s="1"/>
      </tp>
      <tp t="s">
        <v>#N/A Requesting Data...2891991002</v>
        <stp/>
        <stp>BDP|13104126058537552317</stp>
        <tr r="AU745" s="1"/>
      </tp>
      <tp t="s">
        <v>#N/A Requesting Data...2998349995</v>
        <stp/>
        <stp>BDP|18118510129465317953</stp>
        <tr r="AT282" s="1"/>
      </tp>
      <tp t="s">
        <v>#N/A Requesting Data...3266822522</v>
        <stp/>
        <stp>BDP|13859363010077346524</stp>
        <tr r="E1237" s="1"/>
      </tp>
      <tp t="s">
        <v>#N/A Requesting Data...2445870639</v>
        <stp/>
        <stp>BDP|12996514966641986386</stp>
        <tr r="H744" s="1"/>
      </tp>
      <tp t="s">
        <v>#N/A Requesting Data...3892865694</v>
        <stp/>
        <stp>BDP|13456090828630227284</stp>
        <tr r="E484" s="1"/>
      </tp>
      <tp t="s">
        <v>#N/A Requesting Data...1885783960</v>
        <stp/>
        <stp>BDP|13966628690538201770</stp>
        <tr r="H1750" s="1"/>
      </tp>
      <tp t="s">
        <v>#N/A Requesting Data...4099561242</v>
        <stp/>
        <stp>BDP|12268534428996649012</stp>
        <tr r="AT547" s="1"/>
      </tp>
      <tp t="s">
        <v>#N/A Requesting Data...4252211994</v>
        <stp/>
        <stp>BDP|16845476862974147323</stp>
        <tr r="AT742" s="1"/>
      </tp>
      <tp t="s">
        <v>#N/A Requesting Data...4195804628</v>
        <stp/>
        <stp>BDP|16410810252809072192</stp>
        <tr r="AV583" s="1"/>
      </tp>
      <tp t="s">
        <v>#N/A Requesting Data...2507476005</v>
        <stp/>
        <stp>BDP|11346351044626571397</stp>
        <tr r="E523" s="1"/>
      </tp>
      <tp t="s">
        <v>#N/A Requesting Data...3605052799</v>
        <stp/>
        <stp>BDP|17411454006568909802</stp>
        <tr r="AT443" s="1"/>
      </tp>
      <tp t="s">
        <v>#N/A Requesting Data...3938131610</v>
        <stp/>
        <stp>BDP|13648087206441554133</stp>
        <tr r="AV610" s="1"/>
      </tp>
      <tp t="s">
        <v>#N/A Requesting Data...2777064334</v>
        <stp/>
        <stp>BDP|18074141957036561986</stp>
        <tr r="E1690" s="1"/>
      </tp>
      <tp t="s">
        <v>#N/A Requesting Data...2205738785</v>
        <stp/>
        <stp>BDP|15682225050658386997</stp>
        <tr r="H639" s="1"/>
      </tp>
      <tp t="s">
        <v>#N/A Requesting Data...3941794640</v>
        <stp/>
        <stp>BDP|18028837287132063959</stp>
        <tr r="H1009" s="1"/>
        <tr r="H1271" s="1"/>
        <tr r="H1328" s="1"/>
        <tr r="H1363" s="1"/>
        <tr r="H1702" s="1"/>
        <tr r="H1716" s="1"/>
        <tr r="H1733" s="1"/>
        <tr r="H770" s="1"/>
        <tr r="H822" s="1"/>
        <tr r="H842" s="1"/>
      </tp>
      <tp t="s">
        <v>#N/A Requesting Data...2331437431</v>
        <stp/>
        <stp>BDP|15025263653512085347</stp>
        <tr r="E714" s="1"/>
      </tp>
      <tp t="s">
        <v>#N/A Requesting Data...4108072544</v>
        <stp/>
        <stp>BDP|11271018826220675020</stp>
        <tr r="H1586" s="1"/>
      </tp>
      <tp t="s">
        <v>#N/A Requesting Data...3631888694</v>
        <stp/>
        <stp>BDP|10753725334922744575</stp>
        <tr r="E1316" s="1"/>
      </tp>
      <tp t="s">
        <v>#N/A Requesting Data...3792150049</v>
        <stp/>
        <stp>BDP|14631918951953794804</stp>
        <tr r="J852" s="1"/>
      </tp>
      <tp t="s">
        <v>#N/A Requesting Data...2106319348</v>
        <stp/>
        <stp>BDP|14036259555587378725</stp>
        <tr r="AV290" s="1"/>
      </tp>
      <tp t="s">
        <v>#N/A Requesting Data...2262385919</v>
        <stp/>
        <stp>BDP|11870428770399381888</stp>
        <tr r="J1931" s="1"/>
      </tp>
      <tp t="s">
        <v>#N/A Requesting Data...3183260202</v>
        <stp/>
        <stp>BDP|13156506235413028556</stp>
        <tr r="E1220" s="1"/>
      </tp>
      <tp t="s">
        <v>#N/A Requesting Data...2618820801</v>
        <stp/>
        <stp>BDP|16631021206126496378</stp>
        <tr r="H1648" s="1"/>
        <tr r="H94" s="1"/>
      </tp>
      <tp t="s">
        <v>#N/A Requesting Data...3417467675</v>
        <stp/>
        <stp>BDP|10397413501835619242</stp>
        <tr r="J633" s="1"/>
      </tp>
      <tp t="s">
        <v>#N/A Requesting Data...2253348264</v>
        <stp/>
        <stp>BDP|12773714807333009501</stp>
        <tr r="AU733" s="1"/>
      </tp>
      <tp t="s">
        <v>#N/A Requesting Data...3809925795</v>
        <stp/>
        <stp>BDP|11317867025728885098</stp>
        <tr r="E332" s="1"/>
      </tp>
      <tp t="s">
        <v>#N/A Requesting Data...4155278915</v>
        <stp/>
        <stp>BDP|13263155216806633669</stp>
        <tr r="J1391" s="1"/>
      </tp>
      <tp t="s">
        <v>#N/A Requesting Data...2805530183</v>
        <stp/>
        <stp>BDP|16801136378766243502</stp>
        <tr r="J1003" s="1"/>
        <tr r="J1322" s="1"/>
      </tp>
      <tp t="s">
        <v>#N/A Requesting Data...3037266284</v>
        <stp/>
        <stp>BDP|17511572331761434360</stp>
        <tr r="AV428" s="1"/>
      </tp>
      <tp t="s">
        <v>#N/A Requesting Data...3884892702</v>
        <stp/>
        <stp>BDP|10075021771400278401</stp>
        <tr r="E1841" s="1"/>
        <tr r="E9" s="1"/>
      </tp>
      <tp t="s">
        <v>#N/A Requesting Data...2095658976</v>
        <stp/>
        <stp>BDP|12097347285103906984</stp>
        <tr r="AU320" s="1"/>
      </tp>
      <tp t="s">
        <v>#N/A Requesting Data...3536217843</v>
        <stp/>
        <stp>BDP|13722562572125237719</stp>
        <tr r="E1130" s="1"/>
      </tp>
      <tp t="s">
        <v>#N/A Requesting Data...4287783417</v>
        <stp/>
        <stp>BDP|13913369396573023997</stp>
        <tr r="H1262" s="1"/>
      </tp>
      <tp t="s">
        <v>#N/A Requesting Data...2963345152</v>
        <stp/>
        <stp>BDP|16686490734535856730</stp>
        <tr r="H812" s="1"/>
      </tp>
      <tp t="s">
        <v>#N/A Requesting Data...2714235119</v>
        <stp/>
        <stp>BDP|15271352482429609432</stp>
        <tr r="J1186" s="1"/>
        <tr r="J1488" s="1"/>
      </tp>
      <tp t="s">
        <v>#N/A Requesting Data...1970038765</v>
        <stp/>
        <stp>BDP|12755206236607144702</stp>
        <tr r="E614" s="1"/>
      </tp>
      <tp t="s">
        <v>#N/A Requesting Data...2674841168</v>
        <stp/>
        <stp>BDP|11930244354792908703</stp>
        <tr r="H356" s="1"/>
      </tp>
      <tp t="s">
        <v>#N/A Requesting Data...3728930537</v>
        <stp/>
        <stp>BDP|10564810864225177813</stp>
        <tr r="AT448" s="1"/>
      </tp>
      <tp t="s">
        <v>#N/A Requesting Data...1890352873</v>
        <stp/>
        <stp>BDP|11374249123976164451</stp>
        <tr r="J498" s="1"/>
      </tp>
      <tp t="s">
        <v>#N/A Requesting Data...2714850720</v>
        <stp/>
        <stp>BDP|14593728377596480149</stp>
        <tr r="E1527" s="1"/>
      </tp>
      <tp t="s">
        <v>#N/A Requesting Data...2053182406</v>
        <stp/>
        <stp>BDP|16108497419132717263</stp>
        <tr r="AR2024" s="1"/>
      </tp>
      <tp t="s">
        <v>#N/A Requesting Data...1984031511</v>
        <stp/>
        <stp>BDP|13318503165953279077</stp>
        <tr r="E118" s="1"/>
      </tp>
      <tp t="s">
        <v>#N/A Requesting Data...3236493850</v>
        <stp/>
        <stp>BDP|13454906546489365428</stp>
        <tr r="AO2033" s="1"/>
      </tp>
      <tp t="s">
        <v>#N/A Requesting Data...4190878658</v>
        <stp/>
        <stp>BDP|10837522913476986134</stp>
        <tr r="J180" s="1"/>
        <tr r="J1924" s="1"/>
      </tp>
      <tp t="s">
        <v>#N/A Requesting Data...1999237781</v>
        <stp/>
        <stp>BDP|16796720236774803587</stp>
        <tr r="E235" s="1"/>
      </tp>
      <tp t="s">
        <v>#N/A Requesting Data...1984000959</v>
        <stp/>
        <stp>BDP|10083651355470632050</stp>
        <tr r="J1871" s="1"/>
        <tr r="J2079" s="1"/>
        <tr r="J36" s="1"/>
      </tp>
      <tp t="s">
        <v>#N/A Requesting Data...3907109128</v>
        <stp/>
        <stp>BDP|14957676705675820409</stp>
        <tr r="H2058" s="1"/>
      </tp>
      <tp t="s">
        <v>#N/A Requesting Data...1902200799</v>
        <stp/>
        <stp>BDP|12118689800331286681</stp>
        <tr r="J1092" s="1"/>
        <tr r="J1982" s="1"/>
      </tp>
      <tp t="s">
        <v>#N/A Requesting Data...1941287188</v>
        <stp/>
        <stp>BDP|11069030719460938303</stp>
        <tr r="E1956" s="1"/>
      </tp>
      <tp t="s">
        <v>#N/A Requesting Data...3370900863</v>
        <stp/>
        <stp>BDP|16838177759086768723</stp>
        <tr r="J1194" s="1"/>
      </tp>
      <tp t="s">
        <v>#N/A Requesting Data...3324847162</v>
        <stp/>
        <stp>BDP|12197145700694527438</stp>
        <tr r="H384" s="1"/>
      </tp>
      <tp t="s">
        <v>#N/A Requesting Data...4114696982</v>
        <stp/>
        <stp>BDP|13334868120583080961</stp>
        <tr r="H529" s="1"/>
      </tp>
      <tp t="s">
        <v>#N/A Requesting Data...3688562141</v>
        <stp/>
        <stp>BDP|14376553777696014325</stp>
        <tr r="H1870" s="1"/>
        <tr r="H2075" s="1"/>
      </tp>
      <tp t="s">
        <v>#N/A Requesting Data...2553310116</v>
        <stp/>
        <stp>BDP|14511456412535212735</stp>
        <tr r="AU362" s="1"/>
      </tp>
      <tp t="s">
        <v>#N/A Requesting Data...3907117013</v>
        <stp/>
        <stp>BDP|15231111128400039581</stp>
        <tr r="H1513" s="1"/>
      </tp>
      <tp t="s">
        <v>#N/A Requesting Data...3873167561</v>
        <stp/>
        <stp>BDP|17782163270191302300</stp>
        <tr r="J1263" s="1"/>
      </tp>
      <tp t="s">
        <v>#N/A Requesting Data...2495476694</v>
        <stp/>
        <stp>BDP|16453106180854154874</stp>
        <tr r="J1912" s="1"/>
      </tp>
      <tp t="s">
        <v>#N/A Requesting Data...3069833862</v>
        <stp/>
        <stp>BDP|17098612206194661636</stp>
        <tr r="AU711" s="1"/>
      </tp>
      <tp t="s">
        <v>#N/A Requesting Data...3781655908</v>
        <stp/>
        <stp>BDP|14779068567550014142</stp>
        <tr r="E327" s="1"/>
      </tp>
      <tp t="s">
        <v>#N/A Requesting Data...2001005233</v>
        <stp/>
        <stp>BDP|12122523031983942495</stp>
        <tr r="H874" s="1"/>
      </tp>
      <tp t="s">
        <v>#N/A Requesting Data...2974285931</v>
        <stp/>
        <stp>BDP|14288332604601551524</stp>
        <tr r="E1781" s="1"/>
      </tp>
      <tp t="s">
        <v>#N/A Requesting Data...3627074390</v>
        <stp/>
        <stp>BDP|11403068076601644407</stp>
        <tr r="E1827" s="1"/>
      </tp>
      <tp t="s">
        <v>#N/A Requesting Data...2959900186</v>
        <stp/>
        <stp>BDP|18109812439564349481</stp>
        <tr r="H289" s="1"/>
      </tp>
      <tp t="s">
        <v>#N/A Requesting Data...3231190781</v>
        <stp/>
        <stp>BDP|18376478614929412766</stp>
        <tr r="E622" s="1"/>
      </tp>
      <tp t="s">
        <v>#N/A Requesting Data...2414020196</v>
        <stp/>
        <stp>BDP|12583553443520268038</stp>
        <tr r="AV502" s="1"/>
      </tp>
      <tp t="s">
        <v>#N/A Requesting Data...2501500977</v>
        <stp/>
        <stp>BDP|10483010921171795010</stp>
        <tr r="J1981" s="1"/>
      </tp>
      <tp t="s">
        <v>#N/A Requesting Data...1889107921</v>
        <stp/>
        <stp>BDP|12493625467916227717</stp>
        <tr r="H1241" s="1"/>
      </tp>
      <tp t="s">
        <v>#N/A Requesting Data...2924525495</v>
        <stp/>
        <stp>BDP|11845277906088971823</stp>
        <tr r="J1822" s="1"/>
      </tp>
      <tp t="s">
        <v>#N/A Requesting Data...3628441678</v>
        <stp/>
        <stp>BDP|10310374677911580643</stp>
        <tr r="J908" s="1"/>
      </tp>
      <tp t="s">
        <v>#N/A Requesting Data...3705827394</v>
        <stp/>
        <stp>BDP|16765322700711273753</stp>
        <tr r="AU699" s="1"/>
      </tp>
      <tp t="s">
        <v>#N/A Requesting Data...3843791058</v>
        <stp/>
        <stp>BDP|11732334158502768692</stp>
        <tr r="AT501" s="1"/>
      </tp>
      <tp t="s">
        <v>#N/A Requesting Data...2115645665</v>
        <stp/>
        <stp>BDP|15748175131277530365</stp>
        <tr r="J1044" s="1"/>
        <tr r="J1625" s="1"/>
        <tr r="J80" s="1"/>
      </tp>
      <tp t="s">
        <v>#N/A Requesting Data...3824708598</v>
        <stp/>
        <stp>BDP|10576953226810603829</stp>
        <tr r="H1388" s="1"/>
      </tp>
      <tp t="s">
        <v>#N/A Requesting Data...4081160947</v>
        <stp/>
        <stp>BDP|13022908853704409858</stp>
        <tr r="E1383" s="1"/>
      </tp>
      <tp t="s">
        <v>#N/A Requesting Data...3584438978</v>
        <stp/>
        <stp>BDP|16625244959682150081</stp>
        <tr r="AU519" s="1"/>
      </tp>
      <tp t="s">
        <v>#N/A Requesting Data...3632597269</v>
        <stp/>
        <stp>BDP|18243889262750293587</stp>
        <tr r="H1118" s="1"/>
        <tr r="H1591" s="1"/>
        <tr r="H1966" s="1"/>
      </tp>
      <tp t="s">
        <v>#N/A Requesting Data...3972091066</v>
        <stp/>
        <stp>BDP|15345562141483092410</stp>
        <tr r="AU211" s="1"/>
      </tp>
      <tp t="s">
        <v>#N/A Requesting Data...3733566509</v>
        <stp/>
        <stp>BDP|11115711744601691074</stp>
        <tr r="H664" s="1"/>
      </tp>
      <tp t="s">
        <v>#N/A Requesting Data...2847596933</v>
        <stp/>
        <stp>BDP|17530912760518368328</stp>
        <tr r="E547" s="1"/>
      </tp>
      <tp t="s">
        <v>#N/A Requesting Data...1932649415</v>
        <stp/>
        <stp>BDP|12624995983333095394</stp>
        <tr r="AV685" s="1"/>
      </tp>
      <tp t="s">
        <v>#N/A Requesting Data...2958376139</v>
        <stp/>
        <stp>BDP|16613989230288253796</stp>
        <tr r="J1357" s="1"/>
      </tp>
      <tp t="s">
        <v>#N/A Requesting Data...3155945459</v>
        <stp/>
        <stp>BDP|12023495037684211298</stp>
        <tr r="E305" s="1"/>
      </tp>
      <tp t="s">
        <v>#N/A Requesting Data...2300924649</v>
        <stp/>
        <stp>BDP|15700774269390899741</stp>
        <tr r="AU332" s="1"/>
      </tp>
      <tp t="s">
        <v>#N/A Requesting Data...3482419370</v>
        <stp/>
        <stp>BDP|11701408477255209479</stp>
        <tr r="J537" s="1"/>
      </tp>
      <tp t="s">
        <v>#N/A Requesting Data...3397235838</v>
        <stp/>
        <stp>BDP|13454406118704822117</stp>
        <tr r="J1911" s="1"/>
      </tp>
      <tp t="s">
        <v>#N/A Requesting Data...3049254189</v>
        <stp/>
        <stp>BDP|15046661226644506602</stp>
        <tr r="J838" s="1"/>
      </tp>
      <tp t="s">
        <v>#N/A Requesting Data...3006628512</v>
        <stp/>
        <stp>BDP|12080321449933988578</stp>
        <tr r="H537" s="1"/>
      </tp>
      <tp t="s">
        <v>#N/A Requesting Data...3826522946</v>
        <stp/>
        <stp>BDP|12859088125931452241</stp>
        <tr r="J426" s="1"/>
      </tp>
      <tp t="s">
        <v>#N/A Requesting Data...2161929569</v>
        <stp/>
        <stp>BDP|17622388948386011538</stp>
        <tr r="E1044" s="1"/>
        <tr r="E1625" s="1"/>
        <tr r="E80" s="1"/>
      </tp>
      <tp t="s">
        <v>#N/A Requesting Data...3829697437</v>
        <stp/>
        <stp>BDP|13247518130931510733</stp>
        <tr r="AU886" s="1"/>
      </tp>
      <tp t="s">
        <v>#N/A Requesting Data...2453428984</v>
        <stp/>
        <stp>BDP|18322407945743751841</stp>
        <tr r="J916" s="1"/>
      </tp>
      <tp t="s">
        <v>#N/A Requesting Data...3313274620</v>
        <stp/>
        <stp>BDP|17134595979635178351</stp>
        <tr r="H183" s="1"/>
        <tr r="H38" s="1"/>
      </tp>
      <tp t="s">
        <v>#N/A Requesting Data...4094646571</v>
        <stp/>
        <stp>BDP|16399206761106782703</stp>
        <tr r="AT847" s="1"/>
      </tp>
      <tp t="s">
        <v>#N/A Requesting Data...3850169295</v>
        <stp/>
        <stp>BDP|15184640582041768944</stp>
        <tr r="H1075" s="1"/>
        <tr r="H1122" s="1"/>
        <tr r="H1490" s="1"/>
        <tr r="H1597" s="1"/>
        <tr r="H1967" s="1"/>
      </tp>
      <tp t="s">
        <v>#N/A Requesting Data...3656406690</v>
        <stp/>
        <stp>BDP|17027914811764395872</stp>
        <tr r="AV721" s="1"/>
      </tp>
      <tp t="s">
        <v>#N/A Requesting Data...3270110918</v>
        <stp/>
        <stp>BDP|10955411509086397165</stp>
        <tr r="J920" s="1"/>
      </tp>
      <tp t="s">
        <v>#N/A Requesting Data...2123167397</v>
        <stp/>
        <stp>BDP|13333044666937509101</stp>
        <tr r="H1059" s="1"/>
      </tp>
      <tp t="s">
        <v>#N/A Requesting Data...2541344098</v>
        <stp/>
        <stp>BDP|14024532721866042663</stp>
        <tr r="H1930" s="1"/>
        <tr r="H37" s="1"/>
      </tp>
      <tp t="s">
        <v>#N/A Requesting Data...4232574059</v>
        <stp/>
        <stp>BDP|12788661460770386168</stp>
        <tr r="E908" s="1"/>
      </tp>
      <tp t="s">
        <v>#N/A Requesting Data...2072719699</v>
        <stp/>
        <stp>BDP|12481760892116240961</stp>
        <tr r="E542" s="1"/>
      </tp>
      <tp t="s">
        <v>#N/A Requesting Data...1985895681</v>
        <stp/>
        <stp>BDP|15157663646934688035</stp>
        <tr r="H1558" s="1"/>
      </tp>
      <tp t="s">
        <v>#N/A Requesting Data...4093556872</v>
        <stp/>
        <stp>BDP|11860707736234239281</stp>
        <tr r="H1897" s="1"/>
      </tp>
      <tp t="s">
        <v>#N/A Requesting Data...2175117796</v>
        <stp/>
        <stp>BDP|14111758963901727743</stp>
        <tr r="E1853" s="1"/>
        <tr r="E20" s="1"/>
        <tr r="E2064" s="1"/>
      </tp>
      <tp t="s">
        <v>#N/A Requesting Data...1788380230</v>
        <stp/>
        <stp>BDP|10876190635853486240</stp>
        <tr r="J1517" s="1"/>
      </tp>
      <tp t="s">
        <v>#N/A Requesting Data...3641449117</v>
        <stp/>
        <stp>BDP|11967659079700152308</stp>
        <tr r="AT455" s="1"/>
      </tp>
      <tp t="s">
        <v>#N/A Requesting Data...3116843447</v>
        <stp/>
        <stp>BDP|13381456018935851027</stp>
        <tr r="AU532" s="1"/>
      </tp>
      <tp t="s">
        <v>#N/A Requesting Data...3832528846</v>
        <stp/>
        <stp>BDP|18033084388376003540</stp>
        <tr r="AT325" s="1"/>
      </tp>
      <tp t="s">
        <v>#N/A Requesting Data...2515430563</v>
        <stp/>
        <stp>BDP|16307052624520584700</stp>
        <tr r="AV449" s="1"/>
      </tp>
      <tp t="s">
        <v>#N/A Requesting Data...3962136080</v>
        <stp/>
        <stp>BDP|14147822143932655915</stp>
        <tr r="H258" s="1"/>
      </tp>
      <tp t="s">
        <v>#N/A Requesting Data...3938499639</v>
        <stp/>
        <stp>BDP|12535214912571193305</stp>
        <tr r="AV432" s="1"/>
      </tp>
      <tp t="s">
        <v>#N/A Requesting Data...1887324860</v>
        <stp/>
        <stp>BDP|11019751656935674523</stp>
        <tr r="AV462" s="1"/>
      </tp>
      <tp t="s">
        <v>#N/A Requesting Data...3364801677</v>
        <stp/>
        <stp>BDP|14456206037914010247</stp>
        <tr r="H1073" s="1"/>
      </tp>
      <tp t="s">
        <v>#N/A Requesting Data...3975672723</v>
        <stp/>
        <stp>BDP|13158725473752255251</stp>
        <tr r="H1693" s="1"/>
      </tp>
      <tp t="s">
        <v>#N/A Requesting Data...2947841952</v>
        <stp/>
        <stp>BDP|13634685537454748195</stp>
        <tr r="AP2015" s="1"/>
      </tp>
      <tp t="s">
        <v>#N/A Requesting Data...3240345963</v>
        <stp/>
        <stp>BDP|13506732563330201102</stp>
        <tr r="J60" s="1"/>
      </tp>
      <tp t="s">
        <v>#N/A Requesting Data...2789604940</v>
        <stp/>
        <stp>BDP|10728403137297329343</stp>
        <tr r="J634" s="1"/>
      </tp>
      <tp t="s">
        <v>#N/A Requesting Data...3500901148</v>
        <stp/>
        <stp>BDP|16969795424637755742</stp>
        <tr r="H878" s="1"/>
      </tp>
      <tp t="s">
        <v>#N/A Requesting Data...3670714149</v>
        <stp/>
        <stp>BDP|12077514655537227616</stp>
        <tr r="J1681" s="1"/>
      </tp>
      <tp t="s">
        <v>#N/A Requesting Data...4142161514</v>
        <stp/>
        <stp>BDP|14532440693258514200</stp>
        <tr r="H708" s="1"/>
      </tp>
      <tp t="s">
        <v>#N/A Requesting Data...3612807847</v>
        <stp/>
        <stp>BDP|13123881595201251094</stp>
        <tr r="J1900" s="1"/>
      </tp>
      <tp t="s">
        <v>#N/A Requesting Data...2925119609</v>
        <stp/>
        <stp>BDP|16443052790415312953</stp>
        <tr r="AT623" s="1"/>
      </tp>
      <tp t="s">
        <v>#N/A Requesting Data...3482364411</v>
        <stp/>
        <stp>BDP|15064280886124880819</stp>
        <tr r="J1936" s="1"/>
      </tp>
      <tp t="s">
        <v>#N/A Requesting Data...2927369631</v>
        <stp/>
        <stp>BDP|13943436576786868535</stp>
        <tr r="H948" s="1"/>
      </tp>
      <tp t="s">
        <v>#N/A Requesting Data...3527213305</v>
        <stp/>
        <stp>BDP|10438655159347960766</stp>
        <tr r="AT334" s="1"/>
      </tp>
      <tp t="s">
        <v>#N/A Requesting Data...3448030435</v>
        <stp/>
        <stp>BDP|12908030708972198345</stp>
        <tr r="J719" s="1"/>
      </tp>
      <tp t="s">
        <v>#N/A Requesting Data...1952317977</v>
        <stp/>
        <stp>BDP|14309035416722962480</stp>
        <tr r="E1198" s="1"/>
      </tp>
      <tp t="s">
        <v>#N/A Requesting Data...2540792496</v>
        <stp/>
        <stp>BDP|11686768362266393571</stp>
        <tr r="H281" s="1"/>
      </tp>
      <tp t="s">
        <v>#N/A Requesting Data...4049271520</v>
        <stp/>
        <stp>BDP|17217637125224667448</stp>
        <tr r="E683" s="1"/>
      </tp>
      <tp t="s">
        <v>#N/A Requesting Data...4132731473</v>
        <stp/>
        <stp>BDP|10141905604912392808</stp>
        <tr r="H46" s="1"/>
      </tp>
      <tp t="s">
        <v>#N/A Requesting Data...3207678852</v>
        <stp/>
        <stp>BDP|12097050617461440104</stp>
        <tr r="AU659" s="1"/>
      </tp>
      <tp t="s">
        <v>#N/A Requesting Data...3289202944</v>
        <stp/>
        <stp>BDP|17017776155390720634</stp>
        <tr r="H479" s="1"/>
      </tp>
      <tp t="s">
        <v>#N/A Requesting Data...3925793649</v>
        <stp/>
        <stp>BDP|11716527627604236161</stp>
        <tr r="AT510" s="1"/>
      </tp>
      <tp t="s">
        <v>#N/A Requesting Data...2855758248</v>
        <stp/>
        <stp>BDP|16385619350527132157</stp>
        <tr r="J1586" s="1"/>
      </tp>
      <tp t="s">
        <v>#N/A Requesting Data...3734794392</v>
        <stp/>
        <stp>BDP|10130969591986710575</stp>
        <tr r="AT661" s="1"/>
      </tp>
      <tp t="s">
        <v>#N/A Requesting Data...3992445635</v>
        <stp/>
        <stp>BDP|15307077568186236680</stp>
        <tr r="AU917" s="1"/>
      </tp>
      <tp t="s">
        <v>#N/A Requesting Data...4225469873</v>
        <stp/>
        <stp>BDP|16186167998848824511</stp>
        <tr r="E1072" s="1"/>
        <tr r="E1906" s="1"/>
        <tr r="E1964" s="1"/>
      </tp>
      <tp t="s">
        <v>#N/A Requesting Data...2287927744</v>
        <stp/>
        <stp>BDP|15633908184975893130</stp>
        <tr r="E246" s="1"/>
      </tp>
      <tp t="s">
        <v>#N/A Requesting Data...2733444804</v>
        <stp/>
        <stp>BDP|12900638626711556702</stp>
        <tr r="AU860" s="1"/>
      </tp>
      <tp t="s">
        <v>#N/A Requesting Data...4170028079</v>
        <stp/>
        <stp>BDP|17774165938817441241</stp>
        <tr r="J1399" s="1"/>
      </tp>
      <tp t="s">
        <v>#N/A Requesting Data...2140894232</v>
        <stp/>
        <stp>BDP|11568428741008603990</stp>
        <tr r="E996" s="1"/>
      </tp>
      <tp t="s">
        <v>#N/A Requesting Data...1964849742</v>
        <stp/>
        <stp>BDP|10479773014651697787</stp>
        <tr r="E1288" s="1"/>
      </tp>
      <tp t="s">
        <v>#N/A Requesting Data...3967507626</v>
        <stp/>
        <stp>BDP|14104757719705698725</stp>
        <tr r="AU670" s="1"/>
      </tp>
      <tp t="s">
        <v>#N/A Requesting Data...1924368904</v>
        <stp/>
        <stp>BDP|11932469346114405548</stp>
        <tr r="J1776" s="1"/>
      </tp>
      <tp t="s">
        <v>#N/A Requesting Data...3587502752</v>
        <stp/>
        <stp>BDP|14249703705077826464</stp>
        <tr r="AT629" s="1"/>
      </tp>
      <tp t="s">
        <v>#N/A Requesting Data...2602040486</v>
        <stp/>
        <stp>BDP|12634071993552258992</stp>
        <tr r="AU333" s="1"/>
      </tp>
      <tp t="s">
        <v>#N/A Requesting Data...2352151786</v>
        <stp/>
        <stp>BDP|13749419819303284541</stp>
        <tr r="H154" s="1"/>
        <tr r="H1621" s="1"/>
      </tp>
      <tp t="s">
        <v>#N/A Requesting Data...2218175213</v>
        <stp/>
        <stp>BDP|12899315410271697161</stp>
        <tr r="AV691" s="1"/>
      </tp>
      <tp t="s">
        <v>#N/A Requesting Data...3092787187</v>
        <stp/>
        <stp>BDP|17592921663749885152</stp>
        <tr r="E159" s="1"/>
      </tp>
      <tp t="s">
        <v>#N/A Requesting Data...2960019466</v>
        <stp/>
        <stp>BDP|10236558728986351153</stp>
        <tr r="J120" s="1"/>
      </tp>
      <tp t="s">
        <v>#N/A Requesting Data...2457905642</v>
        <stp/>
        <stp>BDP|14102503690110845802</stp>
        <tr r="H1780" s="1"/>
      </tp>
      <tp t="s">
        <v>#N/A Requesting Data...3128916584</v>
        <stp/>
        <stp>BDP|16047370729971622605</stp>
        <tr r="AT336" s="1"/>
      </tp>
      <tp t="s">
        <v>#N/A Requesting Data...2642812045</v>
        <stp/>
        <stp>BDP|15280186049310322085</stp>
        <tr r="H360" s="1"/>
      </tp>
      <tp t="s">
        <v>#N/A Requesting Data...4016699791</v>
        <stp/>
        <stp>BDP|16503247559847452642</stp>
        <tr r="AU865" s="1"/>
      </tp>
      <tp t="s">
        <v>#N/A Requesting Data...4016894742</v>
        <stp/>
        <stp>BDP|17798103737265918014</stp>
        <tr r="E735" s="1"/>
      </tp>
      <tp t="s">
        <v>#N/A Requesting Data...3392969462</v>
        <stp/>
        <stp>BDP|15799083611104399051</stp>
        <tr r="E430" s="1"/>
      </tp>
      <tp t="s">
        <v>#N/A Requesting Data...3256362980</v>
        <stp/>
        <stp>BDP|10114637727544939041</stp>
        <tr r="AO1994" s="1"/>
      </tp>
      <tp t="s">
        <v>#N/A Requesting Data...4084494144</v>
        <stp/>
        <stp>BDP|18128062876318120780</stp>
        <tr r="H1071" s="1"/>
        <tr r="H928" s="1"/>
      </tp>
      <tp t="s">
        <v>#N/A Requesting Data...3905541192</v>
        <stp/>
        <stp>BDP|13731825398463441110</stp>
        <tr r="AT422" s="1"/>
      </tp>
      <tp t="s">
        <v>#N/A Requesting Data...3367219775</v>
        <stp/>
        <stp>BDP|13808766772577449401</stp>
        <tr r="AV844" s="1"/>
      </tp>
      <tp t="s">
        <v>#N/A Requesting Data...3356246207</v>
        <stp/>
        <stp>BDP|17329204173626925416</stp>
        <tr r="E665" s="1"/>
      </tp>
      <tp t="s">
        <v>#N/A Requesting Data...2692286838</v>
        <stp/>
        <stp>BDP|12525060737981865074</stp>
        <tr r="AU639" s="1"/>
      </tp>
      <tp t="s">
        <v>#N/A Requesting Data...4220134361</v>
        <stp/>
        <stp>BDP|17543727997421317888</stp>
        <tr r="E721" s="1"/>
      </tp>
      <tp t="s">
        <v>#N/A Requesting Data...4103367100</v>
        <stp/>
        <stp>BDP|13683150348493401541</stp>
        <tr r="AV454" s="1"/>
      </tp>
      <tp t="s">
        <v>#N/A Requesting Data...2948697613</v>
        <stp/>
        <stp>BDP|13852081924109846872</stp>
        <tr r="H1607" s="1"/>
        <tr r="H1916" s="1"/>
        <tr r="H27" s="1"/>
      </tp>
      <tp t="s">
        <v>#N/A Requesting Data...3976476331</v>
        <stp/>
        <stp>BDP|11057163346405258194</stp>
        <tr r="AU595" s="1"/>
      </tp>
      <tp t="s">
        <v>#N/A Requesting Data...3251330591</v>
        <stp/>
        <stp>BDP|13386787272752286102</stp>
        <tr r="AT426" s="1"/>
      </tp>
      <tp t="s">
        <v>#N/A Requesting Data...4055801350</v>
        <stp/>
        <stp>BDP|10817771203436427134</stp>
        <tr r="AS1154" s="1"/>
      </tp>
      <tp t="s">
        <v>#N/A Requesting Data...2059373801</v>
        <stp/>
        <stp>BDP|10830709617360632628</stp>
        <tr r="J635" s="1"/>
      </tp>
      <tp t="s">
        <v>#N/A Requesting Data...2447760805</v>
        <stp/>
        <stp>BDP|15032382930882591762</stp>
        <tr r="J213" s="1"/>
      </tp>
      <tp t="s">
        <v>#N/A Requesting Data...2463290924</v>
        <stp/>
        <stp>BDP|10054488070991611252</stp>
        <tr r="E1069" s="1"/>
        <tr r="E1903" s="1"/>
      </tp>
      <tp t="s">
        <v>#N/A Requesting Data...2516653712</v>
        <stp/>
        <stp>BDP|15347515916431933063</stp>
        <tr r="AS1366" s="1"/>
      </tp>
      <tp t="s">
        <v>#N/A Requesting Data...2800398840</v>
        <stp/>
        <stp>BDP|13334295477764020278</stp>
        <tr r="E104" s="1"/>
      </tp>
      <tp t="s">
        <v>#N/A Requesting Data...3684885816</v>
        <stp/>
        <stp>BDP|15656032406740812518</stp>
        <tr r="AU415" s="1"/>
      </tp>
      <tp t="s">
        <v>#N/A Requesting Data...3328026686</v>
        <stp/>
        <stp>BDP|16826002337997120243</stp>
        <tr r="E1778" s="1"/>
      </tp>
      <tp t="s">
        <v>#N/A Requesting Data...2585284116</v>
        <stp/>
        <stp>BDP|12936668505480332431</stp>
        <tr r="H1592" s="1"/>
      </tp>
      <tp t="s">
        <v>#N/A Requesting Data...3731343514</v>
        <stp/>
        <stp>BDP|12130830319499831299</stp>
        <tr r="J1648" s="1"/>
        <tr r="J94" s="1"/>
      </tp>
      <tp t="s">
        <v>#N/A Requesting Data...2058922268</v>
        <stp/>
        <stp>BDP|14543493043572081656</stp>
        <tr r="AV273" s="1"/>
      </tp>
      <tp t="s">
        <v>#N/A Requesting Data...1991611515</v>
        <stp/>
        <stp>BDP|10646502730617915152</stp>
        <tr r="E1595" s="1"/>
        <tr r="E1909" s="1"/>
      </tp>
      <tp t="s">
        <v>#N/A Requesting Data...4198703161</v>
        <stp/>
        <stp>BDP|12513524430644454095</stp>
        <tr r="J1149" s="1"/>
      </tp>
      <tp t="s">
        <v>#N/A Requesting Data...4210408781</v>
        <stp/>
        <stp>BDP|10956341177085733175</stp>
        <tr r="E1396" s="1"/>
        <tr r="E1617" s="1"/>
      </tp>
      <tp t="s">
        <v>#N/A Requesting Data...3826482080</v>
        <stp/>
        <stp>BDP|14168462619246767731</stp>
        <tr r="AT509" s="1"/>
      </tp>
      <tp t="s">
        <v>#N/A Requesting Data...3333273587</v>
        <stp/>
        <stp>BDP|12523447719945341218</stp>
        <tr r="AU272" s="1"/>
      </tp>
      <tp t="s">
        <v>#N/A Requesting Data...3055896292</v>
        <stp/>
        <stp>BDP|11016083636126410402</stp>
        <tr r="J201" s="1"/>
        <tr r="J257" s="1"/>
      </tp>
      <tp t="s">
        <v>#N/A Requesting Data...4230964564</v>
        <stp/>
        <stp>BDP|11653070064284700382</stp>
        <tr r="AS1743" s="1"/>
      </tp>
      <tp t="s">
        <v>#N/A Requesting Data...3159878315</v>
        <stp/>
        <stp>BDP|12210355569232022541</stp>
        <tr r="J1342" s="1"/>
      </tp>
      <tp t="s">
        <v>#N/A Requesting Data...2014273374</v>
        <stp/>
        <stp>BDP|14103544008872286351</stp>
        <tr r="AP1798" s="1"/>
      </tp>
      <tp t="s">
        <v>#N/A Requesting Data...4106752988</v>
        <stp/>
        <stp>BDP|11146642837790009485</stp>
        <tr r="J914" s="1"/>
      </tp>
      <tp t="s">
        <v>#N/A Requesting Data...2555919736</v>
        <stp/>
        <stp>BDP|16071196619287897151</stp>
        <tr r="H1830" s="1"/>
      </tp>
      <tp t="s">
        <v>#N/A Requesting Data...1956849763</v>
        <stp/>
        <stp>BDP|15695128078435775668</stp>
        <tr r="AV520" s="1"/>
      </tp>
      <tp t="s">
        <v>#N/A Requesting Data...4154174746</v>
        <stp/>
        <stp>BDP|12070198933190226053</stp>
        <tr r="AT373" s="1"/>
      </tp>
      <tp t="s">
        <v>#N/A Requesting Data...3685446439</v>
        <stp/>
        <stp>BDP|16924273632054583347</stp>
        <tr r="AV832" s="1"/>
      </tp>
      <tp t="s">
        <v>#N/A Requesting Data...4049554386</v>
        <stp/>
        <stp>BDP|11633402249324498567</stp>
        <tr r="AT657" s="1"/>
      </tp>
      <tp t="s">
        <v>#N/A Requesting Data...2044632359</v>
        <stp/>
        <stp>BDP|16878612316161044021</stp>
        <tr r="H149" s="1"/>
      </tp>
      <tp t="s">
        <v>#N/A Requesting Data...3693763204</v>
        <stp/>
        <stp>BDP|13129346413245278490</stp>
        <tr r="E112" s="1"/>
      </tp>
      <tp t="s">
        <v>#N/A Requesting Data...3403131177</v>
        <stp/>
        <stp>BDP|13037503065418162894</stp>
        <tr r="AV735" s="1"/>
      </tp>
      <tp t="s">
        <v>#N/A Requesting Data...3440596961</v>
        <stp/>
        <stp>BDP|13395380052977409204</stp>
        <tr r="E2058" s="1"/>
      </tp>
      <tp t="s">
        <v>#N/A Requesting Data...3681201180</v>
        <stp/>
        <stp>BDP|15764987184273463721</stp>
        <tr r="E1257" s="1"/>
      </tp>
      <tp t="s">
        <v>#N/A Requesting Data...2110983016</v>
        <stp/>
        <stp>BDP|14945528840714705102</stp>
        <tr r="E1555" s="1"/>
      </tp>
      <tp t="s">
        <v>#N/A Requesting Data...3061988729</v>
        <stp/>
        <stp>BDP|13849655505417231266</stp>
        <tr r="AT343" s="1"/>
      </tp>
      <tp t="s">
        <v>#N/A Requesting Data...2498670481</v>
        <stp/>
        <stp>BDP|15307734975061957404</stp>
        <tr r="H739" s="1"/>
      </tp>
      <tp t="s">
        <v>#N/A Requesting Data...3755872669</v>
        <stp/>
        <stp>BDP|17889329739607605093</stp>
        <tr r="AT363" s="1"/>
      </tp>
      <tp t="s">
        <v>#N/A Requesting Data...3128428167</v>
        <stp/>
        <stp>BDP|11461453327370332791</stp>
        <tr r="AU559" s="1"/>
      </tp>
      <tp t="s">
        <v>#N/A Requesting Data...4222402203</v>
        <stp/>
        <stp>BDP|18354150259274186816</stp>
        <tr r="E863" s="1"/>
      </tp>
      <tp t="s">
        <v>#N/A Requesting Data...2898259276</v>
        <stp/>
        <stp>BDP|12884003941336058064</stp>
        <tr r="AT887" s="1"/>
      </tp>
      <tp t="s">
        <v>#N/A Requesting Data...1954057470</v>
        <stp/>
        <stp>BDP|12689340362345652291</stp>
        <tr r="AV308" s="1"/>
      </tp>
      <tp t="s">
        <v>#N/A Requesting Data...4024670935</v>
        <stp/>
        <stp>BDP|13746666531252766488</stp>
        <tr r="E477" s="1"/>
      </tp>
      <tp t="s">
        <v>#N/A Requesting Data...3568053205</v>
        <stp/>
        <stp>BDP|15982641103910291334</stp>
        <tr r="E573" s="1"/>
      </tp>
      <tp t="s">
        <v>#N/A Requesting Data...2010794178</v>
        <stp/>
        <stp>BDP|16896265790069564447</stp>
        <tr r="H391" s="1"/>
      </tp>
      <tp t="s">
        <v>#N/A Requesting Data...3865165993</v>
        <stp/>
        <stp>BDP|10664615249495375725</stp>
        <tr r="J1647" s="1"/>
      </tp>
      <tp t="s">
        <v>#N/A Requesting Data...2125364413</v>
        <stp/>
        <stp>BDP|14315581138915987755</stp>
        <tr r="E1512" s="1"/>
      </tp>
      <tp t="s">
        <v>#N/A Requesting Data...3997417393</v>
        <stp/>
        <stp>BDP|14692457203646832660</stp>
        <tr r="AV662" s="1"/>
      </tp>
      <tp t="s">
        <v>#N/A Requesting Data...2457460887</v>
        <stp/>
        <stp>BDP|16623372128957416032</stp>
        <tr r="E1861" s="1"/>
      </tp>
      <tp t="s">
        <v>#N/A Requesting Data...2053217408</v>
        <stp/>
        <stp>BDP|10935350254781042769</stp>
        <tr r="H2057" s="1"/>
      </tp>
      <tp t="s">
        <v>#N/A Requesting Data...4043781517</v>
        <stp/>
        <stp>BDP|10609790610240134608</stp>
        <tr r="H1637" s="1"/>
        <tr r="H1977" s="1"/>
        <tr r="H88" s="1"/>
      </tp>
      <tp t="s">
        <v>#N/A Requesting Data...2916753367</v>
        <stp/>
        <stp>BDP|12525710922673050488</stp>
        <tr r="AV431" s="1"/>
      </tp>
      <tp t="s">
        <v>#N/A Requesting Data...2453539562</v>
        <stp/>
        <stp>BDP|13294979872349152489</stp>
        <tr r="AO1743" s="1"/>
      </tp>
      <tp t="s">
        <v>#N/A Requesting Data...3090979055</v>
        <stp/>
        <stp>BDP|10319251500982966010</stp>
        <tr r="J547" s="1"/>
      </tp>
      <tp t="s">
        <v>#N/A Requesting Data...3621960088</v>
        <stp/>
        <stp>BDP|11938068332047027535</stp>
        <tr r="J1975" s="1"/>
        <tr r="J87" s="1"/>
      </tp>
      <tp t="s">
        <v>#N/A Requesting Data...3656767203</v>
        <stp/>
        <stp>BDP|15267106464650004284</stp>
        <tr r="AT271" s="1"/>
      </tp>
      <tp t="s">
        <v>#N/A Requesting Data...2884347579</v>
        <stp/>
        <stp>BDP|17815408749082810578</stp>
        <tr r="AT700" s="1"/>
      </tp>
      <tp t="s">
        <v>#N/A Requesting Data...3098210595</v>
        <stp/>
        <stp>BDP|12202898325078782070</stp>
        <tr r="AU721" s="1"/>
      </tp>
      <tp t="s">
        <v>#N/A Requesting Data...2786370082</v>
        <stp/>
        <stp>BDP|15007382924463596779</stp>
        <tr r="E618" s="1"/>
      </tp>
      <tp t="s">
        <v>#N/A Requesting Data...3079034852</v>
        <stp/>
        <stp>BDP|14518971069678154346</stp>
        <tr r="AV395" s="1"/>
      </tp>
      <tp t="s">
        <v>#N/A Requesting Data...3434393650</v>
        <stp/>
        <stp>BDP|14573983957648509017</stp>
        <tr r="J1200" s="1"/>
      </tp>
      <tp t="s">
        <v>#N/A Requesting Data...3295543550</v>
        <stp/>
        <stp>BDP|10863676830554098119</stp>
        <tr r="AV923" s="1"/>
      </tp>
      <tp t="s">
        <v>#N/A Requesting Data...3525916175</v>
        <stp/>
        <stp>BDP|16733615349574236034</stp>
        <tr r="E1981" s="1"/>
      </tp>
      <tp t="s">
        <v>#N/A Requesting Data...2796956270</v>
        <stp/>
        <stp>BDP|13688403073201736131</stp>
        <tr r="H495" s="1"/>
      </tp>
      <tp t="s">
        <v>#N/A Requesting Data...3563863494</v>
        <stp/>
        <stp>BDP|17685847543412231922</stp>
        <tr r="E120" s="1"/>
      </tp>
      <tp t="s">
        <v>#N/A Requesting Data...2911518408</v>
        <stp/>
        <stp>BDP|17393893932118848416</stp>
        <tr r="J959" s="1"/>
      </tp>
      <tp t="s">
        <v>#N/A Requesting Data...2152100947</v>
        <stp/>
        <stp>BDP|15786316761789241945</stp>
        <tr r="H580" s="1"/>
      </tp>
      <tp t="s">
        <v>#N/A Requesting Data...3349820875</v>
        <stp/>
        <stp>BDP|14158755896992432875</stp>
        <tr r="AV381" s="1"/>
      </tp>
      <tp t="s">
        <v>#N/A Requesting Data...2232284547</v>
        <stp/>
        <stp>BDP|10404567126727777028</stp>
        <tr r="E308" s="1"/>
      </tp>
      <tp t="s">
        <v>#N/A Requesting Data...2148319181</v>
        <stp/>
        <stp>BDP|16061288969401557352</stp>
        <tr r="H1298" s="1"/>
      </tp>
      <tp t="s">
        <v>#N/A Requesting Data...3279240971</v>
        <stp/>
        <stp>BDP|15694648077112658629</stp>
        <tr r="E346" s="1"/>
      </tp>
      <tp t="s">
        <v>#N/A Requesting Data...2935291744</v>
        <stp/>
        <stp>BDP|13704134842867248154</stp>
        <tr r="AU566" s="1"/>
      </tp>
      <tp t="s">
        <v>#N/A Requesting Data...4271289119</v>
        <stp/>
        <stp>BDP|11478424432035522300</stp>
        <tr r="H387" s="1"/>
      </tp>
      <tp t="s">
        <v>#N/A Requesting Data...3994661287</v>
        <stp/>
        <stp>BDP|11912579848261247159</stp>
        <tr r="E651" s="1"/>
      </tp>
      <tp t="s">
        <v>#N/A Requesting Data...3342027387</v>
        <stp/>
        <stp>BDP|17673348045870045064</stp>
        <tr r="E337" s="1"/>
      </tp>
      <tp t="s">
        <v>#N/A Requesting Data...2346914145</v>
        <stp/>
        <stp>BDP|16550673475532707514</stp>
        <tr r="H1423" s="1"/>
      </tp>
      <tp t="s">
        <v>#N/A Requesting Data...2839649496</v>
        <stp/>
        <stp>BDP|16630208905102661657</stp>
        <tr r="J462" s="1"/>
      </tp>
      <tp t="s">
        <v>#N/A Requesting Data...3434527527</v>
        <stp/>
        <stp>BDP|14280997389576295308</stp>
        <tr r="E859" s="1"/>
      </tp>
      <tp t="s">
        <v>#N/A Requesting Data...2029443466</v>
        <stp/>
        <stp>BDP|12441573818657399181</stp>
        <tr r="H348" s="1"/>
      </tp>
      <tp t="s">
        <v>#N/A Requesting Data...2149317731</v>
        <stp/>
        <stp>BDP|12764765954299665938</stp>
        <tr r="H1678" s="1"/>
      </tp>
      <tp t="s">
        <v>#N/A Requesting Data...2944096733</v>
        <stp/>
        <stp>BDP|11777540851624199534</stp>
        <tr r="J804" s="1"/>
      </tp>
      <tp t="s">
        <v>#N/A Requesting Data...3186165423</v>
        <stp/>
        <stp>BDP|14325355223620399568</stp>
        <tr r="E1222" s="1"/>
      </tp>
      <tp t="s">
        <v>#N/A Requesting Data...3690225648</v>
        <stp/>
        <stp>BDP|18100525941471756854</stp>
        <tr r="AV378" s="1"/>
      </tp>
      <tp t="s">
        <v>#N/A Requesting Data...3363142945</v>
        <stp/>
        <stp>BDP|10004398883219383297</stp>
        <tr r="H1087" s="1"/>
      </tp>
      <tp t="s">
        <v>#N/A Requesting Data...2495062430</v>
        <stp/>
        <stp>BDP|14817466679596428135</stp>
        <tr r="H1829" s="1"/>
      </tp>
      <tp t="s">
        <v>#N/A Requesting Data...4241540158</v>
        <stp/>
        <stp>BDP|12152451051003251074</stp>
        <tr r="H1108" s="1"/>
        <tr r="H927" s="1"/>
      </tp>
      <tp t="s">
        <v>#N/A Requesting Data...4227310689</v>
        <stp/>
        <stp>BDP|17418514762045710100</stp>
        <tr r="E1099" s="1"/>
      </tp>
      <tp t="s">
        <v>#N/A Requesting Data...3539198194</v>
        <stp/>
        <stp>BDP|15716219004614045310</stp>
        <tr r="J125" s="1"/>
      </tp>
      <tp t="s">
        <v>#N/A Requesting Data...3739863966</v>
        <stp/>
        <stp>BDP|16161564847915427270</stp>
        <tr r="H1938" s="1"/>
      </tp>
      <tp t="s">
        <v>#N/A Requesting Data...2179816028</v>
        <stp/>
        <stp>BDP|13099782718510625554</stp>
        <tr r="E1941" s="1"/>
      </tp>
      <tp t="s">
        <v>#N/A Requesting Data...2024220124</v>
        <stp/>
        <stp>BDP|12433187759923243541</stp>
        <tr r="H2090" s="1"/>
      </tp>
      <tp t="s">
        <v>#N/A Requesting Data...3230567633</v>
        <stp/>
        <stp>BDP|11014055042792499707</stp>
        <tr r="J1692" s="1"/>
      </tp>
      <tp t="s">
        <v>#N/A Requesting Data...3325910789</v>
        <stp/>
        <stp>BDP|12695551411632496456</stp>
        <tr r="AS773" s="1"/>
      </tp>
      <tp t="s">
        <v>#N/A Requesting Data...2077399352</v>
        <stp/>
        <stp>BDP|14309550120487226477</stp>
        <tr r="AU567" s="1"/>
      </tp>
      <tp t="s">
        <v>#N/A Requesting Data...2319484486</v>
        <stp/>
        <stp>BDP|15476693929616466734</stp>
        <tr r="AU554" s="1"/>
      </tp>
      <tp t="s">
        <v>#N/A Requesting Data...2934799535</v>
        <stp/>
        <stp>BDP|10441889292635981443</stp>
        <tr r="E1756" s="1"/>
      </tp>
      <tp t="s">
        <v>#N/A Requesting Data...1967671721</v>
        <stp/>
        <stp>BDP|13561138197449687242</stp>
        <tr r="J1050" s="1"/>
      </tp>
      <tp t="s">
        <v>#N/A Requesting Data...3080597640</v>
        <stp/>
        <stp>BDP|15175570616721003037</stp>
        <tr r="J370" s="1"/>
      </tp>
      <tp t="s">
        <v>#N/A Requesting Data...3634665544</v>
        <stp/>
        <stp>BDP|17594399450338916967</stp>
        <tr r="H162" s="1"/>
      </tp>
      <tp t="s">
        <v>#N/A Requesting Data...2113809853</v>
        <stp/>
        <stp>BDP|17850288367764339762</stp>
        <tr r="AV697" s="1"/>
      </tp>
      <tp t="s">
        <v>#N/A Requesting Data...3733408917</v>
        <stp/>
        <stp>BDP|11585633705631562640</stp>
        <tr r="AU286" s="1"/>
      </tp>
      <tp t="s">
        <v>#N/A Requesting Data...2478029134</v>
        <stp/>
        <stp>BDP|13130658047320528140</stp>
        <tr r="AP2024" s="1"/>
      </tp>
      <tp t="s">
        <v>#N/A Requesting Data...4106190563</v>
        <stp/>
        <stp>BDP|14985596865734104363</stp>
        <tr r="AT682" s="1"/>
      </tp>
      <tp t="s">
        <v>#N/A Requesting Data...2038343974</v>
        <stp/>
        <stp>BDP|15222877259660720899</stp>
        <tr r="AU707" s="1"/>
      </tp>
      <tp t="s">
        <v>#N/A Requesting Data...2976444975</v>
        <stp/>
        <stp>BDP|10555537475444919688</stp>
        <tr r="J437" s="1"/>
      </tp>
      <tp t="s">
        <v>#N/A Requesting Data...3676336101</v>
        <stp/>
        <stp>BDP|15108392069522625258</stp>
        <tr r="J693" s="1"/>
      </tp>
      <tp t="s">
        <v>#N/A Requesting Data...3130842240</v>
        <stp/>
        <stp>BDP|16795747856956591223</stp>
        <tr r="AO2009" s="1"/>
      </tp>
      <tp t="s">
        <v>#N/A Requesting Data...3502897574</v>
        <stp/>
        <stp>BDP|11525429177864770658</stp>
        <tr r="AT332" s="1"/>
      </tp>
      <tp t="s">
        <v>#N/A Requesting Data...4154681109</v>
        <stp/>
        <stp>BDP|14557276422853799751</stp>
        <tr r="AU716" s="1"/>
      </tp>
      <tp t="s">
        <v>#N/A Requesting Data...3062801074</v>
        <stp/>
        <stp>BDP|17597868691824598253</stp>
        <tr r="H1022" s="1"/>
      </tp>
      <tp t="s">
        <v>#N/A Requesting Data...3851842275</v>
        <stp/>
        <stp>BDP|16931727593651824923</stp>
        <tr r="AT207" s="1"/>
      </tp>
      <tp t="s">
        <v>#N/A Requesting Data...2200389088</v>
        <stp/>
        <stp>BDP|17312321044057114760</stp>
        <tr r="E845" s="1"/>
      </tp>
      <tp t="s">
        <v>#N/A Requesting Data...2024780477</v>
        <stp/>
        <stp>BDP|12544631419487861251</stp>
        <tr r="H643" s="1"/>
      </tp>
      <tp t="s">
        <v>#N/A Requesting Data...2965520148</v>
        <stp/>
        <stp>BDP|15069432452604166022</stp>
        <tr r="J1237" s="1"/>
      </tp>
      <tp t="s">
        <v>#N/A Requesting Data...2838078944</v>
        <stp/>
        <stp>BDP|13739852390146512454</stp>
        <tr r="H444" s="1"/>
      </tp>
      <tp t="s">
        <v>#N/A Requesting Data...2859148333</v>
        <stp/>
        <stp>BDP|12416226916729164833</stp>
        <tr r="J747" s="1"/>
      </tp>
      <tp t="s">
        <v>#N/A Requesting Data...3267083974</v>
        <stp/>
        <stp>BDP|11499514518252631799</stp>
        <tr r="AT531" s="1"/>
      </tp>
      <tp t="s">
        <v>#N/A Requesting Data...3639492624</v>
        <stp/>
        <stp>BDP|16832334066332800170</stp>
        <tr r="AT389" s="1"/>
      </tp>
      <tp t="s">
        <v>#N/A Requesting Data...3278764834</v>
        <stp/>
        <stp>BDP|13711062837215731548</stp>
        <tr r="AV475" s="1"/>
      </tp>
      <tp t="s">
        <v>#N/A Requesting Data...4010861929</v>
        <stp/>
        <stp>BDP|17552961973759430019</stp>
        <tr r="J1084" s="1"/>
        <tr r="J1442" s="1"/>
      </tp>
      <tp t="s">
        <v>#N/A Requesting Data...3459793652</v>
        <stp/>
        <stp>BDP|14029299158702766135</stp>
        <tr r="AV856" s="1"/>
      </tp>
      <tp t="s">
        <v>#N/A Requesting Data...2285411479</v>
        <stp/>
        <stp>BDP|14363865355608623138</stp>
        <tr r="J1040" s="1"/>
      </tp>
      <tp t="s">
        <v>#N/A Requesting Data...3805692162</v>
        <stp/>
        <stp>BDP|11073138267781846792</stp>
        <tr r="J467" s="1"/>
      </tp>
      <tp t="s">
        <v>#N/A Requesting Data...2706035818</v>
        <stp/>
        <stp>BDP|17692001583216229925</stp>
        <tr r="H425" s="1"/>
      </tp>
      <tp t="s">
        <v>#N/A Requesting Data...3006851697</v>
        <stp/>
        <stp>BDP|16427280197474787993</stp>
        <tr r="E812" s="1"/>
      </tp>
      <tp t="s">
        <v>#N/A Requesting Data...4091951892</v>
        <stp/>
        <stp>BDP|17075213057923708341</stp>
        <tr r="H264" s="1"/>
      </tp>
      <tp t="s">
        <v>#N/A Requesting Data...3396112004</v>
        <stp/>
        <stp>BDP|11621266310717263579</stp>
        <tr r="E648" s="1"/>
      </tp>
      <tp t="s">
        <v>#N/A Requesting Data...2272411321</v>
        <stp/>
        <stp>BDP|15915597167595230303</stp>
        <tr r="J391" s="1"/>
      </tp>
      <tp t="s">
        <v>#N/A Requesting Data...2274559430</v>
        <stp/>
        <stp>BDP|13729396271236366193</stp>
        <tr r="AV548" s="1"/>
      </tp>
      <tp t="s">
        <v>#N/A Requesting Data...3859680845</v>
        <stp/>
        <stp>BDP|14081555670587292120</stp>
        <tr r="H441" s="1"/>
      </tp>
      <tp t="s">
        <v>#N/A Requesting Data...3264913790</v>
        <stp/>
        <stp>BDP|15027896101528918541</stp>
        <tr r="E2088" s="1"/>
      </tp>
      <tp t="s">
        <v>#N/A Requesting Data...3375277485</v>
        <stp/>
        <stp>BDP|11294235886222284907</stp>
        <tr r="AT266" s="1"/>
      </tp>
      <tp t="s">
        <v>#N/A Requesting Data...3262881603</v>
        <stp/>
        <stp>BDP|16281338070186173457</stp>
        <tr r="H209" s="1"/>
      </tp>
      <tp t="s">
        <v>#N/A Requesting Data...2874403218</v>
        <stp/>
        <stp>BDP|18327284062188938454</stp>
        <tr r="H1537" s="1"/>
      </tp>
      <tp t="s">
        <v>#N/A Requesting Data...3809568011</v>
        <stp/>
        <stp>BDP|12133275496920297970</stp>
        <tr r="H863" s="1"/>
      </tp>
      <tp t="s">
        <v>#N/A Requesting Data...3654482967</v>
        <stp/>
        <stp>BDP|18145182724283190886</stp>
        <tr r="AP774" s="1"/>
      </tp>
      <tp t="s">
        <v>#N/A Requesting Data...2891071470</v>
        <stp/>
        <stp>BDP|10900560245919868865</stp>
        <tr r="AO198" s="1"/>
      </tp>
      <tp t="s">
        <v>#N/A Requesting Data...2799349844</v>
        <stp/>
        <stp>BDP|17396081578329444936</stp>
        <tr r="AV864" s="1"/>
      </tp>
      <tp t="s">
        <v>#N/A Requesting Data...4043307401</v>
        <stp/>
        <stp>BDP|15174664259022255489</stp>
        <tr r="J1206" s="1"/>
      </tp>
      <tp t="s">
        <v>#N/A Requesting Data...2943160823</v>
        <stp/>
        <stp>BDP|16675075187866653840</stp>
        <tr r="H1917" s="1"/>
      </tp>
      <tp t="s">
        <v>#N/A Requesting Data...3091722237</v>
        <stp/>
        <stp>BDP|15007424309938711982</stp>
        <tr r="J1520" s="1"/>
      </tp>
      <tp t="s">
        <v>#N/A Requesting Data...2945838859</v>
        <stp/>
        <stp>BDP|10389233327780485078</stp>
        <tr r="AU713" s="1"/>
      </tp>
      <tp t="s">
        <v>#N/A Requesting Data...3020353514</v>
        <stp/>
        <stp>BDP|11807156238232813196</stp>
        <tr r="E1495" s="1"/>
      </tp>
      <tp t="s">
        <v>#N/A Requesting Data...3339967437</v>
        <stp/>
        <stp>BDP|15014383250365507692</stp>
        <tr r="J1550" s="1"/>
      </tp>
      <tp t="s">
        <v>#N/A Requesting Data...2533524568</v>
        <stp/>
        <stp>BDP|16943706939110615222</stp>
        <tr r="E1080" s="1"/>
      </tp>
      <tp t="s">
        <v>#N/A Requesting Data...3320684840</v>
        <stp/>
        <stp>BDP|12686321064843604421</stp>
        <tr r="AS775" s="1"/>
      </tp>
      <tp t="s">
        <v>#N/A Requesting Data...4196852676</v>
        <stp/>
        <stp>BDP|11459157315531009007</stp>
        <tr r="J1767" s="1"/>
      </tp>
      <tp t="s">
        <v>#N/A Requesting Data...3925034401</v>
        <stp/>
        <stp>BDP|16000127953106753425</stp>
        <tr r="AT214" s="1"/>
      </tp>
      <tp t="s">
        <v>#N/A Requesting Data...2694449049</v>
        <stp/>
        <stp>BDP|11752761154501627275</stp>
        <tr r="J1220" s="1"/>
      </tp>
      <tp t="s">
        <v>#N/A Requesting Data...3691331349</v>
        <stp/>
        <stp>BDP|17131371371812634162</stp>
        <tr r="AT638" s="1"/>
      </tp>
      <tp t="s">
        <v>#N/A Requesting Data...2842188724</v>
        <stp/>
        <stp>BDP|10093464017542229740</stp>
        <tr r="H1647" s="1"/>
      </tp>
      <tp t="s">
        <v>#N/A Requesting Data...3906760421</v>
        <stp/>
        <stp>BDP|13343756726516654018</stp>
        <tr r="H52" s="1"/>
      </tp>
      <tp t="s">
        <v>#N/A Requesting Data...4106678079</v>
        <stp/>
        <stp>BDP|16009343210974728041</stp>
        <tr r="E589" s="1"/>
      </tp>
      <tp t="s">
        <v>#N/A Requesting Data...1993567675</v>
        <stp/>
        <stp>BDP|11513214919941976334</stp>
        <tr r="E100" s="1"/>
        <tr r="E1659" s="1"/>
        <tr r="E1894" s="1"/>
      </tp>
      <tp t="s">
        <v>#N/A Requesting Data...3540175988</v>
        <stp/>
        <stp>BDP|17243752434671392276</stp>
        <tr r="AV375" s="1"/>
      </tp>
      <tp t="s">
        <v>#N/A Requesting Data...4251210146</v>
        <stp/>
        <stp>BDP|16289928071889208145</stp>
        <tr r="H649" s="1"/>
      </tp>
      <tp t="s">
        <v>#N/A Requesting Data...2136806232</v>
        <stp/>
        <stp>BDP|10678464347720311038</stp>
        <tr r="H1352" s="1"/>
      </tp>
      <tp t="s">
        <v>#N/A Requesting Data...2683675705</v>
        <stp/>
        <stp>BDP|10077734725040628573</stp>
        <tr r="J434" s="1"/>
      </tp>
      <tp t="s">
        <v>#N/A Requesting Data...2323625910</v>
        <stp/>
        <stp>BDP|16760312314747502303</stp>
        <tr r="E2070" s="1"/>
      </tp>
      <tp t="s">
        <v>#N/A Requesting Data...2620576975</v>
        <stp/>
        <stp>BDP|17001958571900340905</stp>
        <tr r="J399" s="1"/>
      </tp>
      <tp t="s">
        <v>#N/A Requesting Data...2717047800</v>
        <stp/>
        <stp>BDP|10523772447475653647</stp>
        <tr r="J903" s="1"/>
      </tp>
      <tp t="s">
        <v>#N/A Requesting Data...2333279922</v>
        <stp/>
        <stp>BDP|10040203648233970567</stp>
        <tr r="H1103" s="1"/>
        <tr r="H55" s="1"/>
      </tp>
      <tp t="s">
        <v>#N/A Requesting Data...3821525310</v>
        <stp/>
        <stp>BDP|13468379354542221731</stp>
        <tr r="AV468" s="1"/>
      </tp>
      <tp t="s">
        <v>#N/A Requesting Data...2789384707</v>
        <stp/>
        <stp>BDP|10406447563405197743</stp>
        <tr r="AU844" s="1"/>
      </tp>
      <tp t="s">
        <v>#N/A Requesting Data...3763485516</v>
        <stp/>
        <stp>BDP|14762915385361776428</stp>
        <tr r="H369" s="1"/>
      </tp>
      <tp t="s">
        <v>#N/A Requesting Data...3196717485</v>
        <stp/>
        <stp>BDP|11075651183086688960</stp>
        <tr r="E958" s="1"/>
      </tp>
      <tp t="s">
        <v>#N/A Requesting Data...2192256493</v>
        <stp/>
        <stp>BDP|14505263564860372022</stp>
        <tr r="E1776" s="1"/>
      </tp>
      <tp t="s">
        <v>#N/A Requesting Data...3557379972</v>
        <stp/>
        <stp>BDP|17714710114814242563</stp>
        <tr r="H861" s="1"/>
      </tp>
      <tp t="s">
        <v>#N/A Requesting Data...2515296648</v>
        <stp/>
        <stp>BDP|12928491981956531824</stp>
        <tr r="AU513" s="1"/>
      </tp>
      <tp t="s">
        <v>#N/A Requesting Data...3692777151</v>
        <stp/>
        <stp>BDP|10122307500376692512</stp>
        <tr r="AT903" s="1"/>
      </tp>
      <tp t="s">
        <v>#N/A Requesting Data...3132360259</v>
        <stp/>
        <stp>BDP|15729543267736795053</stp>
        <tr r="E517" s="1"/>
      </tp>
      <tp t="s">
        <v>#N/A Requesting Data...4203643950</v>
        <stp/>
        <stp>BDP|15168381363928902852</stp>
        <tr r="AV382" s="1"/>
      </tp>
      <tp t="s">
        <v>#N/A Requesting Data...4026709723</v>
        <stp/>
        <stp>BDP|15847267909397992085</stp>
        <tr r="H1023" s="1"/>
      </tp>
      <tp t="s">
        <v>#N/A Requesting Data...3669569208</v>
        <stp/>
        <stp>BDP|11307751628005836102</stp>
        <tr r="J862" s="1"/>
      </tp>
      <tp t="s">
        <v>#N/A Requesting Data...3539218674</v>
        <stp/>
        <stp>BDP|12803787564541368213</stp>
        <tr r="E1586" s="1"/>
      </tp>
      <tp t="s">
        <v>#N/A Requesting Data...4048136281</v>
        <stp/>
        <stp>BDP|10487429943490732041</stp>
        <tr r="AT570" s="1"/>
      </tp>
      <tp t="s">
        <v>#N/A Requesting Data...2481669903</v>
        <stp/>
        <stp>BDP|13156391029465276751</stp>
        <tr r="H1583" s="1"/>
      </tp>
      <tp t="s">
        <v>#N/A Requesting Data...2179115292</v>
        <stp/>
        <stp>BDP|12880437569332300279</stp>
        <tr r="J1070" s="1"/>
      </tp>
      <tp t="s">
        <v>#N/A Requesting Data...2832121532</v>
        <stp/>
        <stp>BDP|11519449937467285121</stp>
        <tr r="AU922" s="1"/>
      </tp>
      <tp t="s">
        <v>#N/A Requesting Data...2546893614</v>
        <stp/>
        <stp>BDP|15574825092910663459</stp>
        <tr r="J759" s="1"/>
      </tp>
      <tp t="s">
        <v>#N/A Requesting Data...3284911405</v>
        <stp/>
        <stp>BDP|14659621466162369677</stp>
        <tr r="E588" s="1"/>
      </tp>
      <tp t="s">
        <v>#N/A Requesting Data...3239448329</v>
        <stp/>
        <stp>BDP|10305510166672599085</stp>
        <tr r="AV355" s="1"/>
      </tp>
      <tp t="s">
        <v>#N/A Requesting Data...3570298099</v>
        <stp/>
        <stp>BDP|11411638621250945467</stp>
        <tr r="E694" s="1"/>
      </tp>
      <tp t="s">
        <v>#N/A Requesting Data...4077560283</v>
        <stp/>
        <stp>BDP|16657187103246788036</stp>
        <tr r="AU686" s="1"/>
      </tp>
      <tp t="s">
        <v>#N/A Requesting Data...3294566815</v>
        <stp/>
        <stp>BDP|10830970380677301759</stp>
        <tr r="AO164" s="1"/>
      </tp>
      <tp t="s">
        <v>#N/A Requesting Data...3498104335</v>
        <stp/>
        <stp>BDP|10889159303206214650</stp>
        <tr r="E180" s="1"/>
        <tr r="E1924" s="1"/>
      </tp>
      <tp t="s">
        <v>#N/A Requesting Data...3715423325</v>
        <stp/>
        <stp>BDP|14481523723923928156</stp>
        <tr r="E419" s="1"/>
      </tp>
      <tp t="s">
        <v>#N/A Requesting Data...3796487912</v>
        <stp/>
        <stp>BDP|12869922533759177012</stp>
        <tr r="E1638" s="1"/>
        <tr r="E987" s="1"/>
      </tp>
      <tp t="s">
        <v>#N/A Requesting Data...2292797152</v>
        <stp/>
        <stp>BDP|18370434936219804775</stp>
        <tr r="H96" s="1"/>
      </tp>
      <tp t="s">
        <v>#N/A Requesting Data...2976948483</v>
        <stp/>
        <stp>BDP|13874972382052051144</stp>
        <tr r="AR1810" s="1"/>
      </tp>
      <tp t="s">
        <v>#N/A Requesting Data...2070932989</v>
        <stp/>
        <stp>BDP|14171287511507957184</stp>
        <tr r="AU326" s="1"/>
      </tp>
      <tp t="s">
        <v>#N/A Requesting Data...3815944297</v>
        <stp/>
        <stp>BDP|10129564800517700389</stp>
        <tr r="H620" s="1"/>
      </tp>
      <tp t="s">
        <v>#N/A Requesting Data...2618277454</v>
        <stp/>
        <stp>BDP|13116661123977829143</stp>
        <tr r="H809" s="1"/>
      </tp>
      <tp t="s">
        <v>#N/A Requesting Data...3484694828</v>
        <stp/>
        <stp>BDP|12632715836822003596</stp>
        <tr r="J642" s="1"/>
      </tp>
      <tp t="s">
        <v>#N/A Requesting Data...3011845713</v>
        <stp/>
        <stp>BDP|14679586651800014570</stp>
        <tr r="J607" s="1"/>
      </tp>
      <tp t="s">
        <v>#N/A Requesting Data...3186397741</v>
        <stp/>
        <stp>BDP|13287617541133909333</stp>
        <tr r="J757" s="1"/>
      </tp>
      <tp t="s">
        <v>#N/A Requesting Data...3259073368</v>
        <stp/>
        <stp>BDP|11691295989272609883</stp>
        <tr r="AU835" s="1"/>
      </tp>
      <tp t="s">
        <v>#N/A Requesting Data...2768339898</v>
        <stp/>
        <stp>BDP|11888891940329087591</stp>
        <tr r="AU259" s="1"/>
      </tp>
      <tp t="s">
        <v>#N/A Requesting Data...4096125026</v>
        <stp/>
        <stp>BDP|13688232406124398483</stp>
        <tr r="AU762" s="1"/>
      </tp>
      <tp t="s">
        <v>#N/A Requesting Data...3552840560</v>
        <stp/>
        <stp>BDP|12706566669780759075</stp>
        <tr r="AT500" s="1"/>
      </tp>
      <tp t="s">
        <v>#N/A Requesting Data...3214519933</v>
        <stp/>
        <stp>BDP|17050833837189817446</stp>
        <tr r="AT260" s="1"/>
      </tp>
      <tp t="s">
        <v>#N/A Requesting Data...2119428909</v>
        <stp/>
        <stp>BDP|16812620711580069034</stp>
        <tr r="J1947" s="1"/>
      </tp>
      <tp t="s">
        <v>#N/A Requesting Data...2491079143</v>
        <stp/>
        <stp>BDP|16975022872382053215</stp>
        <tr r="E1219" s="1"/>
      </tp>
      <tp t="s">
        <v>#N/A Requesting Data...3652468075</v>
        <stp/>
        <stp>BDP|15969640904453857191</stp>
        <tr r="AU647" s="1"/>
      </tp>
      <tp t="s">
        <v>#N/A Requesting Data...3464888893</v>
        <stp/>
        <stp>BDP|12619497511106025061</stp>
        <tr r="J592" s="1"/>
      </tp>
      <tp t="s">
        <v>#N/A Requesting Data...4188946556</v>
        <stp/>
        <stp>BDP|12635982194827943486</stp>
        <tr r="AU706" s="1"/>
      </tp>
      <tp t="s">
        <v>#N/A Requesting Data...3347053437</v>
        <stp/>
        <stp>BDP|15833632764973108752</stp>
        <tr r="AO3" s="1"/>
      </tp>
      <tp t="s">
        <v>#N/A Requesting Data...4053081682</v>
        <stp/>
        <stp>BDP|11102821526319820369</stp>
        <tr r="AU317" s="1"/>
      </tp>
      <tp t="s">
        <v>#N/A Requesting Data...3450269672</v>
        <stp/>
        <stp>BDP|16983686206173891249</stp>
        <tr r="J14" s="1"/>
        <tr r="J1845" s="1"/>
      </tp>
      <tp t="s">
        <v>#N/A Requesting Data...2559781837</v>
        <stp/>
        <stp>BDP|12643386025544911699</stp>
        <tr r="AU526" s="1"/>
      </tp>
      <tp t="s">
        <v>#N/A Requesting Data...4116692697</v>
        <stp/>
        <stp>BDP|12370515968562998283</stp>
        <tr r="AT749" s="1"/>
      </tp>
      <tp t="s">
        <v>#N/A Requesting Data...3954453689</v>
        <stp/>
        <stp>BDP|11632657998518457748</stp>
        <tr r="H323" s="1"/>
      </tp>
      <tp t="s">
        <v>#N/A Requesting Data...2513877154</v>
        <stp/>
        <stp>BDP|17923976137649073529</stp>
        <tr r="E223" s="1"/>
      </tp>
      <tp t="s">
        <v>#N/A Requesting Data...2155500332</v>
        <stp/>
        <stp>BDP|14321639190582246899</stp>
        <tr r="J535" s="1"/>
      </tp>
      <tp t="s">
        <v>#N/A Requesting Data...3316679188</v>
        <stp/>
        <stp>BDP|11369496062750217215</stp>
        <tr r="AV921" s="1"/>
      </tp>
      <tp t="s">
        <v>#N/A Requesting Data...4192707769</v>
        <stp/>
        <stp>BDP|17952723951344617076</stp>
        <tr r="AU306" s="1"/>
      </tp>
      <tp t="s">
        <v>#N/A Requesting Data...3358541694</v>
        <stp/>
        <stp>BDP|15910366493706345846</stp>
        <tr r="H597" s="1"/>
      </tp>
      <tp t="s">
        <v>#N/A Requesting Data...3698737897</v>
        <stp/>
        <stp>BDP|12694524261730734099</stp>
        <tr r="AT575" s="1"/>
      </tp>
      <tp t="s">
        <v>#N/A Requesting Data...2631514936</v>
        <stp/>
        <stp>BDP|13460156166173407681</stp>
        <tr r="H1048" s="1"/>
        <tr r="H943" s="1"/>
      </tp>
      <tp t="s">
        <v>#N/A Requesting Data...2614446587</v>
        <stp/>
        <stp>BDP|10752740391406811910</stp>
        <tr r="AU638" s="1"/>
      </tp>
      <tp t="s">
        <v>#N/A Requesting Data...2867702134</v>
        <stp/>
        <stp>BDP|12258087839120145090</stp>
        <tr r="H1339" s="1"/>
      </tp>
      <tp t="s">
        <v>#N/A Requesting Data...4148399129</v>
        <stp/>
        <stp>BDP|16914107307385235373</stp>
        <tr r="J102" s="1"/>
        <tr r="J1148" s="1"/>
        <tr r="J1660" s="1"/>
      </tp>
      <tp t="s">
        <v>#N/A Requesting Data...3006961077</v>
        <stp/>
        <stp>BDP|10662745464375944540</stp>
        <tr r="AT308" s="1"/>
      </tp>
      <tp t="s">
        <v>#N/A Requesting Data...2107077271</v>
        <stp/>
        <stp>BDP|16522015206564111387</stp>
        <tr r="H1771" s="1"/>
      </tp>
      <tp t="s">
        <v>#N/A Requesting Data...4119674020</v>
        <stp/>
        <stp>BDP|10315163415945855425</stp>
        <tr r="AT854" s="1"/>
      </tp>
      <tp t="s">
        <v>#N/A Requesting Data...3540046959</v>
        <stp/>
        <stp>BDP|13228150260992473797</stp>
        <tr r="J555" s="1"/>
      </tp>
      <tp t="s">
        <v>#N/A Requesting Data...4126668883</v>
        <stp/>
        <stp>BDP|18080599901238719458</stp>
        <tr r="AT916" s="1"/>
      </tp>
      <tp t="s">
        <v>#N/A Requesting Data...3614698806</v>
        <stp/>
        <stp>BDP|13360981080625301629</stp>
        <tr r="H917" s="1"/>
      </tp>
      <tp t="s">
        <v>#N/A Requesting Data...3127769753</v>
        <stp/>
        <stp>BDP|16867070547945060627</stp>
        <tr r="AU624" s="1"/>
      </tp>
      <tp t="s">
        <v>#N/A Requesting Data...2959143489</v>
        <stp/>
        <stp>BDP|18053441802288915559</stp>
        <tr r="H875" s="1"/>
      </tp>
      <tp t="s">
        <v>#N/A Requesting Data...2244633990</v>
        <stp/>
        <stp>BDP|17047688236196338573</stp>
        <tr r="AV651" s="1"/>
      </tp>
      <tp t="s">
        <v>#N/A Requesting Data...3127016114</v>
        <stp/>
        <stp>BDP|12285823404572864965</stp>
        <tr r="J1176" s="1"/>
      </tp>
      <tp t="s">
        <v>#N/A Requesting Data...4049629451</v>
        <stp/>
        <stp>BDP|10987432932395469363</stp>
        <tr r="E640" s="1"/>
      </tp>
      <tp t="s">
        <v>#N/A Requesting Data...3807218549</v>
        <stp/>
        <stp>BDP|12571495604813040422</stp>
        <tr r="J457" s="1"/>
      </tp>
      <tp t="s">
        <v>#N/A Requesting Data...2183398347</v>
        <stp/>
        <stp>BDP|10458806991118989868</stp>
        <tr r="J259" s="1"/>
      </tp>
      <tp t="s">
        <v>#N/A Requesting Data...2287076250</v>
        <stp/>
        <stp>BDP|10560471472836883425</stp>
        <tr r="E326" s="1"/>
      </tp>
      <tp t="s">
        <v>#N/A Requesting Data...3901298787</v>
        <stp/>
        <stp>BDP|17127180605625053263</stp>
        <tr r="E981" s="1"/>
      </tp>
      <tp t="s">
        <v>#N/A Requesting Data...3826030639</v>
        <stp/>
        <stp>BDP|11032937320552148983</stp>
        <tr r="E1962" s="1"/>
        <tr r="E796" s="1"/>
      </tp>
      <tp t="s">
        <v>#N/A Requesting Data...4203913147</v>
        <stp/>
        <stp>BDP|17786241415306999357</stp>
        <tr r="J390" s="1"/>
      </tp>
      <tp t="s">
        <v>#N/A Requesting Data...2567791003</v>
        <stp/>
        <stp>BDP|13367127190663965925</stp>
        <tr r="H1832" s="1"/>
      </tp>
      <tp t="s">
        <v>#N/A Requesting Data...3796310807</v>
        <stp/>
        <stp>BDP|14167583715033365228</stp>
        <tr r="E545" s="1"/>
      </tp>
      <tp t="s">
        <v>#N/A Requesting Data...2221717871</v>
        <stp/>
        <stp>BDP|13239093605407383504</stp>
        <tr r="E442" s="1"/>
      </tp>
      <tp t="s">
        <v>#N/A Requesting Data...2696290627</v>
        <stp/>
        <stp>BDP|10959935704058446079</stp>
        <tr r="AU839" s="1"/>
      </tp>
      <tp t="s">
        <v>#N/A Requesting Data...3358404825</v>
        <stp/>
        <stp>BDP|14147228717012052495</stp>
        <tr r="J1649" s="1"/>
      </tp>
      <tp t="s">
        <v>#N/A Requesting Data...3796023615</v>
        <stp/>
        <stp>BDP|10568566358961399052</stp>
        <tr r="J758" s="1"/>
      </tp>
      <tp t="s">
        <v>#N/A Requesting Data...3675021696</v>
        <stp/>
        <stp>BDP|14307777627646629683</stp>
        <tr r="AV208" s="1"/>
      </tp>
      <tp t="s">
        <v>#N/A Requesting Data...3865471721</v>
        <stp/>
        <stp>BDP|17934203869950883256</stp>
        <tr r="J1763" s="1"/>
      </tp>
      <tp t="s">
        <v>#N/A Requesting Data...4229427371</v>
        <stp/>
        <stp>BDP|12397411768700281150</stp>
        <tr r="AS2021" s="1"/>
      </tp>
      <tp t="s">
        <v>#N/A Requesting Data...2680286977</v>
        <stp/>
        <stp>BDP|15490498942706038223</stp>
        <tr r="E716" s="1"/>
      </tp>
      <tp t="s">
        <v>#N/A Requesting Data...4261102752</v>
        <stp/>
        <stp>BDP|14397643232934030485</stp>
        <tr r="E1974" s="1"/>
      </tp>
      <tp t="s">
        <v>#N/A Requesting Data...2559167918</v>
        <stp/>
        <stp>BDP|14721134850553077290</stp>
        <tr r="H1069" s="1"/>
        <tr r="H1903" s="1"/>
      </tp>
      <tp t="s">
        <v>#N/A Requesting Data...2070670027</v>
        <stp/>
        <stp>BDP|14597185520963350534</stp>
        <tr r="AU440" s="1"/>
      </tp>
      <tp t="s">
        <v>#N/A Requesting Data...2776471305</v>
        <stp/>
        <stp>BDP|14713302195227983873</stp>
        <tr r="J561" s="1"/>
      </tp>
      <tp t="s">
        <v>#N/A Requesting Data...4163065318</v>
        <stp/>
        <stp>BDP|11496164712051806144</stp>
        <tr r="AT881" s="1"/>
      </tp>
      <tp t="s">
        <v>#N/A Requesting Data...3035355972</v>
        <stp/>
        <stp>BDP|12310058956921885740</stp>
        <tr r="H407" s="1"/>
      </tp>
      <tp t="s">
        <v>#N/A Requesting Data...2735253843</v>
        <stp/>
        <stp>BDP|13647917820749232098</stp>
        <tr r="H1102" s="1"/>
        <tr r="H1565" s="1"/>
        <tr r="H1842" s="1"/>
        <tr r="H51" s="1"/>
      </tp>
      <tp t="s">
        <v>#N/A Requesting Data...2327217156</v>
        <stp/>
        <stp>BDP|16971989699005244264</stp>
        <tr r="AU891" s="1"/>
      </tp>
      <tp t="s">
        <v>#N/A Requesting Data...3240315004</v>
        <stp/>
        <stp>BDP|14791389451620730358</stp>
        <tr r="E1127" s="1"/>
      </tp>
      <tp t="s">
        <v>#N/A Requesting Data...3054835152</v>
        <stp/>
        <stp>BDP|17049187476259184935</stp>
        <tr r="AT202" s="1"/>
      </tp>
      <tp t="s">
        <v>#N/A Requesting Data...2961933652</v>
        <stp/>
        <stp>BDP|12052792814377475251</stp>
        <tr r="H577" s="1"/>
      </tp>
      <tp t="s">
        <v>#N/A Requesting Data...3057578141</v>
        <stp/>
        <stp>BDP|12991143622829509963</stp>
        <tr r="AT621" s="1"/>
      </tp>
      <tp t="s">
        <v>#N/A Requesting Data...2059741704</v>
        <stp/>
        <stp>BDP|16130086826601372404</stp>
        <tr r="H1179" s="1"/>
        <tr r="H48" s="1"/>
      </tp>
      <tp t="s">
        <v>#N/A Requesting Data...4081451501</v>
        <stp/>
        <stp>BDP|11612791202566242136</stp>
        <tr r="AT600" s="1"/>
      </tp>
      <tp t="s">
        <v>#N/A Requesting Data...3280153490</v>
        <stp/>
        <stp>BDP|14335393852494565717</stp>
        <tr r="H514" s="1"/>
      </tp>
      <tp t="s">
        <v>#N/A Requesting Data...3043539952</v>
        <stp/>
        <stp>BDP|10753045529952699104</stp>
        <tr r="H148" s="1"/>
      </tp>
      <tp t="s">
        <v>#N/A Requesting Data...2759611839</v>
        <stp/>
        <stp>BDP|12619627512005895114</stp>
        <tr r="J1025" s="1"/>
      </tp>
      <tp t="s">
        <v>#N/A Requesting Data...2272559985</v>
        <stp/>
        <stp>BDP|13765821599933271012</stp>
        <tr r="AU478" s="1"/>
      </tp>
      <tp t="s">
        <v>#N/A Requesting Data...3080304543</v>
        <stp/>
        <stp>BDP|10274416749179498816</stp>
        <tr r="AT909" s="1"/>
      </tp>
      <tp t="s">
        <v>#N/A Requesting Data...3769349193</v>
        <stp/>
        <stp>BDP|12155340440051931538</stp>
        <tr r="AS1369" s="1"/>
        <tr r="AS1370" s="1"/>
      </tp>
      <tp t="s">
        <v>#N/A Requesting Data...2691693648</v>
        <stp/>
        <stp>BDP|11989750323941608462</stp>
        <tr r="H203" s="1"/>
      </tp>
      <tp t="s">
        <v>#N/A Requesting Data...3328988512</v>
        <stp/>
        <stp>BDP|13605043911450568393</stp>
        <tr r="AT668" s="1"/>
      </tp>
      <tp t="s">
        <v>#N/A Requesting Data...3532876371</v>
        <stp/>
        <stp>BDP|12196282153481527508</stp>
        <tr r="E1419" s="1"/>
        <tr r="E1449" s="1"/>
      </tp>
      <tp t="s">
        <v>#N/A Requesting Data...2555709140</v>
        <stp/>
        <stp>BDP|17557486838856218791</stp>
        <tr r="AV217" s="1"/>
        <tr r="AV275" s="1"/>
      </tp>
      <tp t="s">
        <v>#N/A Requesting Data...2464205193</v>
        <stp/>
        <stp>BDP|15510328861833814208</stp>
        <tr r="J1632" s="1"/>
      </tp>
      <tp t="s">
        <v>#N/A Requesting Data...2957077816</v>
        <stp/>
        <stp>BDP|18274244538239540154</stp>
        <tr r="AV886" s="1"/>
      </tp>
      <tp t="s">
        <v>#N/A Requesting Data...3585982994</v>
        <stp/>
        <stp>BDP|12116144925627743797</stp>
        <tr r="J672" s="1"/>
      </tp>
      <tp t="s">
        <v>#N/A Requesting Data...2701759044</v>
        <stp/>
        <stp>BDP|13753640078026416514</stp>
        <tr r="J1170" s="1"/>
        <tr r="J1347" s="1"/>
      </tp>
      <tp t="s">
        <v>#N/A Requesting Data...2879204723</v>
        <stp/>
        <stp>BDP|10715713199756342921</stp>
        <tr r="H1421" s="1"/>
      </tp>
      <tp t="s">
        <v>#N/A Requesting Data...4137076052</v>
        <stp/>
        <stp>BDP|12258060294248899269</stp>
        <tr r="J1549" s="1"/>
        <tr r="J1872" s="1"/>
      </tp>
      <tp t="s">
        <v>#N/A Requesting Data...2828907064</v>
        <stp/>
        <stp>BDP|12289282942213454629</stp>
        <tr r="H213" s="1"/>
      </tp>
      <tp t="s">
        <v>#N/A Requesting Data...2260503224</v>
        <stp/>
        <stp>BDP|15877355508110792730</stp>
        <tr r="H1058" s="1"/>
      </tp>
      <tp t="s">
        <v>#N/A Requesting Data...3849089547</v>
        <stp/>
        <stp>BDP|10601604421114298144</stp>
        <tr r="AT394" s="1"/>
      </tp>
      <tp t="s">
        <v>#N/A Requesting Data...2506741726</v>
        <stp/>
        <stp>BDP|14000619135733656333</stp>
        <tr r="J1934" s="1"/>
      </tp>
      <tp t="s">
        <v>#N/A Requesting Data...3538133172</v>
        <stp/>
        <stp>BDP|12921555176253391283</stp>
        <tr r="J1183" s="1"/>
      </tp>
      <tp t="s">
        <v>#N/A Requesting Data...2582633821</v>
        <stp/>
        <stp>BDP|12147118641682744470</stp>
        <tr r="J644" s="1"/>
      </tp>
      <tp t="s">
        <v>#N/A Requesting Data...2324300306</v>
        <stp/>
        <stp>BDP|13590603912387736214</stp>
        <tr r="E1452" s="1"/>
      </tp>
      <tp t="s">
        <v>#N/A Requesting Data...2646339290</v>
        <stp/>
        <stp>BDP|10168820304869423020</stp>
        <tr r="E2074" s="1"/>
      </tp>
      <tp t="s">
        <v>#N/A Requesting Data...2580851315</v>
        <stp/>
        <stp>BDP|10312318913791031201</stp>
        <tr r="H682" s="1"/>
      </tp>
      <tp t="s">
        <v>#N/A Requesting Data...2802177756</v>
        <stp/>
        <stp>BDP|16391833784044141342</stp>
        <tr r="J1223" s="1"/>
      </tp>
      <tp t="s">
        <v>#N/A Requesting Data...4255408075</v>
        <stp/>
        <stp>BDP|11345251675026029325</stp>
        <tr r="E1594" s="1"/>
      </tp>
      <tp t="s">
        <v>#N/A Requesting Data...2175271115</v>
        <stp/>
        <stp>BDP|16700436057346721055</stp>
        <tr r="E630" s="1"/>
      </tp>
      <tp t="s">
        <v>#N/A Requesting Data...4058222494</v>
        <stp/>
        <stp>BDP|18116614689555074285</stp>
        <tr r="H728" s="1"/>
      </tp>
      <tp t="s">
        <v>#N/A Requesting Data...3478824295</v>
        <stp/>
        <stp>BDP|10132113760254715263</stp>
        <tr r="H1356" s="1"/>
      </tp>
      <tp t="s">
        <v>#N/A Requesting Data...3345211965</v>
        <stp/>
        <stp>BDP|18027340567799129532</stp>
        <tr r="E856" s="1"/>
      </tp>
      <tp t="s">
        <v>#N/A Requesting Data...3972207074</v>
        <stp/>
        <stp>BDP|15242842426879733777</stp>
        <tr r="AV670" s="1"/>
      </tp>
      <tp t="s">
        <v>#N/A Requesting Data...3439819907</v>
        <stp/>
        <stp>BDP|14066602063070543569</stp>
        <tr r="H1640" s="1"/>
      </tp>
      <tp t="s">
        <v>#N/A Requesting Data...3648559866</v>
        <stp/>
        <stp>BDP|11465253223370736059</stp>
        <tr r="AT263" s="1"/>
      </tp>
      <tp t="s">
        <v>#N/A Requesting Data...4090073689</v>
        <stp/>
        <stp>BDP|13944647129906134055</stp>
        <tr r="E494" s="1"/>
      </tp>
      <tp t="s">
        <v>#N/A Requesting Data...2389395283</v>
        <stp/>
        <stp>BDP|12081809097411012377</stp>
        <tr r="J1652" s="1"/>
      </tp>
      <tp t="s">
        <v>#N/A Requesting Data...3366377628</v>
        <stp/>
        <stp>BDP|15163614911917809499</stp>
        <tr r="AV406" s="1"/>
      </tp>
      <tp t="s">
        <v>#N/A Requesting Data...3206071970</v>
        <stp/>
        <stp>BDP|12289069190118461207</stp>
        <tr r="J859" s="1"/>
      </tp>
      <tp t="s">
        <v>#N/A Requesting Data...4084628441</v>
        <stp/>
        <stp>BDP|17291408177347419216</stp>
        <tr r="E1969" s="1"/>
      </tp>
      <tp t="s">
        <v>#N/A Requesting Data...3919881519</v>
        <stp/>
        <stp>BDP|16344012517871398762</stp>
        <tr r="AU832" s="1"/>
      </tp>
      <tp t="s">
        <v>#N/A Requesting Data...2978522691</v>
        <stp/>
        <stp>BDP|12965417150735920710</stp>
        <tr r="E1032" s="1"/>
        <tr r="E1116" s="1"/>
      </tp>
      <tp t="s">
        <v>#N/A Requesting Data...4111191856</v>
        <stp/>
        <stp>BDP|16715132949030697281</stp>
        <tr r="J520" s="1"/>
      </tp>
      <tp t="s">
        <v>#N/A Requesting Data...2634141105</v>
        <stp/>
        <stp>BDP|13786512121586747334</stp>
        <tr r="H856" s="1"/>
      </tp>
      <tp t="s">
        <v>#N/A Requesting Data...2691790781</v>
        <stp/>
        <stp>BDP|18269591340420042888</stp>
        <tr r="H1081" s="1"/>
        <tr r="H77" s="1"/>
      </tp>
      <tp t="s">
        <v>#N/A Requesting Data...2519473089</v>
        <stp/>
        <stp>BDP|17122131645532491100</stp>
        <tr r="AS1988" s="1"/>
      </tp>
      <tp t="s">
        <v>#N/A Requesting Data...2345946399</v>
        <stp/>
        <stp>BDP|12576579352770573362</stp>
        <tr r="AU388" s="1"/>
      </tp>
      <tp t="s">
        <v>#N/A Requesting Data...2287313702</v>
        <stp/>
        <stp>BDP|16392416630090154008</stp>
        <tr r="E861" s="1"/>
      </tp>
      <tp t="s">
        <v>#N/A Requesting Data...3741740870</v>
        <stp/>
        <stp>BDP|15269151053691039172</stp>
        <tr r="E904" s="1"/>
      </tp>
      <tp t="s">
        <v>#N/A Requesting Data...3171917450</v>
        <stp/>
        <stp>BDP|12467792910355831064</stp>
        <tr r="J812" s="1"/>
      </tp>
      <tp t="s">
        <v>#N/A Requesting Data...2682900151</v>
        <stp/>
        <stp>BDP|16076578444331354739</stp>
        <tr r="AP775" s="1"/>
      </tp>
      <tp t="s">
        <v>#N/A Requesting Data...3551362605</v>
        <stp/>
        <stp>BDP|13345206107660434037</stp>
        <tr r="E666" s="1"/>
      </tp>
      <tp t="s">
        <v>#N/A Requesting Data...2795565238</v>
        <stp/>
        <stp>BDP|13044734053029214911</stp>
        <tr r="J354" s="1"/>
      </tp>
      <tp t="s">
        <v>#N/A Requesting Data...3994198947</v>
        <stp/>
        <stp>BDP|12811072977271330587</stp>
        <tr r="H1764" s="1"/>
      </tp>
      <tp t="s">
        <v>#N/A Requesting Data...4125927921</v>
        <stp/>
        <stp>BDP|15344795749052070503</stp>
        <tr r="AV909" s="1"/>
      </tp>
      <tp t="s">
        <v>#N/A Requesting Data...3049714468</v>
        <stp/>
        <stp>BDP|18054550681561443530</stp>
        <tr r="AT851" s="1"/>
      </tp>
      <tp t="s">
        <v>#N/A Requesting Data...3564601944</v>
        <stp/>
        <stp>BDP|14550076992328438477</stp>
        <tr r="E1774" s="1"/>
      </tp>
      <tp t="s">
        <v>#N/A Requesting Data...2105530776</v>
        <stp/>
        <stp>BDP|16103715630364486764</stp>
        <tr r="J1765" s="1"/>
      </tp>
      <tp t="s">
        <v>#N/A Requesting Data...4163454043</v>
        <stp/>
        <stp>BDP|18091952149570661487</stp>
        <tr r="AU487" s="1"/>
      </tp>
      <tp t="s">
        <v>#N/A Requesting Data...2850281451</v>
        <stp/>
        <stp>BDP|11982106225723922077</stp>
        <tr r="J544" s="1"/>
      </tp>
      <tp t="s">
        <v>#N/A Requesting Data...2834473205</v>
        <stp/>
        <stp>BDP|10288864275978155622</stp>
        <tr r="E1831" s="1"/>
      </tp>
      <tp t="s">
        <v>#N/A Requesting Data...3276377373</v>
        <stp/>
        <stp>BDP|17824585878822984635</stp>
        <tr r="J953" s="1"/>
      </tp>
      <tp t="s">
        <v>#N/A Requesting Data...2914027041</v>
        <stp/>
        <stp>BDP|14873995672102540945</stp>
        <tr r="H1774" s="1"/>
      </tp>
      <tp t="s">
        <v>#N/A Requesting Data...2665732928</v>
        <stp/>
        <stp>BDP|10939015226445565693</stp>
        <tr r="AS2045" s="1"/>
      </tp>
      <tp t="s">
        <v>#N/A Requesting Data...2133652944</v>
        <stp/>
        <stp>BDP|18123317594436522534</stp>
        <tr r="E1213" s="1"/>
      </tp>
      <tp t="s">
        <v>#N/A Requesting Data...2331109994</v>
        <stp/>
        <stp>BDP|15042495748622239610</stp>
        <tr r="H455" s="1"/>
      </tp>
      <tp t="s">
        <v>#N/A Requesting Data...2518795663</v>
        <stp/>
        <stp>BDP|11734457981488144400</stp>
        <tr r="J1310" s="1"/>
      </tp>
      <tp t="s">
        <v>#N/A Requesting Data...3491211804</v>
        <stp/>
        <stp>BDP|15264208330072980792</stp>
        <tr r="AV900" s="1"/>
      </tp>
      <tp t="s">
        <v>#N/A Requesting Data...3430348307</v>
        <stp/>
        <stp>BDP|13897929867874173994</stp>
        <tr r="AT893" s="1"/>
      </tp>
      <tp t="s">
        <v>#N/A Requesting Data...3731015996</v>
        <stp/>
        <stp>BDP|16751268475344943681</stp>
        <tr r="H417" s="1"/>
      </tp>
      <tp t="s">
        <v>#N/A Requesting Data...2726053795</v>
        <stp/>
        <stp>BDP|15244604539494976579</stp>
        <tr r="H720" s="1"/>
      </tp>
      <tp t="s">
        <v>#N/A Requesting Data...2354301693</v>
        <stp/>
        <stp>BDP|10763330711164858788</stp>
        <tr r="E1053" s="1"/>
      </tp>
      <tp t="s">
        <v>#N/A Requesting Data...2837081152</v>
        <stp/>
        <stp>BDP|16183512045385060307</stp>
        <tr r="AU614" s="1"/>
      </tp>
      <tp t="s">
        <v>#N/A Requesting Data...2276454494</v>
        <stp/>
        <stp>BDP|12574947394991874281</stp>
        <tr r="AV443" s="1"/>
      </tp>
      <tp t="s">
        <v>#N/A Requesting Data...3253345608</v>
        <stp/>
        <stp>BDP|10156240330666049609</stp>
        <tr r="AT723" s="1"/>
      </tp>
      <tp t="s">
        <v>#N/A Requesting Data...3163855798</v>
        <stp/>
        <stp>BDP|10306856135888221240</stp>
        <tr r="H683" s="1"/>
      </tp>
      <tp t="s">
        <v>#N/A Requesting Data...3988275084</v>
        <stp/>
        <stp>BDP|13437708473667575576</stp>
        <tr r="AT503" s="1"/>
      </tp>
      <tp t="s">
        <v>#N/A Requesting Data...2597862904</v>
        <stp/>
        <stp>BDP|13603509758820263296</stp>
        <tr r="AU709" s="1"/>
      </tp>
      <tp t="s">
        <v>#N/A Requesting Data...2813440311</v>
        <stp/>
        <stp>BDP|17207076520560000402</stp>
        <tr r="J1236" s="1"/>
      </tp>
      <tp t="s">
        <v>#N/A Requesting Data...3775380477</v>
        <stp/>
        <stp>BDP|10046969690958164923</stp>
        <tr r="E1349" s="1"/>
      </tp>
      <tp t="s">
        <v>#N/A Requesting Data...2815472555</v>
        <stp/>
        <stp>BDP|11067571854803695301</stp>
        <tr r="H1046" s="1"/>
        <tr r="H82" s="1"/>
      </tp>
      <tp t="s">
        <v>#N/A Requesting Data...2449723773</v>
        <stp/>
        <stp>BDP|13621547562710224177</stp>
        <tr r="J940" s="1"/>
      </tp>
      <tp t="s">
        <v>#N/A Requesting Data...2298189508</v>
        <stp/>
        <stp>BDP|11407321720718019931</stp>
        <tr r="E753" s="1"/>
      </tp>
      <tp t="s">
        <v>#N/A Requesting Data...2168020888</v>
        <stp/>
        <stp>BDP|14479065939117701196</stp>
        <tr r="AU202" s="1"/>
      </tp>
      <tp t="s">
        <v>#N/A Requesting Data...3159071923</v>
        <stp/>
        <stp>BDP|12793009296428176257</stp>
        <tr r="AV547" s="1"/>
      </tp>
      <tp t="s">
        <v>#N/A Requesting Data...2507939751</v>
        <stp/>
        <stp>BDP|12532472101661581626</stp>
        <tr r="J1601" s="1"/>
        <tr r="J930" s="1"/>
      </tp>
      <tp t="s">
        <v>#N/A Requesting Data...2392264325</v>
        <stp/>
        <stp>BDP|16737965880877158143</stp>
        <tr r="E527" s="1"/>
      </tp>
      <tp t="s">
        <v>#N/A Requesting Data...3673513982</v>
        <stp/>
        <stp>BDP|15848380814614645268</stp>
        <tr r="J1670" s="1"/>
      </tp>
      <tp t="s">
        <v>#N/A Requesting Data...2903823646</v>
        <stp/>
        <stp>BDP|11047407665253649178</stp>
        <tr r="H352" s="1"/>
      </tp>
      <tp t="s">
        <v>#N/A Requesting Data...2564975109</v>
        <stp/>
        <stp>BDP|15506709578226044293</stp>
        <tr r="E642" s="1"/>
      </tp>
      <tp t="s">
        <v>#N/A Requesting Data...3493676944</v>
        <stp/>
        <stp>BDP|10957457938140560657</stp>
        <tr r="H2065" s="1"/>
      </tp>
      <tp t="s">
        <v>#N/A Requesting Data...3600111837</v>
        <stp/>
        <stp>BDP|15517476165036125027</stp>
        <tr r="AT568" s="1"/>
      </tp>
      <tp t="s">
        <v>#N/A Requesting Data...2216304579</v>
        <stp/>
        <stp>BDP|13415807910768459345</stp>
        <tr r="AV426" s="1"/>
      </tp>
      <tp t="s">
        <v>#N/A Requesting Data...3310313267</v>
        <stp/>
        <stp>BDP|14887279177705868540</stp>
        <tr r="H1111" s="1"/>
        <tr r="H1482" s="1"/>
        <tr r="H1580" s="1"/>
      </tp>
      <tp t="s">
        <v>#N/A Requesting Data...3090521431</v>
        <stp/>
        <stp>BDP|15328670590289262221</stp>
        <tr r="AT520" s="1"/>
      </tp>
      <tp t="s">
        <v>#N/A Requesting Data...3468044660</v>
        <stp/>
        <stp>BDP|16339643834790452234</stp>
        <tr r="H28" s="1"/>
      </tp>
      <tp t="s">
        <v>#N/A Requesting Data...2849914219</v>
        <stp/>
        <stp>BDP|16204196950376665596</stp>
        <tr r="E1500" s="1"/>
        <tr r="E1618" s="1"/>
      </tp>
      <tp t="s">
        <v>#N/A Requesting Data...3961793642</v>
        <stp/>
        <stp>BDP|11296087981129797182</stp>
        <tr r="AT869" s="1"/>
      </tp>
      <tp t="s">
        <v>#N/A Requesting Data...4153972918</v>
        <stp/>
        <stp>BDP|10482191435942728188</stp>
        <tr r="AT728" s="1"/>
      </tp>
      <tp t="s">
        <v>#N/A Requesting Data...2980934688</v>
        <stp/>
        <stp>BDP|11269096709555178548</stp>
        <tr r="E638" s="1"/>
      </tp>
      <tp t="s">
        <v>#N/A Requesting Data...3266392549</v>
        <stp/>
        <stp>BDP|12120025544862639565</stp>
        <tr r="AO1473" s="1"/>
      </tp>
      <tp t="s">
        <v>#N/A Requesting Data...3069940716</v>
        <stp/>
        <stp>BDP|11868593736813676566</stp>
        <tr r="J1338" s="1"/>
      </tp>
      <tp t="s">
        <v>#N/A Requesting Data...3615226090</v>
        <stp/>
        <stp>BDP|12878682476337933586</stp>
        <tr r="H698" s="1"/>
      </tp>
      <tp t="s">
        <v>#N/A Requesting Data...2943390606</v>
        <stp/>
        <stp>BDP|16569233844163503207</stp>
        <tr r="H2081" s="1"/>
      </tp>
      <tp t="s">
        <v>#N/A Requesting Data...3246471319</v>
        <stp/>
        <stp>BDP|13811180822401122045</stp>
        <tr r="AV838" s="1"/>
      </tp>
      <tp t="s">
        <v>#N/A Requesting Data...3876962408</v>
        <stp/>
        <stp>BDP|10617058450936418201</stp>
        <tr r="E265" s="1"/>
      </tp>
      <tp t="s">
        <v>#N/A Requesting Data...3665961695</v>
        <stp/>
        <stp>BDP|13617751156750474067</stp>
        <tr r="H750" s="1"/>
      </tp>
      <tp t="s">
        <v>#N/A Requesting Data...3439537247</v>
        <stp/>
        <stp>BDP|16335951250482642974</stp>
        <tr r="H1961" s="1"/>
      </tp>
      <tp t="s">
        <v>#N/A Requesting Data...3511167505</v>
        <stp/>
        <stp>BDP|11118292952652892547</stp>
        <tr r="J1315" s="1"/>
      </tp>
      <tp t="s">
        <v>#N/A Requesting Data...2655886317</v>
        <stp/>
        <stp>BDP|14482579275952155516</stp>
        <tr r="AU371" s="1"/>
      </tp>
      <tp t="s">
        <v>#N/A Requesting Data...2615850877</v>
        <stp/>
        <stp>BDP|16604716521900010206</stp>
        <tr r="E703" s="1"/>
      </tp>
      <tp t="s">
        <v>#N/A Requesting Data...2414125520</v>
        <stp/>
        <stp>BDP|15892895784240379406</stp>
        <tr r="E1938" s="1"/>
      </tp>
      <tp t="s">
        <v>#N/A Requesting Data...2948012001</v>
        <stp/>
        <stp>BDP|13990335365483185483</stp>
        <tr r="E492" s="1"/>
      </tp>
      <tp t="s">
        <v>#N/A Requesting Data...3258047486</v>
        <stp/>
        <stp>BDP|12119697632546956054</stp>
        <tr r="H785" s="1"/>
      </tp>
      <tp t="s">
        <v>#N/A Requesting Data...3494361671</v>
        <stp/>
        <stp>BDP|16870386367964094610</stp>
        <tr r="E1405" s="1"/>
      </tp>
      <tp t="s">
        <v>#N/A Requesting Data...3183334459</v>
        <stp/>
        <stp>BDP|14478453110324114460</stp>
        <tr r="E1067" s="1"/>
      </tp>
      <tp t="s">
        <v>#N/A Requesting Data...3068361863</v>
        <stp/>
        <stp>BDP|13782486847861647384</stp>
        <tr r="J1376" s="1"/>
      </tp>
      <tp t="s">
        <v>#N/A Requesting Data...3476954761</v>
        <stp/>
        <stp>BDP|15080020030190062749</stp>
        <tr r="E887" s="1"/>
      </tp>
      <tp t="s">
        <v>#N/A Requesting Data...3124886290</v>
        <stp/>
        <stp>BDP|16545905364600567827</stp>
        <tr r="AV204" s="1"/>
      </tp>
      <tp t="s">
        <v>#N/A Requesting Data...2405653143</v>
        <stp/>
        <stp>BDP|18177666612358445670</stp>
        <tr r="AU392" s="1"/>
      </tp>
      <tp t="s">
        <v>#N/A Requesting Data...2542412821</v>
        <stp/>
        <stp>BDP|13204511464758034910</stp>
        <tr r="J1217" s="1"/>
      </tp>
      <tp t="s">
        <v>#N/A Requesting Data...2836815442</v>
        <stp/>
        <stp>BDP|13721851319768371418</stp>
        <tr r="E106" s="1"/>
      </tp>
      <tp t="s">
        <v>#N/A Requesting Data...3967695445</v>
        <stp/>
        <stp>BDP|13661903137337855808</stp>
        <tr r="AO2051" s="1"/>
      </tp>
      <tp t="s">
        <v>#N/A Requesting Data...3239919866</v>
        <stp/>
        <stp>BDP|15597604303533708687</stp>
        <tr r="J1656" s="1"/>
      </tp>
      <tp t="s">
        <v>#N/A Requesting Data...2671050811</v>
        <stp/>
        <stp>BDP|13828742511307347479</stp>
        <tr r="H1589" s="1"/>
      </tp>
      <tp t="s">
        <v>#N/A Requesting Data...3758822053</v>
        <stp/>
        <stp>BDP|10103086571173803295</stp>
        <tr r="AT594" s="1"/>
      </tp>
      <tp t="s">
        <v>#N/A Requesting Data...2284524885</v>
        <stp/>
        <stp>BDP|15202970834611809800</stp>
        <tr r="J1129" s="1"/>
        <tr r="J1630" s="1"/>
      </tp>
      <tp t="s">
        <v>#N/A Requesting Data...2415008164</v>
        <stp/>
        <stp>BDP|13450587433564782700</stp>
        <tr r="H304" s="1"/>
      </tp>
      <tp t="s">
        <v>#N/A Requesting Data...3791463719</v>
        <stp/>
        <stp>BDP|12877476656674693172</stp>
        <tr r="H392" s="1"/>
      </tp>
      <tp t="s">
        <v>#N/A Requesting Data...4141117292</v>
        <stp/>
        <stp>BDP|16988577853763174343</stp>
        <tr r="J1165" s="1"/>
        <tr r="J1344" s="1"/>
      </tp>
      <tp t="s">
        <v>#N/A Requesting Data...2938130408</v>
        <stp/>
        <stp>BDP|16967563022921670638</stp>
        <tr r="E503" s="1"/>
      </tp>
      <tp t="s">
        <v>#N/A Requesting Data...2409480280</v>
        <stp/>
        <stp>BDP|13876095959435674560</stp>
        <tr r="AV576" s="1"/>
      </tp>
      <tp t="s">
        <v>#N/A Requesting Data...3970596825</v>
        <stp/>
        <stp>BDP|11954169766330291037</stp>
        <tr r="AT297" s="1"/>
      </tp>
      <tp t="s">
        <v>#N/A Requesting Data...4233405710</v>
        <stp/>
        <stp>BDP|10213275782329725584</stp>
        <tr r="AT683" s="1"/>
      </tp>
      <tp t="s">
        <v>#N/A Requesting Data...3321116030</v>
        <stp/>
        <stp>BDP|13570382368470871056</stp>
        <tr r="H505" s="1"/>
      </tp>
      <tp t="s">
        <v>#N/A Requesting Data...3033256243</v>
        <stp/>
        <stp>BDP|16907237256857756000</stp>
        <tr r="AU330" s="1"/>
      </tp>
      <tp t="s">
        <v>#N/A Requesting Data...2581231475</v>
        <stp/>
        <stp>BDP|11625570008422777059</stp>
        <tr r="J1140" s="1"/>
        <tr r="J1643" s="1"/>
      </tp>
      <tp t="s">
        <v>#N/A Requesting Data...2770003410</v>
        <stp/>
        <stp>BDP|11083464614555003797</stp>
        <tr r="AU859" s="1"/>
      </tp>
      <tp t="s">
        <v>#N/A Requesting Data...3948759708</v>
        <stp/>
        <stp>BDP|11910783168576420069</stp>
        <tr r="AV408" s="1"/>
      </tp>
      <tp t="s">
        <v>#N/A Requesting Data...2510485061</v>
        <stp/>
        <stp>BDP|11763685508652808346</stp>
        <tr r="J1883" s="1"/>
      </tp>
      <tp t="s">
        <v>#N/A Requesting Data...4171055895</v>
        <stp/>
        <stp>BDP|11575145574687675682</stp>
        <tr r="AU540" s="1"/>
      </tp>
      <tp t="s">
        <v>#N/A Requesting Data...3707095288</v>
        <stp/>
        <stp>BDP|14316836560678378487</stp>
        <tr r="J1452" s="1"/>
      </tp>
      <tp t="s">
        <v>#N/A Requesting Data...3461906839</v>
        <stp/>
        <stp>BDP|13821056701952354749</stp>
        <tr r="E1613" s="1"/>
        <tr r="E1864" s="1"/>
        <tr r="E2073" s="1"/>
      </tp>
      <tp t="s">
        <v>#N/A Requesting Data...3324813231</v>
        <stp/>
        <stp>BDP|14466384825640026321</stp>
        <tr r="H2068" s="1"/>
      </tp>
      <tp t="s">
        <v>#N/A Requesting Data...2303837871</v>
        <stp/>
        <stp>BDP|18375583053089314700</stp>
        <tr r="AV727" s="1"/>
      </tp>
      <tp t="s">
        <v>#N/A Requesting Data...3035010176</v>
        <stp/>
        <stp>BDP|13882006002936652376</stp>
        <tr r="J1770" s="1"/>
      </tp>
      <tp t="s">
        <v>#N/A Requesting Data...3911379373</v>
        <stp/>
        <stp>BDP|17198584855626101773</stp>
        <tr r="H489" s="1"/>
      </tp>
      <tp t="s">
        <v>#N/A Requesting Data...3974604971</v>
        <stp/>
        <stp>BDP|16054018119118567974</stp>
        <tr r="AV532" s="1"/>
      </tp>
      <tp t="s">
        <v>#N/A Requesting Data...2956683891</v>
        <stp/>
        <stp>BDP|11131322041863103394</stp>
        <tr r="E631" s="1"/>
      </tp>
      <tp t="s">
        <v>#N/A Requesting Data...2306273492</v>
        <stp/>
        <stp>BDP|10270912354932923843</stp>
        <tr r="E1870" s="1"/>
        <tr r="E2075" s="1"/>
      </tp>
      <tp t="s">
        <v>#N/A Requesting Data...3674337967</v>
        <stp/>
        <stp>BDP|10730694116801116032</stp>
        <tr r="J1540" s="1"/>
      </tp>
      <tp t="s">
        <v>#N/A Requesting Data...2225145394</v>
        <stp/>
        <stp>BDP|16640998377747185930</stp>
        <tr r="E293" s="1"/>
      </tp>
      <tp t="s">
        <v>#N/A Requesting Data...2365393098</v>
        <stp/>
        <stp>BDP|13113162776481819237</stp>
        <tr r="J1833" s="1"/>
      </tp>
      <tp t="s">
        <v>#N/A Requesting Data...3106388472</v>
        <stp/>
        <stp>BDP|10548881403919489704</stp>
        <tr r="H192" s="1"/>
      </tp>
      <tp t="s">
        <v>#N/A Requesting Data...3766346371</v>
        <stp/>
        <stp>BDP|14936701725427442022</stp>
        <tr r="E1546" s="1"/>
      </tp>
      <tp t="s">
        <v>#N/A Requesting Data...2861001443</v>
        <stp/>
        <stp>BDP|10561176523861863439</stp>
        <tr r="J448" s="1"/>
      </tp>
      <tp t="s">
        <v>#N/A Requesting Data...3033653509</v>
        <stp/>
        <stp>BDP|13206786762086528273</stp>
        <tr r="AT685" s="1"/>
      </tp>
      <tp t="s">
        <v>#N/A Requesting Data...2351389547</v>
        <stp/>
        <stp>BDP|10349596930059063902</stp>
        <tr r="E1585" s="1"/>
        <tr r="E1849" s="1"/>
        <tr r="E2062" s="1"/>
      </tp>
      <tp t="s">
        <v>#N/A Requesting Data...2875694321</v>
        <stp/>
        <stp>BDP|17741466336766439093</stp>
        <tr r="E1199" s="1"/>
      </tp>
      <tp t="s">
        <v>#N/A Requesting Data...2726296671</v>
        <stp/>
        <stp>BDP|14570331088320153954</stp>
        <tr r="AV581" s="1"/>
      </tp>
      <tp t="s">
        <v>#N/A Requesting Data...4279933043</v>
        <stp/>
        <stp>BDP|17445482813005171138</stp>
        <tr r="AV404" s="1"/>
      </tp>
      <tp t="s">
        <v>#N/A Requesting Data...3939196656</v>
        <stp/>
        <stp>BDP|13224192404237485363</stp>
        <tr r="E170" s="1"/>
        <tr r="E1902" s="1"/>
        <tr r="E230" s="1"/>
      </tp>
      <tp t="s">
        <v>#N/A Requesting Data...4242146689</v>
        <stp/>
        <stp>BDP|13533011078063581145</stp>
        <tr r="AV887" s="1"/>
      </tp>
      <tp t="s">
        <v>#N/A Requesting Data...4207555209</v>
        <stp/>
        <stp>BDP|10399686231056743505</stp>
        <tr r="J1929" s="1"/>
        <tr r="J35" s="1"/>
      </tp>
      <tp t="s">
        <v>#N/A Requesting Data...2447770265</v>
        <stp/>
        <stp>BDP|13640732745485495395</stp>
        <tr r="H1296" s="1"/>
      </tp>
      <tp t="s">
        <v>#N/A Requesting Data...3236633466</v>
        <stp/>
        <stp>BDP|10497479830281987077</stp>
        <tr r="AV599" s="1"/>
      </tp>
      <tp t="s">
        <v>#N/A Requesting Data...4152585800</v>
        <stp/>
        <stp>BDP|11293274414171402581</stp>
        <tr r="J1195" s="1"/>
        <tr r="J2072" s="1"/>
      </tp>
      <tp t="s">
        <v>#N/A Requesting Data...3567253607</v>
        <stp/>
        <stp>BDP|17399993786736665677</stp>
        <tr r="J258" s="1"/>
      </tp>
      <tp t="s">
        <v>#N/A Requesting Data...4156574544</v>
        <stp/>
        <stp>BDP|17135568860693974139</stp>
        <tr r="AV296" s="1"/>
      </tp>
      <tp t="s">
        <v>#N/A Requesting Data...2435458220</v>
        <stp/>
        <stp>BDP|12964147023287075035</stp>
        <tr r="AV649" s="1"/>
      </tp>
      <tp t="s">
        <v>#N/A Requesting Data...3215721089</v>
        <stp/>
        <stp>BDP|18016810605682936403</stp>
        <tr r="J569" s="1"/>
      </tp>
      <tp t="s">
        <v>#N/A Requesting Data...3289721002</v>
        <stp/>
        <stp>BDP|15179411804803026498</stp>
        <tr r="AV841" s="1"/>
      </tp>
      <tp t="s">
        <v>#N/A Requesting Data...2280158855</v>
        <stp/>
        <stp>BDP|12737751448262616515</stp>
        <tr r="J785" s="1"/>
      </tp>
      <tp t="s">
        <v>#N/A Requesting Data...3521966116</v>
        <stp/>
        <stp>BDP|11909650111247689770</stp>
        <tr r="AU482" s="1"/>
      </tp>
      <tp t="s">
        <v>#N/A Requesting Data...2272021099</v>
        <stp/>
        <stp>BDP|16219213930916814770</stp>
        <tr r="J1830" s="1"/>
      </tp>
      <tp t="s">
        <v>#N/A Requesting Data...3595470503</v>
        <stp/>
        <stp>BDP|13278653069281299406</stp>
        <tr r="E1656" s="1"/>
      </tp>
      <tp t="s">
        <v>#N/A Requesting Data...3826335035</v>
        <stp/>
        <stp>BDP|13330624306435988623</stp>
        <tr r="AT576" s="1"/>
      </tp>
      <tp t="s">
        <v>#N/A Requesting Data...3721595984</v>
        <stp/>
        <stp>BDP|16920850085464497417</stp>
        <tr r="AU607" s="1"/>
      </tp>
      <tp t="s">
        <v>#N/A Requesting Data...3206957091</v>
        <stp/>
        <stp>BDP|14091958595833919157</stp>
        <tr r="J380" s="1"/>
      </tp>
      <tp t="s">
        <v>#N/A Requesting Data...3389609476</v>
        <stp/>
        <stp>BDP|12779436382651297981</stp>
        <tr r="AV588" s="1"/>
      </tp>
      <tp t="s">
        <v>#N/A Requesting Data...3852663242</v>
        <stp/>
        <stp>BDP|14248132304781193287</stp>
        <tr r="J552" s="1"/>
      </tp>
      <tp t="s">
        <v>#N/A Requesting Data...2392162088</v>
        <stp/>
        <stp>BDP|11265387404175202102</stp>
        <tr r="AU338" s="1"/>
      </tp>
      <tp t="s">
        <v>#N/A Requesting Data...3146250296</v>
        <stp/>
        <stp>BDP|10431456974283131685</stp>
        <tr r="H418" s="1"/>
      </tp>
      <tp t="s">
        <v>#N/A Requesting Data...3645178785</v>
        <stp/>
        <stp>BDP|17625692651666165431</stp>
        <tr r="AV354" s="1"/>
      </tp>
      <tp t="s">
        <v>#N/A Requesting Data...3924605507</v>
        <stp/>
        <stp>BDP|17935254163061001436</stp>
        <tr r="H339" s="1"/>
      </tp>
      <tp t="s">
        <v>#N/A Requesting Data...3122062317</v>
        <stp/>
        <stp>BDP|10251851966111820957</stp>
        <tr r="E744" s="1"/>
      </tp>
      <tp t="s">
        <v>#N/A Requesting Data...4292976561</v>
        <stp/>
        <stp>BDP|11026144203050232693</stp>
        <tr r="J348" s="1"/>
      </tp>
      <tp t="s">
        <v>#N/A Requesting Data...3452955336</v>
        <stp/>
        <stp>BDP|16114423943672888248</stp>
        <tr r="H903" s="1"/>
      </tp>
      <tp t="s">
        <v>#N/A Requesting Data...2710280907</v>
        <stp/>
        <stp>BDP|15137560261012807218</stp>
        <tr r="J346" s="1"/>
      </tp>
      <tp t="s">
        <v>#N/A Requesting Data...3433954261</v>
        <stp/>
        <stp>BDP|14542777834992164486</stp>
        <tr r="AV629" s="1"/>
      </tp>
      <tp t="s">
        <v>#N/A Requesting Data...3536355552</v>
        <stp/>
        <stp>BDP|15181567499796865997</stp>
        <tr r="H89" s="1"/>
      </tp>
      <tp t="s">
        <v>#N/A Requesting Data...2761370052</v>
        <stp/>
        <stp>BDP|18188166188421508653</stp>
        <tr r="E1250" s="1"/>
      </tp>
      <tp t="s">
        <v>#N/A Requesting Data...3299816255</v>
        <stp/>
        <stp>BDP|13797565719140348147</stp>
        <tr r="AT538" s="1"/>
      </tp>
      <tp t="s">
        <v>#N/A Requesting Data...2991219230</v>
        <stp/>
        <stp>BDP|15565907018882016925</stp>
        <tr r="E738" s="1"/>
      </tp>
      <tp t="s">
        <v>#N/A Requesting Data...2851040659</v>
        <stp/>
        <stp>BDP|11585388857237312663</stp>
        <tr r="AV621" s="1"/>
      </tp>
      <tp t="s">
        <v>#N/A Requesting Data...3279665466</v>
        <stp/>
        <stp>BDP|17276056757105690199</stp>
        <tr r="E578" s="1"/>
      </tp>
      <tp t="s">
        <v>#N/A Requesting Data...2435248021</v>
        <stp/>
        <stp>BDP|12418162774117913505</stp>
        <tr r="AV292" s="1"/>
      </tp>
      <tp t="s">
        <v>#N/A Requesting Data...4266528827</v>
        <stp/>
        <stp>BDP|17485730800336991017</stp>
        <tr r="AV677" s="1"/>
      </tp>
      <tp t="s">
        <v>#N/A Requesting Data...3130968852</v>
        <stp/>
        <stp>BDP|16995851413271798868</stp>
        <tr r="J1771" s="1"/>
      </tp>
      <tp t="s">
        <v>#N/A Requesting Data...2402680114</v>
        <stp/>
        <stp>BDP|15932107171703645608</stp>
        <tr r="J582" s="1"/>
      </tp>
      <tp t="s">
        <v>#N/A Requesting Data...2544758098</v>
        <stp/>
        <stp>BDP|11038855466619472095</stp>
        <tr r="H1557" s="1"/>
      </tp>
      <tp t="s">
        <v>#N/A Requesting Data...3658495936</v>
        <stp/>
        <stp>BDP|10176122700706491199</stp>
        <tr r="AU422" s="1"/>
      </tp>
      <tp t="s">
        <v>#N/A Requesting Data...3631774002</v>
        <stp/>
        <stp>BDP|11057169250942977112</stp>
        <tr r="H1216" s="1"/>
      </tp>
      <tp t="s">
        <v>#N/A Requesting Data...3440423821</v>
        <stp/>
        <stp>BDP|14329044572640967521</stp>
        <tr r="H808" s="1"/>
      </tp>
      <tp t="s">
        <v>#N/A Requesting Data...2433372373</v>
        <stp/>
        <stp>BDP|10773864539564322953</stp>
        <tr r="H324" s="1"/>
      </tp>
      <tp t="s">
        <v>#N/A Requesting Data...4280038655</v>
        <stp/>
        <stp>BDP|13646734854344832376</stp>
        <tr r="E364" s="1"/>
      </tp>
      <tp t="s">
        <v>#N/A Requesting Data...3947549972</v>
        <stp/>
        <stp>BDP|15721973446776079887</stp>
        <tr r="J385" s="1"/>
      </tp>
      <tp t="s">
        <v>#N/A Requesting Data...2274353155</v>
        <stp/>
        <stp>BDP|15762103108907716568</stp>
        <tr r="AU613" s="1"/>
      </tp>
      <tp t="s">
        <v>#N/A Requesting Data...3629243946</v>
        <stp/>
        <stp>BDP|16443450722502406495</stp>
        <tr r="H547" s="1"/>
      </tp>
      <tp t="s">
        <v>#N/A Requesting Data...3302875906</v>
        <stp/>
        <stp>BDP|14580810799017543496</stp>
        <tr r="J1415" s="1"/>
      </tp>
      <tp t="s">
        <v>#N/A Requesting Data...3216635844</v>
        <stp/>
        <stp>BDP|12572908849650986949</stp>
        <tr r="AU481" s="1"/>
      </tp>
      <tp t="s">
        <v>#N/A Requesting Data...2259879185</v>
        <stp/>
        <stp>BDP|17035829560146620957</stp>
        <tr r="H465" s="1"/>
      </tp>
      <tp t="s">
        <v>#N/A Requesting Data...3080320386</v>
        <stp/>
        <stp>BDP|18125539155299344751</stp>
        <tr r="E1177" s="1"/>
      </tp>
      <tp t="s">
        <v>#N/A Requesting Data...3571101437</v>
        <stp/>
        <stp>BDP|10685758537994439616</stp>
        <tr r="E1191" s="1"/>
      </tp>
      <tp t="s">
        <v>#N/A Requesting Data...3588158585</v>
        <stp/>
        <stp>BDP|17463121276401974687</stp>
        <tr r="E1126" s="1"/>
        <tr r="E136" s="1"/>
        <tr r="E1394" s="1"/>
        <tr r="E1614" s="1"/>
        <tr r="E74" s="1"/>
      </tp>
      <tp t="s">
        <v>#N/A Requesting Data...2983719351</v>
        <stp/>
        <stp>BDP|12057976842060725930</stp>
        <tr r="H673" s="1"/>
      </tp>
      <tp t="s">
        <v>#N/A Requesting Data...3081558368</v>
        <stp/>
        <stp>BDP|17226843157538222427</stp>
        <tr r="E994" s="1"/>
      </tp>
      <tp t="s">
        <v>#N/A Requesting Data...3748041068</v>
        <stp/>
        <stp>BDP|11063975654683237806</stp>
        <tr r="E1661" s="1"/>
      </tp>
      <tp t="s">
        <v>#N/A Requesting Data...4223647847</v>
        <stp/>
        <stp>BDP|12346174226432169525</stp>
        <tr r="AU209" s="1"/>
      </tp>
      <tp t="s">
        <v>#N/A Requesting Data...4019841653</v>
        <stp/>
        <stp>BDP|17217804458638958438</stp>
        <tr r="AT465" s="1"/>
      </tp>
      <tp t="s">
        <v>#N/A Requesting Data...2710504747</v>
        <stp/>
        <stp>BDP|12349924687167073268</stp>
        <tr r="AU909" s="1"/>
      </tp>
      <tp t="s">
        <v>#N/A Requesting Data...3510933789</v>
        <stp/>
        <stp>BDP|12210177949961546097</stp>
        <tr r="AU550" s="1"/>
      </tp>
      <tp t="s">
        <v>#N/A Requesting Data...4264813441</v>
        <stp/>
        <stp>BDP|12689206200135701313</stp>
        <tr r="J810" s="1"/>
      </tp>
      <tp t="s">
        <v>#N/A Requesting Data...4164976612</v>
        <stp/>
        <stp>BDP|11467758125911082343</stp>
        <tr r="AV760" s="1"/>
      </tp>
      <tp t="s">
        <v>#N/A Requesting Data...4103826702</v>
        <stp/>
        <stp>BDP|14197906804162553908</stp>
        <tr r="AT387" s="1"/>
      </tp>
      <tp t="s">
        <v>#N/A Requesting Data...3803809138</v>
        <stp/>
        <stp>BDP|14861998267848217544</stp>
        <tr r="H1264" s="1"/>
      </tp>
      <tp t="s">
        <v>#N/A Requesting Data...3096335119</v>
        <stp/>
        <stp>BDP|14753241946756194248</stp>
        <tr r="J469" s="1"/>
      </tp>
      <tp t="s">
        <v>#N/A Requesting Data...3284221263</v>
        <stp/>
        <stp>BDP|16596076417813457210</stp>
        <tr r="J305" s="1"/>
      </tp>
      <tp t="s">
        <v>#N/A Requesting Data...2715401625</v>
        <stp/>
        <stp>BDP|16700963145919102458</stp>
        <tr r="J290" s="1"/>
      </tp>
      <tp t="s">
        <v>#N/A Requesting Data...4121534438</v>
        <stp/>
        <stp>BDP|17531502265583244121</stp>
        <tr r="J1754" s="1"/>
      </tp>
      <tp t="s">
        <v>#N/A Requesting Data...2970349555</v>
        <stp/>
        <stp>BDP|12708364211134026207</stp>
        <tr r="E1342" s="1"/>
      </tp>
      <tp t="s">
        <v>#N/A Requesting Data...3146868003</v>
        <stp/>
        <stp>BDP|10311250338077991078</stp>
        <tr r="H1228" s="1"/>
      </tp>
      <tp t="s">
        <v>#N/A Requesting Data...2277282140</v>
        <stp/>
        <stp>BDP|16734027763120309652</stp>
        <tr r="E280" s="1"/>
      </tp>
      <tp t="s">
        <v>#N/A Requesting Data...4022413848</v>
        <stp/>
        <stp>BDP|11825673866305157280</stp>
        <tr r="J1905" s="1"/>
        <tr r="J929" s="1"/>
      </tp>
      <tp t="s">
        <v>#N/A Requesting Data...2303446673</v>
        <stp/>
        <stp>BDP|17556074131796128423</stp>
        <tr r="AV704" s="1"/>
      </tp>
      <tp t="s">
        <v>#N/A Requesting Data...3968736603</v>
        <stp/>
        <stp>BDP|11114845592667576123</stp>
        <tr r="AV591" s="1"/>
      </tp>
      <tp t="s">
        <v>#N/A Requesting Data...3578867281</v>
        <stp/>
        <stp>BDP|12875323798009354714</stp>
        <tr r="AU632" s="1"/>
      </tp>
      <tp t="s">
        <v>#N/A Requesting Data...2673099683</v>
        <stp/>
        <stp>BDP|13817580741932721650</stp>
        <tr r="E317" s="1"/>
      </tp>
      <tp t="s">
        <v>#N/A Requesting Data...2613894535</v>
        <stp/>
        <stp>BDP|14613708413477245340</stp>
        <tr r="AV439" s="1"/>
      </tp>
      <tp t="s">
        <v>#N/A Requesting Data...2743036131</v>
        <stp/>
        <stp>BDP|12611395727845376082</stp>
        <tr r="H1676" s="1"/>
      </tp>
      <tp t="s">
        <v>#N/A Requesting Data...3431409337</v>
        <stp/>
        <stp>BDP|10935448661453970761</stp>
        <tr r="AU1009" s="1"/>
        <tr r="AU1271" s="1"/>
        <tr r="AU1328" s="1"/>
        <tr r="AU1363" s="1"/>
        <tr r="AU1702" s="1"/>
        <tr r="AU1716" s="1"/>
        <tr r="AU1733" s="1"/>
        <tr r="AU770" s="1"/>
        <tr r="AU822" s="1"/>
        <tr r="AU842" s="1"/>
      </tp>
      <tp t="s">
        <v>#N/A Requesting Data...3184824667</v>
        <stp/>
        <stp>BDP|10631571757537764128</stp>
        <tr r="AT660" s="1"/>
      </tp>
      <tp t="s">
        <v>#N/A Requesting Data...3673661767</v>
        <stp/>
        <stp>BDP|14201183231558997816</stp>
        <tr r="E888" s="1"/>
      </tp>
      <tp t="s">
        <v>#N/A Requesting Data...3708307629</v>
        <stp/>
        <stp>BDP|17070783714757895074</stp>
        <tr r="AO774" s="1"/>
      </tp>
      <tp t="s">
        <v>#N/A Requesting Data...3757724971</v>
        <stp/>
        <stp>BDP|10073376246005339413</stp>
        <tr r="AT846" s="1"/>
      </tp>
      <tp t="s">
        <v>#N/A Requesting Data...2723868222</v>
        <stp/>
        <stp>BDP|16306032146060040456</stp>
        <tr r="J1515" s="1"/>
      </tp>
      <tp t="s">
        <v>#N/A Requesting Data...2359997493</v>
        <stp/>
        <stp>BDP|15472715707850981485</stp>
        <tr r="E1351" s="1"/>
      </tp>
      <tp t="s">
        <v>#N/A Requesting Data...4073874218</v>
        <stp/>
        <stp>BDP|13047399513522159592</stp>
        <tr r="E747" s="1"/>
      </tp>
      <tp t="s">
        <v>#N/A Requesting Data...3415538341</v>
        <stp/>
        <stp>BDP|16573568929204025383</stp>
        <tr r="AT496" s="1"/>
      </tp>
      <tp t="s">
        <v>#N/A Requesting Data...3355114614</v>
        <stp/>
        <stp>BDP|10090436513337148434</stp>
        <tr r="H1979" s="1"/>
      </tp>
      <tp t="s">
        <v>#N/A Requesting Data...3127908269</v>
        <stp/>
        <stp>BDP|11594816071610121868</stp>
        <tr r="H1230" s="1"/>
      </tp>
      <tp t="s">
        <v>#N/A Requesting Data...4120224237</v>
        <stp/>
        <stp>BDP|16867082264105327355</stp>
        <tr r="H966" s="1"/>
      </tp>
      <tp t="s">
        <v>#N/A Requesting Data...2957333646</v>
        <stp/>
        <stp>BDP|17685222196809754376</stp>
        <tr r="E1520" s="1"/>
      </tp>
      <tp t="s">
        <v>#N/A Requesting Data...2333441581</v>
        <stp/>
        <stp>BDP|16909068708464797425</stp>
        <tr r="H215" s="1"/>
      </tp>
      <tp t="s">
        <v>#N/A Requesting Data...2459371491</v>
        <stp/>
        <stp>BDP|13273403920516245525</stp>
        <tr r="AU435" s="1"/>
      </tp>
      <tp t="s">
        <v>#N/A Requesting Data...2631713434</v>
        <stp/>
        <stp>BDP|15415775951215423443</stp>
        <tr r="H158" s="1"/>
      </tp>
      <tp t="s">
        <v>#N/A Requesting Data...3819900618</v>
        <stp/>
        <stp>BDP|18219438094031281257</stp>
        <tr r="H625" s="1"/>
      </tp>
      <tp t="s">
        <v>#N/A Requesting Data...4235934348</v>
        <stp/>
        <stp>BDP|13277206741673604072</stp>
        <tr r="E1399" s="1"/>
      </tp>
      <tp t="s">
        <v>#N/A Requesting Data...2863843935</v>
        <stp/>
        <stp>BDP|14098298546967353397</stp>
        <tr r="H1208" s="1"/>
      </tp>
      <tp t="s">
        <v>#N/A Requesting Data...4223256676</v>
        <stp/>
        <stp>BDP|15594342503615058572</stp>
        <tr r="E879" s="1"/>
      </tp>
      <tp t="s">
        <v>#N/A Requesting Data...3785856001</v>
        <stp/>
        <stp>BDP|16231618296288208721</stp>
        <tr r="J490" s="1"/>
      </tp>
      <tp t="s">
        <v>#N/A Requesting Data...4223782614</v>
        <stp/>
        <stp>BDP|11668870985103897491</stp>
        <tr r="H981" s="1"/>
      </tp>
      <tp t="s">
        <v>#N/A Requesting Data...4280654157</v>
        <stp/>
        <stp>BDP|13123762492883479840</stp>
        <tr r="AV850" s="1"/>
      </tp>
      <tp t="s">
        <v>#N/A Requesting Data...3844272096</v>
        <stp/>
        <stp>BDP|12293442503598177814</stp>
        <tr r="AT495" s="1"/>
      </tp>
      <tp t="s">
        <v>#N/A Requesting Data...4208742383</v>
        <stp/>
        <stp>BDP|15453650930921180759</stp>
        <tr r="H2099" s="1"/>
      </tp>
      <tp t="s">
        <v>#N/A Requesting Data...3720129390</v>
        <stp/>
        <stp>BDP|10106179169316326794</stp>
        <tr r="J587" s="1"/>
      </tp>
      <tp t="s">
        <v>#N/A Requesting Data...2450279253</v>
        <stp/>
        <stp>BDP|12738990394632875671</stp>
        <tr r="H351" s="1"/>
      </tp>
      <tp t="s">
        <v>#N/A Requesting Data...3251387698</v>
        <stp/>
        <stp>BDP|13437135645006437636</stp>
        <tr r="E538" s="1"/>
      </tp>
      <tp t="s">
        <v>#N/A Requesting Data...2445338856</v>
        <stp/>
        <stp>BDP|11961794064171057715</stp>
        <tr r="AV305" s="1"/>
      </tp>
      <tp t="s">
        <v>#N/A Requesting Data...2862755336</v>
        <stp/>
        <stp>BDP|17915538456746982707</stp>
        <tr r="E570" s="1"/>
      </tp>
      <tp t="s">
        <v>#N/A Requesting Data...4147272771</v>
        <stp/>
        <stp>BDP|15140030954326775046</stp>
        <tr r="AT649" s="1"/>
      </tp>
      <tp t="s">
        <v>#N/A Requesting Data...3713092908</v>
        <stp/>
        <stp>BDP|11182433976161463559</stp>
        <tr r="E1059" s="1"/>
      </tp>
      <tp t="s">
        <v>#N/A Requesting Data...2401742348</v>
        <stp/>
        <stp>BDP|10869387635155653360</stp>
        <tr r="J1529" s="1"/>
      </tp>
      <tp t="s">
        <v>#N/A Requesting Data...3439417877</v>
        <stp/>
        <stp>BDP|16624055112694528516</stp>
        <tr r="H1399" s="1"/>
      </tp>
      <tp t="s">
        <v>#N/A Requesting Data...2574560092</v>
        <stp/>
        <stp>BDP|10622694419859421878</stp>
        <tr r="H688" s="1"/>
      </tp>
      <tp t="s">
        <v>#N/A Requesting Data...3850230137</v>
        <stp/>
        <stp>BDP|10975415960386425289</stp>
        <tr r="AU463" s="1"/>
      </tp>
      <tp t="s">
        <v>#N/A Requesting Data...2845320745</v>
        <stp/>
        <stp>BDP|11889161408966016028</stp>
        <tr r="J1179" s="1"/>
        <tr r="J48" s="1"/>
      </tp>
      <tp t="s">
        <v>#N/A Requesting Data...4126195045</v>
        <stp/>
        <stp>BDP|15534161233868207963</stp>
        <tr r="E1390" s="1"/>
        <tr r="E1859" s="1"/>
      </tp>
      <tp t="s">
        <v>#N/A Requesting Data...3838711662</v>
        <stp/>
        <stp>BDP|14364399039995471739</stp>
        <tr r="H347" s="1"/>
      </tp>
      <tp t="s">
        <v>#N/A Requesting Data...3159295958</v>
        <stp/>
        <stp>BDP|13629539641666965294</stp>
        <tr r="AT647" s="1"/>
      </tp>
      <tp t="s">
        <v>#N/A Requesting Data...2550609313</v>
        <stp/>
        <stp>BDP|15434667358238608889</stp>
        <tr r="AU369" s="1"/>
      </tp>
      <tp t="s">
        <v>#N/A Requesting Data...3780174143</v>
        <stp/>
        <stp>BDP|12069899557661916836</stp>
        <tr r="H899" s="1"/>
      </tp>
      <tp t="s">
        <v>#N/A Requesting Data...2326159076</v>
        <stp/>
        <stp>BDP|17932664044616831571</stp>
        <tr r="E1296" s="1"/>
      </tp>
      <tp t="s">
        <v>#N/A Requesting Data...3092169061</v>
        <stp/>
        <stp>BDP|17928495124641465646</stp>
        <tr r="H19" s="1"/>
      </tp>
      <tp t="s">
        <v>#N/A Requesting Data...3324949885</v>
        <stp/>
        <stp>BDP|15163671482369104415</stp>
        <tr r="AT436" s="1"/>
      </tp>
      <tp t="s">
        <v>#N/A Requesting Data...3787833001</v>
        <stp/>
        <stp>BDP|12246837380387728324</stp>
        <tr r="J694" s="1"/>
      </tp>
      <tp t="s">
        <v>#N/A Requesting Data...2523019781</v>
        <stp/>
        <stp>BDP|12835084425560070610</stp>
        <tr r="J330" s="1"/>
      </tp>
      <tp t="s">
        <v>#N/A Requesting Data...2551374410</v>
        <stp/>
        <stp>BDP|16362350288639273283</stp>
        <tr r="AU297" s="1"/>
      </tp>
      <tp t="s">
        <v>#N/A Requesting Data...3020962671</v>
        <stp/>
        <stp>BDP|13859365177827607683</stp>
        <tr r="J1663" s="1"/>
      </tp>
      <tp t="s">
        <v>#N/A Requesting Data...3580367146</v>
        <stp/>
        <stp>BDP|14799606592148273503</stp>
        <tr r="AT659" s="1"/>
      </tp>
      <tp t="s">
        <v>#N/A Requesting Data...3814325169</v>
        <stp/>
        <stp>BDP|11712507294428199352</stp>
        <tr r="J880" s="1"/>
      </tp>
      <tp t="s">
        <v>#N/A Requesting Data...2324774530</v>
        <stp/>
        <stp>BDP|11457052484867123834</stp>
        <tr r="J689" s="1"/>
      </tp>
      <tp t="s">
        <v>#N/A Requesting Data...2595580810</v>
        <stp/>
        <stp>BDP|16871792056893129116</stp>
        <tr r="AV510" s="1"/>
      </tp>
      <tp t="s">
        <v>#N/A Requesting Data...2690264242</v>
        <stp/>
        <stp>BDP|14988320385830999901</stp>
        <tr r="H1850" s="1"/>
      </tp>
      <tp t="s">
        <v>#N/A Requesting Data...3265669311</v>
        <stp/>
        <stp>BDP|14310759072185335704</stp>
        <tr r="E834" s="1"/>
      </tp>
      <tp t="s">
        <v>#N/A Requesting Data...2997883045</v>
        <stp/>
        <stp>BDP|12211541133986792453</stp>
        <tr r="AU723" s="1"/>
      </tp>
      <tp t="s">
        <v>#N/A Requesting Data...2856906358</v>
        <stp/>
        <stp>BDP|16147396718183356144</stp>
        <tr r="E1182" s="1"/>
      </tp>
      <tp t="s">
        <v>#N/A Requesting Data...3003271707</v>
        <stp/>
        <stp>BDP|17352789946061841329</stp>
        <tr r="H570" s="1"/>
      </tp>
      <tp t="s">
        <v>#N/A Requesting Data...4085376945</v>
        <stp/>
        <stp>BDP|18374964917505165341</stp>
        <tr r="AT891" s="1"/>
      </tp>
      <tp t="s">
        <v>#N/A Requesting Data...4051244353</v>
        <stp/>
        <stp>BDP|10117754635663148177</stp>
        <tr r="E1612" s="1"/>
      </tp>
      <tp t="s">
        <v>#N/A Requesting Data...2816430534</v>
        <stp/>
        <stp>BDP|14004482922010833456</stp>
        <tr r="AU383" s="1"/>
      </tp>
      <tp t="s">
        <v>#N/A Requesting Data...3743181836</v>
        <stp/>
        <stp>BDP|11505020005361458611</stp>
        <tr r="E1266" s="1"/>
      </tp>
      <tp t="s">
        <v>#N/A Requesting Data...3802824258</v>
        <stp/>
        <stp>BDP|15536800212703360937</stp>
        <tr r="H476" s="1"/>
      </tp>
      <tp t="s">
        <v>#N/A Requesting Data...2849675412</v>
        <stp/>
        <stp>BDP|16751654462671773104</stp>
        <tr r="J401" s="1"/>
      </tp>
      <tp t="s">
        <v>#N/A Requesting Data...2360264783</v>
        <stp/>
        <stp>BDP|12106522804041895091</stp>
        <tr r="AU210" s="1"/>
      </tp>
      <tp t="s">
        <v>#N/A Requesting Data...3649364483</v>
        <stp/>
        <stp>BDP|10301639950466334357</stp>
        <tr r="AT451" s="1"/>
      </tp>
      <tp t="s">
        <v>#N/A Requesting Data...2944174070</v>
        <stp/>
        <stp>BDP|14125576990968357630</stp>
        <tr r="H832" s="1"/>
      </tp>
      <tp t="s">
        <v>#N/A Requesting Data...4137408975</v>
        <stp/>
        <stp>BDP|16758260701126694405</stp>
        <tr r="J1305" s="1"/>
        <tr r="J978" s="1"/>
      </tp>
      <tp t="s">
        <v>#N/A Requesting Data...3794386222</v>
        <stp/>
        <stp>BDP|11528455366861713473</stp>
        <tr r="H1883" s="1"/>
      </tp>
      <tp t="s">
        <v>#N/A Requesting Data...3985715555</v>
        <stp/>
        <stp>BDP|10624111032783707748</stp>
        <tr r="AT215" s="1"/>
      </tp>
      <tp t="s">
        <v>#N/A Requesting Data...3751881310</v>
        <stp/>
        <stp>BDP|14786171703107124446</stp>
        <tr r="AT506" s="1"/>
      </tp>
      <tp t="s">
        <v>#N/A Requesting Data...4249597723</v>
        <stp/>
        <stp>BDP|18027276084227785322</stp>
        <tr r="AT411" s="1"/>
      </tp>
      <tp t="s">
        <v>#N/A Requesting Data...3757925622</v>
        <stp/>
        <stp>BDP|13320205152663613113</stp>
        <tr r="AT264" s="1"/>
      </tp>
      <tp t="s">
        <v>#N/A Requesting Data...3767429194</v>
        <stp/>
        <stp>BDP|13431023017647657310</stp>
        <tr r="AU675" s="1"/>
      </tp>
      <tp t="s">
        <v>#N/A Requesting Data...3847399337</v>
        <stp/>
        <stp>BDP|16233151525624672723</stp>
        <tr r="E1212" s="1"/>
      </tp>
      <tp t="s">
        <v>#N/A Requesting Data...3126154782</v>
        <stp/>
        <stp>BDP|17139256349106309184</stp>
        <tr r="J1102" s="1"/>
        <tr r="J1565" s="1"/>
        <tr r="J1842" s="1"/>
        <tr r="J51" s="1"/>
      </tp>
      <tp t="s">
        <v>#N/A Requesting Data...2989593897</v>
        <stp/>
        <stp>BDP|13132194952616425785</stp>
        <tr r="E1356" s="1"/>
      </tp>
      <tp t="s">
        <v>#N/A Requesting Data...3703435687</v>
        <stp/>
        <stp>BDP|15426335061706518057</stp>
        <tr r="E122" s="1"/>
      </tp>
      <tp t="s">
        <v>#N/A Requesting Data...2456167582</v>
        <stp/>
        <stp>BDP|17130270610806256428</stp>
        <tr r="AV839" s="1"/>
      </tp>
      <tp t="s">
        <v>#N/A Requesting Data...3875772649</v>
        <stp/>
        <stp>BDP|12591428442715955059</stp>
        <tr r="AU345" s="1"/>
      </tp>
      <tp t="s">
        <v>#N/A Requesting Data...3128058317</v>
        <stp/>
        <stp>BDP|13527539328423576021</stp>
        <tr r="E1823" s="1"/>
      </tp>
      <tp t="s">
        <v>#N/A Requesting Data...3653899134</v>
        <stp/>
        <stp>BDP|14070511885438494696</stp>
        <tr r="AR6" s="1"/>
      </tp>
      <tp t="s">
        <v>#N/A Requesting Data...3625618270</v>
        <stp/>
        <stp>BDP|18280916559730728349</stp>
        <tr r="AV655" s="1"/>
      </tp>
      <tp t="s">
        <v>#N/A Requesting Data...3142143496</v>
        <stp/>
        <stp>BDP|13424790614125645766</stp>
        <tr r="H525" s="1"/>
      </tp>
      <tp t="s">
        <v>#N/A Requesting Data...4071964783</v>
        <stp/>
        <stp>BDP|16037580402574160021</stp>
        <tr r="AU295" s="1"/>
      </tp>
      <tp t="s">
        <v>#N/A Requesting Data...3953053256</v>
        <stp/>
        <stp>BDP|14040704748786703667</stp>
        <tr r="AR1804" s="1"/>
      </tp>
      <tp t="s">
        <v>#N/A Requesting Data...3777127323</v>
        <stp/>
        <stp>BDP|12889241031612680621</stp>
        <tr r="J288" s="1"/>
      </tp>
      <tp t="s">
        <v>#N/A Requesting Data...3020234673</v>
        <stp/>
        <stp>BDP|12380003726382494585</stp>
        <tr r="E988" s="1"/>
      </tp>
      <tp t="s">
        <v>#N/A Requesting Data...2447863289</v>
        <stp/>
        <stp>BDP|10769144250804301780</stp>
        <tr r="J1123" s="1"/>
        <tr r="J1598" s="1"/>
      </tp>
      <tp t="s">
        <v>#N/A Requesting Data...4052718020</v>
        <stp/>
        <stp>BDP|12485593473063136472</stp>
        <tr r="H1646" s="1"/>
        <tr r="H93" s="1"/>
      </tp>
      <tp t="s">
        <v>#N/A Requesting Data...2961718919</v>
        <stp/>
        <stp>BDP|17127079562527530194</stp>
        <tr r="E1106" s="1"/>
        <tr r="E1574" s="1"/>
        <tr r="E58" s="1"/>
      </tp>
      <tp t="s">
        <v>#N/A Requesting Data...3413191367</v>
        <stp/>
        <stp>BDP|13972607413865252604</stp>
        <tr r="E1228" s="1"/>
      </tp>
      <tp t="s">
        <v>#N/A Requesting Data...3484747859</v>
        <stp/>
        <stp>BDP|16360891415440689813</stp>
        <tr r="E1376" s="1"/>
      </tp>
      <tp t="s">
        <v>#N/A Requesting Data...2677477624</v>
        <stp/>
        <stp>BDP|11472093377943631246</stp>
        <tr r="J488" s="1"/>
      </tp>
      <tp t="s">
        <v>#N/A Requesting Data...3759023074</v>
        <stp/>
        <stp>BDP|18392696037829605335</stp>
        <tr r="E152" s="1"/>
      </tp>
      <tp t="s">
        <v>#N/A Requesting Data...3802494692</v>
        <stp/>
        <stp>BDP|12252632601624179797</stp>
        <tr r="AT333" s="1"/>
      </tp>
      <tp t="s">
        <v>#N/A Requesting Data...2699383246</v>
        <stp/>
        <stp>BDP|17773681951720141374</stp>
        <tr r="E491" s="1"/>
      </tp>
      <tp t="s">
        <v>#N/A Requesting Data...2573161653</v>
        <stp/>
        <stp>BDP|12556105564185013791</stp>
        <tr r="E1374" s="1"/>
      </tp>
      <tp t="s">
        <v>#N/A Requesting Data...3712462155</v>
        <stp/>
        <stp>BDP|13704300744297200495</stp>
        <tr r="J553" s="1"/>
      </tp>
      <tp t="s">
        <v>#N/A Requesting Data...2401402007</v>
        <stp/>
        <stp>BDP|15944701311722343632</stp>
        <tr r="H437" s="1"/>
      </tp>
      <tp t="s">
        <v>#N/A Requesting Data...2704170376</v>
        <stp/>
        <stp>BDP|14088710069805616758</stp>
        <tr r="J748" s="1"/>
      </tp>
      <tp t="s">
        <v>#N/A Requesting Data...3468350679</v>
        <stp/>
        <stp>BDP|13143449802872532298</stp>
        <tr r="E907" s="1"/>
      </tp>
      <tp t="s">
        <v>#N/A Requesting Data...2892986076</v>
        <stp/>
        <stp>BDP|14162589520095150134</stp>
        <tr r="E949" s="1"/>
      </tp>
      <tp t="s">
        <v>#N/A Requesting Data...2359301384</v>
        <stp/>
        <stp>BDP|17348117300122183389</stp>
        <tr r="E1897" s="1"/>
      </tp>
      <tp t="s">
        <v>#N/A Requesting Data...4125353593</v>
        <stp/>
        <stp>BDP|12099305212395061298</stp>
        <tr r="E140" s="1"/>
        <tr r="E1413" s="1"/>
        <tr r="E1448" s="1"/>
      </tp>
      <tp t="s">
        <v>#N/A Requesting Data...3026443597</v>
        <stp/>
        <stp>BDP|18446065561771874801</stp>
        <tr r="AV890" s="1"/>
      </tp>
      <tp t="s">
        <v>#N/A Requesting Data...3683685981</v>
        <stp/>
        <stp>BDP|18285932607720424698</stp>
        <tr r="AT522" s="1"/>
      </tp>
      <tp t="s">
        <v>#N/A Requesting Data...4257785781</v>
        <stp/>
        <stp>BDP|10992022253802171023</stp>
        <tr r="E1089" s="1"/>
        <tr r="E944" s="1"/>
      </tp>
      <tp t="s">
        <v>#N/A Requesting Data...4077588659</v>
        <stp/>
        <stp>BDP|13708197892694731807</stp>
        <tr r="E345" s="1"/>
      </tp>
      <tp t="s">
        <v>#N/A Requesting Data...2376509214</v>
        <stp/>
        <stp>BDP|15312162351464918262</stp>
        <tr r="AU346" s="1"/>
      </tp>
      <tp t="s">
        <v>#N/A Requesting Data...2630654223</v>
        <stp/>
        <stp>BDP|13817903880225430068</stp>
        <tr r="J1047" s="1"/>
      </tp>
      <tp t="s">
        <v>#N/A Requesting Data...4156330927</v>
        <stp/>
        <stp>BDP|13681476536312829155</stp>
        <tr r="AU641" s="1"/>
      </tp>
      <tp t="s">
        <v>#N/A Requesting Data...3104789723</v>
        <stp/>
        <stp>BDP|16635929821568636294</stp>
        <tr r="AU923" s="1"/>
      </tp>
      <tp t="s">
        <v>#N/A Requesting Data...3090507358</v>
        <stp/>
        <stp>BDP|17544967476969931767</stp>
        <tr r="E1036" s="1"/>
        <tr r="E799" s="1"/>
      </tp>
      <tp t="s">
        <v>#N/A Requesting Data...2395584734</v>
        <stp/>
        <stp>BDP|15273457392696789980</stp>
        <tr r="J412" s="1"/>
      </tp>
      <tp t="s">
        <v>#N/A Requesting Data...4159670719</v>
        <stp/>
        <stp>BDP|15311019733114854530</stp>
        <tr r="AU428" s="1"/>
      </tp>
      <tp t="s">
        <v>#N/A Requesting Data...3721654236</v>
        <stp/>
        <stp>BDP|13842105134247214141</stp>
        <tr r="H115" s="1"/>
      </tp>
      <tp t="s">
        <v>#N/A Requesting Data...3124101710</v>
        <stp/>
        <stp>BDP|13794175114235756199</stp>
        <tr r="E582" s="1"/>
      </tp>
      <tp t="s">
        <v>#N/A Requesting Data...2367055327</v>
        <stp/>
        <stp>BDP|15989411323986792269</stp>
        <tr r="AV749" s="1"/>
      </tp>
      <tp t="s">
        <v>#N/A Requesting Data...2699979816</v>
        <stp/>
        <stp>BDP|14953701324452730407</stp>
        <tr r="AS2000" s="1"/>
      </tp>
      <tp t="s">
        <v>#N/A Requesting Data...3619262973</v>
        <stp/>
        <stp>BDP|13821292692387781891</stp>
        <tr r="H102" s="1"/>
        <tr r="H1148" s="1"/>
        <tr r="H1660" s="1"/>
      </tp>
      <tp t="s">
        <v>#N/A Requesting Data...4158607991</v>
        <stp/>
        <stp>BDP|14942735128280996663</stp>
        <tr r="H1375" s="1"/>
      </tp>
      <tp t="s">
        <v>#N/A Requesting Data...3241364819</v>
        <stp/>
        <stp>BDP|17630036773850226797</stp>
        <tr r="E147" s="1"/>
      </tp>
      <tp t="s">
        <v>#N/A Requesting Data...3564397035</v>
        <stp/>
        <stp>BDP|10821515374786897386</stp>
        <tr r="J736" s="1"/>
      </tp>
      <tp t="s">
        <v>#N/A Requesting Data...2454645354</v>
        <stp/>
        <stp>BDP|10756290102887775266</stp>
        <tr r="E1518" s="1"/>
      </tp>
      <tp t="s">
        <v>#N/A Requesting Data...3643758592</v>
        <stp/>
        <stp>BDP|15204633586504817824</stp>
        <tr r="E296" s="1"/>
      </tp>
      <tp t="s">
        <v>#N/A Requesting Data...3447953188</v>
        <stp/>
        <stp>BDP|12844892559261439912</stp>
        <tr r="H1093" s="1"/>
        <tr r="H947" s="1"/>
      </tp>
      <tp t="s">
        <v>#N/A Requesting Data...2603334121</v>
        <stp/>
        <stp>BDP|16335948898945467461</stp>
        <tr r="H645" s="1"/>
      </tp>
      <tp t="s">
        <v>#N/A Requesting Data...2896949247</v>
        <stp/>
        <stp>BDP|15227067691489062282</stp>
        <tr r="E931" s="1"/>
      </tp>
      <tp t="s">
        <v>#N/A Requesting Data...2706412740</v>
        <stp/>
        <stp>BDP|14042594964959848988</stp>
        <tr r="E360" s="1"/>
      </tp>
      <tp t="s">
        <v>#N/A Requesting Data...2628099335</v>
        <stp/>
        <stp>BDP|15829479913535080213</stp>
        <tr r="H1003" s="1"/>
        <tr r="H1322" s="1"/>
      </tp>
      <tp t="s">
        <v>#N/A Requesting Data...3047568439</v>
        <stp/>
        <stp>BDP|11767460408632175053</stp>
        <tr r="AV464" s="1"/>
      </tp>
      <tp t="s">
        <v>#N/A Requesting Data...2575873212</v>
        <stp/>
        <stp>BDP|11669944874829816123</stp>
        <tr r="AU558" s="1"/>
      </tp>
      <tp t="s">
        <v>#N/A Requesting Data...3936397490</v>
        <stp/>
        <stp>BDP|10989106660146211671</stp>
        <tr r="J591" s="1"/>
      </tp>
      <tp t="s">
        <v>#N/A Requesting Data...4048539310</v>
        <stp/>
        <stp>BDP|15313722879880108255</stp>
        <tr r="AU461" s="1"/>
      </tp>
      <tp t="s">
        <v>#N/A Requesting Data...3139692108</v>
        <stp/>
        <stp>BDP|16273389600292078066</stp>
        <tr r="J1427" s="1"/>
      </tp>
      <tp t="s">
        <v>#N/A Requesting Data...4281178235</v>
        <stp/>
        <stp>BDP|12608120124296432083</stp>
        <tr r="H1766" s="1"/>
      </tp>
      <tp t="s">
        <v>#N/A Requesting Data...3369187234</v>
        <stp/>
        <stp>BDP|10266983924419248502</stp>
        <tr r="AV903" s="1"/>
      </tp>
      <tp t="s">
        <v>#N/A Requesting Data...2830925350</v>
        <stp/>
        <stp>BDP|11901294109466307264</stp>
        <tr r="E515" s="1"/>
      </tp>
      <tp t="s">
        <v>#N/A Requesting Data...2908015184</v>
        <stp/>
        <stp>BDP|12794955299261042440</stp>
        <tr r="E362" s="1"/>
      </tp>
      <tp t="s">
        <v>#N/A Requesting Data...2916149184</v>
        <stp/>
        <stp>BDP|11882665213314349515</stp>
        <tr r="J108" s="1"/>
        <tr r="J1152" s="1"/>
      </tp>
      <tp t="s">
        <v>#N/A Requesting Data...3403552479</v>
        <stp/>
        <stp>BDP|16577211463803126693</stp>
        <tr r="AV413" s="1"/>
      </tp>
      <tp t="s">
        <v>#N/A Requesting Data...4035341775</v>
        <stp/>
        <stp>BDP|13859515004510429168</stp>
        <tr r="E233" s="1"/>
      </tp>
      <tp t="s">
        <v>#N/A Requesting Data...2479443468</v>
        <stp/>
        <stp>BDP|14818400613642491403</stp>
        <tr r="AU283" s="1"/>
      </tp>
      <tp t="s">
        <v>#N/A Requesting Data...3296313052</v>
        <stp/>
        <stp>BDP|10197081996236248823</stp>
        <tr r="H1658" s="1"/>
      </tp>
      <tp t="s">
        <v>#N/A Requesting Data...4058010574</v>
        <stp/>
        <stp>BDP|15222480868924885451</stp>
        <tr r="E1923" s="1"/>
      </tp>
      <tp t="s">
        <v>#N/A Requesting Data...3510716060</v>
        <stp/>
        <stp>BDP|11107074948331011314</stp>
        <tr r="H463" s="1"/>
      </tp>
      <tp t="s">
        <v>#N/A Requesting Data...3062363476</v>
        <stp/>
        <stp>BDP|14150553274507839671</stp>
        <tr r="H1760" s="1"/>
      </tp>
      <tp t="s">
        <v>#N/A Requesting Data...4279535285</v>
        <stp/>
        <stp>BDP|15263792660310752334</stp>
        <tr r="J475" s="1"/>
      </tp>
      <tp t="s">
        <v>#N/A Requesting Data...2747441628</v>
        <stp/>
        <stp>BDP|16610658799887227977</stp>
        <tr r="J1054" s="1"/>
      </tp>
      <tp t="s">
        <v>#N/A Requesting Data...4190602242</v>
        <stp/>
        <stp>BDP|15981830082442148073</stp>
        <tr r="AU402" s="1"/>
      </tp>
      <tp t="s">
        <v>#N/A Requesting Data...3499787535</v>
        <stp/>
        <stp>BDP|17171280294819120226</stp>
        <tr r="J28" s="1"/>
      </tp>
      <tp t="s">
        <v>#N/A Requesting Data...3696209928</v>
        <stp/>
        <stp>BDP|16618760580117820968</stp>
        <tr r="E611" s="1"/>
      </tp>
      <tp t="s">
        <v>#N/A Requesting Data...3184750638</v>
        <stp/>
        <stp>BDP|16396695136681430561</stp>
        <tr r="E229" s="1"/>
      </tp>
      <tp t="s">
        <v>#N/A Requesting Data...3606692136</v>
        <stp/>
        <stp>BDP|11866640023997794569</stp>
        <tr r="E685" s="1"/>
      </tp>
      <tp t="s">
        <v>#N/A Requesting Data...3347789963</v>
        <stp/>
        <stp>BDP|13653743159300696631</stp>
        <tr r="AT734" s="1"/>
      </tp>
      <tp t="s">
        <v>#N/A Requesting Data...3195524952</v>
        <stp/>
        <stp>BDP|12848809411798464431</stp>
        <tr r="AU484" s="1"/>
      </tp>
      <tp t="s">
        <v>#N/A Requesting Data...4271143048</v>
        <stp/>
        <stp>BDP|12757561968920356644</stp>
        <tr r="AP1063" s="1"/>
      </tp>
      <tp t="s">
        <v>#N/A Requesting Data...2838872488</v>
        <stp/>
        <stp>BDP|18287169600286861827</stp>
        <tr r="E584" s="1"/>
      </tp>
      <tp t="s">
        <v>#N/A Requesting Data...4186237960</v>
        <stp/>
        <stp>BDP|12356553549364549040</stp>
        <tr r="E1285" s="1"/>
        <tr r="E967" s="1"/>
      </tp>
      <tp t="s">
        <v>#N/A Requesting Data...2968604339</v>
        <stp/>
        <stp>BDP|16053576309367690369</stp>
        <tr r="H272" s="1"/>
      </tp>
      <tp t="s">
        <v>#N/A Requesting Data...2653380018</v>
        <stp/>
        <stp>BDP|15159059851514967328</stp>
        <tr r="AU403" s="1"/>
      </tp>
      <tp t="s">
        <v>#N/A Requesting Data...3560793300</v>
        <stp/>
        <stp>BDP|10714165038457274251</stp>
        <tr r="J134" s="1"/>
      </tp>
      <tp t="s">
        <v>#N/A Requesting Data...3317681666</v>
        <stp/>
        <stp>BDP|12573430051511835517</stp>
        <tr r="AU430" s="1"/>
      </tp>
      <tp t="s">
        <v>#N/A Requesting Data...3704764777</v>
        <stp/>
        <stp>BDP|18095508118292430925</stp>
        <tr r="H1504" s="1"/>
      </tp>
      <tp t="s">
        <v>#N/A Requesting Data...3240476259</v>
        <stp/>
        <stp>BDP|11255725308866151787</stp>
        <tr r="H1206" s="1"/>
      </tp>
      <tp t="s">
        <v>#N/A Requesting Data...3993077172</v>
        <stp/>
        <stp>BDP|11262491945494612298</stp>
        <tr r="E724" s="1"/>
      </tp>
      <tp t="s">
        <v>#N/A Requesting Data...3854632977</v>
        <stp/>
        <stp>BDP|11728440019995236691</stp>
        <tr r="AV898" s="1"/>
      </tp>
      <tp t="s">
        <v>#N/A Requesting Data...2462046073</v>
        <stp/>
        <stp>BDP|12042714913094295710</stp>
        <tr r="E378" s="1"/>
      </tp>
      <tp t="s">
        <v>#N/A Requesting Data...3097455965</v>
        <stp/>
        <stp>BDP|17311610572131816099</stp>
        <tr r="J891" s="1"/>
      </tp>
      <tp t="s">
        <v>#N/A Requesting Data...4253575712</v>
        <stp/>
        <stp>BDP|12918037177551483384</stp>
        <tr r="AT849" s="1"/>
      </tp>
      <tp t="s">
        <v>#N/A Requesting Data...3023875862</v>
        <stp/>
        <stp>BDP|14090632855048004874</stp>
        <tr r="E602" s="1"/>
      </tp>
      <tp t="s">
        <v>#N/A Requesting Data...3162722280</v>
        <stp/>
        <stp>BDP|14984981998871967219</stp>
        <tr r="J126" s="1"/>
        <tr r="J1380" s="1"/>
      </tp>
      <tp t="s">
        <v>#N/A Requesting Data...2970992269</v>
        <stp/>
        <stp>BDP|14619508285277724957</stp>
        <tr r="E1078" s="1"/>
        <tr r="E1968" s="1"/>
      </tp>
      <tp t="s">
        <v>#N/A Requesting Data...3426191316</v>
        <stp/>
        <stp>BDP|16241247924973321205</stp>
        <tr r="AT666" s="1"/>
      </tp>
      <tp t="s">
        <v>#N/A Requesting Data...3574587905</v>
        <stp/>
        <stp>BDP|10144397252631882030</stp>
        <tr r="H1772" s="1"/>
      </tp>
      <tp t="s">
        <v>#N/A Requesting Data...4272666640</v>
        <stp/>
        <stp>BDP|10905276554463918320</stp>
        <tr r="H520" s="1"/>
      </tp>
      <tp t="s">
        <v>#N/A Requesting Data...3573362097</v>
        <stp/>
        <stp>BDP|11946614837350926373</stp>
        <tr r="AU760" s="1"/>
      </tp>
      <tp t="s">
        <v>#N/A Requesting Data...3734727476</v>
        <stp/>
        <stp>BDP|17519434312026617336</stp>
        <tr r="E392" s="1"/>
      </tp>
      <tp t="s">
        <v>#N/A Requesting Data...3763855360</v>
        <stp/>
        <stp>BDP|13764414695230269904</stp>
        <tr r="E647" s="1"/>
      </tp>
      <tp t="s">
        <v>#N/A Requesting Data...2708355556</v>
        <stp/>
        <stp>BDP|11510350854684250470</stp>
        <tr r="J669" s="1"/>
      </tp>
      <tp t="s">
        <v>#N/A Requesting Data...3291036747</v>
        <stp/>
        <stp>BDP|15000166823675072446</stp>
        <tr r="J1918" s="1"/>
      </tp>
      <tp t="s">
        <v>#N/A Requesting Data...3762041811</v>
        <stp/>
        <stp>BDP|12703302533253674637</stp>
        <tr r="AT279" s="1"/>
      </tp>
      <tp t="s">
        <v>#N/A Requesting Data...3177573185</v>
        <stp/>
        <stp>BDP|14200094983002870914</stp>
        <tr r="AV718" s="1"/>
      </tp>
      <tp t="s">
        <v>#N/A Requesting Data...3944691244</v>
        <stp/>
        <stp>BDP|10706634766721520666</stp>
        <tr r="J1221" s="1"/>
      </tp>
      <tp t="s">
        <v>#N/A Requesting Data...4069824402</v>
        <stp/>
        <stp>BDP|12475905057110572971</stp>
        <tr r="H568" s="1"/>
      </tp>
      <tp t="s">
        <v>#N/A Requesting Data...2485077226</v>
        <stp/>
        <stp>BDP|11211671114097355631</stp>
        <tr r="H665" s="1"/>
      </tp>
      <tp t="s">
        <v>#N/A Requesting Data...4067892527</v>
        <stp/>
        <stp>BDP|17794727323623687614</stp>
        <tr r="AT423" s="1"/>
      </tp>
      <tp t="s">
        <v>#N/A Requesting Data...2998288540</v>
        <stp/>
        <stp>BDP|17332572560467262469</stp>
        <tr r="E1046" s="1"/>
        <tr r="E82" s="1"/>
      </tp>
      <tp t="s">
        <v>#N/A Requesting Data...3176873515</v>
        <stp/>
        <stp>BDP|14459741848385086586</stp>
        <tr r="J284" s="1"/>
      </tp>
      <tp t="s">
        <v>#N/A Requesting Data...3940053693</v>
        <stp/>
        <stp>BDP|13391416046291464506</stp>
        <tr r="AU361" s="1"/>
      </tp>
      <tp t="s">
        <v>#N/A Requesting Data...2719412812</v>
        <stp/>
        <stp>BDP|12757311001511563724</stp>
        <tr r="AV653" s="1"/>
      </tp>
      <tp t="s">
        <v>#N/A Requesting Data...4097168653</v>
        <stp/>
        <stp>BDP|12751245329580235584</stp>
        <tr r="E1637" s="1"/>
        <tr r="E1977" s="1"/>
        <tr r="E88" s="1"/>
      </tp>
      <tp t="s">
        <v>#N/A Requesting Data...3323158522</v>
        <stp/>
        <stp>BDP|16193310161961140503</stp>
        <tr r="AV498" s="1"/>
      </tp>
      <tp t="s">
        <v>#N/A Requesting Data...3380355691</v>
        <stp/>
        <stp>BDP|13468036903603226762</stp>
        <tr r="AT543" s="1"/>
      </tp>
      <tp t="s">
        <v>#N/A Requesting Data...3702851936</v>
        <stp/>
        <stp>BDP|14041995296527970467</stp>
        <tr r="E656" s="1"/>
      </tp>
      <tp t="s">
        <v>#N/A Requesting Data...2705126425</v>
        <stp/>
        <stp>BDP|16681610284946393933</stp>
        <tr r="H623" s="1"/>
      </tp>
      <tp t="s">
        <v>#N/A Requesting Data...3308990079</v>
        <stp/>
        <stp>BDP|15124481129227389303</stp>
        <tr r="H1519" s="1"/>
      </tp>
      <tp t="s">
        <v>#N/A Requesting Data...3232995873</v>
        <stp/>
        <stp>BDP|17479155047042684733</stp>
        <tr r="J1377" s="1"/>
      </tp>
      <tp t="s">
        <v>#N/A Requesting Data...2701326732</v>
        <stp/>
        <stp>BDP|15666446065870076046</stp>
        <tr r="E490" s="1"/>
      </tp>
      <tp t="s">
        <v>#N/A Requesting Data...3556317079</v>
        <stp/>
        <stp>BDP|11461964740232910989</stp>
        <tr r="AU836" s="1"/>
      </tp>
      <tp t="s">
        <v>#N/A Requesting Data...3939202047</v>
        <stp/>
        <stp>BDP|15647084176090861539</stp>
        <tr r="J1348" s="1"/>
      </tp>
      <tp t="s">
        <v>#N/A Requesting Data...3802361556</v>
        <stp/>
        <stp>BDP|15569633020674770228</stp>
        <tr r="H143" s="1"/>
      </tp>
      <tp t="s">
        <v>#N/A Requesting Data...4056010615</v>
        <stp/>
        <stp>BDP|10321576451234021368</stp>
        <tr r="J1531" s="1"/>
      </tp>
      <tp t="s">
        <v>#N/A Requesting Data...4113018750</v>
        <stp/>
        <stp>BDP|15256760224456330102</stp>
        <tr r="AT573" s="1"/>
      </tp>
      <tp t="s">
        <v>#N/A Requesting Data...3693543601</v>
        <stp/>
        <stp>BDP|12283860096883839793</stp>
        <tr r="AT329" s="1"/>
      </tp>
      <tp t="s">
        <v>#N/A Requesting Data...3006116436</v>
        <stp/>
        <stp>BDP|14154171920022150246</stp>
        <tr r="H1028" s="1"/>
      </tp>
      <tp t="s">
        <v>#N/A Requesting Data...2553320810</v>
        <stp/>
        <stp>BDP|17009834794556610727</stp>
        <tr r="E869" s="1"/>
      </tp>
      <tp t="s">
        <v>#N/A Requesting Data...2461362873</v>
        <stp/>
        <stp>BDP|17564247897013271870</stp>
        <tr r="AV213" s="1"/>
      </tp>
      <tp t="s">
        <v>#N/A Requesting Data...2633422823</v>
        <stp/>
        <stp>BDP|17710550872233047131</stp>
        <tr r="H1888" s="1"/>
        <tr r="H41" s="1"/>
      </tp>
      <tp t="s">
        <v>#N/A Requesting Data...2591532404</v>
        <stp/>
        <stp>BDP|12528342826213254761</stp>
        <tr r="AU729" s="1"/>
      </tp>
      <tp t="s">
        <v>#N/A Requesting Data...2586231552</v>
        <stp/>
        <stp>BDP|15352329755004084072</stp>
        <tr r="J287" s="1"/>
      </tp>
      <tp t="s">
        <v>#N/A Requesting Data...3513607829</v>
        <stp/>
        <stp>BDP|15577711221235024263</stp>
        <tr r="E590" s="1"/>
      </tp>
      <tp t="s">
        <v>#N/A Requesting Data...3295958904</v>
        <stp/>
        <stp>BDP|17686485144055909509</stp>
        <tr r="AT760" s="1"/>
      </tp>
      <tp t="s">
        <v>#N/A Requesting Data...3735191876</v>
        <stp/>
        <stp>BDP|12667085823616862179</stp>
        <tr r="AV259" s="1"/>
      </tp>
      <tp t="s">
        <v>#N/A Requesting Data...3549346390</v>
        <stp/>
        <stp>BDP|10061736047344015068</stp>
        <tr r="H1948" s="1"/>
      </tp>
      <tp t="s">
        <v>#N/A Requesting Data...2743973473</v>
        <stp/>
        <stp>BDP|13981651454762309597</stp>
        <tr r="H1265" s="1"/>
      </tp>
      <tp t="s">
        <v>#N/A Requesting Data...3548164693</v>
        <stp/>
        <stp>BDP|15213535291837275905</stp>
        <tr r="AV644" s="1"/>
      </tp>
      <tp t="s">
        <v>#N/A Requesting Data...3925481221</v>
        <stp/>
        <stp>BDP|15346053505504390625</stp>
        <tr r="AT840" s="1"/>
      </tp>
      <tp t="s">
        <v>#N/A Requesting Data...2590467548</v>
        <stp/>
        <stp>BDP|12551047142879369821</stp>
        <tr r="H167" s="1"/>
        <tr r="H226" s="1"/>
      </tp>
      <tp t="s">
        <v>#N/A Requesting Data...3652226657</v>
        <stp/>
        <stp>BDP|10460732068116886050</stp>
        <tr r="J618" s="1"/>
      </tp>
      <tp t="s">
        <v>#N/A Requesting Data...3067901221</v>
        <stp/>
        <stp>BDP|11899889430069571477</stp>
        <tr r="AV438" s="1"/>
      </tp>
      <tp t="s">
        <v>#N/A Requesting Data...3304223453</v>
        <stp/>
        <stp>BDP|16415911470146159963</stp>
        <tr r="AT704" s="1"/>
      </tp>
      <tp t="s">
        <v>#N/A Requesting Data...3651245879</v>
        <stp/>
        <stp>BDP|12250472773791152753</stp>
        <tr r="AT856" s="1"/>
      </tp>
      <tp t="s">
        <v>#N/A Requesting Data...3278901900</v>
        <stp/>
        <stp>BDP|13751147952364324407</stp>
        <tr r="AT518" s="1"/>
      </tp>
      <tp t="s">
        <v>#N/A Requesting Data...3524111363</v>
        <stp/>
        <stp>BDP|16827065981191837851</stp>
        <tr r="AV742" s="1"/>
      </tp>
      <tp t="s">
        <v>#N/A Requesting Data...3110537262</v>
        <stp/>
        <stp>BDP|16405274046574200355</stp>
        <tr r="AV843" s="1"/>
      </tp>
      <tp t="s">
        <v>#N/A Requesting Data...2665089978</v>
        <stp/>
        <stp>BDP|11934984519768925649</stp>
        <tr r="AU364" s="1"/>
      </tp>
      <tp t="s">
        <v>#N/A Requesting Data...3348888143</v>
        <stp/>
        <stp>BDP|15486010075012074755</stp>
        <tr r="AR1991" s="1"/>
      </tp>
      <tp t="s">
        <v>#N/A Requesting Data...4218172238</v>
        <stp/>
        <stp>BDP|15936867867588599481</stp>
        <tr r="H1183" s="1"/>
      </tp>
      <tp t="s">
        <v>#N/A Requesting Data...3069383621</v>
        <stp/>
        <stp>BDP|10789762448146531290</stp>
        <tr r="H296" s="1"/>
      </tp>
      <tp t="s">
        <v>#N/A Requesting Data...3389641655</v>
        <stp/>
        <stp>BDP|14106272664081380642</stp>
        <tr r="AU427" s="1"/>
      </tp>
      <tp t="s">
        <v>#N/A Requesting Data...2902941763</v>
        <stp/>
        <stp>BDP|15242342326120792326</stp>
        <tr r="J455" s="1"/>
      </tp>
      <tp t="s">
        <v>#N/A Requesting Data...2949618155</v>
        <stp/>
        <stp>BDP|12780033440441016013</stp>
        <tr r="AU735" s="1"/>
      </tp>
      <tp t="s">
        <v>#N/A Requesting Data...3416010676</v>
        <stp/>
        <stp>BDP|11555060705083630555</stp>
        <tr r="H1044" s="1"/>
        <tr r="H1625" s="1"/>
        <tr r="H80" s="1"/>
      </tp>
      <tp t="s">
        <v>#N/A Requesting Data...3130718192</v>
        <stp/>
        <stp>BDP|10428216302174163131</stp>
        <tr r="AV403" s="1"/>
      </tp>
      <tp t="s">
        <v>#N/A Requesting Data...4129935656</v>
        <stp/>
        <stp>BDP|14319637353820079069</stp>
        <tr r="AV427" s="1"/>
      </tp>
      <tp t="s">
        <v>#N/A Requesting Data...2652721716</v>
        <stp/>
        <stp>BDP|10820201569857799435</stp>
        <tr r="AU596" s="1"/>
      </tp>
      <tp t="s">
        <v>#N/A Requesting Data...2779494370</v>
        <stp/>
        <stp>BDP|15533214249486010285</stp>
        <tr r="H977" s="1"/>
      </tp>
      <tp t="s">
        <v>#N/A Requesting Data...2835591314</v>
        <stp/>
        <stp>BDP|18140215853180739814</stp>
        <tr r="H598" s="1"/>
      </tp>
      <tp t="s">
        <v>#N/A Requesting Data...2733102679</v>
        <stp/>
        <stp>BDP|11859087566075375503</stp>
        <tr r="E1788" s="1"/>
      </tp>
      <tp t="s">
        <v>#N/A Requesting Data...3708239758</v>
        <stp/>
        <stp>BDP|12227605204203032030</stp>
        <tr r="J1400" s="1"/>
        <tr r="J1440" s="1"/>
      </tp>
      <tp t="s">
        <v>#N/A Requesting Data...3082478362</v>
        <stp/>
        <stp>BDP|17518816184325487519</stp>
        <tr r="E1501" s="1"/>
        <tr r="E1619" s="1"/>
      </tp>
      <tp t="s">
        <v>#N/A Requesting Data...3650590264</v>
        <stp/>
        <stp>BDP|15039091528877596717</stp>
        <tr r="AT489" s="1"/>
      </tp>
      <tp t="s">
        <v>#N/A Requesting Data...3640674772</v>
        <stp/>
        <stp>BDP|10147581836593946230</stp>
        <tr r="E708" s="1"/>
      </tp>
      <tp t="s">
        <v>#N/A Requesting Data...3861738097</v>
        <stp/>
        <stp>BDP|14408713725531192754</stp>
        <tr r="H1397" s="1"/>
      </tp>
      <tp t="s">
        <v>#N/A Requesting Data...3983716912</v>
        <stp/>
        <stp>BDP|10471387268357896583</stp>
        <tr r="J714" s="1"/>
      </tp>
      <tp t="s">
        <v>#N/A Requesting Data...2788297663</v>
        <stp/>
        <stp>BDP|10476273558444998466</stp>
        <tr r="E852" s="1"/>
      </tp>
      <tp t="s">
        <v>#N/A Requesting Data...4164026183</v>
        <stp/>
        <stp>BDP|11324398472514866647</stp>
        <tr r="H1954" s="1"/>
      </tp>
      <tp t="s">
        <v>#N/A Requesting Data...3496507301</v>
        <stp/>
        <stp>BDP|17571380647206796191</stp>
        <tr r="AU344" s="1"/>
      </tp>
      <tp t="s">
        <v>#N/A Requesting Data...2878814466</v>
        <stp/>
        <stp>BDP|13426769543106759123</stp>
        <tr r="E1545" s="1"/>
      </tp>
      <tp t="s">
        <v>#N/A Requesting Data...4069399334</v>
        <stp/>
        <stp>BDP|10904415828775786438</stp>
        <tr r="AT553" s="1"/>
      </tp>
      <tp t="s">
        <v>#N/A Requesting Data...4047996616</v>
        <stp/>
        <stp>BDP|13751310869793297299</stp>
        <tr r="E363" s="1"/>
      </tp>
      <tp t="s">
        <v>#N/A Requesting Data...3993557066</v>
        <stp/>
        <stp>BDP|17971364778473239715</stp>
        <tr r="H1696" s="1"/>
      </tp>
      <tp t="s">
        <v>#N/A Requesting Data...3948640499</v>
        <stp/>
        <stp>BDP|12814214567312978331</stp>
        <tr r="H605" s="1"/>
      </tp>
      <tp t="s">
        <v>#N/A Requesting Data...3707196736</v>
        <stp/>
        <stp>BDP|12869691938259862953</stp>
        <tr r="AT403" s="1"/>
      </tp>
      <tp t="s">
        <v>#N/A Requesting Data...4264139333</v>
        <stp/>
        <stp>BDP|16345062864321751627</stp>
        <tr r="AV446" s="1"/>
      </tp>
      <tp t="s">
        <v>#N/A Requesting Data...3941787929</v>
        <stp/>
        <stp>BDP|14453950481506036444</stp>
        <tr r="AT597" s="1"/>
      </tp>
      <tp t="s">
        <v>#N/A Requesting Data...2983024341</v>
        <stp/>
        <stp>BDP|15301267228764834615</stp>
        <tr r="E1820" s="1"/>
      </tp>
      <tp t="s">
        <v>#N/A Requesting Data...2925453282</v>
        <stp/>
        <stp>BDP|15930596474329768974</stp>
        <tr r="E488" s="1"/>
      </tp>
      <tp t="s">
        <v>#N/A Requesting Data...4115091173</v>
        <stp/>
        <stp>BDP|13562367010847705132</stp>
        <tr r="AU495" s="1"/>
      </tp>
      <tp t="s">
        <v>#N/A Requesting Data...3069170278</v>
        <stp/>
        <stp>BDP|10562229497579225551</stp>
        <tr r="E1188" s="1"/>
        <tr r="E1493" s="1"/>
        <tr r="E1602" s="1"/>
      </tp>
      <tp t="s">
        <v>#N/A Requesting Data...2722281000</v>
        <stp/>
        <stp>BDP|13691234000302456462</stp>
        <tr r="AU916" s="1"/>
      </tp>
      <tp t="s">
        <v>#N/A Requesting Data...3624399607</v>
        <stp/>
        <stp>BDP|12398911278438470394</stp>
        <tr r="E382" s="1"/>
      </tp>
      <tp t="s">
        <v>#N/A Requesting Data...3296808264</v>
        <stp/>
        <stp>BDP|14919295477213308539</stp>
        <tr r="J2099" s="1"/>
      </tp>
      <tp t="s">
        <v>#N/A Requesting Data...3769388487</v>
        <stp/>
        <stp>BDP|10662105775969107854</stp>
        <tr r="AU343" s="1"/>
      </tp>
      <tp t="s">
        <v>#N/A Requesting Data...2537186823</v>
        <stp/>
        <stp>BDP|10368034434436109228</stp>
        <tr r="E1907" s="1"/>
      </tp>
      <tp t="s">
        <v>#N/A Requesting Data...3676932192</v>
        <stp/>
        <stp>BDP|14041549603184659267</stp>
        <tr r="AV648" s="1"/>
      </tp>
      <tp t="s">
        <v>#N/A Requesting Data...2613468274</v>
        <stp/>
        <stp>BDP|14499414101780463772</stp>
        <tr r="J1302" s="1"/>
      </tp>
      <tp t="s">
        <v>#N/A Requesting Data...2582773953</v>
        <stp/>
        <stp>BDP|14725772444134156429</stp>
        <tr r="AU901" s="1"/>
      </tp>
      <tp t="s">
        <v>#N/A Requesting Data...3986218232</v>
        <stp/>
        <stp>BDP|16308010810374621432</stp>
        <tr r="AT483" s="1"/>
      </tp>
      <tp t="s">
        <v>#N/A Requesting Data...3387067786</v>
        <stp/>
        <stp>BDP|10537673814287662776</stp>
        <tr r="J1112" s="1"/>
        <tr r="J1486" s="1"/>
        <tr r="J1582" s="1"/>
      </tp>
      <tp t="s">
        <v>#N/A Requesting Data...2630823174</v>
        <stp/>
        <stp>BDP|12164393788767732900</stp>
        <tr r="H1757" s="1"/>
      </tp>
      <tp t="s">
        <v>#N/A Requesting Data...3637271070</v>
        <stp/>
        <stp>BDP|16001981093096421783</stp>
        <tr r="H1956" s="1"/>
      </tp>
      <tp t="s">
        <v>#N/A Requesting Data...4156195818</v>
        <stp/>
        <stp>BDP|14210355405141279174</stp>
        <tr r="AU899" s="1"/>
      </tp>
      <tp t="s">
        <v>#N/A Requesting Data...2668507525</v>
        <stp/>
        <stp>BDP|16638370112016363570</stp>
        <tr r="H1266" s="1"/>
      </tp>
      <tp t="s">
        <v>#N/A Requesting Data...2509882517</v>
        <stp/>
        <stp>BDP|14529531800161025715</stp>
        <tr r="H1827" s="1"/>
      </tp>
      <tp t="s">
        <v>#N/A Requesting Data...2933666461</v>
        <stp/>
        <stp>BDP|18109851505495689209</stp>
        <tr r="J1252" s="1"/>
      </tp>
      <tp t="s">
        <v>#N/A Requesting Data...3846150701</v>
        <stp/>
        <stp>BDP|13451531857471668512</stp>
        <tr r="AU643" s="1"/>
      </tp>
      <tp t="s">
        <v>#N/A Requesting Data...3334746933</v>
        <stp/>
        <stp>BDP|11707770959557979368</stp>
        <tr r="J268" s="1"/>
      </tp>
      <tp t="s">
        <v>#N/A Requesting Data...3103280929</v>
        <stp/>
        <stp>BDP|12430639251235757375</stp>
        <tr r="J2054" s="1"/>
      </tp>
      <tp t="s">
        <v>#N/A Requesting Data...3565691283</v>
        <stp/>
        <stp>BDP|16500398329766114623</stp>
        <tr r="H893" s="1"/>
      </tp>
      <tp t="s">
        <v>#N/A Requesting Data...4151064323</v>
        <stp/>
        <stp>BDP|12777148320656791022</stp>
        <tr r="J433" s="1"/>
      </tp>
      <tp t="s">
        <v>#N/A Requesting Data...3362834105</v>
        <stp/>
        <stp>BDP|15606475730413686619</stp>
        <tr r="E868" s="1"/>
      </tp>
      <tp t="s">
        <v>#N/A Requesting Data...3119965700</v>
        <stp/>
        <stp>BDP|10257954225475207962</stp>
        <tr r="AV763" s="1"/>
      </tp>
      <tp t="s">
        <v>#N/A Requesting Data...2540775089</v>
        <stp/>
        <stp>BDP|12377515911297534604</stp>
        <tr r="J355" s="1"/>
      </tp>
      <tp t="s">
        <v>#N/A Requesting Data...3857319157</v>
        <stp/>
        <stp>BDP|17915210049156562021</stp>
        <tr r="E1833" s="1"/>
      </tp>
      <tp t="s">
        <v>#N/A Requesting Data...2996281848</v>
        <stp/>
        <stp>BDP|15229593759104576611</stp>
        <tr r="J1229" s="1"/>
      </tp>
      <tp t="s">
        <v>#N/A Requesting Data...3207944251</v>
        <stp/>
        <stp>BDP|12478735029326040683</stp>
        <tr r="E1685" s="1"/>
      </tp>
      <tp t="s">
        <v>#N/A Requesting Data...3469048033</v>
        <stp/>
        <stp>BDP|12643528200958211802</stp>
        <tr r="AT474" s="1"/>
      </tp>
      <tp t="s">
        <v>#N/A Requesting Data...4011487562</v>
        <stp/>
        <stp>BDP|10536546343651552710</stp>
        <tr r="H1847" s="1"/>
        <tr r="H2059" s="1"/>
      </tp>
      <tp t="s">
        <v>#N/A Requesting Data...2849855766</v>
        <stp/>
        <stp>BDP|12447541634075711651</stp>
        <tr r="J106" s="1"/>
      </tp>
      <tp t="s">
        <v>#N/A Requesting Data...4208650755</v>
        <stp/>
        <stp>BDP|14932154359160165724</stp>
        <tr r="E1215" s="1"/>
      </tp>
      <tp t="s">
        <v>#N/A Requesting Data...3034535088</v>
        <stp/>
        <stp>BDP|13027277816133190796</stp>
        <tr r="E805" s="1"/>
      </tp>
      <tp t="s">
        <v>#N/A Requesting Data...2879298137</v>
        <stp/>
        <stp>BDP|13887330995099070476</stp>
        <tr r="AV358" s="1"/>
      </tp>
      <tp t="s">
        <v>#N/A Requesting Data...3835182157</v>
        <stp/>
        <stp>BDP|12747680207387094716</stp>
        <tr r="E222" s="1"/>
      </tp>
      <tp t="s">
        <v>#N/A Requesting Data...2537449006</v>
        <stp/>
        <stp>BDP|12992076045317450566</stp>
        <tr r="E439" s="1"/>
      </tp>
      <tp t="s">
        <v>#N/A Requesting Data...2657412338</v>
        <stp/>
        <stp>BDP|11471897700718730539</stp>
        <tr r="E901" s="1"/>
      </tp>
      <tp t="s">
        <v>#N/A Requesting Data...3014920583</v>
        <stp/>
        <stp>BDP|17964940682970175274</stp>
        <tr r="J403" s="1"/>
      </tp>
      <tp t="s">
        <v>#N/A Requesting Data...3415960840</v>
        <stp/>
        <stp>BDP|13247216413881897510</stp>
        <tr r="H443" s="1"/>
      </tp>
      <tp t="s">
        <v>#N/A Requesting Data...3077782416</v>
        <stp/>
        <stp>BDP|17950203266033533437</stp>
        <tr r="H749" s="1"/>
      </tp>
      <tp t="s">
        <v>#N/A Requesting Data...4100207173</v>
        <stp/>
        <stp>BDP|12563683105766859696</stp>
        <tr r="E1176" s="1"/>
      </tp>
      <tp t="s">
        <v>#N/A Requesting Data...3237737050</v>
        <stp/>
        <stp>BDP|14905460711222349747</stp>
        <tr r="H549" s="1"/>
      </tp>
      <tp t="s">
        <v>#N/A Requesting Data...3494145886</v>
        <stp/>
        <stp>BDP|17508796313003652602</stp>
        <tr r="AT695" s="1"/>
      </tp>
      <tp t="s">
        <v>#N/A Requesting Data...3087003481</v>
        <stp/>
        <stp>BDP|14159582642172767357</stp>
        <tr r="J1093" s="1"/>
        <tr r="J947" s="1"/>
      </tp>
      <tp t="s">
        <v>#N/A Requesting Data...3105579241</v>
        <stp/>
        <stp>BDP|14946749911546664039</stp>
        <tr r="H835" s="1"/>
      </tp>
      <tp t="s">
        <v>#N/A Requesting Data...3523708205</v>
        <stp/>
        <stp>BDP|16737738273164792694</stp>
        <tr r="E843" s="1"/>
      </tp>
      <tp t="s">
        <v>#N/A Requesting Data...3414249907</v>
        <stp/>
        <stp>BDP|13688579456541899669</stp>
        <tr r="AV641" s="1"/>
      </tp>
      <tp t="s">
        <v>#N/A Requesting Data...3656856575</v>
        <stp/>
        <stp>BDP|15118781207312415428</stp>
        <tr r="AT265" s="1"/>
      </tp>
      <tp t="s">
        <v>#N/A Requesting Data...3333868838</v>
        <stp/>
        <stp>BDP|11523832607218894511</stp>
        <tr r="H1188" s="1"/>
        <tr r="H1493" s="1"/>
        <tr r="H1602" s="1"/>
      </tp>
      <tp t="s">
        <v>#N/A Requesting Data...4217003938</v>
        <stp/>
        <stp>BDP|11296215710470364684</stp>
        <tr r="H1386" s="1"/>
      </tp>
      <tp t="s">
        <v>#N/A Requesting Data...3545450535</v>
        <stp/>
        <stp>BDP|16258602093775010898</stp>
        <tr r="AT345" s="1"/>
      </tp>
      <tp t="s">
        <v>#N/A Requesting Data...2830523677</v>
        <stp/>
        <stp>BDP|17881030154537013175</stp>
        <tr r="E696" s="1"/>
      </tp>
      <tp t="s">
        <v>#N/A Requesting Data...3689682144</v>
        <stp/>
        <stp>BDP|16296423398857695865</stp>
        <tr r="J1855" s="1"/>
      </tp>
      <tp t="s">
        <v>#N/A Requesting Data...3321711309</v>
        <stp/>
        <stp>BDP|16293160695488985209</stp>
        <tr r="AT375" s="1"/>
      </tp>
      <tp t="s">
        <v>#N/A Requesting Data...2572102572</v>
        <stp/>
        <stp>BDP|16185710368623123010</stp>
        <tr r="E117" s="1"/>
      </tp>
      <tp t="s">
        <v>#N/A Requesting Data...2639373616</v>
        <stp/>
        <stp>BDP|10187380447913714013</stp>
        <tr r="J708" s="1"/>
      </tp>
      <tp t="s">
        <v>#N/A Requesting Data...3461394012</v>
        <stp/>
        <stp>BDP|17961151846851492760</stp>
        <tr r="H904" s="1"/>
      </tp>
      <tp t="s">
        <v>#N/A Requesting Data...4063611093</v>
        <stp/>
        <stp>BDP|13919226134090449608</stp>
        <tr r="E1060" s="1"/>
      </tp>
      <tp t="s">
        <v>#N/A Requesting Data...3441401264</v>
        <stp/>
        <stp>BDP|15781228432419965959</stp>
        <tr r="J270" s="1"/>
      </tp>
      <tp t="s">
        <v>#N/A Requesting Data...4235122601</v>
        <stp/>
        <stp>BDP|10082200234266748384</stp>
        <tr r="AV714" s="1"/>
      </tp>
      <tp t="s">
        <v>#N/A Requesting Data...3067842830</v>
        <stp/>
        <stp>BDP|17428149959384756355</stp>
        <tr r="AV262" s="1"/>
      </tp>
      <tp t="s">
        <v>#N/A Requesting Data...3826784539</v>
        <stp/>
        <stp>BDP|14180364526078365996</stp>
        <tr r="AU678" s="1"/>
      </tp>
      <tp t="s">
        <v>#N/A Requesting Data...2670421089</v>
        <stp/>
        <stp>BDP|15019893504670315956</stp>
        <tr r="AV723" s="1"/>
      </tp>
      <tp t="s">
        <v>#N/A Requesting Data...3375608240</v>
        <stp/>
        <stp>BDP|12912311733666769073</stp>
        <tr r="H1419" s="1"/>
        <tr r="H1449" s="1"/>
      </tp>
      <tp t="s">
        <v>#N/A Requesting Data...3077351754</v>
        <stp/>
        <stp>BDP|14938789104832777592</stp>
        <tr r="AU615" s="1"/>
      </tp>
      <tp t="s">
        <v>#N/A Requesting Data...3751719350</v>
        <stp/>
        <stp>BDP|16046375955755886119</stp>
        <tr r="H1060" s="1"/>
      </tp>
      <tp t="s">
        <v>#N/A Requesting Data...3357010718</v>
        <stp/>
        <stp>BDP|14066641778787418637</stp>
        <tr r="H294" s="1"/>
      </tp>
      <tp t="s">
        <v>#N/A Requesting Data...4001371247</v>
        <stp/>
        <stp>BDP|16091114660992214780</stp>
        <tr r="AV732" s="1"/>
      </tp>
      <tp t="s">
        <v>#N/A Requesting Data...3318767712</v>
        <stp/>
        <stp>BDP|16353026778274431167</stp>
        <tr r="H1197" s="1"/>
        <tr r="H151" s="1"/>
      </tp>
      <tp t="s">
        <v>#N/A Requesting Data...3447102117</v>
        <stp/>
        <stp>BDP|10417537879413212577</stp>
        <tr r="AT900" s="1"/>
      </tp>
      <tp t="s">
        <v>#N/A Requesting Data...3831097408</v>
        <stp/>
        <stp>BDP|12548616283431433981</stp>
        <tr r="E572" s="1"/>
      </tp>
      <tp t="s">
        <v>#N/A Requesting Data...3250954458</v>
        <stp/>
        <stp>BDP|13323319576471644280</stp>
        <tr r="AU571" s="1"/>
      </tp>
      <tp t="s">
        <v>#N/A Requesting Data...3128497207</v>
        <stp/>
        <stp>BDP|13749582585313695965</stp>
        <tr r="AV214" s="1"/>
      </tp>
      <tp t="s">
        <v>#N/A Requesting Data...3737117766</v>
        <stp/>
        <stp>BDP|14624190563112038569</stp>
        <tr r="AV549" s="1"/>
      </tp>
      <tp t="s">
        <v>#N/A Requesting Data...3736858738</v>
        <stp/>
        <stp>BDP|12719982749189527299</stp>
        <tr r="AU664" s="1"/>
      </tp>
      <tp t="s">
        <v>#N/A Requesting Data...3288465667</v>
        <stp/>
        <stp>BDP|10834569486261624843</stp>
        <tr r="AT516" s="1"/>
      </tp>
      <tp t="s">
        <v>#N/A Requesting Data...2620032997</v>
        <stp/>
        <stp>BDP|13113635084121488882</stp>
        <tr r="H1572" s="1"/>
      </tp>
      <tp t="s">
        <v>#N/A Requesting Data...3861725193</v>
        <stp/>
        <stp>BDP|13738390422255669308</stp>
        <tr r="AU419" s="1"/>
      </tp>
      <tp t="s">
        <v>#N/A Requesting Data...2577766479</v>
        <stp/>
        <stp>BDP|11704429119528165875</stp>
        <tr r="E933" s="1"/>
      </tp>
      <tp t="s">
        <v>#N/A Requesting Data...3976434515</v>
        <stp/>
        <stp>BDP|16058682656156206768</stp>
        <tr r="AT612" s="1"/>
      </tp>
      <tp t="s">
        <v>#N/A Requesting Data...3539478481</v>
        <stp/>
        <stp>BDP|16458327638723102158</stp>
        <tr r="AO2036" s="1"/>
      </tp>
      <tp t="s">
        <v>#N/A Requesting Data...3490425700</v>
        <stp/>
        <stp>BDP|15331097166010716719</stp>
        <tr r="E2086" s="1"/>
      </tp>
      <tp t="s">
        <v>#N/A Requesting Data...3059783387</v>
        <stp/>
        <stp>BDP|11780134541063868379</stp>
        <tr r="J1624" s="1"/>
        <tr r="J2076" s="1"/>
      </tp>
      <tp t="s">
        <v>#N/A Requesting Data...2713920071</v>
        <stp/>
        <stp>BDP|14077492387135629920</stp>
        <tr r="H575" s="1"/>
      </tp>
      <tp t="s">
        <v>#N/A Requesting Data...3182564430</v>
        <stp/>
        <stp>BDP|12864408236887387678</stp>
        <tr r="H1526" s="1"/>
        <tr r="H1784" s="1"/>
      </tp>
      <tp t="s">
        <v>#N/A Requesting Data...2562946919</v>
        <stp/>
        <stp>BDP|10788100038196650039</stp>
        <tr r="AV352" s="1"/>
      </tp>
      <tp t="s">
        <v>#N/A Requesting Data...3155460754</v>
        <stp/>
        <stp>BDP|14322363759566171076</stp>
        <tr r="J121" s="1"/>
      </tp>
      <tp t="s">
        <v>#N/A Requesting Data...3778032019</v>
        <stp/>
        <stp>BDP|12342082960878590839</stp>
        <tr r="H1749" s="1"/>
      </tp>
      <tp t="s">
        <v>#N/A Requesting Data...3631701273</v>
        <stp/>
        <stp>BDP|11943668403701007215</stp>
        <tr r="E1484" s="1"/>
      </tp>
      <tp t="s">
        <v>#N/A Requesting Data...3206088937</v>
        <stp/>
        <stp>BDP|18088654098733372031</stp>
        <tr r="H1528" s="1"/>
      </tp>
      <tp t="s">
        <v>#N/A Requesting Data...3190606593</v>
        <stp/>
        <stp>BDP|17814125437310894183</stp>
        <tr r="AU857" s="1"/>
      </tp>
      <tp t="s">
        <v>#N/A Requesting Data...3202854997</v>
        <stp/>
        <stp>BDP|14059943297916846668</stp>
        <tr r="AV467" s="1"/>
      </tp>
      <tp t="s">
        <v>#N/A Requesting Data...3221091107</v>
        <stp/>
        <stp>BDP|14767923675476951847</stp>
        <tr r="E1615" s="1"/>
      </tp>
      <tp t="s">
        <v>#N/A Requesting Data...3490848586</v>
        <stp/>
        <stp>BDP|13958350842124552462</stp>
        <tr r="AU282" s="1"/>
      </tp>
      <tp t="s">
        <v>#N/A Requesting Data...3629375235</v>
        <stp/>
        <stp>BDP|14242324500362992149</stp>
        <tr r="E1201" s="1"/>
      </tp>
      <tp t="s">
        <v>#N/A Requesting Data...2957024742</v>
        <stp/>
        <stp>BDP|13760585031937626659</stp>
        <tr r="AV377" s="1"/>
      </tp>
      <tp t="s">
        <v>#N/A Requesting Data...3076412095</v>
        <stp/>
        <stp>BDP|12278158553201154388</stp>
        <tr r="AV663" s="1"/>
      </tp>
      <tp t="s">
        <v>#N/A Requesting Data...4279686451</v>
        <stp/>
        <stp>BDP|11851642355333162554</stp>
        <tr r="J1245" s="1"/>
      </tp>
      <tp t="s">
        <v>#N/A Requesting Data...3313995099</v>
        <stp/>
        <stp>BDP|13036707027266361495</stp>
        <tr r="J613" s="1"/>
      </tp>
      <tp t="s">
        <v>#N/A Requesting Data...3255088534</v>
        <stp/>
        <stp>BDP|13114727575145364284</stp>
        <tr r="E433" s="1"/>
      </tp>
      <tp t="s">
        <v>#N/A Requesting Data...3847137600</v>
        <stp/>
        <stp>BDP|12943763114150644018</stp>
        <tr r="E1952" s="1"/>
      </tp>
      <tp t="s">
        <v>#N/A Requesting Data...3455431985</v>
        <stp/>
        <stp>BDP|16258641248847223701</stp>
        <tr r="AT385" s="1"/>
      </tp>
      <tp t="s">
        <v>#N/A Requesting Data...2773925350</v>
        <stp/>
        <stp>BDP|12067633749253214749</stp>
        <tr r="J447" s="1"/>
      </tp>
      <tp t="s">
        <v>#N/A Requesting Data...3451599087</v>
        <stp/>
        <stp>BDP|15618939858525033810</stp>
        <tr r="AT270" s="1"/>
      </tp>
      <tp t="s">
        <v>#N/A Requesting Data...3511067166</v>
        <stp/>
        <stp>BDP|15994432457436358626</stp>
        <tr r="E565" s="1"/>
      </tp>
      <tp t="s">
        <v>#N/A Requesting Data...2924582891</v>
        <stp/>
        <stp>BDP|12384740959447174338</stp>
        <tr r="H902" s="1"/>
      </tp>
      <tp t="s">
        <v>#N/A Requesting Data...3620998796</v>
        <stp/>
        <stp>BDP|14549258409001064359</stp>
        <tr r="AT494" s="1"/>
      </tp>
      <tp t="s">
        <v>#N/A Requesting Data...4079299808</v>
        <stp/>
        <stp>BDP|18123002639206037942</stp>
        <tr r="H509" s="1"/>
      </tp>
      <tp t="s">
        <v>#N/A Requesting Data...3548400815</v>
        <stp/>
        <stp>BDP|11214691527158924992</stp>
        <tr r="H695" s="1"/>
      </tp>
      <tp t="s">
        <v>#N/A Requesting Data...3931705349</v>
        <stp/>
        <stp>BDP|17795488466400619134</stp>
        <tr r="AT392" s="1"/>
      </tp>
      <tp t="s">
        <v>#N/A Requesting Data...4096570408</v>
        <stp/>
        <stp>BDP|17270218925482994132</stp>
        <tr r="H487" s="1"/>
      </tp>
      <tp t="s">
        <v>#N/A Requesting Data...4014891033</v>
        <stp/>
        <stp>BDP|17724505402303956501</stp>
        <tr r="AV710" s="1"/>
      </tp>
      <tp t="s">
        <v>#N/A Requesting Data...3611706435</v>
        <stp/>
        <stp>BDP|10610194475955680704</stp>
        <tr r="E1526" s="1"/>
        <tr r="E1784" s="1"/>
      </tp>
      <tp t="s">
        <v>#N/A Requesting Data...2588754195</v>
        <stp/>
        <stp>BDP|11151340868410230034</stp>
        <tr r="E832" s="1"/>
      </tp>
      <tp t="s">
        <v>#N/A Requesting Data...3498374561</v>
        <stp/>
        <stp>BDP|12245729334074804608</stp>
        <tr r="E917" s="1"/>
      </tp>
      <tp t="s">
        <v>#N/A Requesting Data...3339090993</v>
        <stp/>
        <stp>BDP|10707780687043333876</stp>
        <tr r="J222" s="1"/>
      </tp>
      <tp t="s">
        <v>#N/A Requesting Data...3326060431</v>
        <stp/>
        <stp>BDP|12150103523357610281</stp>
        <tr r="AT366" s="1"/>
      </tp>
      <tp t="s">
        <v>#N/A Requesting Data...4103856421</v>
        <stp/>
        <stp>BDP|15086040968887024007</stp>
        <tr r="AT201" s="1"/>
        <tr r="AT257" s="1"/>
      </tp>
      <tp t="s">
        <v>#N/A Requesting Data...3539859014</v>
        <stp/>
        <stp>BDP|13640780533761771261</stp>
        <tr r="H1381" s="1"/>
      </tp>
      <tp t="s">
        <v>#N/A Requesting Data...2589818856</v>
        <stp/>
        <stp>BDP|12270693712045092464</stp>
        <tr r="AU267" s="1"/>
      </tp>
      <tp t="s">
        <v>#N/A Requesting Data...3729215232</v>
        <stp/>
        <stp>BDP|18235854089838367426</stp>
        <tr r="H218" s="1"/>
      </tp>
      <tp t="s">
        <v>#N/A Requesting Data...2728997353</v>
        <stp/>
        <stp>BDP|12822421965801142512</stp>
        <tr r="AU289" s="1"/>
      </tp>
      <tp t="s">
        <v>#N/A Requesting Data...3041058857</v>
        <stp/>
        <stp>BDP|12914228033635359246</stp>
        <tr r="AV441" s="1"/>
      </tp>
      <tp t="s">
        <v>#N/A Requesting Data...2829055431</v>
        <stp/>
        <stp>BDP|11084289484537307807</stp>
        <tr r="H1672" s="1"/>
      </tp>
      <tp t="s">
        <v>#N/A Requesting Data...3058612488</v>
        <stp/>
        <stp>BDP|14882442324526096074</stp>
        <tr r="AU652" s="1"/>
      </tp>
      <tp t="s">
        <v>#N/A Requesting Data...3588076946</v>
        <stp/>
        <stp>BDP|15786614564884930546</stp>
        <tr r="E339" s="1"/>
      </tp>
      <tp t="s">
        <v>#N/A Requesting Data...2656846023</v>
        <stp/>
        <stp>BDP|13989671972555459379</stp>
        <tr r="E1654" s="1"/>
        <tr r="E1949" s="1"/>
        <tr r="E43" s="1"/>
      </tp>
      <tp t="s">
        <v>#N/A Requesting Data...4019096199</v>
        <stp/>
        <stp>BDP|11473714362404947013</stp>
        <tr r="AT844" s="1"/>
      </tp>
      <tp t="s">
        <v>#N/A Requesting Data...4060179649</v>
        <stp/>
        <stp>BDP|12907815764571441973</stp>
        <tr r="J1438" s="1"/>
      </tp>
      <tp t="s">
        <v>#N/A Requesting Data...3543960288</v>
        <stp/>
        <stp>BDP|13997399185248295491</stp>
        <tr r="H1673" s="1"/>
      </tp>
      <tp t="s">
        <v>#N/A Requesting Data...3729849166</v>
        <stp/>
        <stp>BDP|14622148077522810436</stp>
        <tr r="H1918" s="1"/>
      </tp>
      <tp t="s">
        <v>#N/A Requesting Data...4068006701</v>
        <stp/>
        <stp>BDP|17948451077537686737</stp>
        <tr r="AT712" s="1"/>
      </tp>
      <tp t="s">
        <v>#N/A Requesting Data...4224781882</v>
        <stp/>
        <stp>BDP|10117865100404088896</stp>
        <tr r="H118" s="1"/>
      </tp>
      <tp t="s">
        <v>#N/A Requesting Data...3357771032</v>
        <stp/>
        <stp>BDP|18219759935470931851</stp>
        <tr r="AT890" s="1"/>
      </tp>
      <tp t="s">
        <v>#N/A Requesting Data...3169728397</v>
        <stp/>
        <stp>BDP|11701865783627892246</stp>
        <tr r="H452" s="1"/>
      </tp>
      <tp t="s">
        <v>#N/A Requesting Data...3570238898</v>
        <stp/>
        <stp>BDP|16179257379263730442</stp>
        <tr r="E128" s="1"/>
        <tr r="E1384" s="1"/>
      </tp>
      <tp t="s">
        <v>#N/A Requesting Data...4101292628</v>
        <stp/>
        <stp>BDP|13643005719293520543</stp>
        <tr r="E184" s="1"/>
        <tr r="E1937" s="1"/>
      </tp>
      <tp t="s">
        <v>#N/A Requesting Data...4132072169</v>
        <stp/>
        <stp>BDP|12553651998259731012</stp>
        <tr r="H850" s="1"/>
      </tp>
      <tp t="s">
        <v>#N/A Requesting Data...3223573349</v>
        <stp/>
        <stp>BDP|17217880183357325447</stp>
        <tr r="H681" s="1"/>
      </tp>
      <tp t="s">
        <v>#N/A Requesting Data...2721519674</v>
        <stp/>
        <stp>BDP|14688689677520140164</stp>
        <tr r="H445" s="1"/>
      </tp>
      <tp t="s">
        <v>#N/A Requesting Data...4066757762</v>
        <stp/>
        <stp>BDP|11157672921765163482</stp>
        <tr r="H1783" s="1"/>
      </tp>
      <tp t="s">
        <v>#N/A Requesting Data...4183312035</v>
        <stp/>
        <stp>BDP|15286216831573618351</stp>
        <tr r="E1354" s="1"/>
      </tp>
      <tp t="s">
        <v>#N/A Requesting Data...3794639920</v>
        <stp/>
        <stp>BDP|13998333867565478780</stp>
        <tr r="H1748" s="1"/>
      </tp>
      <tp t="s">
        <v>#N/A Requesting Data...3683493024</v>
        <stp/>
        <stp>BDP|10329217224173597725</stp>
        <tr r="AT758" s="1"/>
      </tp>
      <tp t="s">
        <v>#N/A Requesting Data...3199755723</v>
        <stp/>
        <stp>BDP|10766611249595749398</stp>
        <tr r="H184" s="1"/>
        <tr r="H1937" s="1"/>
      </tp>
      <tp t="s">
        <v>#N/A Requesting Data...4040298906</v>
        <stp/>
        <stp>BDP|12374367274855334735</stp>
        <tr r="AS2018" s="1"/>
      </tp>
      <tp t="s">
        <v>#N/A Requesting Data...3057111173</v>
        <stp/>
        <stp>BDP|12102727170712287405</stp>
        <tr r="H1661" s="1"/>
      </tp>
      <tp t="s">
        <v>#N/A Requesting Data...4152840599</v>
        <stp/>
        <stp>BDP|10481814989437438396</stp>
        <tr r="AU476" s="1"/>
      </tp>
      <tp t="s">
        <v>#N/A Requesting Data...4154910015</v>
        <stp/>
        <stp>BDP|11000634480658273308</stp>
        <tr r="H654" s="1"/>
      </tp>
      <tp t="s">
        <v>#N/A Requesting Data...2917065220</v>
        <stp/>
        <stp>BDP|15534204730830339070</stp>
        <tr r="J1512" s="1"/>
      </tp>
      <tp t="s">
        <v>#N/A Requesting Data...3226158739</v>
        <stp/>
        <stp>BDP|14459627913176369177</stp>
        <tr r="E21" s="1"/>
      </tp>
      <tp t="s">
        <v>#N/A Requesting Data...3967182986</v>
        <stp/>
        <stp>BDP|10110464906311541150</stp>
        <tr r="E1751" s="1"/>
      </tp>
      <tp t="s">
        <v>#N/A Requesting Data...3402373366</v>
        <stp/>
        <stp>BDP|12936390052480624057</stp>
        <tr r="AT601" s="1"/>
      </tp>
      <tp t="s">
        <v>#N/A Requesting Data...3795927117</v>
        <stp/>
        <stp>BDP|14516101972384278244</stp>
        <tr r="J188" s="1"/>
      </tp>
      <tp t="s">
        <v>#N/A Requesting Data...3624426326</v>
        <stp/>
        <stp>BDP|18115518427249650209</stp>
        <tr r="AT446" s="1"/>
      </tp>
      <tp t="s">
        <v>#N/A Requesting Data...3501524595</v>
        <stp/>
        <stp>BDP|17111466001046572127</stp>
        <tr r="E802" s="1"/>
      </tp>
      <tp t="s">
        <v>#N/A Requesting Data...3757511278</v>
        <stp/>
        <stp>BDP|15460035611291639117</stp>
        <tr r="AT572" s="1"/>
      </tp>
      <tp t="s">
        <v>#N/A Requesting Data...3247692777</v>
        <stp/>
        <stp>BDP|11838252393736946866</stp>
        <tr r="E999" s="1"/>
      </tp>
      <tp t="s">
        <v>#N/A Requesting Data...3325511012</v>
        <stp/>
        <stp>BDP|15859560321263815562</stp>
        <tr r="AV362" s="1"/>
      </tp>
      <tp t="s">
        <v>#N/A Requesting Data...3444067770</v>
        <stp/>
        <stp>BDP|13225635453152400672</stp>
        <tr r="E1407" s="1"/>
      </tp>
      <tp t="s">
        <v>#N/A Requesting Data...2927739985</v>
        <stp/>
        <stp>BDP|15685555342650856095</stp>
        <tr r="J1246" s="1"/>
      </tp>
      <tp t="s">
        <v>#N/A Requesting Data...3219648323</v>
        <stp/>
        <stp>BDP|18150963616103396725</stp>
        <tr r="H1627" s="1"/>
        <tr r="H1875" s="1"/>
        <tr r="H2080" s="1"/>
      </tp>
      <tp t="s">
        <v>#N/A Requesting Data...3939105637</v>
        <stp/>
        <stp>BDP|16681688417342881711</stp>
        <tr r="E481" s="1"/>
      </tp>
      <tp t="s">
        <v>#N/A Requesting Data...3665421073</v>
        <stp/>
        <stp>BDP|15776886695578274889</stp>
        <tr r="AT648" s="1"/>
      </tp>
      <tp t="s">
        <v>#N/A Requesting Data...3811988966</v>
        <stp/>
        <stp>BDP|12588537421659640812</stp>
        <tr r="AP1958" s="1"/>
      </tp>
      <tp t="s">
        <v>#N/A Requesting Data...2748798277</v>
        <stp/>
        <stp>BDP|17959071634369201988</stp>
        <tr r="E1261" s="1"/>
      </tp>
      <tp t="s">
        <v>#N/A Requesting Data...3200945252</v>
        <stp/>
        <stp>BDP|11540587906997804737</stp>
        <tr r="J847" s="1"/>
      </tp>
      <tp t="s">
        <v>#N/A Requesting Data...4102712111</v>
        <stp/>
        <stp>BDP|15532101736593438079</stp>
        <tr r="H1234" s="1"/>
        <tr r="H1616" s="1"/>
      </tp>
      <tp t="s">
        <v>#N/A Requesting Data...3934821502</v>
        <stp/>
        <stp>BDP|11689265026922790711</stp>
        <tr r="E1932" s="1"/>
        <tr r="E942" s="1"/>
      </tp>
      <tp t="s">
        <v>#N/A Requesting Data...3100394926</v>
        <stp/>
        <stp>BDP|13539390028571135759</stp>
        <tr r="J1216" s="1"/>
      </tp>
      <tp t="s">
        <v>#N/A Requesting Data...4045747918</v>
        <stp/>
        <stp>BDP|15498870173927663964</stp>
        <tr r="E575" s="1"/>
      </tp>
      <tp t="s">
        <v>#N/A Requesting Data...3558491626</v>
        <stp/>
        <stp>BDP|14471361657533341565</stp>
        <tr r="AT211" s="1"/>
      </tp>
      <tp t="s">
        <v>#N/A Requesting Data...2826822570</v>
        <stp/>
        <stp>BDP|18192220943843144914</stp>
        <tr r="AU560" s="1"/>
      </tp>
      <tp t="s">
        <v>#N/A Requesting Data...3923927892</v>
        <stp/>
        <stp>BDP|10011568044940380519</stp>
        <tr r="H409" s="1"/>
      </tp>
      <tp t="s">
        <v>#N/A Requesting Data...3859999562</v>
        <stp/>
        <stp>BDP|11857263498926164879</stp>
        <tr r="E183" s="1"/>
        <tr r="E38" s="1"/>
      </tp>
      <tp t="s">
        <v>#N/A Requesting Data...2721954215</v>
        <stp/>
        <stp>BDP|18395969051263100354</stp>
        <tr r="H518" s="1"/>
      </tp>
      <tp t="s">
        <v>#N/A Requesting Data...2959886189</v>
        <stp/>
        <stp>BDP|15520254018641960312</stp>
        <tr r="H1892" s="1"/>
      </tp>
      <tp t="s">
        <v>#N/A Requesting Data...2837426211</v>
        <stp/>
        <stp>BDP|10656562161355082218</stp>
        <tr r="E1972" s="1"/>
      </tp>
      <tp t="s">
        <v>#N/A Requesting Data...3934320081</v>
        <stp/>
        <stp>BDP|11948636058160283630</stp>
        <tr r="AU744" s="1"/>
      </tp>
      <tp t="s">
        <v>#N/A Requesting Data...2833239167</v>
        <stp/>
        <stp>BDP|17918593514053412439</stp>
        <tr r="E1532" s="1"/>
      </tp>
      <tp t="s">
        <v>#N/A Requesting Data...3486877172</v>
        <stp/>
        <stp>BDP|13426254040963617244</stp>
        <tr r="E1209" s="1"/>
      </tp>
      <tp t="s">
        <v>#N/A Requesting Data...4050006148</v>
        <stp/>
        <stp>BDP|16425395816480812008</stp>
        <tr r="AV289" s="1"/>
      </tp>
      <tp t="s">
        <v>#N/A Requesting Data...3065414999</v>
        <stp/>
        <stp>BDP|10627533337370266239</stp>
        <tr r="AU310" s="1"/>
      </tp>
      <tp t="s">
        <v>#N/A Requesting Data...3542685226</v>
        <stp/>
        <stp>BDP|16702791063177895464</stp>
        <tr r="AR2030" s="1"/>
      </tp>
      <tp t="s">
        <v>#N/A Requesting Data...3195115528</v>
        <stp/>
        <stp>BDP|17213500219432190591</stp>
        <tr r="E410" s="1"/>
      </tp>
      <tp t="s">
        <v>#N/A Requesting Data...2686988944</v>
        <stp/>
        <stp>BDP|14028216827079049952</stp>
        <tr r="J338" s="1"/>
      </tp>
      <tp t="s">
        <v>#N/A Requesting Data...4261421753</v>
        <stp/>
        <stp>BDP|13383728905660556022</stp>
        <tr r="E593" s="1"/>
      </tp>
      <tp t="s">
        <v>#N/A Requesting Data...3261579356</v>
        <stp/>
        <stp>BDP|14602025440490655414</stp>
        <tr r="J1627" s="1"/>
        <tr r="J1875" s="1"/>
        <tr r="J2080" s="1"/>
      </tp>
      <tp t="s">
        <v>#N/A Requesting Data...3700438214</v>
        <stp/>
        <stp>BDP|14595053498178283197</stp>
        <tr r="H1523" s="1"/>
        <tr r="H1644" s="1"/>
        <tr r="H1779" s="1"/>
      </tp>
      <tp t="s">
        <v>#N/A Requesting Data...3803772645</v>
        <stp/>
        <stp>BDP|11264688738559087917</stp>
        <tr r="E412" s="1"/>
      </tp>
      <tp t="s">
        <v>#N/A Requesting Data...3664302753</v>
        <stp/>
        <stp>BDP|12392611413041762045</stp>
        <tr r="E1450" s="1"/>
      </tp>
      <tp t="s">
        <v>#N/A Requesting Data...4273402814</v>
        <stp/>
        <stp>BDP|10172778453801788705</stp>
        <tr r="E1771" s="1"/>
      </tp>
      <tp t="s">
        <v>#N/A Requesting Data...4094916433</v>
        <stp/>
        <stp>BDP|14064618213134159313</stp>
        <tr r="AT429" s="1"/>
      </tp>
      <tp t="s">
        <v>#N/A Requesting Data...4064828454</v>
        <stp/>
        <stp>BDP|14045525730821201720</stp>
        <tr r="AV400" s="1"/>
      </tp>
      <tp t="s">
        <v>#N/A Requesting Data...2749777230</v>
        <stp/>
        <stp>BDP|14536909092010402012</stp>
        <tr r="E637" s="1"/>
      </tp>
      <tp t="s">
        <v>#N/A Requesting Data...4222633889</v>
        <stp/>
        <stp>BDP|11690094827122245584</stp>
        <tr r="E338" s="1"/>
      </tp>
      <tp t="s">
        <v>#N/A Requesting Data...3741482739</v>
        <stp/>
        <stp>BDP|11189828297966436226</stp>
        <tr r="E892" s="1"/>
      </tp>
      <tp t="s">
        <v>#N/A Requesting Data...4070106805</v>
        <stp/>
        <stp>BDP|10121918494762752614</stp>
        <tr r="AU880" s="1"/>
      </tp>
      <tp t="s">
        <v>#N/A Requesting Data...3437717590</v>
        <stp/>
        <stp>BDP|11832448191541948969</stp>
        <tr r="H1409" s="1"/>
      </tp>
      <tp t="s">
        <v>#N/A Requesting Data...4264146607</v>
        <stp/>
        <stp>BDP|16702678003586858299</stp>
        <tr r="E1411" s="1"/>
        <tr r="E1447" s="1"/>
      </tp>
      <tp t="s">
        <v>#N/A Requesting Data...4198461724</v>
        <stp/>
        <stp>BDP|15857707508624639247</stp>
        <tr r="J1127" s="1"/>
      </tp>
      <tp t="s">
        <v>#N/A Requesting Data...3020974099</v>
        <stp/>
        <stp>BDP|11366216594608400606</stp>
        <tr r="H475" s="1"/>
      </tp>
      <tp t="s">
        <v>#N/A Requesting Data...3529363670</v>
        <stp/>
        <stp>BDP|15535243325799744815</stp>
        <tr r="E1114" s="1"/>
        <tr r="E124" s="1"/>
        <tr r="E1378" s="1"/>
        <tr r="E1587" s="1"/>
        <tr r="E63" s="1"/>
      </tp>
      <tp t="s">
        <v>#N/A Requesting Data...3717177372</v>
        <stp/>
        <stp>BDP|18067387938164520877</stp>
        <tr r="AV736" s="1"/>
      </tp>
      <tp t="s">
        <v>#N/A Requesting Data...3147486563</v>
        <stp/>
        <stp>BDP|10645283918683285410</stp>
        <tr r="J841" s="1"/>
      </tp>
      <tp t="s">
        <v>#N/A Requesting Data...3886512414</v>
        <stp/>
        <stp>BDP|12935906660091483885</stp>
        <tr r="J339" s="1"/>
      </tp>
      <tp t="s">
        <v>#N/A Requesting Data...3420777546</v>
        <stp/>
        <stp>BDP|13248403926706988780</stp>
        <tr r="AU314" s="1"/>
      </tp>
      <tp t="s">
        <v>#N/A Requesting Data...2981588063</v>
        <stp/>
        <stp>BDP|14788731072881658159</stp>
        <tr r="J468" s="1"/>
      </tp>
      <tp t="s">
        <v>#N/A Requesting Data...2873702031</v>
        <stp/>
        <stp>BDP|10603149186469985489</stp>
        <tr r="J1107" s="1"/>
        <tr r="J1575" s="1"/>
      </tp>
      <tp t="s">
        <v>#N/A Requesting Data...3284134209</v>
        <stp/>
        <stp>BDP|12034749250500264435</stp>
        <tr r="J1933" s="1"/>
      </tp>
      <tp t="s">
        <v>#N/A Requesting Data...3979127925</v>
        <stp/>
        <stp>BDP|10626302237313726732</stp>
        <tr r="H497" s="1"/>
      </tp>
      <tp t="s">
        <v>#N/A Requesting Data...3946463434</v>
        <stp/>
        <stp>BDP|11032236829430841577</stp>
        <tr r="AV914" s="1"/>
      </tp>
      <tp t="s">
        <v>#N/A Requesting Data...3435939699</v>
        <stp/>
        <stp>BDP|11253478340016597356</stp>
        <tr r="J1514" s="1"/>
      </tp>
      <tp t="s">
        <v>#N/A Requesting Data...4059633880</v>
        <stp/>
        <stp>BDP|17494653302295038069</stp>
        <tr r="AU688" s="1"/>
      </tp>
      <tp t="s">
        <v>#N/A Requesting Data...2894713299</v>
        <stp/>
        <stp>BDP|16673500061946095725</stp>
        <tr r="H135" s="1"/>
      </tp>
      <tp t="s">
        <v>#N/A Requesting Data...2750693490</v>
        <stp/>
        <stp>BDP|11304260676335769514</stp>
        <tr r="E133" s="1"/>
      </tp>
      <tp t="s">
        <v>#N/A Requesting Data...4163183381</v>
        <stp/>
        <stp>BDP|11940671529012418363</stp>
        <tr r="H661" s="1"/>
      </tp>
      <tp t="s">
        <v>#N/A Requesting Data...3175829468</v>
        <stp/>
        <stp>BDP|15672834893342633255</stp>
        <tr r="AV585" s="1"/>
      </tp>
      <tp t="s">
        <v>#N/A Requesting Data...4054146420</v>
        <stp/>
        <stp>BDP|11418565021432347052</stp>
        <tr r="E2068" s="1"/>
      </tp>
      <tp t="s">
        <v>#N/A Requesting Data...3212613566</v>
        <stp/>
        <stp>BDP|10822903158108259073</stp>
        <tr r="J1080" s="1"/>
      </tp>
      <tp t="s">
        <v>#N/A Requesting Data...3135308013</v>
        <stp/>
        <stp>BDP|12667581731317921730</stp>
        <tr r="H958" s="1"/>
      </tp>
      <tp t="s">
        <v>#N/A Requesting Data...3662949701</v>
        <stp/>
        <stp>BDP|17039172112151236227</stp>
        <tr r="H179" s="1"/>
        <tr r="H33" s="1"/>
      </tp>
      <tp t="s">
        <v>#N/A Requesting Data...3109943958</v>
        <stp/>
        <stp>BDP|14231760964512387375</stp>
        <tr r="AU871" s="1"/>
      </tp>
      <tp t="s">
        <v>#N/A Requesting Data...2755985016</v>
        <stp/>
        <stp>BDP|17028713603987433320</stp>
        <tr r="AU265" s="1"/>
      </tp>
      <tp t="s">
        <v>#N/A Requesting Data...3289833312</v>
        <stp/>
        <stp>BDP|12254086362832987258</stp>
        <tr r="J1946" s="1"/>
      </tp>
      <tp t="s">
        <v>#N/A Requesting Data...3142862047</v>
        <stp/>
        <stp>BDP|16047000535092259338</stp>
        <tr r="AV623" s="1"/>
      </tp>
      <tp t="s">
        <v>#N/A Requesting Data...3691589532</v>
        <stp/>
        <stp>BDP|18305962744891644036</stp>
        <tr r="AT303" s="1"/>
      </tp>
      <tp t="s">
        <v>#N/A Requesting Data...3480567678</v>
        <stp/>
        <stp>BDP|11369468840620367521</stp>
        <tr r="E1946" s="1"/>
      </tp>
      <tp t="s">
        <v>#N/A Requesting Data...2943883747</v>
        <stp/>
        <stp>BDP|16589890692617903430</stp>
        <tr r="E899" s="1"/>
      </tp>
      <tp t="s">
        <v>#N/A Requesting Data...3009046143</v>
        <stp/>
        <stp>BDP|11781781324014916466</stp>
        <tr r="AV741" s="1"/>
      </tp>
      <tp t="s">
        <v>#N/A Requesting Data...4022748411</v>
        <stp/>
        <stp>BDP|13986531471687642296</stp>
        <tr r="AV892" s="1"/>
      </tp>
      <tp t="s">
        <v>#N/A Requesting Data...4214712847</v>
        <stp/>
        <stp>BDP|10325009476117331424</stp>
        <tr r="AT582" s="1"/>
      </tp>
      <tp t="s">
        <v>#N/A Requesting Data...3798011569</v>
        <stp/>
        <stp>BDP|11252551115999639802</stp>
        <tr r="E1196" s="1"/>
      </tp>
      <tp t="s">
        <v>#N/A Requesting Data...4083588591</v>
        <stp/>
        <stp>BDP|18284863344801670125</stp>
        <tr r="H107" s="1"/>
        <tr r="H1151" s="1"/>
        <tr r="H1429" s="1"/>
        <tr r="H144" s="1"/>
        <tr r="H1455" s="1"/>
        <tr r="H1664" s="1"/>
      </tp>
      <tp t="s">
        <v>#N/A Requesting Data...4276916505</v>
        <stp/>
        <stp>BDP|14513861195669399818</stp>
        <tr r="H964" s="1"/>
      </tp>
      <tp t="s">
        <v>#N/A Requesting Data...3140414899</v>
        <stp/>
        <stp>BDP|17940399216185034428</stp>
        <tr r="AV682" s="1"/>
      </tp>
      <tp t="s">
        <v>#N/A Requesting Data...2736264788</v>
        <stp/>
        <stp>BDP|10548577910747789719</stp>
        <tr r="J1421" s="1"/>
      </tp>
      <tp t="s">
        <v>#N/A Requesting Data...3697810432</v>
        <stp/>
        <stp>BDP|15929283196232813889</stp>
        <tr r="AT913" s="1"/>
      </tp>
      <tp t="s">
        <v>#N/A Requesting Data...3846458694</v>
        <stp/>
        <stp>BDP|17195103261026104263</stp>
        <tr r="AV872" s="1"/>
      </tp>
      <tp t="s">
        <v>#N/A Requesting Data...3501101721</v>
        <stp/>
        <stp>BDP|12907637506821942122</stp>
        <tr r="E1290" s="1"/>
      </tp>
      <tp t="s">
        <v>#N/A Requesting Data...4167957852</v>
        <stp/>
        <stp>BDP|15298543123530329615</stp>
        <tr r="J729" s="1"/>
      </tp>
      <tp t="s">
        <v>#N/A Requesting Data...3199904862</v>
        <stp/>
        <stp>BDP|17781060865270310504</stp>
        <tr r="H550" s="1"/>
      </tp>
      <tp t="s">
        <v>#N/A Requesting Data...3329010709</v>
        <stp/>
        <stp>BDP|17465119645515302348</stp>
        <tr r="H734" s="1"/>
      </tp>
      <tp t="s">
        <v>#N/A Requesting Data...2745172013</v>
        <stp/>
        <stp>BDP|12909619314245223498</stp>
        <tr r="H1947" s="1"/>
      </tp>
      <tp t="s">
        <v>#N/A Requesting Data...2803390924</v>
        <stp/>
        <stp>BDP|18407476760718082648</stp>
        <tr r="AU337" s="1"/>
      </tp>
      <tp t="s">
        <v>#N/A Requesting Data...3745454312</v>
        <stp/>
        <stp>BDP|12369982558379700337</stp>
        <tr r="J682" s="1"/>
      </tp>
      <tp t="s">
        <v>#N/A Requesting Data...3874611194</v>
        <stp/>
        <stp>BDP|13109075267287058665</stp>
        <tr r="AV365" s="1"/>
      </tp>
      <tp t="s">
        <v>#N/A Requesting Data...3021382914</v>
        <stp/>
        <stp>BDP|13927083603877238061</stp>
        <tr r="E737" s="1"/>
      </tp>
      <tp t="s">
        <v>#N/A Requesting Data...3744926962</v>
        <stp/>
        <stp>BDP|10125158832326876087</stp>
        <tr r="E1173" s="1"/>
      </tp>
      <tp t="s">
        <v>#N/A Requesting Data...3855066773</v>
        <stp/>
        <stp>BDP|12800417622108583886</stp>
        <tr r="J868" s="1"/>
      </tp>
      <tp t="s">
        <v>#N/A Requesting Data...3406438152</v>
        <stp/>
        <stp>BDP|16139551862308164918</stp>
        <tr r="AV553" s="1"/>
      </tp>
      <tp t="s">
        <v>#N/A Requesting Data...3148996572</v>
        <stp/>
        <stp>BDP|11035688630170964071</stp>
        <tr r="J2088" s="1"/>
      </tp>
      <tp t="s">
        <v>#N/A Requesting Data...4144520755</v>
        <stp/>
        <stp>BDP|16489870419972466984</stp>
        <tr r="H1437" s="1"/>
      </tp>
      <tp t="s">
        <v>#N/A Requesting Data...3883531126</v>
        <stp/>
        <stp>BDP|11466124991794074910</stp>
        <tr r="AU436" s="1"/>
      </tp>
      <tp t="s">
        <v>#N/A Requesting Data...3875990288</v>
        <stp/>
        <stp>BDP|12286578637063264364</stp>
        <tr r="E1123" s="1"/>
        <tr r="E1598" s="1"/>
      </tp>
      <tp t="s">
        <v>#N/A Requesting Data...3753102390</v>
        <stp/>
        <stp>BDP|11278475054447463331</stp>
        <tr r="J148" s="1"/>
      </tp>
      <tp t="s">
        <v>#N/A Requesting Data...3475672022</v>
        <stp/>
        <stp>BDP|15655463921582166565</stp>
        <tr r="AV445" s="1"/>
      </tp>
      <tp t="s">
        <v>#N/A Requesting Data...3161562761</v>
        <stp/>
        <stp>BDP|17366293820901717344</stp>
        <tr r="J1827" s="1"/>
      </tp>
      <tp t="s">
        <v>#N/A Requesting Data...3379165993</v>
        <stp/>
        <stp>BDP|16247953187540836218</stp>
        <tr r="J1225" s="1"/>
      </tp>
      <tp t="s">
        <v>#N/A Requesting Data...3057890104</v>
        <stp/>
        <stp>BDP|11478350128374380133</stp>
        <tr r="AU854" s="1"/>
      </tp>
      <tp t="s">
        <v>#N/A Requesting Data...4184176411</v>
        <stp/>
        <stp>BDP|10468482005990558157</stp>
        <tr r="AU459" s="1"/>
      </tp>
      <tp t="s">
        <v>#N/A Requesting Data...3969571617</v>
        <stp/>
        <stp>BDP|17482238720913867163</stp>
        <tr r="E286" s="1"/>
      </tp>
      <tp t="s">
        <v>#N/A Requesting Data...3469237316</v>
        <stp/>
        <stp>BDP|17713334149527409201</stp>
        <tr r="H730" s="1"/>
      </tp>
      <tp t="s">
        <v>#N/A Requesting Data...3420191738</v>
        <stp/>
        <stp>BDP|15969708243282784143</stp>
        <tr r="H1057" s="1"/>
      </tp>
      <tp t="s">
        <v>#N/A Requesting Data...3613007940</v>
        <stp/>
        <stp>BDP|16236066341633839446</stp>
        <tr r="H1125" s="1"/>
        <tr r="H1606" s="1"/>
        <tr r="H1971" s="1"/>
        <tr r="H71" s="1"/>
      </tp>
      <tp t="s">
        <v>#N/A Requesting Data...3404637526</v>
        <stp/>
        <stp>BDP|15738452140963282395</stp>
        <tr r="E1540" s="1"/>
      </tp>
      <tp t="s">
        <v>#N/A Requesting Data...3546572353</v>
        <stp/>
        <stp>BDP|17828601275330571312</stp>
        <tr r="E397" s="1"/>
      </tp>
      <tp t="s">
        <v>#N/A Requesting Data...3183660015</v>
        <stp/>
        <stp>BDP|15155094797669730010</stp>
        <tr r="AO1838" s="1"/>
      </tp>
      <tp t="s">
        <v>#N/A Requesting Data...3452405432</v>
        <stp/>
        <stp>BDP|14706813997774053498</stp>
        <tr r="AV333" s="1"/>
      </tp>
      <tp t="s">
        <v>#N/A Requesting Data...2887464776</v>
        <stp/>
        <stp>BDP|17258117636994968445</stp>
        <tr r="H1037" s="1"/>
      </tp>
      <tp t="s">
        <v>#N/A Requesting Data...4090449349</v>
        <stp/>
        <stp>BDP|10598081545310922191</stp>
        <tr r="E2092" s="1"/>
      </tp>
      <tp t="s">
        <v>#N/A Requesting Data...3021613312</v>
        <stp/>
        <stp>BDP|17735196920940632100</stp>
        <tr r="AV444" s="1"/>
      </tp>
      <tp t="s">
        <v>#N/A Requesting Data...2951150616</v>
        <stp/>
        <stp>BDP|17882197959953489541</stp>
        <tr r="E594" s="1"/>
      </tp>
      <tp t="s">
        <v>#N/A Requesting Data...3085172553</v>
        <stp/>
        <stp>BDP|15914466848200982060</stp>
        <tr r="E1066" s="1"/>
      </tp>
      <tp t="s">
        <v>#N/A Requesting Data...4174197915</v>
        <stp/>
        <stp>BDP|14222973805628106094</stp>
        <tr r="H1202" s="1"/>
      </tp>
      <tp t="s">
        <v>#N/A Requesting Data...3505664434</v>
        <stp/>
        <stp>BDP|15304792131483102721</stp>
        <tr r="AT872" s="1"/>
      </tp>
      <tp t="s">
        <v>#N/A Requesting Data...3265816842</v>
        <stp/>
        <stp>BDP|14277124312218354992</stp>
        <tr r="H182" s="1"/>
        <tr r="H1927" s="1"/>
        <tr r="H34" s="1"/>
        <tr r="H939" s="1"/>
      </tp>
      <tp t="s">
        <v>#N/A Requesting Data...3085223673</v>
        <stp/>
        <stp>BDP|15162186804462153345</stp>
        <tr r="AV628" s="1"/>
      </tp>
      <tp t="s">
        <v>#N/A Requesting Data...3182492008</v>
        <stp/>
        <stp>BDP|13708591101305637615</stp>
        <tr r="AV302" s="1"/>
      </tp>
      <tp t="s">
        <v>#N/A Requesting Data...3577905912</v>
        <stp/>
        <stp>BDP|13231295493985776843</stp>
        <tr r="J1516" s="1"/>
      </tp>
      <tp t="s">
        <v>#N/A Requesting Data...3264802344</v>
        <stp/>
        <stp>BDP|10119380003021091712</stp>
        <tr r="J1891" s="1"/>
        <tr r="J2095" s="1"/>
      </tp>
      <tp t="s">
        <v>#N/A Requesting Data...3174281098</v>
        <stp/>
        <stp>BDP|11736257927700995470</stp>
        <tr r="AP1431" s="1"/>
      </tp>
      <tp t="s">
        <v>#N/A Requesting Data...4185188012</v>
        <stp/>
        <stp>BDP|10283183665204766636</stp>
        <tr r="AV221" s="1"/>
        <tr r="AV276" s="1"/>
      </tp>
      <tp t="s">
        <v>#N/A Requesting Data...3410324173</v>
        <stp/>
        <stp>BDP|11928108052529802982</stp>
        <tr r="E873" s="1"/>
      </tp>
      <tp t="s">
        <v>#N/A Requesting Data...3143578988</v>
        <stp/>
        <stp>BDP|15010781515476387050</stp>
        <tr r="H1940" s="1"/>
      </tp>
      <tp t="s">
        <v>#N/A Requesting Data...3904918225</v>
        <stp/>
        <stp>BDP|14397446037322296499</stp>
        <tr r="AT630" s="1"/>
      </tp>
      <tp t="s">
        <v>#N/A Requesting Data...4028744934</v>
        <stp/>
        <stp>BDP|15614384675316021207</stp>
        <tr r="E839" s="1"/>
      </tp>
      <tp t="s">
        <v>#N/A Requesting Data...3149652958</v>
        <stp/>
        <stp>BDP|14663131104124879423</stp>
        <tr r="AV497" s="1"/>
      </tp>
      <tp t="s">
        <v>#N/A Requesting Data...3440217920</v>
        <stp/>
        <stp>BDP|12928931692112294519</stp>
        <tr r="E624" s="1"/>
      </tp>
      <tp t="s">
        <v>#N/A Requesting Data...4198201144</v>
        <stp/>
        <stp>BDP|15726137846565978005</stp>
        <tr r="J1592" s="1"/>
      </tp>
      <tp t="s">
        <v>#N/A Requesting Data...2863432390</v>
        <stp/>
        <stp>BDP|13512770662600238791</stp>
        <tr r="E954" s="1"/>
      </tp>
      <tp t="s">
        <v>#N/A Requesting Data...4198247664</v>
        <stp/>
        <stp>BDP|18043777225981873919</stp>
        <tr r="J1404" s="1"/>
      </tp>
      <tp t="s">
        <v>#N/A Requesting Data...3048345021</v>
        <stp/>
        <stp>BDP|11846931094365089155</stp>
        <tr r="J1820" s="1"/>
      </tp>
      <tp t="s">
        <v>#N/A Requesting Data...3888986182</v>
        <stp/>
        <stp>BDP|10412014212691439599</stp>
        <tr r="H1259" s="1"/>
      </tp>
      <tp t="s">
        <v>#N/A Requesting Data...3420875016</v>
        <stp/>
        <stp>BDP|14275671156423872118</stp>
        <tr r="E1821" s="1"/>
      </tp>
      <tp t="s">
        <v>#N/A Requesting Data...3270817045</v>
        <stp/>
        <stp>BDP|17507485490937437832</stp>
        <tr r="H633" s="1"/>
      </tp>
      <tp t="s">
        <v>#N/A Requesting Data...3924554009</v>
        <stp/>
        <stp>BDP|11967502932383838197</stp>
        <tr r="AU763" s="1"/>
      </tp>
      <tp t="s">
        <v>#N/A Requesting Data...4218480960</v>
        <stp/>
        <stp>BDP|14784826037359983316</stp>
        <tr r="H759" s="1"/>
      </tp>
      <tp t="s">
        <v>#N/A Requesting Data...3129530514</v>
        <stp/>
        <stp>BDP|14665734827216814203</stp>
        <tr r="H66" s="1"/>
      </tp>
      <tp t="s">
        <v>#N/A Requesting Data...3843743929</v>
        <stp/>
        <stp>BDP|14952634010433579553</stp>
        <tr r="AT579" s="1"/>
      </tp>
      <tp t="s">
        <v>#N/A Requesting Data...3053842092</v>
        <stp/>
        <stp>BDP|17682593704003431459</stp>
        <tr r="H140" s="1"/>
        <tr r="H1413" s="1"/>
        <tr r="H1448" s="1"/>
      </tp>
      <tp t="s">
        <v>#N/A Requesting Data...3712742674</v>
        <stp/>
        <stp>BDP|14667430024335307282</stp>
        <tr r="AT517" s="1"/>
      </tp>
      <tp t="s">
        <v>#N/A Requesting Data...3468421507</v>
        <stp/>
        <stp>BDP|14676208308496335503</stp>
        <tr r="E740" s="1"/>
      </tp>
      <tp t="s">
        <v>#N/A Requesting Data...3982441323</v>
        <stp/>
        <stp>BDP|11874754802732674148</stp>
        <tr r="H1758" s="1"/>
      </tp>
      <tp t="s">
        <v>#N/A Requesting Data...3750973033</v>
        <stp/>
        <stp>BDP|10189625495023868930</stp>
        <tr r="H1159" s="1"/>
        <tr r="H1904" s="1"/>
      </tp>
      <tp t="s">
        <v>#N/A Requesting Data...3441943748</v>
        <stp/>
        <stp>BDP|13107379939656716056</stp>
        <tr r="E1375" s="1"/>
      </tp>
      <tp t="s">
        <v>#N/A Requesting Data...4253381842</v>
        <stp/>
        <stp>BDP|15132043814569822848</stp>
        <tr r="AT409" s="1"/>
      </tp>
      <tp t="s">
        <v>#N/A Requesting Data...3368736792</v>
        <stp/>
        <stp>BDP|13186297226711289713</stp>
        <tr r="AU479" s="1"/>
      </tp>
      <tp t="s">
        <v>#N/A Requesting Data...3119736898</v>
        <stp/>
        <stp>BDP|15879523852783239373</stp>
        <tr r="H318" s="1"/>
      </tp>
      <tp t="s">
        <v>#N/A Requesting Data...4188115357</v>
        <stp/>
        <stp>BDP|11862773115060726205</stp>
        <tr r="J315" s="1"/>
      </tp>
      <tp t="s">
        <v>#N/A Requesting Data...3322528738</v>
        <stp/>
        <stp>BDP|10320774060331141583</stp>
        <tr r="AT641" s="1"/>
      </tp>
      <tp t="s">
        <v>#N/A Requesting Data...3551862899</v>
        <stp/>
        <stp>BDP|10580978091217737290</stp>
        <tr r="J1683" s="1"/>
      </tp>
      <tp t="s">
        <v>#N/A Requesting Data...3133902588</v>
        <stp/>
        <stp>BDP|17164582424344556153</stp>
        <tr r="AV542" s="1"/>
      </tp>
      <tp t="s">
        <v>#N/A Requesting Data...4042699651</v>
        <stp/>
        <stp>BDP|16981702563891604317</stp>
        <tr r="AT525" s="1"/>
      </tp>
      <tp t="s">
        <v>#N/A Requesting Data...3390792686</v>
        <stp/>
        <stp>BDP|12379344650942273388</stp>
        <tr r="E710" s="1"/>
      </tp>
      <tp t="s">
        <v>#N/A Requesting Data...4074891736</v>
        <stp/>
        <stp>BDP|15534474901311944575</stp>
        <tr r="H1082" s="1"/>
        <tr r="H1926" s="1"/>
      </tp>
      <tp t="s">
        <v>#N/A Requesting Data...3730456639</v>
        <stp/>
        <stp>BDP|13448563006381988216</stp>
        <tr r="E720" s="1"/>
      </tp>
      <tp t="s">
        <v>#N/A Requesting Data...3636419972</v>
        <stp/>
        <stp>BDP|16190941590026134583</stp>
        <tr r="AT886" s="1"/>
      </tp>
      <tp t="s">
        <v>#N/A Requesting Data...3623428693</v>
        <stp/>
        <stp>BDP|12959150814177098042</stp>
        <tr r="AO1988" s="1"/>
      </tp>
      <tp t="s">
        <v>#N/A Requesting Data...3023883887</v>
        <stp/>
        <stp>BDP|13402910996843961561</stp>
        <tr r="H1299" s="1"/>
      </tp>
      <tp t="s">
        <v>#N/A Requesting Data...3653064298</v>
        <stp/>
        <stp>BDP|10861770870522066738</stp>
        <tr r="AS2039" s="1"/>
      </tp>
      <tp t="s">
        <v>#N/A Requesting Data...3963875381</v>
        <stp/>
        <stp>BDP|10384452389280282913</stp>
        <tr r="H2101" s="1"/>
      </tp>
      <tp t="s">
        <v>#N/A Requesting Data...3899150346</v>
        <stp/>
        <stp>BDP|12137128153161805249</stp>
        <tr r="AV884" s="1"/>
      </tp>
      <tp t="s">
        <v>#N/A Requesting Data...3336405221</v>
        <stp/>
        <stp>BDP|10822331643036625422</stp>
        <tr r="H1218" s="1"/>
      </tp>
      <tp t="s">
        <v>#N/A Requesting Data...4068910590</v>
        <stp/>
        <stp>BDP|17894199018684249673</stp>
        <tr r="J696" s="1"/>
      </tp>
      <tp t="s">
        <v>#N/A Requesting Data...3627859252</v>
        <stp/>
        <stp>BDP|16960932565628624450</stp>
        <tr r="H312" s="1"/>
      </tp>
      <tp t="s">
        <v>#N/A Requesting Data...3440195571</v>
        <stp/>
        <stp>BDP|15179207588302358861</stp>
        <tr r="J1536" s="1"/>
      </tp>
      <tp t="s">
        <v>#N/A Requesting Data...3196374722</v>
        <stp/>
        <stp>BDP|10651642211313910162</stp>
        <tr r="J18" s="1"/>
        <tr r="J1851" s="1"/>
      </tp>
      <tp t="s">
        <v>#N/A Requesting Data...3607186392</v>
        <stp/>
        <stp>BDP|12063288734211165721</stp>
        <tr r="AS1726" s="1"/>
      </tp>
      <tp t="s">
        <v>#N/A Requesting Data...3855284451</v>
        <stp/>
        <stp>BDP|16539632614220580481</stp>
        <tr r="AV416" s="1"/>
      </tp>
      <tp t="s">
        <v>#N/A Requesting Data...3770242112</v>
        <stp/>
        <stp>BDP|11106009315647808231</stp>
        <tr r="H866" s="1"/>
      </tp>
      <tp t="s">
        <v>#N/A Requesting Data...3438017262</v>
        <stp/>
        <stp>BDP|17761713174451815353</stp>
        <tr r="AV325" s="1"/>
      </tp>
      <tp t="s">
        <v>#N/A Requesting Data...2926307198</v>
        <stp/>
        <stp>BDP|12741721108111146132</stp>
        <tr r="H1877" s="1"/>
      </tp>
      <tp t="s">
        <v>#N/A Requesting Data...3871266767</v>
        <stp/>
        <stp>BDP|15203571632604869200</stp>
        <tr r="AV481" s="1"/>
      </tp>
      <tp t="s">
        <v>#N/A Requesting Data...3312515445</v>
        <stp/>
        <stp>BDP|11378706698052402801</stp>
        <tr r="E1341" s="1"/>
        <tr r="E1818" s="1"/>
      </tp>
      <tp t="s">
        <v>#N/A Requesting Data...3255171572</v>
        <stp/>
        <stp>BDP|10145532212319675892</stp>
        <tr r="AO1154" s="1"/>
      </tp>
      <tp t="s">
        <v>#N/A Requesting Data...2777205953</v>
        <stp/>
        <stp>BDP|10122247168624441560</stp>
        <tr r="E416" s="1"/>
      </tp>
      <tp t="s">
        <v>#N/A Requesting Data...3856524009</v>
        <stp/>
        <stp>BDP|10249312343630816274</stp>
        <tr r="AT678" s="1"/>
      </tp>
      <tp t="s">
        <v>#N/A Requesting Data...4121238942</v>
        <stp/>
        <stp>BDP|13101048621983276793</stp>
        <tr r="J1907" s="1"/>
      </tp>
      <tp t="s">
        <v>#N/A Requesting Data...4237543039</v>
        <stp/>
        <stp>BDP|12587207573090121297</stp>
        <tr r="E906" s="1"/>
      </tp>
      <tp t="s">
        <v>#N/A Requesting Data...3210811390</v>
        <stp/>
        <stp>BDP|17997015135473564264</stp>
        <tr r="J809" s="1"/>
      </tp>
      <tp t="s">
        <v>#N/A Requesting Data...2962430482</v>
        <stp/>
        <stp>BDP|15997757554144193679</stp>
        <tr r="AV917" s="1"/>
      </tp>
      <tp t="s">
        <v>#N/A Requesting Data...3009461360</v>
        <stp/>
        <stp>BDP|17760849481127431582</stp>
        <tr r="H1638" s="1"/>
        <tr r="H987" s="1"/>
      </tp>
      <tp t="s">
        <v>#N/A Requesting Data...3414223306</v>
        <stp/>
        <stp>BDP|16283205531240474297</stp>
        <tr r="AU442" s="1"/>
      </tp>
      <tp t="s">
        <v>#N/A Requesting Data...3217628684</v>
        <stp/>
        <stp>BDP|18059594095513338218</stp>
        <tr r="AU473" s="1"/>
      </tp>
      <tp t="s">
        <v>#N/A Requesting Data...3430041673</v>
        <stp/>
        <stp>BDP|11536476919148382961</stp>
        <tr r="AT367" s="1"/>
      </tp>
      <tp t="s">
        <v>#N/A Requesting Data...3864123562</v>
        <stp/>
        <stp>BDP|14849265447862252551</stp>
        <tr r="J1388" s="1"/>
      </tp>
      <tp t="s">
        <v>#N/A Requesting Data...2960762162</v>
        <stp/>
        <stp>BDP|13630277946706191686</stp>
        <tr r="J173" s="1"/>
      </tp>
      <tp t="s">
        <v>#N/A Requesting Data...2835120640</v>
        <stp/>
        <stp>BDP|12374207694888869412</stp>
        <tr r="AU255" s="1"/>
      </tp>
      <tp t="s">
        <v>#N/A Requesting Data...4084741844</v>
        <stp/>
        <stp>BDP|11365780122461784009</stp>
        <tr r="AV496" s="1"/>
      </tp>
      <tp t="s">
        <v>#N/A Requesting Data...3164498566</v>
        <stp/>
        <stp>BDP|14515257242085506294</stp>
        <tr r="H1302" s="1"/>
      </tp>
      <tp t="s">
        <v>#N/A Requesting Data...2957437492</v>
        <stp/>
        <stp>BDP|12505109223562865608</stp>
        <tr r="AU698" s="1"/>
      </tp>
      <tp t="s">
        <v>#N/A Requesting Data...3753522955</v>
        <stp/>
        <stp>BDP|10108130246052258285</stp>
        <tr r="J1181" s="1"/>
      </tp>
      <tp t="s">
        <v>#N/A Requesting Data...3135470305</v>
        <stp/>
        <stp>BDP|13879064083558505663</stp>
        <tr r="H322" s="1"/>
      </tp>
      <tp t="s">
        <v>#N/A Requesting Data...2812538174</v>
        <stp/>
        <stp>BDP|10483373157533775020</stp>
        <tr r="AU912" s="1"/>
      </tp>
      <tp t="s">
        <v>#N/A Requesting Data...4065872873</v>
        <stp/>
        <stp>BDP|10804080013373222708</stp>
        <tr r="H168" s="1"/>
      </tp>
      <tp t="s">
        <v>#N/A Requesting Data...4257605201</v>
        <stp/>
        <stp>BDP|17901291560580204639</stp>
        <tr r="AV679" s="1"/>
      </tp>
      <tp t="s">
        <v>#N/A Requesting Data...3751500577</v>
        <stp/>
        <stp>BDP|16134906873818219511</stp>
        <tr r="AT882" s="1"/>
      </tp>
      <tp t="s">
        <v>#N/A Requesting Data...3447606794</v>
        <stp/>
        <stp>BDP|12429438833118621835</stp>
        <tr r="AU511" s="1"/>
      </tp>
      <tp t="s">
        <v>#N/A Requesting Data...4119278035</v>
        <stp/>
        <stp>BDP|12518187584698891608</stp>
        <tr r="J704" s="1"/>
      </tp>
      <tp t="s">
        <v>#N/A Requesting Data...3688255852</v>
        <stp/>
        <stp>BDP|10116735063824240029</stp>
        <tr r="E1172" s="1"/>
      </tp>
      <tp t="s">
        <v>#N/A Requesting Data...3849201386</v>
        <stp/>
        <stp>BDP|12498382809664398073</stp>
        <tr r="E531" s="1"/>
      </tp>
      <tp t="s">
        <v>#N/A Requesting Data...3943879642</v>
        <stp/>
        <stp>BDP|10079076441739372847</stp>
        <tr r="E1511" s="1"/>
        <tr r="E1631" s="1"/>
      </tp>
      <tp t="s">
        <v>#N/A Requesting Data...2919744735</v>
        <stp/>
        <stp>BDP|12955203438612201424</stp>
        <tr r="H500" s="1"/>
      </tp>
      <tp t="s">
        <v>#N/A Requesting Data...3345884661</v>
        <stp/>
        <stp>BDP|16976864692770406280</stp>
        <tr r="E871" s="1"/>
      </tp>
      <tp t="s">
        <v>#N/A Requesting Data...3448921833</v>
        <stp/>
        <stp>BDP|18313948165311292317</stp>
        <tr r="E1232" s="1"/>
      </tp>
      <tp t="s">
        <v>#N/A Requesting Data...4181985997</v>
        <stp/>
        <stp>BDP|15777786263503588297</stp>
        <tr r="H279" s="1"/>
      </tp>
      <tp t="s">
        <v>#N/A Requesting Data...3695072943</v>
        <stp/>
        <stp>BDP|16153269854591046534</stp>
        <tr r="J491" s="1"/>
      </tp>
      <tp t="s">
        <v>#N/A Requesting Data...4023907146</v>
        <stp/>
        <stp>BDP|11896033018083563663</stp>
        <tr r="J431" s="1"/>
      </tp>
      <tp t="s">
        <v>#N/A Requesting Data...3991017645</v>
        <stp/>
        <stp>BDP|18342852703817050254</stp>
        <tr r="AT921" s="1"/>
      </tp>
      <tp t="s">
        <v>#N/A Requesting Data...3456425476</v>
        <stp/>
        <stp>BDP|18090762181191442330</stp>
        <tr r="J1889" s="1"/>
        <tr r="J42" s="1"/>
      </tp>
      <tp t="s">
        <v>#N/A Requesting Data...4188494224</v>
        <stp/>
        <stp>BDP|13694430652007032079</stp>
        <tr r="H699" s="1"/>
      </tp>
      <tp t="s">
        <v>#N/A Requesting Data...3386768293</v>
        <stp/>
        <stp>BDP|10492347651804919787</stp>
        <tr r="H406" s="1"/>
      </tp>
      <tp t="s">
        <v>#N/A Requesting Data...3510708505</v>
        <stp/>
        <stp>BDP|13271002273249491859</stp>
        <tr r="H1416" s="1"/>
      </tp>
      <tp t="s">
        <v>#N/A Requesting Data...4229334203</v>
        <stp/>
        <stp>BDP|14460589129616660038</stp>
        <tr r="J807" s="1"/>
      </tp>
      <tp t="s">
        <v>#N/A Requesting Data...3627836408</v>
        <stp/>
        <stp>BDP|17088110331720251011</stp>
        <tr r="AT732" s="1"/>
      </tp>
      <tp t="s">
        <v>#N/A Requesting Data...3121765339</v>
        <stp/>
        <stp>BDP|15607768642227966484</stp>
        <tr r="E1603" s="1"/>
        <tr r="E1856" s="1"/>
      </tp>
      <tp t="s">
        <v>#N/A Requesting Data...3640800409</v>
        <stp/>
        <stp>BDP|15414400706054111008</stp>
        <tr r="AS779" s="1"/>
      </tp>
      <tp t="s">
        <v>#N/A Requesting Data...3327060602</v>
        <stp/>
        <stp>BDP|17521601836191446649</stp>
        <tr r="E681" s="1"/>
      </tp>
      <tp t="s">
        <v>#N/A Requesting Data...3861256027</v>
        <stp/>
        <stp>BDP|13265808568340110880</stp>
        <tr r="H880" s="1"/>
      </tp>
      <tp t="s">
        <v>#N/A Requesting Data...3237045735</v>
        <stp/>
        <stp>BDP|12949249147398827910</stp>
        <tr r="E810" s="1"/>
      </tp>
      <tp t="s">
        <v>#N/A Requesting Data...3271004370</v>
        <stp/>
        <stp>BDP|14775477852459862991</stp>
        <tr r="H382" s="1"/>
      </tp>
      <tp t="s">
        <v>#N/A Requesting Data...3633724573</v>
        <stp/>
        <stp>BDP|10233290466598971973</stp>
        <tr r="AT907" s="1"/>
      </tp>
      <tp t="s">
        <v>#N/A Requesting Data...3060796602</v>
        <stp/>
        <stp>BDP|13604763217126454606</stp>
        <tr r="H933" s="1"/>
      </tp>
      <tp t="s">
        <v>#N/A Requesting Data...3782108731</v>
        <stp/>
        <stp>BDP|10461759612152991196</stp>
        <tr r="AT461" s="1"/>
      </tp>
      <tp t="s">
        <v>#N/A Requesting Data...3165757865</v>
        <stp/>
        <stp>BDP|13159949473609030159</stp>
        <tr r="AV908" s="1"/>
      </tp>
      <tp t="s">
        <v>#N/A Requesting Data...3143132084</v>
        <stp/>
        <stp>BDP|18204055495592796669</stp>
        <tr r="AU215" s="1"/>
      </tp>
      <tp t="s">
        <v>#N/A Requesting Data...3313577427</v>
        <stp/>
        <stp>BDP|11616930266272273923</stp>
        <tr r="J1041" s="1"/>
      </tp>
      <tp t="s">
        <v>#N/A Requesting Data...3538982528</v>
        <stp/>
        <stp>BDP|15551054163232071403</stp>
        <tr r="AT452" s="1"/>
      </tp>
      <tp t="s">
        <v>#N/A Requesting Data...3290845930</v>
        <stp/>
        <stp>BDP|17899099715755779605</stp>
        <tr r="E1259" s="1"/>
      </tp>
      <tp t="s">
        <v>#N/A Requesting Data...3519740714</v>
        <stp/>
        <stp>BDP|13821299979935325698</stp>
        <tr r="E14" s="1"/>
        <tr r="E1845" s="1"/>
      </tp>
      <tp t="s">
        <v>#N/A Requesting Data...3675735086</v>
        <stp/>
        <stp>BDP|13709465341866505075</stp>
        <tr r="E654" s="1"/>
      </tp>
      <tp t="s">
        <v>#N/A Requesting Data...4209240983</v>
        <stp/>
        <stp>BDP|16537560177727688603</stp>
        <tr r="AV419" s="1"/>
      </tp>
      <tp t="s">
        <v>#N/A Requesting Data...3083014160</v>
        <stp/>
        <stp>BDP|16089169026964105437</stp>
        <tr r="H671" s="1"/>
      </tp>
      <tp t="s">
        <v>#N/A Requesting Data...3348929807</v>
        <stp/>
        <stp>BDP|14707646644994554704</stp>
        <tr r="E1262" s="1"/>
      </tp>
      <tp t="s">
        <v>#N/A Requesting Data...3394347952</v>
        <stp/>
        <stp>BDP|13488787169927492031</stp>
        <tr r="J898" s="1"/>
      </tp>
      <tp t="s">
        <v>#N/A Requesting Data...3304379023</v>
        <stp/>
        <stp>BDP|17458757464974421737</stp>
        <tr r="E1145" s="1"/>
        <tr r="E1650" s="1"/>
      </tp>
      <tp t="s">
        <v>#N/A Requesting Data...3501831846</v>
        <stp/>
        <stp>BDP|10427689869792349745</stp>
        <tr r="E1869" s="1"/>
        <tr r="E32" s="1"/>
      </tp>
      <tp t="s">
        <v>#N/A Requesting Data...3340010178</v>
        <stp/>
        <stp>BDP|17078759274207675556</stp>
        <tr r="AO1457" s="1"/>
      </tp>
      <tp t="s">
        <v>#N/A Requesting Data...3547768363</v>
        <stp/>
        <stp>BDP|11912288670896059738</stp>
        <tr r="AV707" s="1"/>
      </tp>
      <tp t="s">
        <v>#N/A Requesting Data...3580355737</v>
        <stp/>
        <stp>BDP|15042776664813113207</stp>
        <tr r="E1426" s="1"/>
      </tp>
      <tp t="s">
        <v>#N/A Requesting Data...3707678253</v>
        <stp/>
        <stp>BDP|10184325246733093170</stp>
        <tr r="E524" s="1"/>
      </tp>
      <tp t="s">
        <v>#N/A Requesting Data...3146511781</v>
        <stp/>
        <stp>BDP|17743360001201447060</stp>
        <tr r="J922" s="1"/>
      </tp>
      <tp t="s">
        <v>#N/A Requesting Data...4140177294</v>
        <stp/>
        <stp>BDP|10148124737381155674</stp>
        <tr r="AT609" s="1"/>
      </tp>
      <tp t="s">
        <v>#N/A Requesting Data...3166445370</v>
        <stp/>
        <stp>BDP|12791515860822776632</stp>
        <tr r="H72" s="1"/>
      </tp>
      <tp t="s">
        <v>#N/A Requesting Data...2951806047</v>
        <stp/>
        <stp>BDP|17443973686370638316</stp>
        <tr r="AV678" s="1"/>
      </tp>
      <tp t="s">
        <v>#N/A Requesting Data...3571948433</v>
        <stp/>
        <stp>BDP|11230014523300676642</stp>
        <tr r="H137" s="1"/>
      </tp>
      <tp t="s">
        <v>#N/A Requesting Data...2877562222</v>
        <stp/>
        <stp>BDP|11415521970663317570</stp>
        <tr r="E650" s="1"/>
      </tp>
      <tp t="s">
        <v>#N/A Requesting Data...3556090126</v>
        <stp/>
        <stp>BDP|15231778782609217607</stp>
        <tr r="J1174" s="1"/>
        <tr r="J1620" s="1"/>
        <tr r="J1922" s="1"/>
      </tp>
      <tp t="s">
        <v>#N/A Requesting Data...3769813548</v>
        <stp/>
        <stp>BDP|12365545465860679416</stp>
        <tr r="AT369" s="1"/>
      </tp>
      <tp t="s">
        <v>#N/A Requesting Data...4104899035</v>
        <stp/>
        <stp>BDP|16399322664697472143</stp>
        <tr r="AU743" s="1"/>
      </tp>
      <tp t="s">
        <v>#N/A Requesting Data...4050044154</v>
        <stp/>
        <stp>BDP|13421846693544310358</stp>
        <tr r="J1354" s="1"/>
      </tp>
      <tp t="s">
        <v>#N/A Requesting Data...3352412650</v>
        <stp/>
        <stp>BDP|11792471135702724173</stp>
        <tr r="E406" s="1"/>
      </tp>
      <tp t="s">
        <v>#N/A Requesting Data...2945651504</v>
        <stp/>
        <stp>BDP|17658202102021610174</stp>
        <tr r="H1691" s="1"/>
      </tp>
      <tp t="s">
        <v>#N/A Requesting Data...4031529321</v>
        <stp/>
        <stp>BDP|13995463881628845239</stp>
        <tr r="AT608" s="1"/>
      </tp>
      <tp t="s">
        <v>#N/A Requesting Data...2855979096</v>
        <stp/>
        <stp>BDP|11844361158052107024</stp>
        <tr r="H1551" s="1"/>
        <tr r="H1876" s="1"/>
      </tp>
      <tp t="s">
        <v>#N/A Requesting Data...3191128003</v>
        <stp/>
        <stp>BDP|15435479357961613073</stp>
        <tr r="E1037" s="1"/>
      </tp>
      <tp t="s">
        <v>#N/A Requesting Data...3364419862</v>
        <stp/>
        <stp>BDP|11464132310997684345</stp>
        <tr r="J1163" s="1"/>
      </tp>
      <tp t="s">
        <v>#N/A Requesting Data...4060466220</v>
        <stp/>
        <stp>BDP|17785318957656765237</stp>
        <tr r="AO2006" s="1"/>
      </tp>
      <tp t="s">
        <v>#N/A Requesting Data...3992507295</v>
        <stp/>
        <stp>BDP|15772147460403575434</stp>
        <tr r="H715" s="1"/>
      </tp>
      <tp t="s">
        <v>#N/A Requesting Data...3076177277</v>
        <stp/>
        <stp>BDP|13931174370105859536</stp>
        <tr r="H918" s="1"/>
      </tp>
      <tp t="s">
        <v>#N/A Requesting Data...3538035693</v>
        <stp/>
        <stp>BDP|17596370829140926363</stp>
        <tr r="AV740" s="1"/>
      </tp>
      <tp t="s">
        <v>#N/A Requesting Data...4270276479</v>
        <stp/>
        <stp>BDP|17772558235682735642</stp>
        <tr r="AV708" s="1"/>
      </tp>
      <tp t="s">
        <v>#N/A Requesting Data...3976332560</v>
        <stp/>
        <stp>BDP|13696353316750769464</stp>
        <tr r="H613" s="1"/>
      </tp>
      <tp t="s">
        <v>#N/A Requesting Data...3733164846</v>
        <stp/>
        <stp>BDP|13729279601776410212</stp>
        <tr r="AU863" s="1"/>
      </tp>
      <tp t="s">
        <v>#N/A Requesting Data...3703886451</v>
        <stp/>
        <stp>BDP|12879613543374818169</stp>
        <tr r="E1693" s="1"/>
      </tp>
      <tp t="s">
        <v>#N/A Requesting Data...4009083230</v>
        <stp/>
        <stp>BDP|13615303559762828239</stp>
        <tr r="E182" s="1"/>
        <tr r="E1927" s="1"/>
        <tr r="E34" s="1"/>
        <tr r="E939" s="1"/>
      </tp>
      <tp t="s">
        <v>#N/A Requesting Data...4249736302</v>
        <stp/>
        <stp>BDP|14720773441544401619</stp>
        <tr r="E1491" s="1"/>
      </tp>
      <tp t="s">
        <v>#N/A Requesting Data...3013455709</v>
        <stp/>
        <stp>BDP|14898075176827817156</stp>
        <tr r="J387" s="1"/>
      </tp>
      <tp t="s">
        <v>#N/A Requesting Data...3808711465</v>
        <stp/>
        <stp>BDP|17884254409962710277</stp>
        <tr r="AV503" s="1"/>
      </tp>
      <tp t="s">
        <v>#N/A Requesting Data...3018481041</v>
        <stp/>
        <stp>BDP|12120015148641472284</stp>
        <tr r="E355" s="1"/>
      </tp>
      <tp t="s">
        <v>#N/A Requesting Data...3683618838</v>
        <stp/>
        <stp>BDP|15941907275538107697</stp>
        <tr r="AO1561" s="1"/>
      </tp>
      <tp t="s">
        <v>#N/A Requesting Data...3594825043</v>
        <stp/>
        <stp>BDP|12596447616396788445</stp>
        <tr r="J1898" s="1"/>
      </tp>
      <tp t="s">
        <v>#N/A Requesting Data...3058651844</v>
        <stp/>
        <stp>BDP|16949152449720459653</stp>
        <tr r="J1121" s="1"/>
        <tr r="J1596" s="1"/>
        <tr r="J67" s="1"/>
      </tp>
      <tp t="s">
        <v>#N/A Requesting Data...3665772967</v>
        <stp/>
        <stp>BDP|17469015340517833193</stp>
        <tr r="J1297" s="1"/>
      </tp>
      <tp t="s">
        <v>#N/A Requesting Data...3603618058</v>
        <stp/>
        <stp>BDP|16571730322272750449</stp>
        <tr r="H1203" s="1"/>
      </tp>
      <tp t="s">
        <v>#N/A Requesting Data...3229041224</v>
        <stp/>
        <stp>BDP|12411176847732710049</stp>
        <tr r="H1923" s="1"/>
      </tp>
      <tp t="s">
        <v>#N/A Requesting Data...3001085517</v>
        <stp/>
        <stp>BDP|10336816794816411252</stp>
        <tr r="H569" s="1"/>
      </tp>
      <tp t="s">
        <v>#N/A Requesting Data...4008427206</v>
        <stp/>
        <stp>BDP|17745078854811011638</stp>
        <tr r="J734" s="1"/>
      </tp>
      <tp t="s">
        <v>#N/A Requesting Data...3373743688</v>
        <stp/>
        <stp>BDP|17223689638690330762</stp>
        <tr r="AT867" s="1"/>
      </tp>
      <tp t="s">
        <v>#N/A Requesting Data...3598598659</v>
        <stp/>
        <stp>BDP|17282006519281835243</stp>
        <tr r="H169" s="1"/>
        <tr r="H1816" s="1"/>
      </tp>
      <tp t="s">
        <v>#N/A Requesting Data...4229591423</v>
        <stp/>
        <stp>BDP|17355047516101042265</stp>
        <tr r="J2083" s="1"/>
      </tp>
      <tp t="s">
        <v>#N/A Requesting Data...3137360144</v>
        <stp/>
        <stp>BDP|17155347848450223585</stp>
        <tr r="H1969" s="1"/>
      </tp>
      <tp t="s">
        <v>#N/A Requesting Data...3691931823</v>
        <stp/>
        <stp>BDP|11790148222424332351</stp>
        <tr r="H1138" s="1"/>
        <tr r="H90" s="1"/>
      </tp>
      <tp t="s">
        <v>#N/A Requesting Data...3972318840</v>
        <stp/>
        <stp>BDP|11920335814291120782</stp>
        <tr r="AU480" s="1"/>
      </tp>
      <tp t="s">
        <v>#N/A Requesting Data...3613952357</v>
        <stp/>
        <stp>BDP|10459759983003312968</stp>
        <tr r="J1286" s="1"/>
      </tp>
      <tp t="s">
        <v>#N/A Requesting Data...4049172155</v>
        <stp/>
        <stp>BDP|12196394988474379856</stp>
        <tr r="J285" s="1"/>
      </tp>
      <tp t="s">
        <v>#N/A Requesting Data...2993579243</v>
        <stp/>
        <stp>BDP|14659677311156150078</stp>
        <tr r="AU585" s="1"/>
      </tp>
      <tp t="s">
        <v>#N/A Requesting Data...4227284873</v>
        <stp/>
        <stp>BDP|11290419528156479498</stp>
        <tr r="E2087" s="1"/>
      </tp>
      <tp t="s">
        <v>#N/A Requesting Data...3272139097</v>
        <stp/>
        <stp>BDP|18384695048146569917</stp>
        <tr r="E577" s="1"/>
      </tp>
      <tp t="s">
        <v>#N/A Requesting Data...3110241027</v>
        <stp/>
        <stp>BDP|13967314615436945221</stp>
        <tr r="AS1807" s="1"/>
      </tp>
      <tp t="s">
        <v>#N/A Requesting Data...2933717325</v>
        <stp/>
        <stp>BDP|14500697043477941404</stp>
        <tr r="E121" s="1"/>
      </tp>
      <tp t="s">
        <v>#N/A Requesting Data...3447559411</v>
        <stp/>
        <stp>BDP|14754010957764598028</stp>
        <tr r="J499" s="1"/>
      </tp>
      <tp t="s">
        <v>#N/A Requesting Data...3749737060</v>
        <stp/>
        <stp>BDP|16221771312285346027</stp>
        <tr r="AV888" s="1"/>
      </tp>
      <tp t="s">
        <v>#N/A Requesting Data...3828565891</v>
        <stp/>
        <stp>BDP|15672478416356062318</stp>
        <tr r="J705" s="1"/>
      </tp>
      <tp t="s">
        <v>#N/A Requesting Data...3213722726</v>
        <stp/>
        <stp>BDP|13519397900773226683</stp>
        <tr r="AU651" s="1"/>
      </tp>
      <tp t="s">
        <v>#N/A Requesting Data...3837832459</v>
        <stp/>
        <stp>BDP|10176685630195703586</stp>
        <tr r="E463" s="1"/>
      </tp>
      <tp t="s">
        <v>#N/A Requesting Data...3006978011</v>
        <stp/>
        <stp>BDP|16315019674300965498</stp>
        <tr r="J428" s="1"/>
      </tp>
      <tp t="s">
        <v>#N/A Requesting Data...3785613330</v>
        <stp/>
        <stp>BDP|16376658306812468725</stp>
        <tr r="H1499" s="1"/>
      </tp>
    </main>
    <main first="bofaddin.rtdserver">
      <tp t="s">
        <v>#N/A Requesting Data...3266609141</v>
        <stp/>
        <stp>BDP|1698208305318171</stp>
        <tr r="H222" s="1"/>
      </tp>
      <tp t="s">
        <v>#N/A Requesting Data...3457568651</v>
        <stp/>
        <stp>BDP|2434237497342157</stp>
        <tr r="J595" s="1"/>
      </tp>
      <tp t="s">
        <v>#N/A Requesting Data...3732739028</v>
        <stp/>
        <stp>BDP|3745108580311848753</stp>
        <tr r="E1865" s="1"/>
      </tp>
      <tp t="s">
        <v>#N/A Requesting Data...2886180335</v>
        <stp/>
        <stp>BDP|6420609719438773503</stp>
        <tr r="H1692" s="1"/>
      </tp>
      <tp t="s">
        <v>#N/A Requesting Data...4038052549</v>
        <stp/>
        <stp>BDP|4043798146322474912</stp>
        <tr r="E1670" s="1"/>
      </tp>
      <tp t="s">
        <v>#N/A Requesting Data...3303197946</v>
        <stp/>
        <stp>BDP|7379794544810582819</stp>
        <tr r="H1307" s="1"/>
      </tp>
      <tp t="s">
        <v>#N/A Requesting Data...3733598340</v>
        <stp/>
        <stp>BDP|3346737886979846943</stp>
        <tr r="E993" s="1"/>
      </tp>
      <tp t="s">
        <v>#N/A Requesting Data...3512112995</v>
        <stp/>
        <stp>BDP|3902300485805606104</stp>
        <tr r="AT539" s="1"/>
      </tp>
      <tp t="s">
        <v>#N/A Requesting Data...3710150267</v>
        <stp/>
        <stp>BDP|4414941300766912739</stp>
        <tr r="J565" s="1"/>
      </tp>
      <tp t="s">
        <v>#N/A Requesting Data...3746181064</v>
        <stp/>
        <stp>BDP|6242452957809270286</stp>
        <tr r="E480" s="1"/>
      </tp>
      <tp t="s">
        <v>#N/A Requesting Data...3108142827</v>
        <stp/>
        <stp>BDP|8292294858442151182</stp>
        <tr r="AU206" s="1"/>
      </tp>
      <tp t="s">
        <v>#N/A Requesting Data...3008620108</v>
        <stp/>
        <stp>BDP|3949228597800050461</stp>
        <tr r="E1311" s="1"/>
        <tr r="E1635" s="1"/>
        <tr r="E986" s="1"/>
      </tp>
      <tp t="s">
        <v>#N/A Requesting Data...2904802061</v>
        <stp/>
        <stp>BDP|1228530208458403071</stp>
        <tr r="AP1807" s="1"/>
      </tp>
      <tp t="s">
        <v>#N/A Requesting Data...4164683075</v>
        <stp/>
        <stp>BDP|2129251175093320899</stp>
        <tr r="AV357" s="1"/>
      </tp>
      <tp t="s">
        <v>#N/A Requesting Data...2951869224</v>
        <stp/>
        <stp>BDP|8347107820523970419</stp>
        <tr r="J640" s="1"/>
      </tp>
      <tp t="s">
        <v>#N/A Requesting Data...3576371410</v>
        <stp/>
        <stp>BDP|8918749343852099552</stp>
        <tr r="J1103" s="1"/>
        <tr r="J55" s="1"/>
      </tp>
      <tp t="s">
        <v>#N/A Requesting Data...3304107590</v>
        <stp/>
        <stp>BDP|1334517652905967827</stp>
        <tr r="E719" s="1"/>
      </tp>
      <tp t="s">
        <v>#N/A Requesting Data...3462682171</v>
        <stp/>
        <stp>BDP|3320970558204388747</stp>
        <tr r="AT910" s="1"/>
      </tp>
      <tp t="s">
        <v>#N/A Requesting Data...3721844950</v>
        <stp/>
        <stp>BDP|6211554251609885355</stp>
        <tr r="AT467" s="1"/>
      </tp>
      <tp t="s">
        <v>#N/A Requesting Data...3604218095</v>
        <stp/>
        <stp>BDP|8286602030289992801</stp>
        <tr r="AU319" s="1"/>
      </tp>
      <tp t="s">
        <v>#N/A Requesting Data...2969037742</v>
        <stp/>
        <stp>BDP|6925051096702053114</stp>
        <tr r="J1492" s="1"/>
      </tp>
      <tp t="s">
        <v>#N/A Requesting Data...2934531856</v>
        <stp/>
        <stp>BDP|1572565981602124280</stp>
        <tr r="AV336" s="1"/>
      </tp>
      <tp t="s">
        <v>#N/A Requesting Data...3768850946</v>
        <stp/>
        <stp>BDP|4173366439939228141</stp>
        <tr r="J1289" s="1"/>
      </tp>
      <tp t="s">
        <v>#N/A Requesting Data...4089328188</v>
        <stp/>
        <stp>BDP|3004640541808572585</stp>
        <tr r="E1093" s="1"/>
        <tr r="E947" s="1"/>
      </tp>
      <tp t="s">
        <v>#N/A Requesting Data...2914504926</v>
        <stp/>
        <stp>BDP|7619037948829315662</stp>
        <tr r="J179" s="1"/>
        <tr r="J33" s="1"/>
      </tp>
      <tp t="s">
        <v>#N/A Requesting Data...2995219342</v>
        <stp/>
        <stp>BDP|7136845070551556586</stp>
        <tr r="E1421" s="1"/>
      </tp>
      <tp t="s">
        <v>#N/A Requesting Data...3443118393</v>
        <stp/>
        <stp>BDP|7972420692133063513</stp>
        <tr r="H305" s="1"/>
      </tp>
      <tp t="s">
        <v>#N/A Requesting Data...3047377589</v>
        <stp/>
        <stp>BDP|4764635430578831546</stp>
        <tr r="E1549" s="1"/>
        <tr r="E1872" s="1"/>
      </tp>
      <tp t="s">
        <v>#N/A Requesting Data...3279429120</v>
        <stp/>
        <stp>BDP|9279134288895996985</stp>
        <tr r="E718" s="1"/>
      </tp>
      <tp t="s">
        <v>#N/A Requesting Data...3270370666</v>
        <stp/>
        <stp>BDP|5905864876097689166</stp>
        <tr r="E847" s="1"/>
      </tp>
      <tp t="s">
        <v>#N/A Requesting Data...3612620583</v>
        <stp/>
        <stp>BDP|5204413061658281390</stp>
        <tr r="J933" s="1"/>
      </tp>
      <tp t="s">
        <v>#N/A Requesting Data...3053250360</v>
        <stp/>
        <stp>BDP|3194283636598450627</stp>
        <tr r="J389" s="1"/>
      </tp>
      <tp t="s">
        <v>#N/A Requesting Data...4220745255</v>
        <stp/>
        <stp>BDP|9531795704307309529</stp>
        <tr r="AU376" s="1"/>
      </tp>
      <tp t="s">
        <v>#N/A Requesting Data...4236130144</v>
        <stp/>
        <stp>BDP|3858125097701091642</stp>
        <tr r="AU545" s="1"/>
      </tp>
      <tp t="s">
        <v>#N/A Requesting Data...3494265402</v>
        <stp/>
        <stp>BDP|2034945979759379978</stp>
        <tr r="J352" s="1"/>
      </tp>
      <tp t="s">
        <v>#N/A Requesting Data...4189599739</v>
        <stp/>
        <stp>BDP|8809316852677798557</stp>
        <tr r="J429" s="1"/>
      </tp>
      <tp t="s">
        <v>#N/A Requesting Data...4126699121</v>
        <stp/>
        <stp>BDP|7882681702004886933</stp>
        <tr r="J417" s="1"/>
      </tp>
      <tp t="s">
        <v>#N/A Requesting Data...3711253936</v>
        <stp/>
        <stp>BDP|4520682829489402593</stp>
        <tr r="J1110" s="1"/>
        <tr r="J1819" s="1"/>
        <tr r="J61" s="1"/>
      </tp>
      <tp t="s">
        <v>#N/A Requesting Data...2938002353</v>
        <stp/>
        <stp>BDP|8451170361355865637</stp>
        <tr r="J1608" s="1"/>
        <tr r="J236" s="1"/>
        <tr r="J73" s="1"/>
        <tr r="J783" s="1"/>
        <tr r="J800" s="1"/>
      </tp>
      <tp t="s">
        <v>#N/A Requesting Data...4001436643</v>
        <stp/>
        <stp>BDP|8024297286019890794</stp>
        <tr r="AV877" s="1"/>
      </tp>
      <tp t="s">
        <v>#N/A Requesting Data...3890659593</v>
        <stp/>
        <stp>BDP|4233686200547006948</stp>
        <tr r="E891" s="1"/>
      </tp>
      <tp t="s">
        <v>#N/A Requesting Data...3852315325</v>
        <stp/>
        <stp>BDP|7921822630998440815</stp>
        <tr r="AT497" s="1"/>
      </tp>
      <tp t="s">
        <v>#N/A Requesting Data...3522255537</v>
        <stp/>
        <stp>BDP|2148321558949143140</stp>
        <tr r="AS1994" s="1"/>
      </tp>
      <tp t="s">
        <v>#N/A Requesting Data...4106237581</v>
        <stp/>
        <stp>BDP|6328372565446896977</stp>
        <tr r="AT256" s="1"/>
      </tp>
      <tp t="s">
        <v>#N/A Requesting Data...3723343152</v>
        <stp/>
        <stp>BDP|8692172351510728091</stp>
        <tr r="H705" s="1"/>
      </tp>
      <tp t="s">
        <v>#N/A Requesting Data...3285383094</v>
        <stp/>
        <stp>BDP|4903669875480359974</stp>
        <tr r="E513" s="1"/>
      </tp>
      <tp t="s">
        <v>#N/A Requesting Data...3746813897</v>
        <stp/>
        <stp>BDP|3307690720413123859</stp>
        <tr r="AV279" s="1"/>
      </tp>
      <tp t="s">
        <v>#N/A Requesting Data...3958410413</v>
        <stp/>
        <stp>BDP|9277298740775174641</stp>
        <tr r="J1435" s="1"/>
      </tp>
      <tp t="s">
        <v>#N/A Requesting Data...3367440350</v>
        <stp/>
        <stp>BDP|1808563603199225110</stp>
        <tr r="AU352" s="1"/>
      </tp>
      <tp t="s">
        <v>#N/A Requesting Data...2928250399</v>
        <stp/>
        <stp>BDP|5160911324297800527</stp>
        <tr r="E1000" s="1"/>
      </tp>
      <tp t="s">
        <v>#N/A Requesting Data...3879375870</v>
        <stp/>
        <stp>BDP|2426071588520739620</stp>
        <tr r="J304" s="1"/>
      </tp>
      <tp t="s">
        <v>#N/A Requesting Data...3605968573</v>
        <stp/>
        <stp>BDP|9456563023777758580</stp>
        <tr r="J516" s="1"/>
      </tp>
      <tp t="s">
        <v>#N/A Requesting Data...4130414018</v>
        <stp/>
        <stp>BDP|9145419319711195165</stp>
        <tr r="E1190" s="1"/>
      </tp>
      <tp t="s">
        <v>#N/A Requesting Data...3464203213</v>
        <stp/>
        <stp>BDP|2714818493179268686</stp>
        <tr r="AV474" s="1"/>
      </tp>
      <tp t="s">
        <v>#N/A Requesting Data...3566779121</v>
        <stp/>
        <stp>BDP|3934688409131627815</stp>
        <tr r="E336" s="1"/>
      </tp>
      <tp t="s">
        <v>#N/A Requesting Data...3746132774</v>
        <stp/>
        <stp>BDP|9016971318034193915</stp>
        <tr r="H522" s="1"/>
      </tp>
      <tp t="s">
        <v>#N/A Requesting Data...3894070198</v>
        <stp/>
        <stp>BDP|8722041730860441783</stp>
        <tr r="E1132" s="1"/>
        <tr r="E1973" s="1"/>
        <tr r="E83" s="1"/>
      </tp>
      <tp t="s">
        <v>#N/A Requesting Data...4068396345</v>
        <stp/>
        <stp>BDP|4029539898407779337</stp>
        <tr r="AU834" s="1"/>
      </tp>
      <tp t="s">
        <v>#N/A Requesting Data...3526523849</v>
        <stp/>
        <stp>BDP|9038706728577083779</stp>
        <tr r="AU586" s="1"/>
      </tp>
      <tp t="s">
        <v>#N/A Requesting Data...3962153579</v>
        <stp/>
        <stp>BDP|7917396374279910623</stp>
        <tr r="J1227" s="1"/>
      </tp>
      <tp t="s">
        <v>#N/A Requesting Data...4283712014</v>
        <stp/>
        <stp>BDP|3386333295754894123</stp>
        <tr r="H469" s="1"/>
      </tp>
      <tp t="s">
        <v>#N/A Requesting Data...4249300568</v>
        <stp/>
        <stp>BDP|4728919380431341893</stp>
        <tr r="AT618" s="1"/>
      </tp>
      <tp t="s">
        <v>#N/A Requesting Data...3249831617</v>
        <stp/>
        <stp>BDP|9490401678923688562</stp>
        <tr r="AV513" s="1"/>
      </tp>
      <tp t="s">
        <v>#N/A Requesting Data...3000964123</v>
        <stp/>
        <stp>BDP|6908818518146920550</stp>
        <tr r="AU488" s="1"/>
      </tp>
      <tp t="s">
        <v>#N/A Requesting Data...3413789771</v>
        <stp/>
        <stp>BDP|5141269187767556495</stp>
        <tr r="AS2048" s="1"/>
      </tp>
      <tp t="s">
        <v>#N/A Requesting Data...3261133477</v>
        <stp/>
        <stp>BDP|8599649739143182253</stp>
        <tr r="J1445" s="1"/>
      </tp>
      <tp t="s">
        <v>#N/A Requesting Data...3181269755</v>
        <stp/>
        <stp>BDP|9367260332230990423</stp>
        <tr r="AV880" s="1"/>
      </tp>
      <tp t="s">
        <v>#N/A Requesting Data...3858704380</v>
        <stp/>
        <stp>BDP|9003509277525848236</stp>
        <tr r="E449" s="1"/>
      </tp>
      <tp t="s">
        <v>#N/A Requesting Data...3019067040</v>
        <stp/>
        <stp>BDP|2323949486286514989</stp>
        <tr r="J1197" s="1"/>
        <tr r="J151" s="1"/>
      </tp>
      <tp t="s">
        <v>#N/A Requesting Data...3678350434</v>
        <stp/>
        <stp>BDP|5714563327919290782</stp>
        <tr r="AV383" s="1"/>
      </tp>
      <tp t="s">
        <v>#N/A Requesting Data...3565227187</v>
        <stp/>
        <stp>BDP|5673221888513032000</stp>
        <tr r="H751" s="1"/>
      </tp>
      <tp t="s">
        <v>#N/A Requesting Data...3244585534</v>
        <stp/>
        <stp>BDP|8975041510670454550</stp>
        <tr r="H1391" s="1"/>
      </tp>
      <tp t="s">
        <v>#N/A Requesting Data...3079444417</v>
        <stp/>
        <stp>BDP|2757308391542888625</stp>
        <tr r="H989" s="1"/>
      </tp>
      <tp t="s">
        <v>#N/A Requesting Data...3214693563</v>
        <stp/>
        <stp>BDP|4024202927769931120</stp>
        <tr r="H1147" s="1"/>
      </tp>
      <tp t="s">
        <v>#N/A Requesting Data...3671055815</v>
        <stp/>
        <stp>BDP|8877546102152770350</stp>
        <tr r="AU381" s="1"/>
      </tp>
      <tp t="s">
        <v>#N/A Requesting Data...4220092013</v>
        <stp/>
        <stp>BDP|2270396676398220228</stp>
        <tr r="H1146" s="1"/>
        <tr r="H1657" s="1"/>
        <tr r="H1836" s="1"/>
        <tr r="H249" s="1"/>
        <tr r="H787" s="1"/>
      </tp>
      <tp t="s">
        <v>#N/A Requesting Data...4282283029</v>
        <stp/>
        <stp>BDP|3351932892307975868</stp>
        <tr r="AU294" s="1"/>
      </tp>
      <tp t="s">
        <v>#N/A Requesting Data...3082192637</v>
        <stp/>
        <stp>BDP|2187292949289403182</stp>
        <tr r="J1813" s="1"/>
      </tp>
      <tp t="s">
        <v>#N/A Requesting Data...3372371828</v>
        <stp/>
        <stp>BDP|5453484075128799233</stp>
        <tr r="E938" s="1"/>
      </tp>
      <tp t="s">
        <v>#N/A Requesting Data...3203985203</v>
        <stp/>
        <stp>BDP|9017648648444380329</stp>
        <tr r="J261" s="1"/>
      </tp>
      <tp t="s">
        <v>#N/A Requesting Data...3852606398</v>
        <stp/>
        <stp>BDP|9717644046840150796</stp>
        <tr r="H1600" s="1"/>
      </tp>
      <tp t="s">
        <v>#N/A Requesting Data...3689293053</v>
        <stp/>
        <stp>BDP|2570607486345975571</stp>
        <tr r="J2074" s="1"/>
      </tp>
      <tp t="s">
        <v>#N/A Requesting Data...3021538291</v>
        <stp/>
        <stp>BDP|9817853627676341944</stp>
        <tr r="AU727" s="1"/>
      </tp>
      <tp t="s">
        <v>#N/A Requesting Data...3868537230</v>
        <stp/>
        <stp>BDP|7644281455269524532</stp>
        <tr r="E75" s="1"/>
      </tp>
      <tp t="s">
        <v>#N/A Requesting Data...2997131393</v>
        <stp/>
        <stp>BDP|7945031097467106517</stp>
        <tr r="AV202" s="1"/>
      </tp>
      <tp t="s">
        <v>#N/A Requesting Data...3249051641</v>
        <stp/>
        <stp>BDP|1498675988266217549</stp>
        <tr r="E1252" s="1"/>
      </tp>
      <tp t="s">
        <v>#N/A Requesting Data...3176285460</v>
        <stp/>
        <stp>BDP|9145616291112023839</stp>
        <tr r="AV569" s="1"/>
      </tp>
      <tp t="s">
        <v>#N/A Requesting Data...3898919255</v>
        <stp/>
        <stp>BDP|5589962964217592109</stp>
        <tr r="J217" s="1"/>
        <tr r="J275" s="1"/>
      </tp>
      <tp t="s">
        <v>#N/A Requesting Data...3152902937</v>
        <stp/>
        <stp>BDP|2119336183083785644</stp>
        <tr r="H1983" s="1"/>
      </tp>
      <tp t="s">
        <v>#N/A Requesting Data...3102065239</v>
        <stp/>
        <stp>BDP|7553316233528722329</stp>
        <tr r="AU366" s="1"/>
      </tp>
      <tp t="s">
        <v>#N/A Requesting Data...4032740544</v>
        <stp/>
        <stp>BDP|7716072161415210818</stp>
        <tr r="H159" s="1"/>
      </tp>
      <tp t="s">
        <v>#N/A Requesting Data...3877153090</v>
        <stp/>
        <stp>BDP|3261923556234715738</stp>
        <tr r="E1174" s="1"/>
        <tr r="E1620" s="1"/>
        <tr r="E1922" s="1"/>
      </tp>
      <tp t="s">
        <v>#N/A Requesting Data...3419280475</v>
        <stp/>
        <stp>BDP|1128660742517483831</stp>
        <tr r="AU676" s="1"/>
      </tp>
      <tp t="s">
        <v>#N/A Requesting Data...3942453884</v>
        <stp/>
        <stp>BDP|1603797979309537419</stp>
        <tr r="AT312" s="1"/>
      </tp>
      <tp t="s">
        <v>#N/A Requesting Data...3874813859</v>
        <stp/>
        <stp>BDP|1131757799752958166</stp>
        <tr r="AV359" s="1"/>
      </tp>
      <tp t="s">
        <v>#N/A Requesting Data...3909958884</v>
        <stp/>
        <stp>BDP|9269663426102934395</stp>
        <tr r="H1114" s="1"/>
        <tr r="H124" s="1"/>
        <tr r="H1378" s="1"/>
        <tr r="H1587" s="1"/>
        <tr r="H63" s="1"/>
      </tp>
      <tp t="s">
        <v>#N/A Requesting Data...3791734379</v>
        <stp/>
        <stp>BDP|4745216781967582507</stp>
        <tr r="AU846" s="1"/>
      </tp>
      <tp t="s">
        <v>#N/A Requesting Data...3382476061</v>
        <stp/>
        <stp>BDP|5590562093616101326</stp>
        <tr r="E663" s="1"/>
      </tp>
      <tp t="s">
        <v>#N/A Requesting Data...3687933918</v>
        <stp/>
        <stp>BDP|1948878572051615393</stp>
        <tr r="E1978" s="1"/>
      </tp>
      <tp t="s">
        <v>#N/A Requesting Data...3865843665</v>
        <stp/>
        <stp>BDP|6828005994055873671</stp>
        <tr r="J605" s="1"/>
      </tp>
      <tp t="s">
        <v>#N/A Requesting Data...3544259668</v>
        <stp/>
        <stp>BDP|9458640634092254251</stp>
        <tr r="AU648" s="1"/>
      </tp>
      <tp t="s">
        <v>#N/A Requesting Data...3606578789</v>
        <stp/>
        <stp>BDP|1461713674074705955</stp>
        <tr r="H1196" s="1"/>
      </tp>
      <tp t="s">
        <v>#N/A Requesting Data...3923579100</v>
        <stp/>
        <stp>BDP|9714031370516173461</stp>
        <tr r="H1823" s="1"/>
      </tp>
      <tp t="s">
        <v>#N/A Requesting Data...4088708717</v>
        <stp/>
        <stp>BDP|9174607123549736865</stp>
        <tr r="H214" s="1"/>
      </tp>
      <tp t="s">
        <v>#N/A Requesting Data...4198545794</v>
        <stp/>
        <stp>BDP|2926683965219325742</stp>
        <tr r="E2089" s="1"/>
      </tp>
      <tp t="s">
        <v>#N/A Requesting Data...4048740670</v>
        <stp/>
        <stp>BDP|8495605454954233314</stp>
        <tr r="H1113" s="1"/>
      </tp>
      <tp t="s">
        <v>#N/A Requesting Data...3588289155</v>
        <stp/>
        <stp>BDP|8916460721006512482</stp>
        <tr r="AV391" s="1"/>
      </tp>
      <tp t="s">
        <v>#N/A Requesting Data...3159984663</v>
        <stp/>
        <stp>BDP|8873639920258093887</stp>
        <tr r="E407" s="1"/>
      </tp>
      <tp t="s">
        <v>#N/A Requesting Data...3406548913</v>
        <stp/>
        <stp>BDP|5697739849228667296</stp>
        <tr r="J1752" s="1"/>
      </tp>
      <tp t="s">
        <v>#N/A Requesting Data...3190011801</v>
        <stp/>
        <stp>BDP|9027052717294036015</stp>
        <tr r="J1688" s="1"/>
      </tp>
      <tp t="s">
        <v>#N/A Requesting Data...3561710414</v>
        <stp/>
        <stp>BDP|1914311475680636982</stp>
        <tr r="H1422" s="1"/>
      </tp>
      <tp t="s">
        <v>#N/A Requesting Data...3251196952</v>
        <stp/>
        <stp>BDP|3025937873467721644</stp>
        <tr r="E1790" s="1"/>
      </tp>
      <tp t="s">
        <v>#N/A Requesting Data...4018742579</v>
        <stp/>
        <stp>BDP|4605223457979052609</stp>
        <tr r="H268" s="1"/>
      </tp>
      <tp t="s">
        <v>#N/A Requesting Data...4290488220</v>
        <stp/>
        <stp>BDP|9641519695320917989</stp>
        <tr r="J1867" s="1"/>
      </tp>
      <tp t="s">
        <v>#N/A Requesting Data...3681343549</v>
        <stp/>
        <stp>BDP|5032065883132155374</stp>
        <tr r="H227" s="1"/>
      </tp>
      <tp t="s">
        <v>#N/A Requesting Data...3890485215</v>
        <stp/>
        <stp>BDP|8040875039096553982</stp>
        <tr r="J671" s="1"/>
      </tp>
      <tp t="s">
        <v>#N/A Requesting Data...3529199398</v>
        <stp/>
        <stp>BDP|6159522758819869330</stp>
        <tr r="H1315" s="1"/>
      </tp>
      <tp t="s">
        <v>#N/A Requesting Data...3822712904</v>
        <stp/>
        <stp>BDP|2996836217005878250</stp>
        <tr r="H919" s="1"/>
      </tp>
      <tp t="s">
        <v>#N/A Requesting Data...3678816244</v>
        <stp/>
        <stp>BDP|9560264065932551333</stp>
        <tr r="AT610" s="1"/>
      </tp>
      <tp t="s">
        <v>#N/A Requesting Data...3096734734</v>
        <stp/>
        <stp>BDP|3558700491377518618</stp>
        <tr r="AV311" s="1"/>
      </tp>
      <tp t="s">
        <v>#N/A Requesting Data...3730146340</v>
        <stp/>
        <stp>BDP|2033821642943417144</stp>
        <tr r="AU293" s="1"/>
      </tp>
      <tp t="s">
        <v>#N/A Requesting Data...3140291835</v>
        <stp/>
        <stp>BDP|4540896978433653422</stp>
        <tr r="H343" s="1"/>
      </tp>
      <tp t="s">
        <v>#N/A Requesting Data...3740577425</v>
        <stp/>
        <stp>BDP|5140409350939668172</stp>
        <tr r="E1688" s="1"/>
      </tp>
      <tp t="s">
        <v>#N/A Requesting Data...3595112712</v>
        <stp/>
        <stp>BDP|5774945206963628339</stp>
        <tr r="E1245" s="1"/>
      </tp>
      <tp t="s">
        <v>#N/A Requesting Data...3646290184</v>
        <stp/>
        <stp>BDP|2195061349852744892</stp>
        <tr r="J1086" s="1"/>
      </tp>
      <tp t="s">
        <v>#N/A Requesting Data...3515335956</v>
        <stp/>
        <stp>BDP|3307885929003409663</stp>
        <tr r="AU414" s="1"/>
      </tp>
      <tp t="s">
        <v>#N/A Requesting Data...4102080517</v>
        <stp/>
        <stp>BDP|9872285206290599722</stp>
        <tr r="J1485" s="1"/>
      </tp>
      <tp t="s">
        <v>#N/A Requesting Data...2998254107</v>
        <stp/>
        <stp>BDP|2597925414665224302</stp>
        <tr r="J406" s="1"/>
      </tp>
      <tp t="s">
        <v>#N/A Requesting Data...3382277284</v>
        <stp/>
        <stp>BDP|8593906791296137244</stp>
        <tr r="H1182" s="1"/>
      </tp>
      <tp t="s">
        <v>#N/A Requesting Data...3729920832</v>
        <stp/>
        <stp>BDP|9027000577924618606</stp>
        <tr r="J329" s="1"/>
      </tp>
      <tp t="s">
        <v>#N/A Requesting Data...3726881324</v>
        <stp/>
        <stp>BDP|7248844506616493550</stp>
        <tr r="E1761" s="1"/>
      </tp>
      <tp t="s">
        <v>#N/A Requesting Data...3860078713</v>
        <stp/>
        <stp>BDP|9935102454448938958</stp>
        <tr r="E215" s="1"/>
      </tp>
      <tp t="s">
        <v>#N/A Requesting Data...4240351467</v>
        <stp/>
        <stp>BDP|4539553793091308510</stp>
        <tr r="H988" s="1"/>
      </tp>
      <tp t="s">
        <v>#N/A Requesting Data...3897242141</v>
        <stp/>
        <stp>BDP|4163451945558860087</stp>
        <tr r="J2067" s="1"/>
      </tp>
      <tp t="s">
        <v>#N/A Requesting Data...3285138837</v>
        <stp/>
        <stp>BDP|9612436035646164405</stp>
        <tr r="E482" s="1"/>
      </tp>
      <tp t="s">
        <v>#N/A Requesting Data...3384843590</v>
        <stp/>
        <stp>BDP|8696309647301143215</stp>
        <tr r="J686" s="1"/>
      </tp>
      <tp t="s">
        <v>#N/A Requesting Data...3373957683</v>
        <stp/>
        <stp>BDP|3123729025443194962</stp>
        <tr r="J1756" s="1"/>
      </tp>
      <tp t="s">
        <v>#N/A Requesting Data...3963531503</v>
        <stp/>
        <stp>BDP|9016374717824531349</stp>
        <tr r="H303" s="1"/>
      </tp>
      <tp t="s">
        <v>#N/A Requesting Data...3417349734</v>
        <stp/>
        <stp>BDP|2798952533370276457</stp>
        <tr r="J545" s="1"/>
      </tp>
      <tp t="s">
        <v>#N/A Requesting Data...3283157458</v>
        <stp/>
        <stp>BDP|1877603355957266990</stp>
        <tr r="E923" s="1"/>
      </tp>
      <tp t="s">
        <v>#N/A Requesting Data...4028346577</v>
        <stp/>
        <stp>BDP|9690627673163617772</stp>
        <tr r="H477" s="1"/>
      </tp>
      <tp t="s">
        <v>#N/A Requesting Data...3096431164</v>
        <stp/>
        <stp>BDP|2586682087763571396</stp>
        <tr r="E1950" s="1"/>
      </tp>
      <tp t="s">
        <v>#N/A Requesting Data...3266275088</v>
        <stp/>
        <stp>BDP|6532968244191951683</stp>
        <tr r="E1422" s="1"/>
      </tp>
      <tp t="s">
        <v>#N/A Requesting Data...3209444564</v>
        <stp/>
        <stp>BDP|6165640958138313184</stp>
        <tr r="J538" s="1"/>
      </tp>
      <tp t="s">
        <v>#N/A Requesting Data...3072319018</v>
        <stp/>
        <stp>BDP|7611437523478060500</stp>
        <tr r="AV531" s="1"/>
      </tp>
      <tp t="s">
        <v>#N/A Requesting Data...3601554825</v>
        <stp/>
        <stp>BDP|7131266994741263170</stp>
        <tr r="E155" s="1"/>
        <tr r="E1629" s="1"/>
      </tp>
      <tp t="s">
        <v>#N/A Requesting Data...3835592460</v>
        <stp/>
        <stp>BDP|5117115856969337438</stp>
        <tr r="AS1958" s="1"/>
      </tp>
      <tp t="s">
        <v>#N/A Requesting Data...4042958921</v>
        <stp/>
        <stp>BDP|7798269832028292261</stp>
        <tr r="J999" s="1"/>
      </tp>
      <tp t="s">
        <v>#N/A Requesting Data...3291250620</v>
        <stp/>
        <stp>BDP|4194229689736411499</stp>
        <tr r="E566" s="1"/>
      </tp>
      <tp t="s">
        <v>#N/A Requesting Data...3893612282</v>
        <stp/>
        <stp>BDP|6929977251755155398</stp>
        <tr r="H2056" s="1"/>
      </tp>
      <tp t="s">
        <v>#N/A Requesting Data...3661068673</v>
        <stp/>
        <stp>BDP|2483034005256663839</stp>
        <tr r="AT441" s="1"/>
      </tp>
      <tp t="s">
        <v>#N/A Requesting Data...4275628598</v>
        <stp/>
        <stp>BDP|6700727495371460532</stp>
        <tr r="E684" s="1"/>
      </tp>
      <tp t="s">
        <v>#N/A Requesting Data...4214551932</v>
        <stp/>
        <stp>BDP|6669308025789049248</stp>
        <tr r="AU213" s="1"/>
      </tp>
      <tp t="s">
        <v>#N/A Requesting Data...4217925595</v>
        <stp/>
        <stp>BDP|4008430883850196465</stp>
        <tr r="E514" s="1"/>
      </tp>
      <tp t="s">
        <v>#N/A Requesting Data...3241296829</v>
        <stp/>
        <stp>BDP|4929367483450266393</stp>
        <tr r="H1756" s="1"/>
      </tp>
      <tp t="s">
        <v>#N/A Requesting Data...3155605792</v>
        <stp/>
        <stp>BDP|8037943240670158927</stp>
        <tr r="AV316" s="1"/>
      </tp>
      <tp t="s">
        <v>#N/A Requesting Data...4009646434</v>
        <stp/>
        <stp>BDP|2317395231598910668</stp>
        <tr r="H896" s="1"/>
      </tp>
      <tp t="s">
        <v>#N/A Requesting Data...3250965225</v>
        <stp/>
        <stp>BDP|1416532994504094574</stp>
        <tr r="H376" s="1"/>
      </tp>
      <tp t="s">
        <v>#N/A Requesting Data...3738016032</v>
        <stp/>
        <stp>BDP|1271803006703312638</stp>
        <tr r="AT681" s="1"/>
      </tp>
      <tp t="s">
        <v>#N/A Requesting Data...3067404859</v>
        <stp/>
        <stp>BDP|1901655990916112493</stp>
        <tr r="J459" s="1"/>
      </tp>
      <tp t="s">
        <v>#N/A Requesting Data...3983276344</v>
        <stp/>
        <stp>BDP|4237552550120407871</stp>
        <tr r="J583" s="1"/>
      </tp>
      <tp t="s">
        <v>#N/A Requesting Data...3049733425</v>
        <stp/>
        <stp>BDP|5140862623291932296</stp>
        <tr r="J1551" s="1"/>
        <tr r="J1876" s="1"/>
      </tp>
      <tp t="s">
        <v>#N/A Requesting Data...3647841105</v>
        <stp/>
        <stp>BDP|8101710781208046356</stp>
        <tr r="E298" s="1"/>
      </tp>
      <tp t="s">
        <v>#N/A Requesting Data...3478875608</v>
        <stp/>
        <stp>BDP|8877817994636133385</stp>
        <tr r="AT634" s="1"/>
      </tp>
      <tp t="s">
        <v>#N/A Requesting Data...4097442749</v>
        <stp/>
        <stp>BDP|8400021800656620246</stp>
        <tr r="E453" s="1"/>
      </tp>
      <tp t="s">
        <v>#N/A Requesting Data...3909612498</v>
        <stp/>
        <stp>BDP|9454573358840798584</stp>
        <tr r="AT456" s="1"/>
      </tp>
      <tp t="s">
        <v>#N/A Requesting Data...4117538059</v>
        <stp/>
        <stp>BDP|4104966636647637537</stp>
        <tr r="J715" s="1"/>
      </tp>
      <tp t="s">
        <v>#N/A Requesting Data...3537473879</v>
        <stp/>
        <stp>BDP|4218490497410013599</stp>
        <tr r="AT730" s="1"/>
      </tp>
      <tp t="s">
        <v>#N/A Requesting Data...3462428311</v>
        <stp/>
        <stp>BDP|7011226341024597932</stp>
        <tr r="E342" s="1"/>
      </tp>
      <tp t="s">
        <v>#N/A Requesting Data...3686785258</v>
        <stp/>
        <stp>BDP|9327479150133753761</stp>
        <tr r="AV854" s="1"/>
      </tp>
      <tp t="s">
        <v>#N/A Requesting Data...3717327590</v>
        <stp/>
        <stp>BDP|1991836403647991251</stp>
        <tr r="AT222" s="1"/>
      </tp>
      <tp t="s">
        <v>#N/A Requesting Data...3217776042</v>
        <stp/>
        <stp>BDP|2535952359973883140</stp>
        <tr r="J1242" s="1"/>
      </tp>
      <tp t="s">
        <v>#N/A Requesting Data...3408382757</v>
        <stp/>
        <stp>BDP|4451826778005204293</stp>
        <tr r="E290" s="1"/>
      </tp>
      <tp t="s">
        <v>#N/A Requesting Data...4172615505</v>
        <stp/>
        <stp>BDP|9486297067161998061</stp>
        <tr r="AV659" s="1"/>
      </tp>
      <tp t="s">
        <v>#N/A Requesting Data...3767921585</v>
        <stp/>
        <stp>BDP|3617005353908855371</stp>
        <tr r="AR164" s="1"/>
      </tp>
      <tp t="s">
        <v>#N/A Requesting Data...3897733553</v>
        <stp/>
        <stp>BDP|6597724901855546998</stp>
        <tr r="AT218" s="1"/>
      </tp>
      <tp t="s">
        <v>#N/A Requesting Data...4137550492</v>
        <stp/>
        <stp>BDP|8926735725850236077</stp>
        <tr r="J1208" s="1"/>
      </tp>
      <tp t="s">
        <v>#N/A Requesting Data...3580963414</v>
        <stp/>
        <stp>BDP|6702072318722284801</stp>
        <tr r="H368" s="1"/>
      </tp>
      <tp t="s">
        <v>#N/A Requesting Data...3745978689</v>
        <stp/>
        <stp>BDP|9170031319885816091</stp>
        <tr r="AU903" s="1"/>
      </tp>
      <tp t="s">
        <v>#N/A Requesting Data...3472766005</v>
        <stp/>
        <stp>BDP|2067148120704613888</stp>
        <tr r="AT555" s="1"/>
      </tp>
      <tp t="s">
        <v>#N/A Requesting Data...3706126174</v>
        <stp/>
        <stp>BDP|4714573962378038282</stp>
        <tr r="E300" s="1"/>
      </tp>
      <tp t="s">
        <v>#N/A Requesting Data...3935366635</v>
        <stp/>
        <stp>BDP|4370242909473186859</stp>
        <tr r="H1500" s="1"/>
        <tr r="H1618" s="1"/>
      </tp>
      <tp t="s">
        <v>#N/A Requesting Data...4182482920</v>
        <stp/>
        <stp>BDP|2733057894621863746</stp>
        <tr r="J1821" s="1"/>
      </tp>
      <tp t="s">
        <v>#N/A Requesting Data...4090984292</v>
        <stp/>
        <stp>BDP|1824976401403721637</stp>
        <tr r="AV369" s="1"/>
      </tp>
      <tp t="s">
        <v>#N/A Requesting Data...3265188576</v>
        <stp/>
        <stp>BDP|1954939503992258716</stp>
        <tr r="H1033" s="1"/>
      </tp>
      <tp t="s">
        <v>#N/A Requesting Data...3514926401</v>
        <stp/>
        <stp>BDP|7972875745553496547</stp>
        <tr r="E237" s="1"/>
        <tr r="E78" s="1"/>
      </tp>
      <tp t="s">
        <v>#N/A Requesting Data...3708584859</v>
        <stp/>
        <stp>BDP|1896031496275235040</stp>
        <tr r="J414" s="1"/>
      </tp>
      <tp t="s">
        <v>#N/A Requesting Data...3540344805</v>
        <stp/>
        <stp>BDP|6844390199133757249</stp>
        <tr r="AT361" s="1"/>
      </tp>
      <tp t="s">
        <v>#N/A Requesting Data...4011465500</v>
        <stp/>
        <stp>BDP|3985641084928620849</stp>
        <tr r="E1298" s="1"/>
      </tp>
      <tp t="s">
        <v>#N/A Requesting Data...3325135662</v>
        <stp/>
        <stp>BDP|5160068893865792484</stp>
        <tr r="AP1154" s="1"/>
      </tp>
      <tp t="s">
        <v>#N/A Requesting Data...3971216608</v>
        <stp/>
        <stp>BDP|6389325848448328411</stp>
        <tr r="J1184" s="1"/>
      </tp>
      <tp t="s">
        <v>#N/A Requesting Data...3357164017</v>
        <stp/>
        <stp>BDP|9255999041129454054</stp>
        <tr r="E340" s="1"/>
      </tp>
      <tp t="s">
        <v>#N/A Requesting Data...4228019335</v>
        <stp/>
        <stp>BDP|3531950746655533689</stp>
        <tr r="AU438" s="1"/>
      </tp>
      <tp t="s">
        <v>#N/A Requesting Data...3409830878</v>
        <stp/>
        <stp>BDP|4875450961358031378</stp>
        <tr r="H578" s="1"/>
      </tp>
      <tp t="s">
        <v>#N/A Requesting Data...3323716669</v>
        <stp/>
        <stp>BDP|6900265794302025205</stp>
        <tr r="AP1804" s="1"/>
      </tp>
      <tp t="s">
        <v>#N/A Requesting Data...3796030899</v>
        <stp/>
        <stp>BDP|8450064976727915567</stp>
        <tr r="AO2015" s="1"/>
      </tp>
      <tp t="s">
        <v>#N/A Requesting Data...3691885056</v>
        <stp/>
        <stp>BDP|4800714679090970920</stp>
        <tr r="J1247" s="1"/>
      </tp>
      <tp t="s">
        <v>#N/A Requesting Data...3379827170</v>
        <stp/>
        <stp>BDP|9949045512216598318</stp>
        <tr r="AV545" s="1"/>
      </tp>
      <tp t="s">
        <v>#N/A Requesting Data...3750525798</v>
        <stp/>
        <stp>BDP|2720714210568472191</stp>
        <tr r="AV318" s="1"/>
      </tp>
      <tp t="s">
        <v>#N/A Requesting Data...3778310231</v>
        <stp/>
        <stp>BDP|9597680134585317418</stp>
        <tr r="J477" s="1"/>
      </tp>
      <tp t="s">
        <v>#N/A Requesting Data...3238486055</v>
        <stp/>
        <stp>BDP|1369856261480463286</stp>
        <tr r="J139" s="1"/>
      </tp>
      <tp t="s">
        <v>#N/A Requesting Data...3987237743</v>
        <stp/>
        <stp>BDP|7264792365148583337</stp>
        <tr r="J402" s="1"/>
      </tp>
      <tp t="s">
        <v>#N/A Requesting Data...3813183945</v>
        <stp/>
        <stp>BDP|8220418813547103795</stp>
        <tr r="H109" s="1"/>
        <tr r="H1986" s="1"/>
      </tp>
      <tp t="s">
        <v>#N/A Requesting Data...4285897319</v>
        <stp/>
        <stp>BDP|2701497786515698666</stp>
        <tr r="H1395" s="1"/>
      </tp>
      <tp t="s">
        <v>#N/A Requesting Data...3866768862</v>
        <stp/>
        <stp>BDP|4195927879023642448</stp>
        <tr r="E1084" s="1"/>
        <tr r="E1442" s="1"/>
      </tp>
      <tp t="s">
        <v>#N/A Requesting Data...3674949123</v>
        <stp/>
        <stp>BDP|7812813871213725670</stp>
        <tr r="AT727" s="1"/>
      </tp>
      <tp t="s">
        <v>#N/A Requesting Data...3807955389</v>
        <stp/>
        <stp>BDP|1993599057768848476</stp>
        <tr r="AV577" s="1"/>
      </tp>
      <tp t="s">
        <v>#N/A Requesting Data...4182994796</v>
        <stp/>
        <stp>BDP|5680975659197192312</stp>
        <tr r="AV901" s="1"/>
      </tp>
      <tp t="s">
        <v>#N/A Requesting Data...4086765813</v>
        <stp/>
        <stp>BDP|5010583402354605959</stp>
        <tr r="J1661" s="1"/>
      </tp>
      <tp t="s">
        <v>#N/A Requesting Data...4162932393</v>
        <stp/>
        <stp>BDP|9929146465405993684</stp>
        <tr r="J301" s="1"/>
      </tp>
      <tp t="s">
        <v>#N/A Requesting Data...4123943761</v>
        <stp/>
        <stp>BDP|1000096253898752146</stp>
        <tr r="AT560" s="1"/>
      </tp>
      <tp t="s">
        <v>#N/A Requesting Data...3200677755</v>
        <stp/>
        <stp>BDP|9991168431531098771</stp>
        <tr r="E1538" s="1"/>
      </tp>
      <tp t="s">
        <v>#N/A Requesting Data...3858930968</v>
        <stp/>
        <stp>BDP|9309373470616971642</stp>
        <tr r="E667" s="1"/>
      </tp>
      <tp t="s">
        <v>#N/A Requesting Data...3662106113</v>
        <stp/>
        <stp>BDP|4995385865408939448</stp>
        <tr r="H15" s="1"/>
        <tr r="H1901" s="1"/>
      </tp>
      <tp t="s">
        <v>#N/A Requesting Data...3402207300</v>
        <stp/>
        <stp>BDP|3240801546382815055</stp>
        <tr r="J761" s="1"/>
      </tp>
      <tp t="s">
        <v>#N/A Requesting Data...3846125538</v>
        <stp/>
        <stp>BDP|2022850749766211570</stp>
        <tr r="E634" s="1"/>
      </tp>
      <tp t="s">
        <v>#N/A Requesting Data...3398725977</v>
        <stp/>
        <stp>BDP|7395993130254530413</stp>
        <tr r="H1594" s="1"/>
      </tp>
      <tp t="s">
        <v>#N/A Requesting Data...4139029883</v>
        <stp/>
        <stp>BDP|1804156833847637966</stp>
        <tr r="E1892" s="1"/>
      </tp>
      <tp t="s">
        <v>#N/A Requesting Data...3779336379</v>
        <stp/>
        <stp>BDP|9926436778841517697</stp>
        <tr r="E1908" s="1"/>
      </tp>
      <tp t="s">
        <v>#N/A Requesting Data...4139921410</v>
        <stp/>
        <stp>BDP|2192606447139066484</stp>
        <tr r="J837" s="1"/>
      </tp>
      <tp t="s">
        <v>#N/A Requesting Data...3171011030</v>
        <stp/>
        <stp>BDP|9481067800356556297</stp>
        <tr r="E1073" s="1"/>
      </tp>
      <tp t="s">
        <v>#N/A Requesting Data...3802726747</v>
        <stp/>
        <stp>BDP|1300730781080738382</stp>
        <tr r="AU642" s="1"/>
      </tp>
      <tp t="s">
        <v>#N/A Requesting Data...3258621784</v>
        <stp/>
        <stp>BDP|4687923944904720091</stp>
        <tr r="E2083" s="1"/>
      </tp>
      <tp t="s">
        <v>#N/A Requesting Data...3615720863</v>
        <stp/>
        <stp>BDP|5005375978709543547</stp>
        <tr r="J1258" s="1"/>
      </tp>
      <tp t="s">
        <v>#N/A Requesting Data...4224205361</v>
        <stp/>
        <stp>BDP|5203890276955034239</stp>
        <tr r="H1204" s="1"/>
      </tp>
      <tp t="s">
        <v>#N/A Requesting Data...4236663237</v>
        <stp/>
        <stp>BDP|5761834289031587968</stp>
        <tr r="E1186" s="1"/>
        <tr r="E1488" s="1"/>
      </tp>
      <tp t="s">
        <v>#N/A Requesting Data...3416631117</v>
        <stp/>
        <stp>BDP|5540396321651412870</stp>
        <tr r="AU529" s="1"/>
      </tp>
      <tp t="s">
        <v>#N/A Requesting Data...3660136199</v>
        <stp/>
        <stp>BDP|4555438987365736088</stp>
        <tr r="AT491" s="1"/>
      </tp>
      <tp t="s">
        <v>#N/A Requesting Data...3624392110</v>
        <stp/>
        <stp>BDP|9965644709494226681</stp>
        <tr r="AT327" s="1"/>
      </tp>
      <tp t="s">
        <v>#N/A Requesting Data...3910815465</v>
        <stp/>
        <stp>BDP|7430636178689642272</stp>
        <tr r="AU217" s="1"/>
        <tr r="AU275" s="1"/>
      </tp>
      <tp t="s">
        <v>#N/A Requesting Data...3594320668</v>
        <stp/>
        <stp>BDP|6991952603871509344</stp>
        <tr r="AT294" s="1"/>
      </tp>
      <tp t="s">
        <v>#N/A Requesting Data...3411991595</v>
        <stp/>
        <stp>BDP|3187595135979713143</stp>
        <tr r="H1175" s="1"/>
        <tr r="H1928" s="1"/>
      </tp>
      <tp t="s">
        <v>#N/A Requesting Data...4281273776</v>
        <stp/>
        <stp>BDP|4841440777693216975</stp>
        <tr r="J1566" s="1"/>
      </tp>
      <tp t="s">
        <v>#N/A Requesting Data...4078224522</v>
        <stp/>
        <stp>BDP|8211686636765486571</stp>
        <tr r="J1045" s="1"/>
      </tp>
      <tp t="s">
        <v>#N/A Requesting Data...4138257511</v>
        <stp/>
        <stp>BDP|5770371107793800808</stp>
        <tr r="AT569" s="1"/>
      </tp>
      <tp t="s">
        <v>#N/A Requesting Data...3860410657</v>
        <stp/>
        <stp>BDP|9533988803979091417</stp>
        <tr r="E646" s="1"/>
      </tp>
      <tp t="s">
        <v>#N/A Requesting Data...3363727025</v>
        <stp/>
        <stp>BDP|6883826707572675142</stp>
        <tr r="H881" s="1"/>
      </tp>
      <tp t="s">
        <v>#N/A Requesting Data...3819982883</v>
        <stp/>
        <stp>BDP|4318915536532820132</stp>
        <tr r="H1518" s="1"/>
      </tp>
      <tp t="s">
        <v>#N/A Requesting Data...3749057962</v>
        <stp/>
        <stp>BDP|3218199130549682525</stp>
        <tr r="E1416" s="1"/>
      </tp>
      <tp t="s">
        <v>#N/A Requesting Data...4008140232</v>
        <stp/>
        <stp>BDP|4781162331442998963</stp>
        <tr r="J364" s="1"/>
      </tp>
      <tp t="s">
        <v>#N/A Requesting Data...3393292954</v>
        <stp/>
        <stp>BDP|4082282915169685344</stp>
        <tr r="H442" s="1"/>
      </tp>
      <tp t="s">
        <v>#N/A Requesting Data...3890405803</v>
        <stp/>
        <stp>BDP|2263985111045537229</stp>
        <tr r="AV295" s="1"/>
      </tp>
      <tp t="s">
        <v>#N/A Requesting Data...3815232128</v>
        <stp/>
        <stp>BDP|9392937528707208860</stp>
        <tr r="AT401" s="1"/>
      </tp>
      <tp t="s">
        <v>#N/A Requesting Data...3325470600</v>
        <stp/>
        <stp>BDP|7992042004108755225</stp>
        <tr r="H1632" s="1"/>
      </tp>
      <tp t="s">
        <v>#N/A Requesting Data...3398131188</v>
        <stp/>
        <stp>BDP|8469575579264034368</stp>
        <tr r="J1882" s="1"/>
      </tp>
      <tp t="s">
        <v>#N/A Requesting Data...3374070663</v>
        <stp/>
        <stp>BDP|9895680128025652521</stp>
        <tr r="J169" s="1"/>
        <tr r="J1816" s="1"/>
      </tp>
      <tp t="s">
        <v>#N/A Requesting Data...3348073358</v>
        <stp/>
        <stp>BDP|7740034198765322638</stp>
        <tr r="AV853" s="1"/>
      </tp>
      <tp t="s">
        <v>#N/A Requesting Data...3273030976</v>
        <stp/>
        <stp>BDP|1904503056109492575</stp>
        <tr r="J1505" s="1"/>
      </tp>
      <tp t="s">
        <v>#N/A Requesting Data...4013613159</v>
        <stp/>
        <stp>BDP|9073006759819188842</stp>
        <tr r="AU896" s="1"/>
      </tp>
      <tp t="s">
        <v>#N/A Requesting Data...3453106335</v>
        <stp/>
        <stp>BDP|7079070784547902561</stp>
        <tr r="J460" s="1"/>
      </tp>
      <tp t="s">
        <v>#N/A Requesting Data...3435045538</v>
        <stp/>
        <stp>BDP|6009435524634982929</stp>
        <tr r="AU749" s="1"/>
      </tp>
      <tp t="s">
        <v>#N/A Requesting Data...3642831657</v>
        <stp/>
        <stp>BDP|9343115559276790613</stp>
        <tr r="AT717" s="1"/>
      </tp>
      <tp t="s">
        <v>#N/A Requesting Data...4256134914</v>
        <stp/>
        <stp>BDP|4009805937346965438</stp>
        <tr r="H483" s="1"/>
      </tp>
      <tp t="s">
        <v>#N/A Requesting Data...4205481149</v>
        <stp/>
        <stp>BDP|2836364891940254503</stp>
        <tr r="AR779" s="1"/>
      </tp>
      <tp t="s">
        <v>#N/A Requesting Data...4089868121</v>
        <stp/>
        <stp>BDP|9605665307273941138</stp>
        <tr r="J551" s="1"/>
      </tp>
      <tp t="s">
        <v>#N/A Requesting Data...3294185114</v>
        <stp/>
        <stp>BDP|2898811806435420265</stp>
        <tr r="AR1997" s="1"/>
      </tp>
      <tp t="s">
        <v>#N/A Requesting Data...3454258099</v>
        <stp/>
        <stp>BDP|5500880903993063335</stp>
        <tr r="AV317" s="1"/>
      </tp>
      <tp t="s">
        <v>#N/A Requesting Data...4203747459</v>
        <stp/>
        <stp>BDP|8876368926535534103</stp>
        <tr r="AU290" s="1"/>
      </tp>
      <tp t="s">
        <v>#N/A Requesting Data...3475423473</v>
        <stp/>
        <stp>BDP|8928641219071097390</stp>
        <tr r="E679" s="1"/>
      </tp>
      <tp t="s">
        <v>#N/A Requesting Data...3607699585</v>
        <stp/>
        <stp>BDP|8023352826797632389</stp>
        <tr r="AT902" s="1"/>
      </tp>
      <tp t="s">
        <v>#N/A Requesting Data...3632545757</v>
        <stp/>
        <stp>BDP|9366788628873863262</stp>
        <tr r="AV692" s="1"/>
      </tp>
      <tp t="s">
        <v>#N/A Requesting Data...3148471724</v>
        <stp/>
        <stp>BDP|9908320775994464478</stp>
        <tr r="E1149" s="1"/>
      </tp>
      <tp t="s">
        <v>#N/A Requesting Data...3927190669</v>
        <stp/>
        <stp>BDP|3321995822114574106</stp>
        <tr r="H191" s="1"/>
        <tr r="H44" s="1"/>
      </tp>
      <tp t="s">
        <v>#N/A Requesting Data...3825800997</v>
        <stp/>
        <stp>BDP|8629756342051564795</stp>
        <tr r="E1770" s="1"/>
      </tp>
      <tp t="s">
        <v>#N/A Requesting Data...3519053172</v>
        <stp/>
        <stp>BDP|1911074892471910486</stp>
        <tr r="AU439" s="1"/>
      </tp>
      <tp t="s">
        <v>#N/A Requesting Data...4166503406</v>
        <stp/>
        <stp>BDP|5190148451988202441</stp>
        <tr r="J1118" s="1"/>
        <tr r="J1591" s="1"/>
        <tr r="J1966" s="1"/>
      </tp>
      <tp t="s">
        <v>#N/A Requesting Data...3991004584</v>
        <stp/>
        <stp>BDP|7551933540805455201</stp>
        <tr r="AT470" s="1"/>
      </tp>
      <tp t="s">
        <v>#N/A Requesting Data...3128506551</v>
        <stp/>
        <stp>BDP|8121089455964681480</stp>
        <tr r="H702" s="1"/>
      </tp>
      <tp t="s">
        <v>#N/A Requesting Data...4165201340</v>
        <stp/>
        <stp>BDP|9493807755789702046</stp>
        <tr r="J639" s="1"/>
      </tp>
      <tp t="s">
        <v>#N/A Requesting Data...3777160265</v>
        <stp/>
        <stp>BDP|2125906687947304973</stp>
        <tr r="AR2015" s="1"/>
      </tp>
      <tp t="s">
        <v>#N/A Requesting Data...4273805541</v>
        <stp/>
        <stp>BDP|6360312668768166694</stp>
        <tr r="H1189" s="1"/>
      </tp>
      <tp t="s">
        <v>#N/A Requesting Data...3983748501</v>
        <stp/>
        <stp>BDP|5122274010589608222</stp>
        <tr r="E635" s="1"/>
      </tp>
      <tp t="s">
        <v>#N/A Requesting Data...3494121969</v>
        <stp/>
        <stp>BDP|1292818025212169454</stp>
        <tr r="AO1019" s="1"/>
      </tp>
      <tp t="s">
        <v>#N/A Requesting Data...3735149930</v>
        <stp/>
        <stp>BDP|7543206852018640536</stp>
        <tr r="H128" s="1"/>
        <tr r="H1384" s="1"/>
      </tp>
      <tp t="s">
        <v>#N/A Requesting Data...3966042818</v>
        <stp/>
        <stp>BDP|9684528674596360010</stp>
        <tr r="J446" s="1"/>
      </tp>
      <tp t="s">
        <v>#N/A Requesting Data...3476369072</v>
        <stp/>
        <stp>BDP|9773355980357568855</stp>
        <tr r="AU490" s="1"/>
      </tp>
      <tp t="s">
        <v>#N/A Requesting Data...3483971160</v>
        <stp/>
        <stp>BDP|2610254751369150117</stp>
        <tr r="AV911" s="1"/>
      </tp>
      <tp t="s">
        <v>#N/A Requesting Data...4026658918</v>
        <stp/>
        <stp>BDP|4870717732165971801</stp>
        <tr r="J1783" s="1"/>
      </tp>
      <tp t="s">
        <v>#N/A Requesting Data...3865486379</v>
        <stp/>
        <stp>BDP|6208439784694706314</stp>
        <tr r="AU423" s="1"/>
      </tp>
      <tp t="s">
        <v>#N/A Requesting Data...3459339992</v>
        <stp/>
        <stp>BDP|3094937210231303736</stp>
        <tr r="J1379" s="1"/>
        <tr r="J1588" s="1"/>
      </tp>
      <tp t="s">
        <v>#N/A Requesting Data...3366291957</v>
        <stp/>
        <stp>BDP|7982695522996193807</stp>
        <tr r="J101" s="1"/>
        <tr r="J1425" s="1"/>
        <tr r="J1454" s="1"/>
      </tp>
      <tp t="s">
        <v>#N/A Requesting Data...3293136933</v>
        <stp/>
        <stp>BDP|6968889734875286543</stp>
        <tr r="H106" s="1"/>
      </tp>
      <tp t="s">
        <v>#N/A Requesting Data...3743913789</v>
        <stp/>
        <stp>BDP|1583620387557372505</stp>
        <tr r="J1075" s="1"/>
        <tr r="J1122" s="1"/>
        <tr r="J1490" s="1"/>
        <tr r="J1597" s="1"/>
        <tr r="J1967" s="1"/>
      </tp>
      <tp t="s">
        <v>#N/A Requesting Data...3980168517</v>
        <stp/>
        <stp>BDP|2304668582068060940</stp>
        <tr r="AT379" s="1"/>
      </tp>
      <tp t="s">
        <v>#N/A Requesting Data...3195142355</v>
        <stp/>
        <stp>BDP|1760650631370004906</stp>
        <tr r="E1645" s="1"/>
      </tp>
      <tp t="s">
        <v>#N/A Requesting Data...4035543015</v>
        <stp/>
        <stp>BDP|4323884921534827713</stp>
        <tr r="J2057" s="1"/>
      </tp>
      <tp t="s">
        <v>#N/A Requesting Data...3138458963</v>
        <stp/>
        <stp>BDP|2152218893206352238</stp>
        <tr r="J1230" s="1"/>
      </tp>
      <tp t="s">
        <v>#N/A Requesting Data...3852956573</v>
        <stp/>
        <stp>BDP|1584951502865365022</stp>
        <tr r="J1417" s="1"/>
      </tp>
      <tp t="s">
        <v>#N/A Requesting Data...3260040061</v>
        <stp/>
        <stp>BDP|9396737814956603411</stp>
        <tr r="E1428" s="1"/>
      </tp>
      <tp t="s">
        <v>#N/A Requesting Data...3192146807</v>
        <stp/>
        <stp>BDP|1455916616065438179</stp>
        <tr r="E1813" s="1"/>
      </tp>
      <tp t="s">
        <v>#N/A Requesting Data...3404685673</v>
        <stp/>
        <stp>BDP|7944898791642229931</stp>
        <tr r="J1777" s="1"/>
      </tp>
      <tp t="s">
        <v>#N/A Requesting Data...3418524597</v>
        <stp/>
        <stp>BDP|9311059820915194370</stp>
        <tr r="E580" s="1"/>
      </tp>
      <tp t="s">
        <v>#N/A Requesting Data...3321146271</v>
        <stp/>
        <stp>BDP|7488855062406544260</stp>
        <tr r="H267" s="1"/>
      </tp>
      <tp t="s">
        <v>#N/A Requesting Data...3849975675</v>
        <stp/>
        <stp>BDP|9479863764682091867</stp>
        <tr r="AV396" s="1"/>
      </tp>
      <tp t="s">
        <v>#N/A Requesting Data...3219997659</v>
        <stp/>
        <stp>BDP|4567961863987258124</stp>
        <tr r="J1671" s="1"/>
        <tr r="J1854" s="1"/>
      </tp>
      <tp t="s">
        <v>#N/A Requesting Data...3371543556</v>
        <stp/>
        <stp>BDP|8214241866565493442</stp>
        <tr r="J479" s="1"/>
      </tp>
      <tp t="s">
        <v>#N/A Requesting Data...3785235797</v>
        <stp/>
        <stp>BDP|2842211289493140611</stp>
        <tr r="J496" s="1"/>
      </tp>
      <tp t="s">
        <v>#N/A Requesting Data...3216933855</v>
        <stp/>
        <stp>BDP|8207773295353358833</stp>
        <tr r="E894" s="1"/>
      </tp>
      <tp t="s">
        <v>#N/A Requesting Data...4079483561</v>
        <stp/>
        <stp>BDP|6729533115806452945</stp>
        <tr r="AV456" s="1"/>
      </tp>
      <tp t="s">
        <v>#N/A Requesting Data...3568815924</v>
        <stp/>
        <stp>BDP|2401207443929401025</stp>
        <tr r="J1224" s="1"/>
      </tp>
      <tp t="s">
        <v>#N/A Requesting Data...3504067221</v>
        <stp/>
        <stp>BDP|1761026902855777914</stp>
        <tr r="AT350" s="1"/>
      </tp>
      <tp t="s">
        <v>#N/A Requesting Data...4289019967</v>
        <stp/>
        <stp>BDP|7696793781593723686</stp>
        <tr r="AV868" s="1"/>
      </tp>
      <tp t="s">
        <v>#N/A Requesting Data...3323964054</v>
        <stp/>
        <stp>BDP|1008937525176456139</stp>
        <tr r="H714" s="1"/>
      </tp>
      <tp t="s">
        <v>#N/A Requesting Data...4264635371</v>
        <stp/>
        <stp>BDP|2642932401816591008</stp>
        <tr r="AV453" s="1"/>
      </tp>
      <tp t="s">
        <v>#N/A Requesting Data...3526480565</v>
        <stp/>
        <stp>BDP|5570904522953740011</stp>
        <tr r="J1955" s="1"/>
      </tp>
      <tp t="s">
        <v>#N/A Requesting Data...3837970946</v>
        <stp/>
        <stp>BDP|7452981427175376493</stp>
        <tr r="E1658" s="1"/>
      </tp>
      <tp t="s">
        <v>#N/A Requesting Data...4081969092</v>
        <stp/>
        <stp>BDP|7249234844255665927</stp>
        <tr r="J743" s="1"/>
      </tp>
      <tp t="s">
        <v>#N/A Requesting Data...4153032723</v>
        <stp/>
        <stp>BDP|2541842860788352937</stp>
        <tr r="E633" s="1"/>
      </tp>
      <tp t="s">
        <v>#N/A Requesting Data...3581175083</v>
        <stp/>
        <stp>BDP|3777275894742325765</stp>
        <tr r="H1946" s="1"/>
      </tp>
      <tp t="s">
        <v>#N/A Requesting Data...3245041201</v>
        <stp/>
        <stp>BDP|1620795229619179063</stp>
        <tr r="E1164" s="1"/>
      </tp>
      <tp t="s">
        <v>#N/A Requesting Data...3974818903</v>
        <stp/>
        <stp>BDP|1208053590397220246</stp>
        <tr r="J750" s="1"/>
      </tp>
      <tp t="s">
        <v>#N/A Requesting Data...3435128202</v>
        <stp/>
        <stp>BDP|2244627062739393609</stp>
        <tr r="J1126" s="1"/>
        <tr r="J136" s="1"/>
        <tr r="J1394" s="1"/>
        <tr r="J1614" s="1"/>
        <tr r="J74" s="1"/>
      </tp>
      <tp t="s">
        <v>#N/A Requesting Data...3645058510</v>
        <stp/>
        <stp>BDP|3839682402140715846</stp>
        <tr r="E438" s="1"/>
      </tp>
      <tp t="s">
        <v>#N/A Requesting Data...3606947895</v>
        <stp/>
        <stp>BDP|7998980027784393541</stp>
        <tr r="H797" s="1"/>
      </tp>
      <tp t="s">
        <v>#N/A Requesting Data...4091548512</v>
        <stp/>
        <stp>BDP|7635467844882162831</stp>
        <tr r="AV373" s="1"/>
      </tp>
      <tp t="s">
        <v>#N/A Requesting Data...3627198751</v>
        <stp/>
        <stp>BDP|1467780232871942910</stp>
        <tr r="H131" s="1"/>
      </tp>
      <tp t="s">
        <v>#N/A Requesting Data...3405110322</v>
        <stp/>
        <stp>BDP|4598510385397260356</stp>
        <tr r="E717" s="1"/>
      </tp>
      <tp t="s">
        <v>#N/A Requesting Data...3925874120</v>
        <stp/>
        <stp>BDP|9095760808576068580</stp>
        <tr r="AV633" s="1"/>
      </tp>
      <tp t="s">
        <v>#N/A Requesting Data...4265964535</v>
        <stp/>
        <stp>BDP|9658019305404778030</stp>
        <tr r="AV415" s="1"/>
      </tp>
      <tp t="s">
        <v>#N/A Requesting Data...4080308863</v>
        <stp/>
        <stp>BDP|8282672063443108611</stp>
        <tr r="AV387" s="1"/>
      </tp>
      <tp t="s">
        <v>#N/A Requesting Data...3938308027</v>
        <stp/>
        <stp>BDP|9488601901765101720</stp>
        <tr r="J2063" s="1"/>
        <tr r="J64" s="1"/>
      </tp>
      <tp t="s">
        <v>#N/A Requesting Data...4004481443</v>
        <stp/>
        <stp>BDP|5264396031850830845</stp>
        <tr r="J515" s="1"/>
      </tp>
      <tp t="s">
        <v>#N/A Requesting Data...3447848698</v>
        <stp/>
        <stp>BDP|5609272234221385806</stp>
        <tr r="AV386" s="1"/>
      </tp>
      <tp t="s">
        <v>#N/A Requesting Data...3746131773</v>
        <stp/>
        <stp>BDP|5330658995953119443</stp>
        <tr r="AU281" s="1"/>
      </tp>
      <tp t="s">
        <v>#N/A Requesting Data...3663387151</v>
        <stp/>
        <stp>BDP|3985931914601098783</stp>
        <tr r="AU458" s="1"/>
      </tp>
      <tp t="s">
        <v>#N/A Requesting Data...4249467868</v>
        <stp/>
        <stp>BDP|8724704234302464316</stp>
        <tr r="AV754" s="1"/>
      </tp>
      <tp t="s">
        <v>#N/A Requesting Data...3803589818</v>
        <stp/>
        <stp>BDP|8098476727544463729</stp>
        <tr r="J311" s="1"/>
      </tp>
      <tp t="s">
        <v>#N/A Requesting Data...3699099953</v>
        <stp/>
        <stp>BDP|8317067763031679278</stp>
        <tr r="H2082" s="1"/>
      </tp>
      <tp t="s">
        <v>#N/A Requesting Data...4109357745</v>
        <stp/>
        <stp>BDP|3785744483778321945</stp>
        <tr r="AS1798" s="1"/>
      </tp>
      <tp t="s">
        <v>#N/A Requesting Data...3811083183</v>
        <stp/>
        <stp>BDP|2474756466807094903</stp>
        <tr r="E1241" s="1"/>
      </tp>
      <tp t="s">
        <v>#N/A Requesting Data...3306470544</v>
        <stp/>
        <stp>BDP|2661122486755787328</stp>
        <tr r="H139" s="1"/>
      </tp>
      <tp t="s">
        <v>#N/A Requesting Data...3497133504</v>
        <stp/>
        <stp>BDP|9004250257646273572</stp>
        <tr r="AT537" s="1"/>
      </tp>
      <tp t="s">
        <v>#N/A Requesting Data...4231227313</v>
        <stp/>
        <stp>BDP|3469868806842107425</stp>
        <tr r="H1546" s="1"/>
      </tp>
      <tp t="s">
        <v>#N/A Requesting Data...3770481313</v>
        <stp/>
        <stp>BDP|3637117269708895118</stp>
        <tr r="H364" s="1"/>
      </tp>
      <tp t="s">
        <v>#N/A Requesting Data...3456487252</v>
        <stp/>
        <stp>BDP|6303415974380877895</stp>
        <tr r="E1525" s="1"/>
      </tp>
      <tp t="s">
        <v>#N/A Requesting Data...3439026206</v>
        <stp/>
        <stp>BDP|4701828410043125303</stp>
        <tr r="E1483" s="1"/>
      </tp>
      <tp t="s">
        <v>#N/A Requesting Data...3469575737</v>
        <stp/>
        <stp>BDP|4122054591957613776</stp>
        <tr r="J1863" s="1"/>
        <tr r="J2071" s="1"/>
      </tp>
      <tp t="s">
        <v>#N/A Requesting Data...3963115121</v>
        <stp/>
        <stp>BDP|8727195148813433366</stp>
        <tr r="H997" s="1"/>
      </tp>
      <tp t="s">
        <v>#N/A Requesting Data...3774335111</v>
        <stp/>
        <stp>BDP|8345711542452523419</stp>
        <tr r="E1055" s="1"/>
      </tp>
      <tp t="s">
        <v>#N/A Requesting Data...3211029523</v>
        <stp/>
        <stp>BDP|2518303974638372369</stp>
        <tr r="E1402" s="1"/>
      </tp>
      <tp t="s">
        <v>#N/A Requesting Data...3291523762</v>
        <stp/>
        <stp>BDP|3356279994357600225</stp>
        <tr r="J92" s="1"/>
      </tp>
      <tp t="s">
        <v>#N/A Requesting Data...3971104719</v>
        <stp/>
        <stp>BDP|9574749010292212072</stp>
        <tr r="H590" s="1"/>
      </tp>
      <tp t="s">
        <v>#N/A Requesting Data...3644616871</v>
        <stp/>
        <stp>BDP|2262646337119185347</stp>
        <tr r="AU218" s="1"/>
      </tp>
      <tp t="s">
        <v>#N/A Requesting Data...3865391113</v>
        <stp/>
        <stp>BDP|5394834351447308268</stp>
        <tr r="E393" s="1"/>
      </tp>
      <tp t="s">
        <v>#N/A Requesting Data...3529104291</v>
        <stp/>
        <stp>BDP|6136252891080264034</stp>
        <tr r="J1196" s="1"/>
      </tp>
      <tp t="s">
        <v>#N/A Requesting Data...3392702437</v>
        <stp/>
        <stp>BDP|6530457946648692349</stp>
        <tr r="J921" s="1"/>
      </tp>
      <tp t="s">
        <v>#N/A Requesting Data...3706650763</v>
        <stp/>
        <stp>BDP|8960792133290550127</stp>
        <tr r="E1085" s="1"/>
      </tp>
      <tp t="s">
        <v>#N/A Requesting Data...3953603662</v>
        <stp/>
        <stp>BDP|3987479067615911941</stp>
        <tr r="H1187" s="1"/>
      </tp>
      <tp t="s">
        <v>#N/A Requesting Data...3246025944</v>
        <stp/>
        <stp>BDP|9765061214336005313</stp>
        <tr r="H849" s="1"/>
      </tp>
      <tp t="s">
        <v>#N/A Requesting Data...3995529957</v>
        <stp/>
        <stp>BDP|5750911234341723313</stp>
        <tr r="E1161" s="1"/>
      </tp>
      <tp t="s">
        <v>#N/A Requesting Data...3646624446</v>
        <stp/>
        <stp>BDP|7646998406116526589</stp>
        <tr r="H1476" s="1"/>
      </tp>
      <tp t="s">
        <v>#N/A Requesting Data...3634123915</v>
        <stp/>
        <stp>BDP|4000254944948029746</stp>
        <tr r="H1212" s="1"/>
      </tp>
      <tp t="s">
        <v>#N/A Requesting Data...3368865683</v>
        <stp/>
        <stp>BDP|6693120458796867912</stp>
        <tr r="AU384" s="1"/>
      </tp>
      <tp t="s">
        <v>#N/A Requesting Data...3755742076</v>
        <stp/>
        <stp>BDP|8617745461942347654</stp>
        <tr r="AT519" s="1"/>
      </tp>
      <tp t="s">
        <v>#N/A Requesting Data...3195363145</v>
        <stp/>
        <stp>BDP|5199251287311461321</stp>
        <tr r="J931" s="1"/>
      </tp>
      <tp t="s">
        <v>#N/A Requesting Data...3579972147</v>
        <stp/>
        <stp>BDP|4645372665475293934</stp>
        <tr r="H629" s="1"/>
      </tp>
      <tp t="s">
        <v>#N/A Requesting Data...3459855719</v>
        <stp/>
        <stp>BDP|9670240441643267146</stp>
        <tr r="J992" s="1"/>
      </tp>
      <tp t="s">
        <v>#N/A Requesting Data...4089597959</v>
        <stp/>
        <stp>BDP|9366327834583077702</stp>
        <tr r="AT431" s="1"/>
      </tp>
      <tp t="s">
        <v>#N/A Requesting Data...3370869643</v>
        <stp/>
        <stp>BDP|6590983969927421350</stp>
        <tr r="E1054" s="1"/>
      </tp>
      <tp t="s">
        <v>#N/A Requesting Data...3935028702</v>
        <stp/>
        <stp>BDP|7595145834988023007</stp>
        <tr r="J1253" s="1"/>
      </tp>
      <tp t="s">
        <v>#N/A Requesting Data...4212492895</v>
        <stp/>
        <stp>BDP|9641913212684348837</stp>
        <tr r="J1746" s="1"/>
      </tp>
      <tp t="s">
        <v>#N/A Requesting Data...4125116912</v>
        <stp/>
        <stp>BDP|2788643492762012248</stp>
        <tr r="H950" s="1"/>
      </tp>
      <tp t="s">
        <v>#N/A Requesting Data...3478041172</v>
        <stp/>
        <stp>BDP|9651250975724112526</stp>
        <tr r="J695" s="1"/>
      </tp>
      <tp t="s">
        <v>#N/A Requesting Data...4294707521</v>
        <stp/>
        <stp>BDP|9125359602681192621</stp>
        <tr r="AT721" s="1"/>
      </tp>
      <tp t="s">
        <v>#N/A Requesting Data...3257414229</v>
        <stp/>
        <stp>BDP|2360844938406358295</stp>
        <tr r="E1477" s="1"/>
      </tp>
      <tp t="s">
        <v>#N/A Requesting Data...3800038664</v>
        <stp/>
        <stp>BDP|2034217684983539658</stp>
        <tr r="E519" s="1"/>
      </tp>
      <tp t="s">
        <v>#N/A Requesting Data...3398500740</v>
        <stp/>
        <stp>BDP|7807814544761230459</stp>
        <tr r="E245" s="1"/>
      </tp>
      <tp t="s">
        <v>#N/A Requesting Data...3724148175</v>
        <stp/>
        <stp>BDP|3777416965878960707</stp>
        <tr r="AO1804" s="1"/>
      </tp>
      <tp t="s">
        <v>#N/A Requesting Data...4065500330</v>
        <stp/>
        <stp>BDP|5414937239329308878</stp>
        <tr r="J1696" s="1"/>
      </tp>
      <tp t="s">
        <v>#N/A Requesting Data...3454445901</v>
        <stp/>
        <stp>BDP|7200735473701810802</stp>
        <tr r="H579" s="1"/>
      </tp>
      <tp t="s">
        <v>#N/A Requesting Data...3743659377</v>
        <stp/>
        <stp>BDP|9933586232452816311</stp>
        <tr r="AT445" s="1"/>
      </tp>
      <tp t="s">
        <v>#N/A Requesting Data...3803868863</v>
        <stp/>
        <stp>BDP|3553891010186136276</stp>
        <tr r="J1177" s="1"/>
      </tp>
      <tp t="s">
        <v>#N/A Requesting Data...3657867466</v>
        <stp/>
        <stp>BDP|2034351469000523933</stp>
        <tr r="AT355" s="1"/>
      </tp>
      <tp t="s">
        <v>#N/A Requesting Data...3606446286</v>
        <stp/>
        <stp>BDP|7150334781212836015</stp>
        <tr r="H711" s="1"/>
      </tp>
      <tp t="s">
        <v>#N/A Requesting Data...4062416450</v>
        <stp/>
        <stp>BDP|2413774898447619577</stp>
        <tr r="E186" s="1"/>
        <tr r="E1943" s="1"/>
      </tp>
      <tp t="s">
        <v>#N/A Requesting Data...3893149093</v>
        <stp/>
        <stp>BDP|5294943805155887715</stp>
        <tr r="E334" s="1"/>
      </tp>
      <tp t="s">
        <v>#N/A Requesting Data...3712474648</v>
        <stp/>
        <stp>BDP|7417636491574831259</stp>
        <tr r="J1340" s="1"/>
        <tr r="J1817" s="1"/>
      </tp>
      <tp t="s">
        <v>#N/A Requesting Data...4161780226</v>
        <stp/>
        <stp>BDP|9218958397952951528</stp>
        <tr r="J586" s="1"/>
      </tp>
      <tp t="s">
        <v>#N/A Requesting Data...3586514642</v>
        <stp/>
        <stp>BDP|5172880367311703428</stp>
        <tr r="AV674" s="1"/>
      </tp>
      <tp t="s">
        <v>#N/A Requesting Data...3680176511</v>
        <stp/>
        <stp>BDP|5879270616318496061</stp>
        <tr r="AT546" s="1"/>
      </tp>
      <tp t="s">
        <v>#N/A Requesting Data...3956902866</v>
        <stp/>
        <stp>BDP|6165539120697068890</stp>
        <tr r="H576" s="1"/>
      </tp>
      <tp t="s">
        <v>#N/A Requesting Data...3974769980</v>
        <stp/>
        <stp>BDP|4556719058609005175</stp>
        <tr r="H429" s="1"/>
      </tp>
      <tp t="s">
        <v>#N/A Requesting Data...3766480043</v>
        <stp/>
        <stp>BDP|8281244017542382791</stp>
        <tr r="AU288" s="1"/>
      </tp>
      <tp t="s">
        <v>#N/A Requesting Data...4030393441</v>
        <stp/>
        <stp>BDP|3755934760544857676</stp>
        <tr r="H907" s="1"/>
      </tp>
      <tp t="s">
        <v>#N/A Requesting Data...3513412039</v>
        <stp/>
        <stp>BDP|3828634112323621940</stp>
        <tr r="J670" s="1"/>
      </tp>
      <tp t="s">
        <v>#N/A Requesting Data...3515303121</v>
        <stp/>
        <stp>BDP|1190308988380211439</stp>
        <tr r="H250" s="1"/>
      </tp>
      <tp t="s">
        <v>#N/A Requesting Data...3797297557</v>
        <stp/>
        <stp>BDP|2725922697928801423</stp>
        <tr r="H762" s="1"/>
      </tp>
      <tp t="s">
        <v>#N/A Requesting Data...3395671249</v>
        <stp/>
        <stp>BDP|1780120136635837831</stp>
        <tr r="J550" s="1"/>
      </tp>
      <tp t="s">
        <v>#N/A Requesting Data...3993603240</v>
        <stp/>
        <stp>BDP|7921940190311454818</stp>
        <tr r="E858" s="1"/>
      </tp>
      <tp t="s">
        <v>#N/A Requesting Data...3792814920</v>
        <stp/>
        <stp>BDP|7059493495190604422</stp>
        <tr r="H1199" s="1"/>
      </tp>
      <tp t="s">
        <v>#N/A Requesting Data...4028525537</v>
        <stp/>
        <stp>BDP|6851854484889655178</stp>
        <tr r="H1097" s="1"/>
      </tp>
      <tp t="s">
        <v>#N/A Requesting Data...4192560225</v>
        <stp/>
        <stp>BDP|1215685870167140935</stp>
        <tr r="H458" s="1"/>
      </tp>
      <tp t="s">
        <v>#N/A Requesting Data...3597484485</v>
        <stp/>
        <stp>BDP|8580145659360458250</stp>
        <tr r="AV725" s="1"/>
      </tp>
      <tp t="s">
        <v>#N/A Requesting Data...3295308639</v>
        <stp/>
        <stp>BDP|1864973800745696306</stp>
        <tr r="J977" s="1"/>
      </tp>
      <tp t="s">
        <v>#N/A Requesting Data...3355284927</v>
        <stp/>
        <stp>BDP|5821354331349123246</stp>
        <tr r="H1667" s="1"/>
      </tp>
      <tp t="s">
        <v>#N/A Requesting Data...3532862179</v>
        <stp/>
        <stp>BDP|8807270643728446812</stp>
        <tr r="AV211" s="1"/>
      </tp>
      <tp t="s">
        <v>#N/A Requesting Data...3956916401</v>
        <stp/>
        <stp>BDP|8353371557854948438</stp>
        <tr r="H503" s="1"/>
      </tp>
      <tp t="s">
        <v>#N/A Requesting Data...3999167847</v>
        <stp/>
        <stp>BDP|8140796319660015086</stp>
        <tr r="AU452" s="1"/>
      </tp>
      <tp t="s">
        <v>#N/A Requesting Data...3261242074</v>
        <stp/>
        <stp>BDP|8362982243703404851</stp>
        <tr r="H858" s="1"/>
      </tp>
      <tp t="s">
        <v>#N/A Requesting Data...3559718516</v>
        <stp/>
        <stp>BDP|9356536255334972355</stp>
        <tr r="J1500" s="1"/>
        <tr r="J1618" s="1"/>
      </tp>
      <tp t="s">
        <v>#N/A Requesting Data...4100847352</v>
        <stp/>
        <stp>BDP|2296800957530415188</stp>
        <tr r="E414" s="1"/>
      </tp>
      <tp t="s">
        <v>#N/A Requesting Data...4277354287</v>
        <stp/>
        <stp>BDP|1882872424533467613</stp>
        <tr r="H1424" s="1"/>
        <tr r="H1453" s="1"/>
      </tp>
      <tp t="s">
        <v>#N/A Requesting Data...3485375251</v>
        <stp/>
        <stp>BDP|3526490085506445739</stp>
        <tr r="H186" s="1"/>
        <tr r="H1943" s="1"/>
      </tp>
      <tp t="s">
        <v>#N/A Requesting Data...3686534027</v>
        <stp/>
        <stp>BDP|9770444049250052749</stp>
        <tr r="J590" s="1"/>
      </tp>
      <tp t="s">
        <v>#N/A Requesting Data...3761995349</v>
        <stp/>
        <stp>BDP|8677836579381798857</stp>
        <tr r="J342" s="1"/>
      </tp>
      <tp t="s">
        <v>#N/A Requesting Data...3648442733</v>
        <stp/>
        <stp>BDP|2178189723569143653</stp>
        <tr r="AV201" s="1"/>
        <tr r="AV257" s="1"/>
      </tp>
      <tp t="s">
        <v>#N/A Requesting Data...3635933536</v>
        <stp/>
        <stp>BDP|2179184396280991486</stp>
        <tr r="H313" s="1"/>
      </tp>
      <tp t="s">
        <v>#N/A Requesting Data...3989304175</v>
        <stp/>
        <stp>BDP|9743404023075979436</stp>
        <tr r="AU477" s="1"/>
      </tp>
      <tp t="s">
        <v>#N/A Requesting Data...3680097344</v>
        <stp/>
        <stp>BDP|3050829011231869558</stp>
        <tr r="J1096" s="1"/>
        <tr r="J190" s="1"/>
        <tr r="J952" s="1"/>
      </tp>
      <tp t="s">
        <v>#N/A Requesting Data...3834232380</v>
        <stp/>
        <stp>BDP|4333756278709527353</stp>
        <tr r="AT267" s="1"/>
      </tp>
      <tp t="s">
        <v>#N/A Requesting Data...3623181863</v>
        <stp/>
        <stp>BDP|8744588746965378246</stp>
        <tr r="AV860" s="1"/>
      </tp>
      <tp t="s">
        <v>#N/A Requesting Data...3624227157</v>
        <stp/>
        <stp>BDP|6886046613690975989</stp>
        <tr r="H1396" s="1"/>
        <tr r="H1617" s="1"/>
      </tp>
      <tp t="s">
        <v>#N/A Requesting Data...3461261452</v>
        <stp/>
        <stp>BDP|3383702162229627583</stp>
        <tr r="H1254" s="1"/>
      </tp>
      <tp t="s">
        <v>#N/A Requesting Data...3719989078</v>
        <stp/>
        <stp>BDP|1898389358100687911</stp>
        <tr r="E375" s="1"/>
      </tp>
      <tp t="s">
        <v>#N/A Requesting Data...4253066717</v>
        <stp/>
        <stp>BDP|5281300701198592098</stp>
        <tr r="AT353" s="1"/>
      </tp>
      <tp t="s">
        <v>#N/A Requesting Data...3781942766</v>
        <stp/>
        <stp>BDP|9843640595491781913</stp>
        <tr r="H1056" s="1"/>
        <tr r="H1095" s="1"/>
        <tr r="H189" s="1"/>
      </tp>
      <tp t="s">
        <v>#N/A Requesting Data...3446116638</v>
        <stp/>
        <stp>BDP|8852860251988217326</stp>
        <tr r="AV313" s="1"/>
      </tp>
      <tp t="s">
        <v>#N/A Requesting Data...4095007752</v>
        <stp/>
        <stp>BDP|4696885818452017194</stp>
        <tr r="H2054" s="1"/>
      </tp>
      <tp t="s">
        <v>#N/A Requesting Data...3394388756</v>
        <stp/>
        <stp>BDP|2998489795911265092</stp>
        <tr r="E518" s="1"/>
      </tp>
      <tp t="s">
        <v>#N/A Requesting Data...3390373877</v>
        <stp/>
        <stp>BDP|2200851575841829257</stp>
        <tr r="E596" s="1"/>
      </tp>
      <tp t="s">
        <v>#N/A Requesting Data...4174624652</v>
        <stp/>
        <stp>BDP|9759558359020572718</stp>
        <tr r="J202" s="1"/>
      </tp>
      <tp t="s">
        <v>#N/A Requesting Data...3379980780</v>
        <stp/>
        <stp>BDP|7972874998618959004</stp>
        <tr r="H457" s="1"/>
      </tp>
      <tp t="s">
        <v>#N/A Requesting Data...3931160961</v>
        <stp/>
        <stp>BDP|2967969924840377776</stp>
        <tr r="H1669" s="1"/>
      </tp>
      <tp t="s">
        <v>#N/A Requesting Data...3692721525</v>
        <stp/>
        <stp>BDP|7028357622960913827</stp>
        <tr r="E977" s="1"/>
      </tp>
      <tp t="s">
        <v>#N/A Requesting Data...3315329514</v>
        <stp/>
        <stp>BDP|3549150158868063146</stp>
        <tr r="E174" s="1"/>
      </tp>
      <tp t="s">
        <v>#N/A Requesting Data...4155610671</v>
        <stp/>
        <stp>BDP|1856859612883333506</stp>
        <tr r="H1120" s="1"/>
        <tr r="H1593" s="1"/>
      </tp>
      <tp t="s">
        <v>#N/A Requesting Data...4237424149</v>
        <stp/>
        <stp>BDP|9224292796118920483</stp>
        <tr r="AU677" s="1"/>
      </tp>
      <tp t="s">
        <v>#N/A Requesting Data...3975368139</v>
        <stp/>
        <stp>BDP|4467395887415070460</stp>
        <tr r="E586" s="1"/>
      </tp>
      <tp t="s">
        <v>#N/A Requesting Data...4179027098</v>
        <stp/>
        <stp>BDP|8650583425215020472</stp>
        <tr r="AV647" s="1"/>
      </tp>
      <tp t="s">
        <v>#N/A Requesting Data...3591637737</v>
        <stp/>
        <stp>BDP|9118713510417869647</stp>
        <tr r="E1445" s="1"/>
      </tp>
      <tp t="s">
        <v>#N/A Requesting Data...3877257931</v>
        <stp/>
        <stp>BDP|5131257549019252436</stp>
        <tr r="H556" s="1"/>
      </tp>
      <tp t="s">
        <v>#N/A Requesting Data...4081971182</v>
        <stp/>
        <stp>BDP|1064021659113083978</stp>
        <tr r="J1027" s="1"/>
      </tp>
      <tp t="s">
        <v>#N/A Requesting Data...3992074471</v>
        <stp/>
        <stp>BDP|4223834366506343281</stp>
        <tr r="J609" s="1"/>
      </tp>
      <tp t="s">
        <v>#N/A Requesting Data...3423235069</v>
        <stp/>
        <stp>BDP|2412803838660180700</stp>
        <tr r="AU555" s="1"/>
      </tp>
      <tp t="s">
        <v>#N/A Requesting Data...3310642220</v>
        <stp/>
        <stp>BDP|6979270376999675436</stp>
        <tr r="AV885" s="1"/>
      </tp>
      <tp t="s">
        <v>#N/A Requesting Data...3983939594</v>
        <stp/>
        <stp>BDP|1307008332464442887</stp>
        <tr r="E1855" s="1"/>
      </tp>
      <tp t="s">
        <v>#N/A Requesting Data...4060837592</v>
        <stp/>
        <stp>BDP|6355007616169957017</stp>
        <tr r="E1676" s="1"/>
      </tp>
      <tp t="s">
        <v>#N/A Requesting Data...3883958876</v>
        <stp/>
        <stp>BDP|9733762569316635030</stp>
        <tr r="E669" s="1"/>
      </tp>
      <tp t="s">
        <v>#N/A Requesting Data...3776561039</v>
        <stp/>
        <stp>BDP|3312292555663037926</stp>
        <tr r="E836" s="1"/>
      </tp>
      <tp t="s">
        <v>#N/A Requesting Data...3965615044</v>
        <stp/>
        <stp>BDP|5990978259325858227</stp>
        <tr r="E437" s="1"/>
      </tp>
      <tp t="s">
        <v>#N/A Requesting Data...3841925967</v>
        <stp/>
        <stp>BDP|7306073138262501844</stp>
        <tr r="H523" s="1"/>
      </tp>
      <tp t="s">
        <v>#N/A Requesting Data...3422937000</v>
        <stp/>
        <stp>BDP|1862365194867484236</stp>
        <tr r="E762" s="1"/>
      </tp>
      <tp t="s">
        <v>#N/A Requesting Data...3864344474</v>
        <stp/>
        <stp>BDP|9446033039677172323</stp>
        <tr r="H906" s="1"/>
      </tp>
      <tp t="s">
        <v>#N/A Requesting Data...3335534769</v>
        <stp/>
        <stp>BDP|6503691592124668353</stp>
        <tr r="E1822" s="1"/>
      </tp>
      <tp t="s">
        <v>#N/A Requesting Data...4034502025</v>
        <stp/>
        <stp>BDP|3817278499104989225</stp>
        <tr r="AS1801" s="1"/>
      </tp>
      <tp t="s">
        <v>#N/A Requesting Data...3298902694</v>
        <stp/>
        <stp>BDP|7886127014710791945</stp>
        <tr r="E1519" s="1"/>
      </tp>
      <tp t="s">
        <v>#N/A Requesting Data...3777425498</v>
        <stp/>
        <stp>BDP|5474194717788455335</stp>
        <tr r="H119" s="1"/>
      </tp>
      <tp t="s">
        <v>#N/A Requesting Data...4037857775</v>
        <stp/>
        <stp>BDP|8433581212782036032</stp>
        <tr r="E1260" s="1"/>
      </tp>
      <tp t="s">
        <v>#N/A Requesting Data...3961122965</v>
        <stp/>
        <stp>BDP|5478567664969287197</stp>
        <tr r="H1031" s="1"/>
      </tp>
      <tp t="s">
        <v>#N/A Requesting Data...4277982046</v>
        <stp/>
        <stp>BDP|7293782446393097917</stp>
        <tr r="J1772" s="1"/>
      </tp>
      <tp t="s">
        <v>#N/A Requesting Data...3948911910</v>
        <stp/>
        <stp>BDP|7210926656257797237</stp>
        <tr r="J1611" s="1"/>
      </tp>
      <tp t="s">
        <v>#N/A Requesting Data...3539955111</v>
        <stp/>
        <stp>BDP|5437018795657542573</stp>
        <tr r="AT692" s="1"/>
      </tp>
      <tp t="s">
        <v>#N/A Requesting Data...3549563247</v>
        <stp/>
        <stp>BDP|1596160818039970604</stp>
        <tr r="AV538" s="1"/>
      </tp>
      <tp t="s">
        <v>#N/A Requesting Data...4242596093</v>
        <stp/>
        <stp>BDP|9931148008057743103</stp>
        <tr r="H288" s="1"/>
      </tp>
      <tp t="s">
        <v>#N/A Requesting Data...3966445632</v>
        <stp/>
        <stp>BDP|9691059620305979088</stp>
        <tr r="E1216" s="1"/>
      </tp>
      <tp t="s">
        <v>#N/A Requesting Data...3745179738</v>
        <stp/>
        <stp>BDP|2873381760840511971</stp>
        <tr r="AV897" s="1"/>
      </tp>
      <tp t="s">
        <v>#N/A Requesting Data...3846629365</v>
        <stp/>
        <stp>BDP|6752944613596309615</stp>
        <tr r="AT321" s="1"/>
      </tp>
      <tp t="s">
        <v>#N/A Requesting Data...3630549805</v>
        <stp/>
        <stp>BDP|5807582092797970092</stp>
        <tr r="E1599" s="1"/>
      </tp>
      <tp t="s">
        <v>#N/A Requesting Data...3362633921</v>
        <stp/>
        <stp>BDP|8730696029096306465</stp>
        <tr r="E316" s="1"/>
      </tp>
      <tp t="s">
        <v>#N/A Requesting Data...3514105022</v>
        <stp/>
        <stp>BDP|1485948720437713357</stp>
        <tr r="H1158" s="1"/>
      </tp>
      <tp t="s">
        <v>#N/A Requesting Data...3422460176</v>
        <stp/>
        <stp>BDP|4032441537129835497</stp>
        <tr r="AU851" s="1"/>
      </tp>
      <tp t="s">
        <v>#N/A Requesting Data...3873782359</v>
        <stp/>
        <stp>BDP|8135962859203530997</stp>
        <tr r="AT605" s="1"/>
      </tp>
      <tp t="s">
        <v>#N/A Requesting Data...4099000834</v>
        <stp/>
        <stp>BDP|6185491259488627144</stp>
        <tr r="H1076" s="1"/>
      </tp>
      <tp t="s">
        <v>#N/A Requesting Data...4267518248</v>
        <stp/>
        <stp>BDP|1499054326278021547</stp>
        <tr r="E1578" s="1"/>
      </tp>
      <tp t="s">
        <v>#N/A Requesting Data...3308504710</v>
        <stp/>
        <stp>BDP|2490740669879865429</stp>
        <tr r="H1121" s="1"/>
        <tr r="H1596" s="1"/>
        <tr r="H67" s="1"/>
      </tp>
      <tp t="s">
        <v>#N/A Requesting Data...3552810670</v>
        <stp/>
        <stp>BDP|4646493073311707886</stp>
        <tr r="J1948" s="1"/>
      </tp>
      <tp t="s">
        <v>#N/A Requesting Data...3305404524</v>
        <stp/>
        <stp>BDP|9701423977436877294</stp>
        <tr r="J345" s="1"/>
      </tp>
      <tp t="s">
        <v>#N/A Requesting Data...4160455121</v>
        <stp/>
        <stp>BDP|4320960437279977980</stp>
        <tr r="AU915" s="1"/>
      </tp>
      <tp t="s">
        <v>#N/A Requesting Data...3743183447</v>
        <stp/>
        <stp>BDP|5160107385550419233</stp>
        <tr r="E1510" s="1"/>
      </tp>
      <tp t="s">
        <v>#N/A Requesting Data...4059212337</v>
        <stp/>
        <stp>BDP|9296439024883090258</stp>
        <tr r="J1814" s="1"/>
      </tp>
      <tp t="s">
        <v>#N/A Requesting Data...3853069717</v>
        <stp/>
        <stp>BDP|8151378312531612521</stp>
        <tr r="E1412" s="1"/>
        <tr r="E1554" s="1"/>
      </tp>
      <tp t="s">
        <v>#N/A Requesting Data...3702633124</v>
        <stp/>
        <stp>BDP|8895566809393059071</stp>
        <tr r="H1776" s="1"/>
      </tp>
      <tp t="s">
        <v>#N/A Requesting Data...3738720515</v>
        <stp/>
        <stp>BDP|1501328229736824860</stp>
        <tr r="H1603" s="1"/>
        <tr r="H1856" s="1"/>
      </tp>
      <tp t="s">
        <v>#N/A Requesting Data...4089364920</v>
        <stp/>
        <stp>BDP|4443312013008752013</stp>
        <tr r="J923" s="1"/>
      </tp>
      <tp t="s">
        <v>#N/A Requesting Data...4154293096</v>
        <stp/>
        <stp>BDP|6097759225305403840</stp>
        <tr r="E107" s="1"/>
        <tr r="E1151" s="1"/>
        <tr r="E1429" s="1"/>
        <tr r="E144" s="1"/>
        <tr r="E1455" s="1"/>
        <tr r="E1664" s="1"/>
      </tp>
      <tp t="s">
        <v>#N/A Requesting Data...3928099909</v>
        <stp/>
        <stp>BDP|5814846998949434308</stp>
        <tr r="J466" s="1"/>
      </tp>
      <tp t="s">
        <v>#N/A Requesting Data...4179886856</v>
        <stp/>
        <stp>BDP|9303278162940353350</stp>
        <tr r="H1925" s="1"/>
      </tp>
      <tp t="s">
        <v>#N/A Requesting Data...3314091307</v>
        <stp/>
        <stp>BDP|2831687406233522933</stp>
        <tr r="AV639" s="1"/>
      </tp>
      <tp t="s">
        <v>#N/A Requesting Data...3373257961</v>
        <stp/>
        <stp>BDP|3773409191431259156</stp>
        <tr r="J246" s="1"/>
      </tp>
      <tp t="s">
        <v>#N/A Requesting Data...4267929474</v>
        <stp/>
        <stp>BDP|6468838337671751266</stp>
        <tr r="J1262" s="1"/>
      </tp>
      <tp t="s">
        <v>#N/A Requesting Data...3633290466</v>
        <stp/>
        <stp>BDP|1694841250727555560</stp>
        <tr r="AS2006" s="1"/>
      </tp>
      <tp t="s">
        <v>#N/A Requesting Data...3905351299</v>
        <stp/>
        <stp>BDP|6415450877533364848</stp>
        <tr r="E739" s="1"/>
      </tp>
      <tp t="s">
        <v>#N/A Requesting Data...3830821928</v>
        <stp/>
        <stp>BDP|1201507480530495277</stp>
        <tr r="J1638" s="1"/>
        <tr r="J987" s="1"/>
      </tp>
      <tp t="s">
        <v>#N/A Requesting Data...4150054448</v>
        <stp/>
        <stp>BDP|7975947356592331798</stp>
        <tr r="J1504" s="1"/>
      </tp>
      <tp t="s">
        <v>#N/A Requesting Data...3802728297</v>
        <stp/>
        <stp>BDP|1143245287932094730</stp>
        <tr r="AT753" s="1"/>
      </tp>
      <tp t="s">
        <v>#N/A Requesting Data...3601874323</v>
        <stp/>
        <stp>BDP|4096818413205513666</stp>
        <tr r="AU424" s="1"/>
      </tp>
      <tp t="s">
        <v>#N/A Requesting Data...4153863465</v>
        <stp/>
        <stp>BDP|1354717184573297359</stp>
        <tr r="AT523" s="1"/>
      </tp>
      <tp t="s">
        <v>#N/A Requesting Data...3849038038</v>
        <stp/>
        <stp>BDP|8739529283392275959</stp>
        <tr r="J1266" s="1"/>
      </tp>
      <tp t="s">
        <v>#N/A Requesting Data...4078542211</v>
        <stp/>
        <stp>BDP|2296639050419764674</stp>
        <tr r="H1025" s="1"/>
      </tp>
      <tp t="s">
        <v>#N/A Requesting Data...3782547189</v>
        <stp/>
        <stp>BDP|5401726447508522029</stp>
        <tr r="E456" s="1"/>
      </tp>
      <tp t="s">
        <v>#N/A Requesting Data...3313526676</v>
        <stp/>
        <stp>BDP|4979568975729871147</stp>
        <tr r="H101" s="1"/>
        <tr r="H1425" s="1"/>
        <tr r="H1454" s="1"/>
      </tp>
      <tp t="s">
        <v>#N/A Requesting Data...3622382245</v>
        <stp/>
        <stp>BDP|1890208117898036492</stp>
        <tr r="E469" s="1"/>
      </tp>
      <tp t="s">
        <v>#N/A Requesting Data...3490729740</v>
        <stp/>
        <stp>BDP|9857089742090607324</stp>
        <tr r="AV412" s="1"/>
      </tp>
      <tp t="s">
        <v>#N/A Requesting Data...4032874426</v>
        <stp/>
        <stp>BDP|9196112614301265605</stp>
        <tr r="AU359" s="1"/>
      </tp>
      <tp t="s">
        <v>#N/A Requesting Data...3520774004</v>
        <stp/>
        <stp>BDP|7216142981822650274</stp>
        <tr r="J1950" s="1"/>
      </tp>
      <tp t="s">
        <v>#N/A Requesting Data...3376118130</v>
        <stp/>
        <stp>BDP|5883875652365877334</stp>
        <tr r="AU441" s="1"/>
      </tp>
      <tp t="s">
        <v>#N/A Requesting Data...4100094777</v>
        <stp/>
        <stp>BDP|5791864126035782464</stp>
        <tr r="J1132" s="1"/>
        <tr r="J1973" s="1"/>
        <tr r="J83" s="1"/>
      </tp>
      <tp t="s">
        <v>#N/A Requesting Data...3647674669</v>
        <stp/>
        <stp>BDP|9859174029533059701</stp>
        <tr r="AU507" s="1"/>
      </tp>
      <tp t="s">
        <v>#N/A Requesting Data...3982264334</v>
        <stp/>
        <stp>BDP|5882238295926136699</stp>
        <tr r="H677" s="1"/>
      </tp>
      <tp t="s">
        <v>#N/A Requesting Data...3347967317</v>
        <stp/>
        <stp>BDP|8323503115304818680</stp>
        <tr r="H1250" s="1"/>
      </tp>
      <tp t="s">
        <v>#N/A Requesting Data...3456595978</v>
        <stp/>
        <stp>BDP|9560060863874399555</stp>
        <tr r="H1237" s="1"/>
      </tp>
      <tp t="s">
        <v>#N/A Requesting Data...3587294479</v>
        <stp/>
        <stp>BDP|4528932834057478705</stp>
        <tr r="J697" s="1"/>
      </tp>
      <tp t="s">
        <v>#N/A Requesting Data...3564925063</v>
        <stp/>
        <stp>BDP|5165970653301484678</stp>
        <tr r="E1626" s="1"/>
        <tr r="E1874" s="1"/>
      </tp>
      <tp t="s">
        <v>#N/A Requesting Data...3982169343</v>
        <stp/>
        <stp>BDP|7078653235589473523</stp>
        <tr r="J1114" s="1"/>
        <tr r="J124" s="1"/>
        <tr r="J1378" s="1"/>
        <tr r="J1587" s="1"/>
        <tr r="J63" s="1"/>
      </tp>
      <tp t="s">
        <v>#N/A Requesting Data...3600807488</v>
        <stp/>
        <stp>BDP|5042333095316053705</stp>
        <tr r="J1403" s="1"/>
        <tr r="J1443" s="1"/>
      </tp>
      <tp t="s">
        <v>#N/A Requesting Data...4067895113</v>
        <stp/>
        <stp>BDP|6684662734098582576</stp>
        <tr r="H205" s="1"/>
      </tp>
      <tp t="s">
        <v>#N/A Requesting Data...4138982792</v>
        <stp/>
        <stp>BDP|9167186324871289597</stp>
        <tr r="AU410" s="1"/>
      </tp>
      <tp t="s">
        <v>#N/A Requesting Data...3403995758</v>
        <stp/>
        <stp>BDP|7541863029450823359</stp>
        <tr r="J513" s="1"/>
      </tp>
      <tp t="s">
        <v>#N/A Requesting Data...3569272027</v>
        <stp/>
        <stp>BDP|7230343528399196182</stp>
        <tr r="H585" s="1"/>
      </tp>
      <tp t="s">
        <v>#N/A Requesting Data...3558565670</v>
        <stp/>
        <stp>BDP|9105010626580876599</stp>
        <tr r="AU866" s="1"/>
      </tp>
      <tp t="s">
        <v>#N/A Requesting Data...3967894081</v>
        <stp/>
        <stp>BDP|5974358822272850813</stp>
        <tr r="H1559" s="1"/>
      </tp>
      <tp t="s">
        <v>#N/A Requesting Data...3999004613</v>
        <stp/>
        <stp>BDP|4286511567009514062</stp>
        <tr r="AU453" s="1"/>
      </tp>
      <tp t="s">
        <v>#N/A Requesting Data...3638954359</v>
        <stp/>
        <stp>BDP|1035084490661943768</stp>
        <tr r="H10" s="1"/>
      </tp>
      <tp t="s">
        <v>#N/A Requesting Data...3877953726</v>
        <stp/>
        <stp>BDP|2640931460047098421</stp>
        <tr r="E205" s="1"/>
      </tp>
      <tp t="s">
        <v>#N/A Requesting Data...3393578975</v>
        <stp/>
        <stp>BDP|9086291828606714112</stp>
        <tr r="H1054" s="1"/>
      </tp>
      <tp t="s">
        <v>#N/A Requesting Data...4235403441</v>
        <stp/>
        <stp>BDP|6048809896481749862</stp>
        <tr r="AT213" s="1"/>
      </tp>
      <tp t="s">
        <v>#N/A Requesting Data...4290858949</v>
        <stp/>
        <stp>BDP|2275128584021505461</stp>
        <tr r="H1052" s="1"/>
        <tr r="H185" s="1"/>
      </tp>
      <tp t="s">
        <v>#N/A Requesting Data...3762400400</v>
        <stp/>
        <stp>BDP|9419419968971921433</stp>
        <tr r="J1201" s="1"/>
      </tp>
      <tp t="s">
        <v>#N/A Requesting Data...3953511978</v>
        <stp/>
        <stp>BDP|5671616378373181998</stp>
        <tr r="J1917" s="1"/>
      </tp>
      <tp t="s">
        <v>#N/A Requesting Data...4149603003</v>
        <stp/>
        <stp>BDP|6224831351575558021</stp>
        <tr r="AT488" s="1"/>
      </tp>
      <tp t="s">
        <v>#N/A Requesting Data...4068499228</v>
        <stp/>
        <stp>BDP|5844631894701053582</stp>
        <tr r="AU451" s="1"/>
      </tp>
      <tp t="s">
        <v>#N/A Requesting Data...4146433702</v>
        <stp/>
        <stp>BDP|9767320631464701346</stp>
        <tr r="AT377" s="1"/>
      </tp>
      <tp t="s">
        <v>#N/A Requesting Data...3645250823</v>
        <stp/>
        <stp>BDP|1097963019707195090</stp>
        <tr r="J525" s="1"/>
      </tp>
      <tp t="s">
        <v>#N/A Requesting Data...3413750999</v>
        <stp/>
        <stp>BDP|4336729192442207669</stp>
        <tr r="J1865" s="1"/>
      </tp>
      <tp t="s">
        <v>#N/A Requesting Data...3636174629</v>
        <stp/>
        <stp>BDP|1416840678776827672</stp>
        <tr r="J508" s="1"/>
      </tp>
      <tp t="s">
        <v>#N/A Requesting Data...4122497562</v>
        <stp/>
        <stp>BDP|2693237565111206959</stp>
        <tr r="E1242" s="1"/>
      </tp>
      <tp t="s">
        <v>#N/A Requesting Data...3537538143</v>
        <stp/>
        <stp>BDP|5697544833248010568</stp>
        <tr r="J1870" s="1"/>
        <tr r="J2075" s="1"/>
      </tp>
      <tp t="s">
        <v>#N/A Requesting Data...3931520934</v>
        <stp/>
        <stp>BDP|7919766165141798996</stp>
        <tr r="J1053" s="1"/>
      </tp>
      <tp t="s">
        <v>#N/A Requesting Data...4172938524</v>
        <stp/>
        <stp>BDP|9389569383188189232</stp>
        <tr r="AV261" s="1"/>
      </tp>
      <tp t="s">
        <v>#N/A Requesting Data...3404359789</v>
        <stp/>
        <stp>BDP|5834298341565477804</stp>
        <tr r="J507" s="1"/>
      </tp>
      <tp t="s">
        <v>#N/A Requesting Data...3412711430</v>
        <stp/>
        <stp>BDP|7031858507308343951</stp>
        <tr r="J645" s="1"/>
      </tp>
      <tp t="s">
        <v>#N/A Requesting Data...4074541517</v>
        <stp/>
        <stp>BDP|3148407286978604957</stp>
        <tr r="J1254" s="1"/>
      </tp>
      <tp t="s">
        <v>#N/A Requesting Data...3974617046</v>
        <stp/>
        <stp>BDP|7329110316349479046</stp>
        <tr r="AT549" s="1"/>
      </tp>
      <tp t="s">
        <v>#N/A Requesting Data...3734143172</v>
        <stp/>
        <stp>BDP|4236796723738922750</stp>
        <tr r="H1641" s="1"/>
      </tp>
      <tp t="s">
        <v>#N/A Requesting Data...4157066335</v>
        <stp/>
        <stp>BDP|6435684635869501488</stp>
        <tr r="E1652" s="1"/>
      </tp>
      <tp t="s">
        <v>#N/A Requesting Data...3506803243</v>
        <stp/>
        <stp>BDP|2233175775103382978</stp>
        <tr r="E405" s="1"/>
      </tp>
      <tp t="s">
        <v>#N/A Requesting Data...3708460383</v>
        <stp/>
        <stp>BDP|2446757629869985054</stp>
        <tr r="H468" s="1"/>
      </tp>
      <tp t="s">
        <v>#N/A Requesting Data...3468994696</v>
        <stp/>
        <stp>BDP|7358672944682466901</stp>
        <tr r="H1438" s="1"/>
      </tp>
      <tp t="s">
        <v>#N/A Requesting Data...4115591822</v>
        <stp/>
        <stp>BDP|7684132465509452713</stp>
        <tr r="J154" s="1"/>
        <tr r="J1621" s="1"/>
      </tp>
      <tp t="s">
        <v>#N/A Requesting Data...3434833903</v>
        <stp/>
        <stp>BDP|5596301527108249255</stp>
        <tr r="J1098" s="1"/>
        <tr r="J1985" s="1"/>
      </tp>
      <tp t="s">
        <v>#N/A Requesting Data...4233541104</v>
        <stp/>
        <stp>BDP|7035952141881561545</stp>
        <tr r="J220" s="1"/>
      </tp>
      <tp t="s">
        <v>#N/A Requesting Data...3764713561</v>
        <stp/>
        <stp>BDP|8488667617310201126</stp>
        <tr r="E678" s="1"/>
      </tp>
      <tp t="s">
        <v>#N/A Requesting Data...3592013598</v>
        <stp/>
        <stp>BDP|3937163091156854339</stp>
        <tr r="AT416" s="1"/>
      </tp>
      <tp t="s">
        <v>#N/A Requesting Data...3591616767</v>
        <stp/>
        <stp>BDP|7653358082167268567</stp>
        <tr r="AV280" s="1"/>
      </tp>
      <tp t="s">
        <v>#N/A Requesting Data...3592573494</v>
        <stp/>
        <stp>BDP|7415449066508021330</stp>
        <tr r="J1414" s="1"/>
      </tp>
      <tp t="s">
        <v>#N/A Requesting Data...3981932165</v>
        <stp/>
        <stp>BDP|3772432571739655768</stp>
        <tr r="AT478" s="1"/>
      </tp>
      <tp t="s">
        <v>#N/A Requesting Data...3952318102</v>
        <stp/>
        <stp>BDP|9565984468880899882</stp>
        <tr r="E973" s="1"/>
      </tp>
      <tp t="s">
        <v>#N/A Requesting Data...4123270740</v>
        <stp/>
        <stp>BDP|1166046988584065382</stp>
        <tr r="J995" s="1"/>
      </tp>
      <tp t="s">
        <v>#N/A Requesting Data...4148712427</v>
        <stp/>
        <stp>BDP|4452645132666332946</stp>
        <tr r="J1426" s="1"/>
      </tp>
      <tp t="s">
        <v>#N/A Requesting Data...3924348686</v>
        <stp/>
        <stp>BDP|7109151595191703035</stp>
        <tr r="J227" s="1"/>
      </tp>
      <tp t="s">
        <v>#N/A Requesting Data...3911566979</v>
        <stp/>
        <stp>BDP|2447474273298454713</stp>
        <tr r="J1480" s="1"/>
      </tp>
      <tp t="s">
        <v>#N/A Requesting Data...4207563948</v>
        <stp/>
        <stp>BDP|9007542973576069326</stp>
        <tr r="AT330" s="1"/>
      </tp>
      <tp t="s">
        <v>#N/A Requesting Data...4012074578</v>
        <stp/>
        <stp>BDP|8622412276026317377</stp>
        <tr r="H1790" s="1"/>
      </tp>
      <tp t="s">
        <v>#N/A Requesting Data...4183986394</v>
        <stp/>
        <stp>BDP|6759548341631941916</stp>
        <tr r="J1633" s="1"/>
        <tr r="J1682" s="1"/>
        <tr r="J84" s="1"/>
      </tp>
      <tp t="s">
        <v>#N/A Requesting Data...4256440695</v>
        <stp/>
        <stp>BDP|5933291198523799256</stp>
        <tr r="AV220" s="1"/>
      </tp>
      <tp t="s">
        <v>#N/A Requesting Data...3476577450</v>
        <stp/>
        <stp>BDP|7951861915490585153</stp>
        <tr r="H493" s="1"/>
      </tp>
      <tp t="s">
        <v>#N/A Requesting Data...3706798637</v>
        <stp/>
        <stp>BDP|5668928958247652102</stp>
        <tr r="J1484" s="1"/>
      </tp>
      <tp t="s">
        <v>#N/A Requesting Data...3582513496</v>
        <stp/>
        <stp>BDP|8799777053501135483</stp>
        <tr r="AT322" s="1"/>
      </tp>
      <tp t="s">
        <v>#N/A Requesting Data...3992345084</v>
        <stp/>
        <stp>BDP|2823741826299992192</stp>
        <tr r="J990" s="1"/>
      </tp>
      <tp t="s">
        <v>#N/A Requesting Data...3651719086</v>
        <stp/>
        <stp>BDP|6168395783736383421</stp>
        <tr r="H332" s="1"/>
      </tp>
      <tp t="s">
        <v>#N/A Requesting Data...3989608813</v>
        <stp/>
        <stp>BDP|4226125515919961264</stp>
        <tr r="J834" s="1"/>
      </tp>
      <tp t="s">
        <v>#N/A Requesting Data...3827885013</v>
        <stp/>
        <stp>BDP|8090193944224018676</stp>
        <tr r="E238" s="1"/>
      </tp>
      <tp t="s">
        <v>#N/A Requesting Data...4198789512</v>
        <stp/>
        <stp>BDP|5524177070874198895</stp>
        <tr r="H216" s="1"/>
      </tp>
      <tp t="s">
        <v>#N/A Requesting Data...4055457736</v>
        <stp/>
        <stp>BDP|5233265961236927864</stp>
        <tr r="H207" s="1"/>
      </tp>
      <tp t="s">
        <v>#N/A Requesting Data...3970485482</v>
        <stp/>
        <stp>BDP|6343504019085330831</stp>
        <tr r="J470" s="1"/>
      </tp>
      <tp t="s">
        <v>#N/A Requesting Data...3742920370</v>
        <stp/>
        <stp>BDP|5563736497421222593</stp>
        <tr r="AU387" s="1"/>
      </tp>
      <tp t="s">
        <v>#N/A Requesting Data...4018078675</v>
        <stp/>
        <stp>BDP|3253898533852657544</stp>
        <tr r="H914" s="1"/>
      </tp>
      <tp t="s">
        <v>#N/A Requesting Data...3921340068</v>
        <stp/>
        <stp>BDP|7011097969737375991</stp>
        <tr r="J667" s="1"/>
      </tp>
      <tp t="s">
        <v>#N/A Requesting Data...3846300860</v>
        <stp/>
        <stp>BDP|6654796193672707513</stp>
        <tr r="E162" s="1"/>
      </tp>
      <tp t="s">
        <v>#N/A Requesting Data...3942890345</v>
        <stp/>
        <stp>BDP|8517633761535964247</stp>
        <tr r="AT738" s="1"/>
      </tp>
      <tp t="s">
        <v>#N/A Requesting Data...3518902281</v>
        <stp/>
        <stp>BDP|8351800993675923337</stp>
        <tr r="H572" s="1"/>
      </tp>
      <tp t="s">
        <v>#N/A Requesting Data...3670479840</v>
        <stp/>
        <stp>BDP|6093376987157831534</stp>
        <tr r="J314" s="1"/>
      </tp>
      <tp t="s">
        <v>#N/A Requesting Data...3877458003</v>
        <stp/>
        <stp>BDP|6906216760815260815</stp>
        <tr r="H1548" s="1"/>
      </tp>
      <tp t="s">
        <v>#N/A Requesting Data...3956070953</v>
        <stp/>
        <stp>BDP|5196261034328867300</stp>
        <tr r="H1933" s="1"/>
      </tp>
      <tp t="s">
        <v>#N/A Requesting Data...3455761063</v>
        <stp/>
        <stp>BDP|5965599493732875401</stp>
        <tr r="E1649" s="1"/>
      </tp>
      <tp t="s">
        <v>#N/A Requesting Data...4018962601</v>
        <stp/>
        <stp>BDP|7901465481543663736</stp>
        <tr r="AV507" s="1"/>
      </tp>
      <tp t="s">
        <v>#N/A Requesting Data...3585100526</v>
        <stp/>
        <stp>BDP|2890331575878337160</stp>
        <tr r="H1055" s="1"/>
      </tp>
      <tp t="s">
        <v>#N/A Requesting Data...3967625714</v>
        <stp/>
        <stp>BDP|6987806275643631519</stp>
        <tr r="E1775" s="1"/>
      </tp>
      <tp t="s">
        <v>#N/A Requesting Data...3686229163</v>
        <stp/>
        <stp>BDP|8003896103158337726</stp>
        <tr r="J1428" s="1"/>
      </tp>
      <tp t="s">
        <v>#N/A Requesting Data...4119233835</v>
        <stp/>
        <stp>BDP|6853822095639412105</stp>
        <tr r="AT372" s="1"/>
      </tp>
      <tp t="s">
        <v>#N/A Requesting Data...3682151067</v>
        <stp/>
        <stp>BDP|3106978040601934070</stp>
        <tr r="AV418" s="1"/>
      </tp>
      <tp t="s">
        <v>#N/A Requesting Data...4227537181</v>
        <stp/>
        <stp>BDP|7156919810096875606</stp>
        <tr r="H450" s="1"/>
      </tp>
      <tp t="s">
        <v>#N/A Requesting Data...3545494814</v>
        <stp/>
        <stp>BDP|9372700619863090329</stp>
        <tr r="AU515" s="1"/>
      </tp>
      <tp t="s">
        <v>#N/A Requesting Data...4119081179</v>
        <stp/>
        <stp>BDP|8160999667750651813</stp>
        <tr r="H317" s="1"/>
      </tp>
      <tp t="s">
        <v>#N/A Requesting Data...4175969862</v>
        <stp/>
        <stp>BDP|1752151964911897867</stp>
        <tr r="AT662" s="1"/>
      </tp>
      <tp t="s">
        <v>#N/A Requesting Data...3833573863</v>
        <stp/>
        <stp>BDP|3969194140250851902</stp>
        <tr r="AV646" s="1"/>
      </tp>
      <tp t="s">
        <v>#N/A Requesting Data...4021020761</v>
        <stp/>
        <stp>BDP|5843973943234530310</stp>
        <tr r="E1552" s="1"/>
      </tp>
      <tp t="s">
        <v>#N/A Requesting Data...3718748925</v>
        <stp/>
        <stp>BDP|7622305583921814247</stp>
        <tr r="H709" s="1"/>
      </tp>
      <tp t="s">
        <v>#N/A Requesting Data...3861233502</v>
        <stp/>
        <stp>BDP|7190965099520102863</stp>
        <tr r="AU731" s="1"/>
      </tp>
      <tp t="s">
        <v>#N/A Requesting Data...3586702800</v>
        <stp/>
        <stp>BDP|9130095811662632569</stp>
        <tr r="H513" s="1"/>
      </tp>
      <tp t="s">
        <v>#N/A Requesting Data...3610600103</v>
        <stp/>
        <stp>BDP|3649768315678517291</stp>
        <tr r="E333" s="1"/>
      </tp>
      <tp t="s">
        <v>#N/A Requesting Data...3867967825</v>
        <stp/>
        <stp>BDP|5035505299582483447</stp>
        <tr r="H1245" s="1"/>
      </tp>
      <tp t="s">
        <v>#N/A Requesting Data...4205904953</v>
        <stp/>
        <stp>BDP|6846908146826227257</stp>
        <tr r="J452" s="1"/>
      </tp>
      <tp t="s">
        <v>#N/A Requesting Data...3580313872</v>
        <stp/>
        <stp>BDP|2858711123669420170</stp>
        <tr r="J745" s="1"/>
      </tp>
      <tp t="s">
        <v>#N/A Requesting Data...3421601722</v>
        <stp/>
        <stp>BDP|7593129884322218380</stp>
        <tr r="E1611" s="1"/>
      </tp>
      <tp t="s">
        <v>#N/A Requesting Data...4107448997</v>
        <stp/>
        <stp>BDP|8474398305035284132</stp>
        <tr r="J1038" s="1"/>
      </tp>
      <tp t="s">
        <v>#N/A Requesting Data...4087177160</v>
        <stp/>
        <stp>BDP|3438747571509928514</stp>
        <tr r="AU508" s="1"/>
      </tp>
      <tp t="s">
        <v>#N/A Requesting Data...3436144316</v>
        <stp/>
        <stp>BDP|9251084117235025246</stp>
        <tr r="J147" s="1"/>
      </tp>
      <tp t="s">
        <v>#N/A Requesting Data...3956448323</v>
        <stp/>
        <stp>BDP|4524793767262791827</stp>
        <tr r="H1527" s="1"/>
      </tp>
      <tp t="s">
        <v>#N/A Requesting Data...3494462465</v>
        <stp/>
        <stp>BDP|3817753734819456130</stp>
        <tr r="H1890" s="1"/>
      </tp>
      <tp t="s">
        <v>#N/A Requesting Data...3743349592</v>
        <stp/>
        <stp>BDP|3253786534458263020</stp>
        <tr r="AV665" s="1"/>
      </tp>
      <tp t="s">
        <v>#N/A Requesting Data...4042998671</v>
        <stp/>
        <stp>BDP|8850756960293069536</stp>
        <tr r="H494" s="1"/>
      </tp>
      <tp t="s">
        <v>#N/A Requesting Data...4192258541</v>
        <stp/>
        <stp>BDP|6776815568545066201</stp>
        <tr r="H1177" s="1"/>
      </tp>
      <tp t="s">
        <v>#N/A Requesting Data...3815363735</v>
        <stp/>
        <stp>BDP|8402212589635520874</stp>
        <tr r="H174" s="1"/>
      </tp>
      <tp t="s">
        <v>#N/A Requesting Data...3900277694</v>
        <stp/>
        <stp>BDP|8238126776845871408</stp>
        <tr r="H879" s="1"/>
      </tp>
      <tp t="s">
        <v>#N/A Requesting Data...3730401175</v>
        <stp/>
        <stp>BDP|3242597274708196614</stp>
        <tr r="J1651" s="1"/>
        <tr r="J98" s="1"/>
      </tp>
      <tp t="s">
        <v>#N/A Requesting Data...3485147256</v>
        <stp/>
        <stp>BDP|1522004293653012498</stp>
        <tr r="H1869" s="1"/>
        <tr r="H32" s="1"/>
      </tp>
      <tp t="s">
        <v>#N/A Requesting Data...3672983682</v>
        <stp/>
        <stp>BDP|5250901889522427908</stp>
        <tr r="J1081" s="1"/>
        <tr r="J77" s="1"/>
      </tp>
      <tp t="s">
        <v>#N/A Requesting Data...3497775202</v>
        <stp/>
        <stp>BDP|1876207891272389756</stp>
        <tr r="J1412" s="1"/>
        <tr r="J1554" s="1"/>
      </tp>
      <tp t="s">
        <v>#N/A Requesting Data...4101946958</v>
        <stp/>
        <stp>BDP|9795711708863954289</stp>
        <tr r="J494" s="1"/>
      </tp>
      <tp t="s">
        <v>#N/A Requesting Data...3787686628</v>
        <stp/>
        <stp>BDP|4826847625253201248</stp>
        <tr r="J937" s="1"/>
      </tp>
      <tp t="s">
        <v>#N/A Requesting Data...4243042624</v>
        <stp/>
        <stp>BDP|8831139446012703055</stp>
        <tr r="J849" s="1"/>
      </tp>
      <tp t="s">
        <v>#N/A Requesting Data...3710292703</v>
        <stp/>
        <stp>BDP|6977251622138718169</stp>
        <tr r="H482" s="1"/>
      </tp>
      <tp t="s">
        <v>#N/A Requesting Data...4031031179</v>
        <stp/>
        <stp>BDP|7807895291121838879</stp>
        <tr r="E1135" s="1"/>
        <tr r="E1636" s="1"/>
      </tp>
      <tp t="s">
        <v>#N/A Requesting Data...4145551051</v>
        <stp/>
        <stp>BDP|6696827103237048688</stp>
        <tr r="E1310" s="1"/>
      </tp>
      <tp t="s">
        <v>#N/A Requesting Data...3935972111</v>
        <stp/>
        <stp>BDP|3658093607188168462</stp>
        <tr r="J665" s="1"/>
      </tp>
      <tp t="s">
        <v>#N/A Requesting Data...3820289976</v>
        <stp/>
        <stp>BDP|9384639210093770283</stp>
        <tr r="AV321" s="1"/>
      </tp>
      <tp t="s">
        <v>#N/A Requesting Data...4099914353</v>
        <stp/>
        <stp>BDP|1094277675309827259</stp>
        <tr r="H604" s="1"/>
      </tp>
      <tp t="s">
        <v>#N/A Requesting Data...3963565276</v>
        <stp/>
        <stp>BDP|8600290087019241452</stp>
        <tr r="AV645" s="1"/>
      </tp>
      <tp t="s">
        <v>#N/A Requesting Data...4181726695</v>
        <stp/>
        <stp>BDP|9896027635411391435</stp>
        <tr r="AT676" s="1"/>
      </tp>
      <tp t="s">
        <v>#N/A Requesting Data...3736091868</v>
        <stp/>
        <stp>BDP|8039352857370992173</stp>
        <tr r="J1487" s="1"/>
      </tp>
      <tp t="s">
        <v>#N/A Requesting Data...4247238302</v>
        <stp/>
        <stp>BDP|9715292567302410019</stp>
        <tr r="AP252" s="1"/>
      </tp>
      <tp t="s">
        <v>#N/A Requesting Data...3883023164</v>
        <stp/>
        <stp>BDP|2697960146160803020</stp>
        <tr r="H1133" s="1"/>
        <tr r="H1406" s="1"/>
        <tr r="H1444" s="1"/>
      </tp>
      <tp t="s">
        <v>#N/A Requesting Data...4109353335</v>
        <stp/>
        <stp>BDP|7950569003318039500</stp>
        <tr r="E1208" s="1"/>
      </tp>
      <tp t="s">
        <v>#N/A Requesting Data...3829695231</v>
        <stp/>
        <stp>BDP|8560227518896248213</stp>
        <tr r="E1695" s="1"/>
      </tp>
      <tp t="s">
        <v>#N/A Requesting Data...3602309597</v>
        <stp/>
        <stp>BDP|4970166674214132961</stp>
        <tr r="H757" s="1"/>
      </tp>
      <tp t="s">
        <v>#N/A Requesting Data...3550066164</v>
        <stp/>
        <stp>BDP|2367820739236453001</stp>
        <tr r="E898" s="1"/>
      </tp>
      <tp t="s">
        <v>#N/A Requesting Data...4164422630</v>
        <stp/>
        <stp>BDP|6820000385776120700</stp>
        <tr r="AV310" s="1"/>
      </tp>
      <tp t="s">
        <v>#N/A Requesting Data...4109027990</v>
        <stp/>
        <stp>BDP|6597484264248459300</stp>
        <tr r="J1868" s="1"/>
      </tp>
      <tp t="s">
        <v>#N/A Requesting Data...4139522586</v>
        <stp/>
        <stp>BDP|8946482576455874128</stp>
        <tr r="AV298" s="1"/>
      </tp>
      <tp t="s">
        <v>#N/A Requesting Data...3673756875</v>
        <stp/>
        <stp>BDP|2017598460248403604</stp>
        <tr r="J574" s="1"/>
      </tp>
      <tp t="s">
        <v>#N/A Requesting Data...3882077464</v>
        <stp/>
        <stp>BDP|8091663437613516192</stp>
        <tr r="E1553" s="1"/>
      </tp>
      <tp t="s">
        <v>#N/A Requesting Data...4229392308</v>
        <stp/>
        <stp>BDP|9242190164937768654</stp>
        <tr r="H1624" s="1"/>
        <tr r="H2076" s="1"/>
      </tp>
      <tp t="s">
        <v>#N/A Requesting Data...3600817732</v>
        <stp/>
        <stp>BDP|9043132626950865509</stp>
        <tr r="H539" s="1"/>
      </tp>
      <tp t="s">
        <v>#N/A Requesting Data...3636052733</v>
        <stp/>
        <stp>BDP|9813478916847337471</stp>
        <tr r="AU325" s="1"/>
      </tp>
      <tp t="s">
        <v>#N/A Requesting Data...3803030610</v>
        <stp/>
        <stp>BDP|5710694885260747411</stp>
        <tr r="AU444" s="1"/>
      </tp>
      <tp t="s">
        <v>#N/A Requesting Data...4121781965</v>
        <stp/>
        <stp>BDP|4584352003658989072</stp>
        <tr r="AU460" s="1"/>
      </tp>
      <tp t="s">
        <v>#N/A Requesting Data...4188707033</v>
        <stp/>
        <stp>BDP|6258670210967657910</stp>
        <tr r="H1088" s="1"/>
      </tp>
      <tp t="s">
        <v>#N/A Requesting Data...4090324207</v>
        <stp/>
        <stp>BDP|6446908114681008022</stp>
        <tr r="H142" s="1"/>
      </tp>
      <tp t="s">
        <v>#N/A Requesting Data...3815040746</v>
        <stp/>
        <stp>BDP|1992544067804171998</stp>
        <tr r="J19" s="1"/>
      </tp>
      <tp t="s">
        <v>#N/A Requesting Data...4064238892</v>
        <stp/>
        <stp>BDP|8366673657931075517</stp>
        <tr r="AT296" s="1"/>
      </tp>
      <tp t="s">
        <v>#N/A Requesting Data...3812577600</v>
        <stp/>
        <stp>BDP|7230311961858968593</stp>
        <tr r="E569" s="1"/>
      </tp>
      <tp t="s">
        <v>#N/A Requesting Data...3750770213</v>
        <stp/>
        <stp>BDP|1291721192418664864</stp>
        <tr r="J481" s="1"/>
      </tp>
      <tp t="s">
        <v>#N/A Requesting Data...3936990627</v>
        <stp/>
        <stp>BDP|1501847536785573009</stp>
        <tr r="J1686" s="1"/>
      </tp>
      <tp t="s">
        <v>#N/A Requesting Data...3731236667</v>
        <stp/>
        <stp>BDP|7491274631598994190</stp>
        <tr r="H1263" s="1"/>
      </tp>
      <tp t="s">
        <v>#N/A Requesting Data...3914616126</v>
        <stp/>
        <stp>BDP|4102995069996567268</stp>
        <tr r="AU351" s="1"/>
      </tp>
      <tp t="s">
        <v>#N/A Requesting Data...3588358994</v>
        <stp/>
        <stp>BDP|9215087967271612197</stp>
        <tr r="J1052" s="1"/>
        <tr r="J185" s="1"/>
      </tp>
      <tp t="s">
        <v>#N/A Requesting Data...3472366540</v>
        <stp/>
        <stp>BDP|6067104188660307090</stp>
        <tr r="AV478" s="1"/>
      </tp>
      <tp t="s">
        <v>#N/A Requesting Data...3567272241</v>
        <stp/>
        <stp>BDP|3630740830571119911</stp>
        <tr r="H703" s="1"/>
      </tp>
      <tp t="s">
        <v>#N/A Requesting Data...4265153635</v>
        <stp/>
        <stp>BDP|4038934409013146195</stp>
        <tr r="J876" s="1"/>
      </tp>
      <tp t="s">
        <v>#N/A Requesting Data...4084514148</v>
        <stp/>
        <stp>BDP|9130139027554709116</stp>
        <tr r="H1645" s="1"/>
      </tp>
      <tp t="s">
        <v>#N/A Requesting Data...3850501245</v>
        <stp/>
        <stp>BDP|7435333037380798842</stp>
        <tr r="AV609" s="1"/>
      </tp>
      <tp t="s">
        <v>#N/A Requesting Data...4080832358</v>
        <stp/>
        <stp>BDP|8411973510708791774</stp>
        <tr r="J1680" s="1"/>
      </tp>
      <tp t="s">
        <v>#N/A Requesting Data...4162822367</v>
        <stp/>
        <stp>BDP|7056787989845109232</stp>
        <tr r="E916" s="1"/>
      </tp>
      <tp t="s">
        <v>#N/A Requesting Data...4123448265</v>
        <stp/>
        <stp>BDP|3191558247988983598</stp>
        <tr r="J1205" s="1"/>
      </tp>
      <tp t="s">
        <v>#N/A Requesting Data...3521851144</v>
        <stp/>
        <stp>BDP|7458734866941543876</stp>
        <tr r="E1828" s="1"/>
      </tp>
      <tp t="s">
        <v>#N/A Requesting Data...4242076084</v>
        <stp/>
        <stp>BDP|5178810936683192249</stp>
        <tr r="AR3" s="1"/>
      </tp>
      <tp t="s">
        <v>#N/A Requesting Data...3566302000</v>
        <stp/>
        <stp>BDP|8335876392291022757</stp>
        <tr r="J473" s="1"/>
      </tp>
      <tp t="s">
        <v>#N/A Requesting Data...3793274221</v>
        <stp/>
        <stp>BDP|6561900770572466520</stp>
        <tr r="AV270" s="1"/>
      </tp>
      <tp t="s">
        <v>#N/A Requesting Data...4270423446</v>
        <stp/>
        <stp>BDP|9686076012726353105</stp>
        <tr r="E1647" s="1"/>
      </tp>
      <tp t="s">
        <v>#N/A Requesting Data...3502146959</v>
        <stp/>
        <stp>BDP|5403826937933713267</stp>
        <tr r="J260" s="1"/>
      </tp>
      <tp t="s">
        <v>#N/A Requesting Data...4238137864</v>
        <stp/>
        <stp>BDP|2186301575600327975</stp>
        <tr r="J1257" s="1"/>
      </tp>
      <tp t="s">
        <v>#N/A Requesting Data...3742147273</v>
        <stp/>
        <stp>BDP|7901111620902072984</stp>
        <tr r="E785" s="1"/>
      </tp>
      <tp t="s">
        <v>#N/A Requesting Data...4050947978</v>
        <stp/>
        <stp>BDP|6726129196243636250</stp>
        <tr r="H594" s="1"/>
      </tp>
      <tp t="s">
        <v>#N/A Requesting Data...3555966838</v>
        <stp/>
        <stp>BDP|6915389847797401923</stp>
        <tr r="E615" s="1"/>
      </tp>
      <tp t="s">
        <v>#N/A Requesting Data...3692565251</v>
        <stp/>
        <stp>BDP|9679140672492343238</stp>
        <tr r="AO1801" s="1"/>
      </tp>
      <tp t="s">
        <v>#N/A Requesting Data...3838996237</v>
        <stp/>
        <stp>BDP|7340881059912019722</stp>
        <tr r="J117" s="1"/>
      </tp>
      <tp t="s">
        <v>#N/A Requesting Data...3701181952</v>
        <stp/>
        <stp>BDP|4417430636289991584</stp>
        <tr r="AP1366" s="1"/>
      </tp>
      <tp t="s">
        <v>#N/A Requesting Data...3899932772</v>
        <stp/>
        <stp>BDP|6375161194478725961</stp>
        <tr r="E530" s="1"/>
      </tp>
      <tp t="s">
        <v>#N/A Requesting Data...3605800640</v>
        <stp/>
        <stp>BDP|7814372138220180869</stp>
        <tr r="J991" s="1"/>
      </tp>
      <tp t="s">
        <v>#N/A Requesting Data...3841837303</v>
        <stp/>
        <stp>BDP|2367733190154109717</stp>
        <tr r="AU578" s="1"/>
      </tp>
      <tp t="s">
        <v>#N/A Requesting Data...4281191589</v>
        <stp/>
        <stp>BDP|8739453071252656654</stp>
        <tr r="E1780" s="1"/>
      </tp>
      <tp t="s">
        <v>#N/A Requesting Data...3994161247</v>
        <stp/>
        <stp>BDP|1716635402358662005</stp>
        <tr r="AT541" s="1"/>
      </tp>
      <tp t="s">
        <v>#N/A Requesting Data...3595692675</v>
        <stp/>
        <stp>BDP|4839169285751209399</stp>
        <tr r="AV1464" s="1"/>
        <tr r="AV1723" s="1"/>
        <tr r="AV793" s="1"/>
      </tp>
      <tp t="s">
        <v>#N/A Requesting Data...3517585523</v>
        <stp/>
        <stp>BDP|7261851126543676171</stp>
        <tr r="E838" s="1"/>
      </tp>
      <tp t="s">
        <v>#N/A Requesting Data...3860963783</v>
        <stp/>
        <stp>BDP|8040373615435573073</stp>
        <tr r="J661" s="1"/>
      </tp>
      <tp t="s">
        <v>#N/A Requesting Data...4134639983</v>
        <stp/>
        <stp>BDP|7027059402739625118</stp>
        <tr r="AU847" s="1"/>
      </tp>
      <tp t="s">
        <v>#N/A Requesting Data...3970769518</v>
        <stp/>
        <stp>BDP|2505975675871121276</stp>
        <tr r="AT418" s="1"/>
      </tp>
      <tp t="s">
        <v>#N/A Requesting Data...3740114148</v>
        <stp/>
        <stp>BDP|2123509081547504745</stp>
        <tr r="J622" s="1"/>
      </tp>
      <tp t="s">
        <v>#N/A Requesting Data...3660308440</v>
        <stp/>
        <stp>BDP|6051598929539857796</stp>
        <tr r="AU322" s="1"/>
      </tp>
      <tp t="s">
        <v>#N/A Requesting Data...3593012869</v>
        <stp/>
        <stp>BDP|1787547192783702177</stp>
        <tr r="J336" s="1"/>
      </tp>
      <tp t="s">
        <v>#N/A Requesting Data...3941244704</v>
        <stp/>
        <stp>BDP|3410517108250828948</stp>
        <tr r="AR1798" s="1"/>
      </tp>
      <tp t="s">
        <v>#N/A Requesting Data...3870697457</v>
        <stp/>
        <stp>BDP|4925827471861989524</stp>
        <tr r="AR1795" s="1"/>
      </tp>
      <tp t="s">
        <v>#N/A Requesting Data...3506023654</v>
        <stp/>
        <stp>BDP|9304814820709772545</stp>
        <tr r="J420" s="1"/>
      </tp>
      <tp t="s">
        <v>#N/A Requesting Data...4254758762</v>
        <stp/>
        <stp>BDP|4789362883937107723</stp>
        <tr r="J1353" s="1"/>
      </tp>
      <tp t="s">
        <v>#N/A Requesting Data...3590120840</v>
        <stp/>
        <stp>BDP|3043614327511745902</stp>
        <tr r="H246" s="1"/>
      </tp>
      <tp t="s">
        <v>#N/A Requesting Data...4162705147</v>
        <stp/>
        <stp>BDP|5438264581561553175</stp>
        <tr r="E1236" s="1"/>
      </tp>
      <tp t="s">
        <v>#N/A Requesting Data...4093145550</v>
        <stp/>
        <stp>BDP|8042158863806122664</stp>
        <tr r="AU375" s="1"/>
      </tp>
      <tp t="s">
        <v>#N/A Requesting Data...4139973794</v>
        <stp/>
        <stp>BDP|5334554382337151044</stp>
        <tr r="AP1810" s="1"/>
      </tp>
      <tp t="s">
        <v>#N/A Requesting Data...3632446409</v>
        <stp/>
        <stp>BDP|9119769187471191800</stp>
        <tr r="AU509" s="1"/>
      </tp>
      <tp t="s">
        <v>#N/A Requesting Data...4291490805</v>
        <stp/>
        <stp>BDP|6203846152326500201</stp>
        <tr r="AU462" s="1"/>
      </tp>
      <tp t="s">
        <v>#N/A Requesting Data...3543645384</v>
        <stp/>
        <stp>BDP|8118276816256325220</stp>
        <tr r="J1419" s="1"/>
        <tr r="J1449" s="1"/>
      </tp>
      <tp t="s">
        <v>#N/A Requesting Data...4178022904</v>
        <stp/>
        <stp>BDP|4356902407073106140</stp>
        <tr r="E1338" s="1"/>
      </tp>
      <tp t="s">
        <v>#N/A Requesting Data...3856412446</v>
        <stp/>
        <stp>BDP|2071722992435559642</stp>
        <tr r="J917" s="1"/>
      </tp>
      <tp t="s">
        <v>#N/A Requesting Data...3539495540</v>
        <stp/>
        <stp>BDP|8104508977887338238</stp>
        <tr r="H449" s="1"/>
      </tp>
      <tp t="s">
        <v>#N/A Requesting Data...4001280212</v>
        <stp/>
        <stp>BDP|2369034521296080974</stp>
        <tr r="J245" s="1"/>
      </tp>
      <tp t="s">
        <v>#N/A Requesting Data...4107972844</v>
        <stp/>
        <stp>BDP|5723806278637971209</stp>
        <tr r="H553" s="1"/>
      </tp>
      <tp t="s">
        <v>#N/A Requesting Data...3618461400</v>
        <stp/>
        <stp>BDP|3437441583743029359</stp>
        <tr r="E269" s="1"/>
      </tp>
      <tp t="s">
        <v>#N/A Requesting Data...4197277309</v>
        <stp/>
        <stp>BDP|9430333331571938795</stp>
        <tr r="H1287" s="1"/>
      </tp>
      <tp t="s">
        <v>#N/A Requesting Data...4078085462</v>
        <stp/>
        <stp>BDP|4348103392136071573</stp>
        <tr r="E1951" s="1"/>
      </tp>
      <tp t="s">
        <v>#N/A Requesting Data...4028750691</v>
        <stp/>
        <stp>BDP|9787414175062518709</stp>
        <tr r="H1139" s="1"/>
        <tr r="H91" s="1"/>
      </tp>
      <tp t="s">
        <v>#N/A Requesting Data...4265061603</v>
        <stp/>
        <stp>BDP|2512568382781117169</stp>
        <tr r="AV720" s="1"/>
      </tp>
      <tp t="s">
        <v>#N/A Requesting Data...3535869276</v>
        <stp/>
        <stp>BDP|8509200974920367256</stp>
        <tr r="H1932" s="1"/>
        <tr r="H942" s="1"/>
      </tp>
      <tp t="s">
        <v>#N/A Requesting Data...3651811631</v>
        <stp/>
        <stp>BDP|2381151201138581459</stp>
        <tr r="AU740" s="1"/>
      </tp>
      <tp t="s">
        <v>#N/A Requesting Data...3994604747</v>
        <stp/>
        <stp>BDP|7923427988472502618</stp>
        <tr r="H248" s="1"/>
      </tp>
      <tp t="s">
        <v>#N/A Requesting Data...3722165689</v>
        <stp/>
        <stp>BDP|9092522928808489990</stp>
        <tr r="H333" s="1"/>
      </tp>
      <tp t="s">
        <v>#N/A Requesting Data...4101615116</v>
        <stp/>
        <stp>BDP|4405351692952342376</stp>
        <tr r="E549" s="1"/>
      </tp>
      <tp t="s">
        <v>#N/A Requesting Data...4173661899</v>
        <stp/>
        <stp>BDP|8474644257196591255</stp>
        <tr r="H883" s="1"/>
      </tp>
      <tp t="s">
        <v>#N/A Requesting Data...4153135465</v>
        <stp/>
        <stp>BDP|8196816539078963479</stp>
        <tr r="AT298" s="1"/>
      </tp>
      <tp t="s">
        <v>#N/A Requesting Data...3499814230</v>
        <stp/>
        <stp>BDP|6966452306614924943</stp>
        <tr r="H319" s="1"/>
      </tp>
      <tp t="s">
        <v>#N/A Requesting Data...4041634900</v>
        <stp/>
        <stp>BDP|2799054287506194332</stp>
        <tr r="AT487" s="1"/>
      </tp>
      <tp t="s">
        <v>#N/A Requesting Data...4222834100</v>
        <stp/>
        <stp>BDP|5448144773359067547</stp>
        <tr r="H1905" s="1"/>
        <tr r="H929" s="1"/>
      </tp>
      <tp t="s">
        <v>#N/A Requesting Data...4275015815</v>
        <stp/>
        <stp>BDP|1146052692341141605</stp>
        <tr r="E391" s="1"/>
      </tp>
      <tp t="s">
        <v>#N/A Requesting Data...3538777929</v>
        <stp/>
        <stp>BDP|2222264416528069651</stp>
        <tr r="H1942" s="1"/>
      </tp>
      <tp t="s">
        <v>#N/A Requesting Data...3928964936</v>
        <stp/>
        <stp>BDP|3495239055142213949</stp>
        <tr r="H85" s="1"/>
      </tp>
      <tp t="s">
        <v>#N/A Requesting Data...4044129144</v>
        <stp/>
        <stp>BDP|6217107347838373423</stp>
        <tr r="H1288" s="1"/>
      </tp>
      <tp t="s">
        <v>#N/A Requesting Data...3855942289</v>
        <stp/>
        <stp>BDP|9510735050633564778</stp>
        <tr r="J1042" s="1"/>
      </tp>
      <tp t="s">
        <v>#N/A Requesting Data...3770194029</v>
        <stp/>
        <stp>BDP|8386552437591592008</stp>
        <tr r="J1082" s="1"/>
        <tr r="J1926" s="1"/>
      </tp>
      <tp t="s">
        <v>#N/A Requesting Data...3569093795</v>
        <stp/>
        <stp>BDP|7980044682169877938</stp>
        <tr r="H868" s="1"/>
      </tp>
      <tp t="s">
        <v>#N/A Requesting Data...3642752621</v>
        <stp/>
        <stp>BDP|5912966471617901334</stp>
        <tr r="H846" s="1"/>
      </tp>
      <tp t="s">
        <v>#N/A Requesting Data...4270391620</v>
        <stp/>
        <stp>BDP|3361847311971584475</stp>
        <tr r="AU356" s="1"/>
      </tp>
      <tp t="s">
        <v>#N/A Requesting Data...3923351058</v>
        <stp/>
        <stp>BDP|9131328825693702458</stp>
        <tr r="E950" s="1"/>
      </tp>
      <tp t="s">
        <v>#N/A Requesting Data...4254667597</v>
        <stp/>
        <stp>BDP|3679979703136138378</stp>
        <tr r="E1883" s="1"/>
      </tp>
      <tp t="s">
        <v>#N/A Requesting Data...4033734908</v>
        <stp/>
        <stp>BDP|7409001486944561438</stp>
        <tr r="AV595" s="1"/>
      </tp>
      <tp t="s">
        <v>#N/A Requesting Data...3736872629</v>
        <stp/>
        <stp>BDP|8268641290429333116</stp>
        <tr r="E1016" s="1"/>
        <tr r="E1277" s="1"/>
        <tr r="E1335" s="1"/>
        <tr r="E1709" s="1"/>
        <tr r="E1740" s="1"/>
        <tr r="E829" s="1"/>
      </tp>
      <tp t="s">
        <v>#N/A Requesting Data...3875270426</v>
        <stp/>
        <stp>BDP|3065566226753166848</stp>
        <tr r="E1206" s="1"/>
      </tp>
      <tp t="s">
        <v>#N/A Requesting Data...3878237326</v>
        <stp/>
        <stp>BDP|9719143939681983565</stp>
        <tr r="J1222" s="1"/>
      </tp>
      <tp t="s">
        <v>#N/A Requesting Data...3726709982</v>
        <stp/>
        <stp>BDP|6580628595587782106</stp>
        <tr r="J1398" s="1"/>
        <tr r="J1439" s="1"/>
      </tp>
      <tp t="s">
        <v>#N/A Requesting Data...4081339003</v>
        <stp/>
        <stp>BDP|8287581155537822024</stp>
        <tr r="E911" s="1"/>
      </tp>
      <tp t="s">
        <v>#N/A Requesting Data...4260147419</v>
        <stp/>
        <stp>BDP|3683101120559001633</stp>
        <tr r="H1515" s="1"/>
      </tp>
      <tp t="s">
        <v>#N/A Requesting Data...3802792077</v>
        <stp/>
        <stp>BDP|5130408217177751841</stp>
        <tr r="AV861" s="1"/>
      </tp>
      <tp t="s">
        <v>#N/A Requesting Data...3728754007</v>
        <stp/>
        <stp>BDP|4472521810059040630</stp>
        <tr r="E1672" s="1"/>
      </tp>
      <tp t="s">
        <v>#N/A Requesting Data...3867366468</v>
        <stp/>
        <stp>BDP|7736908077482222478</stp>
        <tr r="E1896" s="1"/>
        <tr r="E2097" s="1"/>
      </tp>
      <tp t="s">
        <v>#N/A Requesting Data...4117352921</v>
        <stp/>
        <stp>BDP|3827280593475471226</stp>
        <tr r="J474" s="1"/>
      </tp>
      <tp t="s">
        <v>#N/A Requesting Data...3914157427</v>
        <stp/>
        <stp>BDP|4784467795323877262</stp>
        <tr r="H700" s="1"/>
      </tp>
      <tp t="s">
        <v>#N/A Requesting Data...4221065927</v>
        <stp/>
        <stp>BDP|5069788285743254155</stp>
        <tr r="AR1807" s="1"/>
      </tp>
      <tp t="s">
        <v>#N/A Requesting Data...3806860630</v>
        <stp/>
        <stp>BDP|9550233046312356598</stp>
        <tr r="AO776" s="1"/>
      </tp>
      <tp t="s">
        <v>#N/A Requesting Data...4178088378</v>
        <stp/>
        <stp>BDP|3492356018948795142</stp>
        <tr r="AU274" s="1"/>
      </tp>
      <tp t="s">
        <v>#N/A Requesting Data...3956133065</v>
        <stp/>
        <stp>BDP|8874207813841615275</stp>
        <tr r="J1942" s="1"/>
      </tp>
      <tp t="s">
        <v>#N/A Requesting Data...4193538030</v>
        <stp/>
        <stp>BDP|1512695922319704438</stp>
        <tr r="AV557" s="1"/>
      </tp>
      <tp t="s">
        <v>#N/A Requesting Data...3642585281</v>
        <stp/>
        <stp>BDP|6882816914116173166</stp>
        <tr r="E1392" s="1"/>
      </tp>
      <tp t="s">
        <v>#N/A Requesting Data...3681914089</v>
        <stp/>
        <stp>BDP|8544340304465677696</stp>
        <tr r="AV614" s="1"/>
      </tp>
      <tp t="s">
        <v>#N/A Requesting Data...3649217558</v>
        <stp/>
        <stp>BDP|5244687035119560107</stp>
        <tr r="AP2036" s="1"/>
      </tp>
      <tp t="s">
        <v>#N/A Requesting Data...3651199841</v>
        <stp/>
        <stp>BDP|4566004439118432722</stp>
        <tr r="J1494" s="1"/>
      </tp>
      <tp t="s">
        <v>#N/A Requesting Data...4094866241</v>
        <stp/>
        <stp>BDP|3419326478009567614</stp>
        <tr r="E516" s="1"/>
      </tp>
      <tp t="s">
        <v>#N/A Requesting Data...4121139779</v>
        <stp/>
        <stp>BDP|5939575576439004624</stp>
        <tr r="H1907" s="1"/>
      </tp>
      <tp t="s">
        <v>#N/A Requesting Data...3718108251</v>
        <stp/>
        <stp>BDP|5979438042138042532</stp>
        <tr r="AT763" s="1"/>
      </tp>
      <tp t="s">
        <v>#N/A Requesting Data...3863376968</v>
        <stp/>
        <stp>BDP|2562681601899147563</stp>
        <tr r="E935" s="1"/>
      </tp>
      <tp t="s">
        <v>#N/A Requesting Data...3763597251</v>
        <stp/>
        <stp>BDP|5842229494374721227</stp>
        <tr r="AV618" s="1"/>
      </tp>
      <tp t="s">
        <v>#N/A Requesting Data...3708741434</v>
        <stp/>
        <stp>BDP|5544858000644973127</stp>
        <tr r="J1962" s="1"/>
        <tr r="J796" s="1"/>
      </tp>
      <tp t="s">
        <v>#N/A Requesting Data...4092216600</v>
        <stp/>
        <stp>BDP|9736842409018049119</stp>
        <tr r="AU747" s="1"/>
      </tp>
      <tp t="s">
        <v>#N/A Requesting Data...4239343639</v>
        <stp/>
        <stp>BDP|9025625723646284386</stp>
        <tr r="E1572" s="1"/>
      </tp>
      <tp t="s">
        <v>#N/A Requesting Data...4276072860</v>
        <stp/>
        <stp>BDP|2334370179616124876</stp>
        <tr r="J741" s="1"/>
      </tp>
      <tp t="s">
        <v>#N/A Requesting Data...3831348174</v>
        <stp/>
        <stp>BDP|3404952363111807512</stp>
        <tr r="AV282" s="1"/>
      </tp>
      <tp t="s">
        <v>#N/A Requesting Data...3598836870</v>
        <stp/>
        <stp>BDP|8766234596082169984</stp>
        <tr r="E544" s="1"/>
      </tp>
      <tp t="s">
        <v>#N/A Requesting Data...4085396702</v>
        <stp/>
        <stp>BDP|8216793536752122674</stp>
        <tr r="H175" s="1"/>
      </tp>
      <tp t="s">
        <v>#N/A Requesting Data...3830380369</v>
        <stp/>
        <stp>BDP|9118990372438955782</stp>
        <tr r="AU619" s="1"/>
      </tp>
      <tp t="s">
        <v>#N/A Requesting Data...4225583070</v>
        <stp/>
        <stp>BDP|7407631459834790824</stp>
        <tr r="E1315" s="1"/>
      </tp>
      <tp t="s">
        <v>#N/A Requesting Data...4111887776</v>
        <stp/>
        <stp>BDP|9975237714784570607</stp>
        <tr r="J1420" s="1"/>
        <tr r="J97" s="1"/>
      </tp>
      <tp t="s">
        <v>#N/A Requesting Data...3594951476</v>
        <stp/>
        <stp>BDP|3354487023004204914</stp>
        <tr r="H499" s="1"/>
      </tp>
      <tp t="s">
        <v>#N/A Requesting Data...3753763818</v>
        <stp/>
        <stp>BDP|4109958654782077281</stp>
        <tr r="AS2009" s="1"/>
      </tp>
      <tp t="s">
        <v>#N/A Requesting Data...4153493487</v>
        <stp/>
        <stp>BDP|5996928735132791511</stp>
        <tr r="H1100" s="1"/>
      </tp>
      <tp t="s">
        <v>#N/A Requesting Data...3727351922</v>
        <stp/>
        <stp>BDP|5713248687530851746</stp>
        <tr r="AV528" s="1"/>
      </tp>
      <tp t="s">
        <v>#N/A Requesting Data...3951555771</v>
        <stp/>
        <stp>BDP|5248387176201457805</stp>
        <tr r="H527" s="1"/>
      </tp>
      <tp t="s">
        <v>#N/A Requesting Data...3874393029</v>
        <stp/>
        <stp>BDP|5055079084030287594</stp>
        <tr r="AV281" s="1"/>
      </tp>
      <tp t="s">
        <v>#N/A Requesting Data...3880821528</v>
        <stp/>
        <stp>BDP|2143692579852139989</stp>
        <tr r="H1552" s="1"/>
      </tp>
      <tp t="s">
        <v>#N/A Requesting Data...3650677502</v>
        <stp/>
        <stp>BDP|2765348560517861824</stp>
        <tr r="H621" s="1"/>
      </tp>
      <tp t="s">
        <v>#N/A Requesting Data...3613001586</v>
        <stp/>
        <stp>BDP|8626094221790230259</stp>
        <tr r="H1205" s="1"/>
      </tp>
      <tp t="s">
        <v>#N/A Requesting Data...3947075827</v>
        <stp/>
        <stp>BDP|3860938191633538860</stp>
        <tr r="AU311" s="1"/>
      </tp>
      <tp t="s">
        <v>#N/A Requesting Data...3588656013</v>
        <stp/>
        <stp>BDP|4284639248999174711</stp>
        <tr r="H1242" s="1"/>
      </tp>
      <tp t="s">
        <v>#N/A Requesting Data...3995928123</v>
        <stp/>
        <stp>BDP|2167882015303775023</stp>
        <tr r="J954" s="1"/>
      </tp>
      <tp t="s">
        <v>#N/A Requesting Data...3822327123</v>
        <stp/>
        <stp>BDP|9876025837552306074</stp>
        <tr r="H1051" s="1"/>
      </tp>
      <tp t="s">
        <v>#N/A Requesting Data...3981301846</v>
        <stp/>
        <stp>BDP|7058948142766987467</stp>
        <tr r="AU367" s="1"/>
      </tp>
      <tp t="s">
        <v>#N/A Requesting Data...3798218941</v>
        <stp/>
        <stp>BDP|9788669702627254086</stp>
        <tr r="AT485" s="1"/>
      </tp>
      <tp t="s">
        <v>#N/A Requesting Data...3944001442</v>
        <stp/>
        <stp>BDP|8426494033406450130</stp>
        <tr r="H1914" s="1"/>
      </tp>
      <tp t="s">
        <v>#N/A Requesting Data...4157388609</v>
        <stp/>
        <stp>BDP|8270489430144323375</stp>
        <tr r="H1754" s="1"/>
      </tp>
      <tp t="s">
        <v>#N/A Requesting Data...4262690490</v>
        <stp/>
        <stp>BDP|8516953909081207858</stp>
        <tr r="AT578" s="1"/>
      </tp>
      <tp t="s">
        <v>#N/A Requesting Data...4199401330</v>
        <stp/>
        <stp>BDP|2241090407263596972</stp>
        <tr r="E835" s="1"/>
      </tp>
      <tp t="s">
        <v>#N/A Requesting Data...3947840797</v>
        <stp/>
        <stp>BDP|8904827374428388726</stp>
        <tr r="J727" s="1"/>
      </tp>
      <tp t="s">
        <v>#N/A Requesting Data...4080489979</v>
        <stp/>
        <stp>BDP|3542956768181492525</stp>
        <tr r="J422" s="1"/>
      </tp>
      <tp t="s">
        <v>#N/A Requesting Data...3896075142</v>
        <stp/>
        <stp>BDP|5341144346171672997</stp>
        <tr r="E1178" s="1"/>
        <tr r="E1935" s="1"/>
      </tp>
      <tp t="s">
        <v>#N/A Requesting Data...3983055512</v>
        <stp/>
        <stp>BDP|5200988115512553748</stp>
        <tr r="AT885" s="1"/>
      </tp>
      <tp t="s">
        <v>#N/A Requesting Data...3748457068</v>
        <stp/>
        <stp>BDP|6379795842278218542</stp>
        <tr r="AT646" s="1"/>
      </tp>
      <tp t="s">
        <v>#N/A Requesting Data...3753750346</v>
        <stp/>
        <stp>BDP|7372002931225863942</stp>
        <tr r="J1349" s="1"/>
      </tp>
      <tp t="s">
        <v>#N/A Requesting Data...3743495313</v>
        <stp/>
        <stp>BDP|4581358980350879761</stp>
        <tr r="H1896" s="1"/>
        <tr r="H2097" s="1"/>
      </tp>
      <tp t="s">
        <v>#N/A Requesting Data...3885872916</v>
        <stp/>
        <stp>BDP|3199232881113874259</stp>
        <tr r="H1763" s="1"/>
      </tp>
      <tp t="s">
        <v>#N/A Requesting Data...3793155425</v>
        <stp/>
        <stp>BDP|3532974017955382682</stp>
        <tr r="H660" s="1"/>
      </tp>
      <tp t="s">
        <v>#N/A Requesting Data...3697699254</v>
        <stp/>
        <stp>BDP|1934245063918788571</stp>
        <tr r="H1078" s="1"/>
        <tr r="H1968" s="1"/>
      </tp>
      <tp t="s">
        <v>#N/A Requesting Data...3703743876</v>
        <stp/>
        <stp>BDP|9519308168300194438</stp>
        <tr r="J1788" s="1"/>
      </tp>
      <tp t="s">
        <v>#N/A Requesting Data...3942089602</v>
        <stp/>
        <stp>BDP|4207298991315446215</stp>
        <tr r="J331" s="1"/>
      </tp>
      <tp t="s">
        <v>#N/A Requesting Data...4063919453</v>
        <stp/>
        <stp>BDP|3981407204767316814</stp>
        <tr r="AU353" s="1"/>
      </tp>
      <tp t="s">
        <v>#N/A Requesting Data...4144694260</v>
        <stp/>
        <stp>BDP|2967755711335593976</stp>
        <tr r="J626" s="1"/>
      </tp>
      <tp t="s">
        <v>#N/A Requesting Data...3915642335</v>
        <stp/>
        <stp>BDP|2940510406589708663</stp>
        <tr r="E400" s="1"/>
      </tp>
      <tp t="s">
        <v>#N/A Requesting Data...3767904721</v>
        <stp/>
        <stp>BDP|2561382070418222607</stp>
        <tr r="E743" s="1"/>
      </tp>
      <tp t="s">
        <v>#N/A Requesting Data...3856232701</v>
        <stp/>
        <stp>BDP|5778808654028580892</stp>
        <tr r="H2094" s="1"/>
      </tp>
      <tp t="s">
        <v>#N/A Requesting Data...4173959428</v>
        <stp/>
        <stp>BDP|6435836631490135587</stp>
        <tr r="J16" s="1"/>
        <tr r="J172" s="1"/>
      </tp>
      <tp t="s">
        <v>#N/A Requesting Data...4180529190</v>
        <stp/>
        <stp>BDP|3336829321949811876</stp>
        <tr r="H1613" s="1"/>
        <tr r="H1864" s="1"/>
        <tr r="H2073" s="1"/>
      </tp>
      <tp t="s">
        <v>#N/A Requesting Data...3636909254</v>
        <stp/>
        <stp>BDP|4577575208859083055</stp>
        <tr r="E661" s="1"/>
      </tp>
      <tp t="s">
        <v>#N/A Requesting Data...4270951290</v>
        <stp/>
        <stp>BDP|2747427947718561284</stp>
        <tr r="E1953" s="1"/>
      </tp>
      <tp t="s">
        <v>#N/A Requesting Data...3692111495</v>
        <stp/>
        <stp>BDP|7333653095308723888</stp>
        <tr r="AU597" s="1"/>
      </tp>
      <tp t="s">
        <v>#N/A Requesting Data...3818841926</v>
        <stp/>
        <stp>BDP|9363175637833706082</stp>
        <tr r="AV269" s="1"/>
      </tp>
      <tp t="s">
        <v>#N/A Requesting Data...4269505151</v>
        <stp/>
        <stp>BDP|5778680242547580843</stp>
        <tr r="E19" s="1"/>
      </tp>
      <tp t="s">
        <v>#N/A Requesting Data...3815189623</v>
        <stp/>
        <stp>BDP|9426147625526992401</stp>
        <tr r="E751" s="1"/>
      </tp>
      <tp t="s">
        <v>#N/A Requesting Data...3976946356</v>
        <stp/>
        <stp>BDP|5681946531413699499</stp>
        <tr r="AV578" s="1"/>
      </tp>
      <tp t="s">
        <v>#N/A Requesting Data...4010058633</v>
        <stp/>
        <stp>BDP|4957271766079130159</stp>
        <tr r="H1144" s="1"/>
      </tp>
      <tp t="s">
        <v>#N/A Requesting Data...4117182209</v>
        <stp/>
        <stp>BDP|4162561777887931952</stp>
        <tr r="AT442" s="1"/>
      </tp>
      <tp t="s">
        <v>#N/A Requesting Data...3819311014</v>
        <stp/>
        <stp>BDP|7811876064620568129</stp>
        <tr r="E321" s="1"/>
      </tp>
      <tp t="s">
        <v>#N/A Requesting Data...4241302602</v>
        <stp/>
        <stp>BDP|4029209439875755827</stp>
        <tr r="AV632" s="1"/>
      </tp>
      <tp t="s">
        <v>#N/A Requesting Data...3918729483</v>
        <stp/>
        <stp>BDP|2446222182192809207</stp>
        <tr r="AV837" s="1"/>
      </tp>
      <tp t="s">
        <v>#N/A Requesting Data...4244600199</v>
        <stp/>
        <stp>BDP|6858834717781937695</stp>
        <tr r="E1125" s="1"/>
        <tr r="E1606" s="1"/>
        <tr r="E1971" s="1"/>
        <tr r="E71" s="1"/>
      </tp>
      <tp t="s">
        <v>#N/A Requesting Data...3677474697</v>
        <stp/>
        <stp>BDP|2330312885498809936</stp>
        <tr r="E394" s="1"/>
      </tp>
      <tp t="s">
        <v>#N/A Requesting Data...4272610602</v>
        <stp/>
        <stp>BDP|1972387439078101154</stp>
        <tr r="H427" s="1"/>
      </tp>
      <tp t="s">
        <v>#N/A Requesting Data...3785811501</v>
        <stp/>
        <stp>BDP|2750538259223804999</stp>
        <tr r="AU634" s="1"/>
      </tp>
      <tp t="s">
        <v>#N/A Requesting Data...3972423928</v>
        <stp/>
        <stp>BDP|8198365378265237104</stp>
        <tr r="H161" s="1"/>
      </tp>
      <tp t="s">
        <v>#N/A Requesting Data...3654965198</v>
        <stp/>
        <stp>BDP|8358173159910108417</stp>
        <tr r="J265" s="1"/>
      </tp>
      <tp t="s">
        <v>#N/A Requesting Data...3674008109</v>
        <stp/>
        <stp>BDP|9799708303954148287</stp>
        <tr r="AU694" s="1"/>
      </tp>
      <tp t="s">
        <v>#N/A Requesting Data...3886097894</v>
        <stp/>
        <stp>BDP|9930227513434084653</stp>
        <tr r="H542" s="1"/>
      </tp>
      <tp t="s">
        <v>#N/A Requesting Data...4229892376</v>
        <stp/>
        <stp>BDP|2867909683362035963</stp>
        <tr r="H1599" s="1"/>
      </tp>
      <tp t="s">
        <v>#N/A Requesting Data...3686425827</v>
        <stp/>
        <stp>BDP|4333035799855233061</stp>
        <tr r="E1785" s="1"/>
      </tp>
      <tp t="s">
        <v>#N/A Requesting Data...4157860994</v>
        <stp/>
        <stp>BDP|7089665359408332415</stp>
        <tr r="E730" s="1"/>
      </tp>
      <tp t="s">
        <v>#N/A Requesting Data...3847369635</v>
        <stp/>
        <stp>BDP|1481987691061904891</stp>
        <tr r="H1252" s="1"/>
      </tp>
      <tp t="s">
        <v>#N/A Requesting Data...3713124193</v>
        <stp/>
        <stp>BDP|7335437358146640831</stp>
        <tr r="H999" s="1"/>
      </tp>
      <tp t="s">
        <v>#N/A Requesting Data...3740170698</v>
        <stp/>
        <stp>BDP|5729472488389246874</stp>
        <tr r="E1948" s="1"/>
      </tp>
      <tp t="s">
        <v>#N/A Requesting Data...4276480672</v>
        <stp/>
        <stp>BDP|4141697621698334074</stp>
        <tr r="J2065" s="1"/>
      </tp>
      <tp t="s">
        <v>#N/A Requesting Data...3605411053</v>
        <stp/>
        <stp>BDP|3683816396189351302</stp>
        <tr r="AR1838" s="1"/>
      </tp>
      <tp t="s">
        <v>#N/A Requesting Data...4250149871</v>
        <stp/>
        <stp>BDP|9975168718465707420</stp>
        <tr r="J10" s="1"/>
      </tp>
      <tp t="s">
        <v>#N/A Requesting Data...3739364564</v>
        <stp/>
        <stp>BDP|6988883511223470465</stp>
        <tr r="J707" s="1"/>
      </tp>
      <tp t="s">
        <v>#N/A Requesting Data...4221756352</v>
        <stp/>
        <stp>BDP|8821329839434103405</stp>
        <tr r="AV597" s="1"/>
      </tp>
      <tp t="s">
        <v>#N/A Requesting Data...4113813429</v>
        <stp/>
        <stp>BDP|4980814448459126936</stp>
        <tr r="E844" s="1"/>
      </tp>
      <tp t="s">
        <v>#N/A Requesting Data...3714776904</v>
        <stp/>
        <stp>BDP|5359743896672497176</stp>
        <tr r="AU576" s="1"/>
      </tp>
      <tp t="s">
        <v>#N/A Requesting Data...4274784788</v>
        <stp/>
        <stp>BDP|7474196363948918057</stp>
        <tr r="H1016" s="1"/>
        <tr r="H1277" s="1"/>
        <tr r="H1335" s="1"/>
        <tr r="H1709" s="1"/>
        <tr r="H1740" s="1"/>
        <tr r="H829" s="1"/>
      </tp>
      <tp t="s">
        <v>#N/A Requesting Data...3766093899</v>
        <stp/>
        <stp>BDP|2647867375577231254</stp>
        <tr r="J439" s="1"/>
      </tp>
      <tp t="s">
        <v>#N/A Requesting Data...3886088302</v>
        <stp/>
        <stp>BDP|9270468937227782164</stp>
        <tr r="H741" s="1"/>
      </tp>
      <tp t="s">
        <v>#N/A Requesting Data...4168446704</v>
        <stp/>
        <stp>BDP|4658832815312748753</stp>
        <tr r="AU299" s="1"/>
      </tp>
      <tp t="s">
        <v>#N/A Requesting Data...3809907666</v>
        <stp/>
        <stp>BDP|9313806087232352352</stp>
        <tr r="J2085" s="1"/>
      </tp>
      <tp t="s">
        <v>#N/A Requesting Data...3818488066</v>
        <stp/>
        <stp>BDP|9467666028454889109</stp>
        <tr r="AU432" s="1"/>
      </tp>
      <tp t="s">
        <v>#N/A Requesting Data...3992481216</v>
        <stp/>
        <stp>BDP|7339707390469665871</stp>
        <tr r="AT894" s="1"/>
      </tp>
      <tp t="s">
        <v>#N/A Requesting Data...4268532985</v>
        <stp/>
        <stp>BDP|9472444235056616014</stp>
        <tr r="AT709" s="1"/>
      </tp>
      <tp t="s">
        <v>#N/A Requesting Data...4128391103</v>
        <stp/>
        <stp>BDP|8824663980976928841</stp>
        <tr r="AT338" s="1"/>
      </tp>
      <tp t="s">
        <v>#N/A Requesting Data...4134570675</v>
        <stp/>
        <stp>BDP|7936388383814119008</stp>
        <tr r="E374" s="1"/>
      </tp>
      <tp t="s">
        <v>#N/A Requesting Data...3998295856</v>
        <stp/>
        <stp>BDP|3269928379395372094</stp>
        <tr r="AU342" s="1"/>
      </tp>
      <tp t="s">
        <v>#N/A Requesting Data...4251515293</v>
        <stp/>
        <stp>BDP|7001993647145845755</stp>
        <tr r="AT326" s="1"/>
      </tp>
      <tp t="s">
        <v>#N/A Requesting Data...3687081340</v>
        <stp/>
        <stp>BDP|5103801252021414179</stp>
        <tr r="H955" s="1"/>
      </tp>
      <tp t="s">
        <v>#N/A Requesting Data...4289005501</v>
        <stp/>
        <stp>BDP|7062075139784815868</stp>
        <tr r="J874" s="1"/>
      </tp>
      <tp t="s">
        <v>#N/A Requesting Data...4185426805</v>
        <stp/>
        <stp>BDP|5137851933404684212</stp>
        <tr r="AU537" s="1"/>
      </tp>
      <tp t="s">
        <v>#N/A Requesting Data...3825176456</v>
        <stp/>
        <stp>BDP|4136826108044326088</stp>
        <tr r="AU541" s="1"/>
      </tp>
      <tp t="s">
        <v>#N/A Requesting Data...4244023257</v>
        <stp/>
        <stp>BDP|9606030901536320778</stp>
        <tr r="H712" s="1"/>
      </tp>
      <tp t="s">
        <v>#N/A Requesting Data...3948141496</v>
        <stp/>
        <stp>BDP|7599215953620436837</stp>
        <tr r="H1535" s="1"/>
      </tp>
      <tp t="s">
        <v>#N/A Requesting Data...3844420590</v>
        <stp/>
        <stp>BDP|4548528760986222956</stp>
        <tr r="E1395" s="1"/>
      </tp>
      <tp t="s">
        <v>#N/A Requesting Data...3866889686</v>
        <stp/>
        <stp>BDP|5221603465199607411</stp>
        <tr r="J1046" s="1"/>
        <tr r="J82" s="1"/>
      </tp>
      <tp t="s">
        <v>#N/A Requesting Data...4091139856</v>
        <stp/>
        <stp>BDP|8643174134117396568</stp>
        <tr r="AR1154" s="1"/>
      </tp>
      <tp t="s">
        <v>#N/A Requesting Data...3648159799</v>
        <stp/>
        <stp>BDP|3863911754385402297</stp>
        <tr r="H1965" s="1"/>
      </tp>
      <tp t="s">
        <v>#N/A Requesting Data...3722731943</v>
        <stp/>
        <stp>BDP|4907112304578960553</stp>
        <tr r="AU725" s="1"/>
      </tp>
      <tp t="s">
        <v>#N/A Requesting Data...3978729335</v>
        <stp/>
        <stp>BDP|2407614918239551481</stp>
        <tr r="J232" s="1"/>
      </tp>
      <tp t="s">
        <v>#N/A Requesting Data...3794850275</v>
        <stp/>
        <stp>BDP|4234806503667215336</stp>
        <tr r="AT602" s="1"/>
      </tp>
      <tp t="s">
        <v>#N/A Requesting Data...4189402491</v>
        <stp/>
        <stp>BDP|4301201498604381396</stp>
        <tr r="H439" s="1"/>
      </tp>
      <tp t="s">
        <v>#N/A Requesting Data...3736367352</v>
        <stp/>
        <stp>BDP|7692895293776550886</stp>
        <tr r="AV584" s="1"/>
      </tp>
      <tp t="s">
        <v>#N/A Requesting Data...3993215103</v>
        <stp/>
        <stp>BDP|6766809496837471848</stp>
        <tr r="H320" s="1"/>
      </tp>
      <tp t="s">
        <v>#N/A Requesting Data...3720614531</v>
        <stp/>
        <stp>BDP|5783712142277339960</stp>
        <tr r="AT606" s="1"/>
      </tp>
      <tp t="s">
        <v>#N/A Requesting Data...3725060884</v>
        <stp/>
        <stp>BDP|8669161163735126238</stp>
        <tr r="AT532" s="1"/>
      </tp>
      <tp t="s">
        <v>#N/A Requesting Data...3932865188</v>
        <stp/>
        <stp>BDP|6669854533981126404</stp>
        <tr r="H344" s="1"/>
      </tp>
      <tp t="s">
        <v>#N/A Requesting Data...3849203399</v>
        <stp/>
        <stp>BDP|2731234665937700972</stp>
        <tr r="H873" s="1"/>
      </tp>
      <tp t="s">
        <v>#N/A Requesting Data...4012872273</v>
        <stp/>
        <stp>BDP|8370114988289848034</stp>
        <tr r="AU304" s="1"/>
      </tp>
      <tp t="s">
        <v>#N/A Requesting Data...4014396401</v>
        <stp/>
        <stp>BDP|4216983530834889230</stp>
        <tr r="J703" s="1"/>
      </tp>
      <tp t="s">
        <v>#N/A Requesting Data...4030084692</v>
        <stp/>
        <stp>BDP|3519304167716463871</stp>
        <tr r="J1645" s="1"/>
      </tp>
      <tp t="s">
        <v>#N/A Requesting Data...4079711341</v>
        <stp/>
        <stp>BDP|6730671984315070552</stp>
        <tr r="AV624" s="1"/>
      </tp>
      <tp t="s">
        <v>#N/A Requesting Data...3945106514</v>
        <stp/>
        <stp>BDP|9875282452662353400</stp>
        <tr r="H1791" s="1"/>
      </tp>
      <tp t="s">
        <v>#N/A Requesting Data...4016538919</v>
        <stp/>
        <stp>BDP|7039156291872743550</stp>
        <tr r="J1553" s="1"/>
      </tp>
      <tp t="s">
        <v>#N/A Requesting Data...3911306375</v>
        <stp/>
        <stp>BDP|7398156585965314366</stp>
        <tr r="AU587" s="1"/>
      </tp>
      <tp t="s">
        <v>#N/A Requesting Data...3932634945</v>
        <stp/>
        <stp>BDP|8700643161062269265</stp>
        <tr r="AU291" s="1"/>
      </tp>
      <tp t="s">
        <v>#N/A Requesting Data...3941413555</v>
        <stp/>
        <stp>BDP|1875994022382501002</stp>
        <tr r="J359" s="1"/>
      </tp>
      <tp t="s">
        <v>#N/A Requesting Data...3725625522</v>
        <stp/>
        <stp>BDP|3308928048867751187</stp>
        <tr r="E379" s="1"/>
      </tp>
      <tp t="s">
        <v>#N/A Requesting Data...4287923319</v>
        <stp/>
        <stp>BDP|9895154231900360397</stp>
        <tr r="J641" s="1"/>
      </tp>
      <tp t="s">
        <v>#N/A Requesting Data...3850877898</v>
        <stp/>
        <stp>BDP|7999939907214844232</stp>
        <tr r="E1051" s="1"/>
      </tp>
      <tp t="s">
        <v>#N/A Requesting Data...3963042315</v>
        <stp/>
        <stp>BDP|4239512794017208735</stp>
        <tr r="J1048" s="1"/>
        <tr r="J943" s="1"/>
      </tp>
      <tp t="s">
        <v>#N/A Requesting Data...4097901032</v>
        <stp/>
        <stp>BDP|8668291652290846735</stp>
        <tr r="AV899" s="1"/>
      </tp>
      <tp t="s">
        <v>#N/A Requesting Data...4249810376</v>
        <stp/>
        <stp>BDP|9724055644285965094</stp>
        <tr r="E318" s="1"/>
      </tp>
      <tp t="s">
        <v>#N/A Requesting Data...3684541891</v>
        <stp/>
        <stp>BDP|1598363845037942998</stp>
        <tr r="H400" s="1"/>
      </tp>
      <tp t="s">
        <v>#N/A Requesting Data...3718165949</v>
        <stp/>
        <stp>BDP|6422776456169641549</stp>
        <tr r="H985" s="1"/>
      </tp>
      <tp t="s">
        <v>#N/A Requesting Data...3937717293</v>
        <stp/>
        <stp>BDP|6069290346379897103</stp>
        <tr r="AV207" s="1"/>
      </tp>
      <tp t="s">
        <v>#N/A Requesting Data...3679493354</v>
        <stp/>
        <stp>BDP|7768436283031222222</stp>
        <tr r="H892" s="1"/>
      </tp>
      <tp t="s">
        <v>#N/A Requesting Data...4051135777</v>
        <stp/>
        <stp>BDP|6205153027404031976</stp>
        <tr r="AT739" s="1"/>
      </tp>
      <tp t="s">
        <v>#N/A Requesting Data...4057714610</v>
        <stp/>
        <stp>BDP|4236129290326033278</stp>
        <tr r="J1751" s="1"/>
      </tp>
      <tp t="s">
        <v>#N/A Requesting Data...4137179851</v>
        <stp/>
        <stp>BDP|3517972568767924342</stp>
        <tr r="AV596" s="1"/>
      </tp>
      <tp t="s">
        <v>#N/A Requesting Data...4009756241</v>
        <stp/>
        <stp>BDP|2851577919036866890</stp>
        <tr r="AU524" s="1"/>
      </tp>
      <tp t="s">
        <v>#N/A Requesting Data...4109522426</v>
        <stp/>
        <stp>BDP|5132216696362853494</stp>
        <tr r="J1160" s="1"/>
        <tr r="J1584" s="1"/>
        <tr r="J231" s="1"/>
      </tp>
      <tp t="s">
        <v>#N/A Requesting Data...3950381313</v>
        <stp/>
        <stp>BDP|7462820792066188829</stp>
        <tr r="H1310" s="1"/>
      </tp>
      <tp t="s">
        <v>#N/A Requesting Data...3737676914</v>
        <stp/>
        <stp>BDP|2216717792236114273</stp>
        <tr r="E1003" s="1"/>
        <tr r="E1322" s="1"/>
      </tp>
      <tp t="s">
        <v>#N/A Requesting Data...3949225555</v>
        <stp/>
        <stp>BDP|3025815963591204474</stp>
        <tr r="J131" s="1"/>
      </tp>
      <tp t="s">
        <v>#N/A Requesting Data...3894590789</v>
        <stp/>
        <stp>BDP|7189540946537020976</stp>
        <tr r="AT425" s="1"/>
      </tp>
      <tp t="s">
        <v>#N/A Requesting Data...3747274447</v>
        <stp/>
        <stp>BDP|7080953007440274640</stp>
        <tr r="E283" s="1"/>
      </tp>
      <tp t="s">
        <v>#N/A Requesting Data...4021490965</v>
        <stp/>
        <stp>BDP|9008319515671872280</stp>
        <tr r="J749" s="1"/>
      </tp>
      <tp t="s">
        <v>#N/A Requesting Data...4246510058</v>
        <stp/>
        <stp>BDP|4398293380825989376</stp>
        <tr r="J1477" s="1"/>
      </tp>
      <tp t="s">
        <v>#N/A Requesting Data...4068647327</v>
        <stp/>
        <stp>BDP|5381679985873643031</stp>
        <tr r="J1022" s="1"/>
      </tp>
      <tp t="s">
        <v>#N/A Requesting Data...4123542147</v>
        <stp/>
        <stp>BDP|1249117997962149312</stp>
        <tr r="J291" s="1"/>
      </tp>
      <tp t="s">
        <v>#N/A Requesting Data...3940619594</v>
        <stp/>
        <stp>BDP|5963998852287313652</stp>
        <tr r="H1135" s="1"/>
        <tr r="H1636" s="1"/>
      </tp>
      <tp t="s">
        <v>#N/A Requesting Data...3712848184</v>
        <stp/>
        <stp>BDP|2941446420968121486</stp>
        <tr r="E529" s="1"/>
      </tp>
      <tp t="s">
        <v>#N/A Requesting Data...3822874820</v>
        <stp/>
        <stp>BDP|2984985311144664624</stp>
        <tr r="AT421" s="1"/>
      </tp>
      <tp t="s">
        <v>#N/A Requesting Data...3951890511</v>
        <stp/>
        <stp>BDP|6036790185466113797</stp>
        <tr r="J1343" s="1"/>
      </tp>
      <tp t="s">
        <v>#N/A Requesting Data...4153160541</v>
        <stp/>
        <stp>BDP|8235307960104242143</stp>
        <tr r="H459" s="1"/>
      </tp>
      <tp t="s">
        <v>#N/A Requesting Data...4116282047</v>
        <stp/>
        <stp>BDP|9873196800715664532</stp>
        <tr r="AP2045" s="1"/>
      </tp>
      <tp t="s">
        <v>#N/A Requesting Data...3874194183</v>
        <stp/>
        <stp>BDP|3093937377905255027</stp>
        <tr r="J1519" s="1"/>
      </tp>
      <tp t="s">
        <v>#N/A Requesting Data...4071920798</v>
        <stp/>
        <stp>BDP|2255434488667805152</stp>
        <tr r="AV337" s="1"/>
      </tp>
      <tp t="s">
        <v>#N/A Requesting Data...3892740010</v>
        <stp/>
        <stp>BDP|2914286574236429953</stp>
        <tr r="E264" s="1"/>
      </tp>
      <tp t="s">
        <v>#N/A Requesting Data...4066322455</v>
        <stp/>
        <stp>BDP|3536941138164812554</stp>
        <tr r="AU349" s="1"/>
      </tp>
      <tp t="s">
        <v>#N/A Requesting Data...3965522509</v>
        <stp/>
        <stp>BDP|2134397999510085045</stp>
        <tr r="AT551" s="1"/>
      </tp>
      <tp t="s">
        <v>#N/A Requesting Data...4140254834</v>
        <stp/>
        <stp>BDP|6193862280337754953</stp>
        <tr r="AV635" s="1"/>
      </tp>
      <tp t="s">
        <v>#N/A Requesting Data...3879293768</v>
        <stp/>
        <stp>BDP|7650132651883193808</stp>
        <tr r="AU894" s="1"/>
      </tp>
      <tp t="s">
        <v>#N/A Requesting Data...3975047083</v>
        <stp/>
        <stp>BDP|9065978270289250608</stp>
        <tr r="J2081" s="1"/>
      </tp>
      <tp t="s">
        <v>#N/A Requesting Data...3736822609</v>
        <stp/>
        <stp>BDP|6986749294241874144</stp>
        <tr r="AU499" s="1"/>
      </tp>
      <tp t="s">
        <v>#N/A Requesting Data...3794308882</v>
        <stp/>
        <stp>BDP|9209261767563668602</stp>
        <tr r="H934" s="1"/>
      </tp>
      <tp t="s">
        <v>#N/A Requesting Data...4265836490</v>
        <stp/>
        <stp>BDP|8812489606904565067</stp>
        <tr r="J870" s="1"/>
      </tp>
      <tp t="s">
        <v>#N/A Requesting Data...4019927105</v>
        <stp/>
        <stp>BDP|8792633885607545918</stp>
        <tr r="H1319" s="1"/>
      </tp>
      <tp t="s">
        <v>#N/A Requesting Data...3965512987</v>
        <stp/>
        <stp>BDP|2452330786598351976</stp>
        <tr r="J1581" s="1"/>
      </tp>
      <tp t="s">
        <v>#N/A Requesting Data...4258949752</v>
        <stp/>
        <stp>BDP|9913249649973772463</stp>
        <tr r="AT480" s="1"/>
      </tp>
      <tp t="s">
        <v>#N/A Requesting Data...4289821233</v>
        <stp/>
        <stp>BDP|7275712476168752775</stp>
        <tr r="AV630" s="1"/>
      </tp>
      <tp t="s">
        <v>#N/A Requesting Data...4195536518</v>
        <stp/>
        <stp>BDP|3665252883298077957</stp>
        <tr r="J1164" s="1"/>
      </tp>
      <tp t="s">
        <v>#N/A Requesting Data...3944705277</v>
        <stp/>
        <stp>BDP|6256792233479201209</stp>
        <tr r="H693" s="1"/>
      </tp>
      <tp t="s">
        <v>#N/A Requesting Data...4006603598</v>
        <stp/>
        <stp>BDP|7764919865345833415</stp>
        <tr r="H690" s="1"/>
      </tp>
      <tp t="s">
        <v>#N/A Requesting Data...4188043377</v>
        <stp/>
        <stp>BDP|9299693821077765371</stp>
        <tr r="E1194" s="1"/>
      </tp>
      <tp t="s">
        <v>#N/A Requesting Data...3822496630</v>
        <stp/>
        <stp>BDP|4988793085374902665</stp>
        <tr r="H1908" s="1"/>
      </tp>
      <tp t="s">
        <v>#N/A Requesting Data...4232709722</v>
        <stp/>
        <stp>BDP|7801424697871085278</stp>
        <tr r="E576" s="1"/>
      </tp>
      <tp t="s">
        <v>#N/A Requesting Data...3932931265</v>
        <stp/>
        <stp>BDP|8675397244725393322</stp>
        <tr r="J1105" s="1"/>
        <tr r="J1478" s="1"/>
        <tr r="J1573" s="1"/>
      </tp>
      <tp t="s">
        <v>#N/A Requesting Data...4263590889</v>
        <stp/>
        <stp>BDP|3168294590885165432</stp>
        <tr r="AP1467" s="1"/>
      </tp>
      <tp t="s">
        <v>#N/A Requesting Data...4025455428</v>
        <stp/>
        <stp>BDP|5189764226671307884</stp>
        <tr r="AS1561" s="1"/>
      </tp>
      <tp t="s">
        <v>#N/A Requesting Data...3833930967</v>
        <stp/>
        <stp>BDP|3908536414226412804</stp>
        <tr r="H1566" s="1"/>
      </tp>
      <tp t="s">
        <v>#N/A Requesting Data...3828249677</v>
        <stp/>
        <stp>BDP|8182286933518782872</stp>
        <tr r="H834" s="1"/>
      </tp>
      <tp t="s">
        <v>#N/A Requesting Data...3845896938</v>
        <stp/>
        <stp>BDP|4218740715158833311</stp>
        <tr r="E454" s="1"/>
      </tp>
      <tp t="s">
        <v>#N/A Requesting Data...4028552668</v>
        <stp/>
        <stp>BDP|6227966464628934834</stp>
        <tr r="H1867" s="1"/>
      </tp>
      <tp t="s">
        <v>#N/A Requesting Data...3782229124</v>
        <stp/>
        <stp>BDP|5579630397204342784</stp>
        <tr r="E1884" s="1"/>
      </tp>
      <tp t="s">
        <v>#N/A Requesting Data...4036924875</v>
        <stp/>
        <stp>BDP|1645983361331499619</stp>
        <tr r="AT588" s="1"/>
      </tp>
      <tp t="s">
        <v>#N/A Requesting Data...3962286682</v>
        <stp/>
        <stp>BDP|5349007109685138911</stp>
        <tr r="AU592" s="1"/>
      </tp>
      <tp t="s">
        <v>#N/A Requesting Data...4160918219</v>
        <stp/>
        <stp>BDP|8126357362077527391</stp>
        <tr r="AU872" s="1"/>
      </tp>
      <tp t="s">
        <v>#N/A Requesting Data...3719491668</v>
        <stp/>
        <stp>BDP|7274726585375680483</stp>
        <tr r="H453" s="1"/>
      </tp>
      <tp t="s">
        <v>#N/A Requesting Data...3992925491</v>
        <stp/>
        <stp>BDP|5864678851019152643</stp>
        <tr r="J419" s="1"/>
      </tp>
      <tp t="s">
        <v>#N/A Requesting Data...4124104962</v>
        <stp/>
        <stp>BDP|9025651441310797283</stp>
        <tr r="E427" s="1"/>
      </tp>
      <tp t="s">
        <v>#N/A Requesting Data...3967499162</v>
        <stp/>
        <stp>BDP|8593257908705248612</stp>
        <tr r="J395" s="1"/>
      </tp>
      <tp t="s">
        <v>#N/A Requesting Data...4283820651</v>
        <stp/>
        <stp>BDP|7363835764665837577</stp>
        <tr r="E68" s="1"/>
      </tp>
      <tp t="s">
        <v>#N/A Requesting Data...3704655382</v>
        <stp/>
        <stp>BDP|3815871321018498819</stp>
        <tr r="AV761" s="1"/>
      </tp>
      <tp t="s">
        <v>#N/A Requesting Data...3921972330</v>
        <stp/>
        <stp>BDP|2725535350289700286</stp>
        <tr r="H1192" s="1"/>
      </tp>
      <tp t="s">
        <v>#N/A Requesting Data...4271099551</v>
        <stp/>
        <stp>BDP|8821906282242278232</stp>
        <tr r="H635" s="1"/>
      </tp>
      <tp t="s">
        <v>#N/A Requesting Data...3707787946</v>
        <stp/>
        <stp>BDP|8747338625356987635</stp>
        <tr r="E322" s="1"/>
      </tp>
      <tp t="s">
        <v>#N/A Requesting Data...4040955236</v>
        <stp/>
        <stp>BDP|9818958443594317968</stp>
        <tr r="AV664" s="1"/>
      </tp>
      <tp t="s">
        <v>#N/A Requesting Data...4139706593</v>
        <stp/>
        <stp>BDP|1327842539976289574</stp>
        <tr r="E2063" s="1"/>
        <tr r="E64" s="1"/>
      </tp>
      <tp t="s">
        <v>#N/A Requesting Data...3946242069</v>
        <stp/>
        <stp>BDP|4545581471419703605</stp>
        <tr r="J29" s="1"/>
      </tp>
      <tp t="s">
        <v>#N/A Requesting Data...4128980184</v>
        <stp/>
        <stp>BDP|9940326370442141615</stp>
        <tr r="AV713" s="1"/>
      </tp>
      <tp t="s">
        <v>#N/A Requesting Data...3896118993</v>
        <stp/>
        <stp>BDP|8052282242260639771</stp>
        <tr r="E705" s="1"/>
      </tp>
      <tp t="s">
        <v>#N/A Requesting Data...3924819168</v>
        <stp/>
        <stp>BDP|4567290109839922645</stp>
        <tr r="AU620" s="1"/>
      </tp>
      <tp t="s">
        <v>#N/A Requesting Data...3823774843</v>
        <stp/>
        <stp>BDP|3993686416439929460</stp>
        <tr r="J1407" s="1"/>
      </tp>
      <tp t="s">
        <v>#N/A Requesting Data...4173601173</v>
        <stp/>
        <stp>BDP|8842138020233308104</stp>
        <tr r="E1815" s="1"/>
      </tp>
      <tp t="s">
        <v>#N/A Requesting Data...4157022693</v>
        <stp/>
        <stp>BDP|3820551237629580570</stp>
        <tr r="AT635" s="1"/>
      </tp>
      <tp t="s">
        <v>#N/A Requesting Data...3969552234</v>
        <stp/>
        <stp>BDP|7071960684587384896</stp>
        <tr r="AV293" s="1"/>
      </tp>
      <tp t="s">
        <v>#N/A Requesting Data...4261526441</v>
        <stp/>
        <stp>BDP|3577899315334976785</stp>
        <tr r="E168" s="1"/>
      </tp>
      <tp t="s">
        <v>#N/A Requesting Data...3770444893</v>
        <stp/>
        <stp>BDP|5420619101489566399</stp>
        <tr r="E304" s="1"/>
      </tp>
      <tp t="s">
        <v>#N/A Requesting Data...3974346659</v>
        <stp/>
        <stp>BDP|3171293170718363736</stp>
        <tr r="AV509" s="1"/>
      </tp>
      <tp t="s">
        <v>#N/A Requesting Data...3889225133</v>
        <stp/>
        <stp>BDP|4827618228579848018</stp>
        <tr r="E763" s="1"/>
      </tp>
      <tp t="s">
        <v>#N/A Requesting Data...4075891534</v>
        <stp/>
        <stp>BDP|3033976532936580686</stp>
        <tr r="AT669" s="1"/>
      </tp>
      <tp t="s">
        <v>#N/A Requesting Data...3889263061</v>
        <stp/>
        <stp>BDP|3118291481056063612</stp>
        <tr r="H887" s="1"/>
      </tp>
      <tp t="s">
        <v>#N/A Requesting Data...4220605448</v>
        <stp/>
        <stp>BDP|9262015702978824800</stp>
        <tr r="H599" s="1"/>
      </tp>
      <tp t="s">
        <v>#N/A Requesting Data...3966627687</v>
        <stp/>
        <stp>BDP|2965692730027989907</stp>
        <tr r="AU565" s="1"/>
      </tp>
      <tp t="s">
        <v>#N/A Requesting Data...3763211093</v>
        <stp/>
        <stp>BDP|7950464037858662170</stp>
        <tr r="J1285" s="1"/>
        <tr r="J967" s="1"/>
      </tp>
      <tp t="s">
        <v>#N/A Requesting Data...3893324690</v>
        <stp/>
        <stp>BDP|4748147219325152824</stp>
        <tr r="AV1009" s="1"/>
        <tr r="AV1271" s="1"/>
        <tr r="AV1328" s="1"/>
        <tr r="AV1363" s="1"/>
        <tr r="AV1702" s="1"/>
        <tr r="AV1716" s="1"/>
        <tr r="AV1733" s="1"/>
        <tr r="AV770" s="1"/>
        <tr r="AV822" s="1"/>
        <tr r="AV842" s="1"/>
      </tp>
      <tp t="s">
        <v>#N/A Requesting Data...4218114816</v>
        <stp/>
        <stp>BDP|6901988736422986777</stp>
        <tr r="E1083" s="1"/>
        <tr r="E181" s="1"/>
      </tp>
      <tp t="s">
        <v>#N/A Requesting Data...4035963593</v>
        <stp/>
        <stp>BDP|6556409297950974227</stp>
        <tr r="E123" s="1"/>
      </tp>
      <tp t="s">
        <v>#N/A Requesting Data...4015266862</v>
        <stp/>
        <stp>BDP|7602699202378004033</stp>
        <tr r="H532" s="1"/>
      </tp>
      <tp t="s">
        <v>#N/A Requesting Data...4007860268</v>
        <stp/>
        <stp>BDP|9407064933034643799</stp>
        <tr r="AU680" s="1"/>
      </tp>
      <tp t="s">
        <v>#N/A Requesting Data...4214908283</v>
        <stp/>
        <stp>BDP|8159109879151360650</stp>
        <tr r="J175" s="1"/>
      </tp>
      <tp t="s">
        <v>#N/A Requesting Data...3836952749</v>
        <stp/>
        <stp>BDP|1230405789221061558</stp>
        <tr r="H508" s="1"/>
      </tp>
      <tp t="s">
        <v>#N/A Requesting Data...4129360103</v>
        <stp/>
        <stp>BDP|2860620444250198912</stp>
        <tr r="J1402" s="1"/>
      </tp>
      <tp t="s">
        <v>#N/A Requesting Data...3941071036</v>
        <stp/>
        <stp>BDP|6856046764201287847</stp>
        <tr r="AT402" s="1"/>
      </tp>
      <tp t="s">
        <v>#N/A Requesting Data...3877245715</v>
        <stp/>
        <stp>BDP|4282870982725084894</stp>
        <tr r="J408" s="1"/>
      </tp>
      <tp t="s">
        <v>#N/A Requesting Data...3759078036</v>
        <stp/>
        <stp>BDP|1617650238684021957</stp>
        <tr r="E985" s="1"/>
      </tp>
      <tp t="s">
        <v>#N/A Requesting Data...3874681002</v>
        <stp/>
        <stp>BDP|9250587923755759205</stp>
        <tr r="H1833" s="1"/>
      </tp>
      <tp t="s">
        <v>#N/A Requesting Data...3979560531</v>
        <stp/>
        <stp>BDP|7344695476738740756</stp>
        <tr r="J396" s="1"/>
      </tp>
      <tp t="s">
        <v>#N/A Requesting Data...4290280906</v>
        <stp/>
        <stp>BDP|7962426369005965951</stp>
        <tr r="AU712" s="1"/>
      </tp>
      <tp t="s">
        <v>#N/A Requesting Data...3891712132</v>
        <stp/>
        <stp>BDP|5789059820538922650</stp>
        <tr r="J1940" s="1"/>
      </tp>
      <tp t="s">
        <v>#N/A Requesting Data...3762191397</v>
        <stp/>
        <stp>BDP|5935801767476670479</stp>
        <tr r="E1179" s="1"/>
        <tr r="E48" s="1"/>
      </tp>
      <tp t="s">
        <v>#N/A Requesting Data...4146876959</v>
        <stp/>
        <stp>BDP|9509390967105795037</stp>
        <tr r="H1233" s="1"/>
      </tp>
      <tp t="s">
        <v>#N/A Requesting Data...4190307139</v>
        <stp/>
        <stp>BDP|9602010612751936033</stp>
        <tr r="AV907" s="1"/>
      </tp>
      <tp t="s">
        <v>#N/A Requesting Data...3965453733</v>
        <stp/>
        <stp>BDP|6212971662912995217</stp>
        <tr r="J1036" s="1"/>
        <tr r="J799" s="1"/>
      </tp>
      <tp t="s">
        <v>#N/A Requesting Data...3754980000</v>
        <stp/>
        <stp>BDP|7838156556302781839</stp>
        <tr r="H1898" s="1"/>
      </tp>
      <tp t="s">
        <v>#N/A Requesting Data...3925678763</v>
        <stp/>
        <stp>BDP|5018847199424463962</stp>
        <tr r="AT722" s="1"/>
      </tp>
      <tp t="s">
        <v>#N/A Requesting Data...3937867690</v>
        <stp/>
        <stp>BDP|8735318519520164325</stp>
        <tr r="E452" s="1"/>
      </tp>
      <tp t="s">
        <v>#N/A Requesting Data...4133563596</v>
        <stp/>
        <stp>BDP|9497871091847792698</stp>
        <tr r="AU386" s="1"/>
      </tp>
      <tp t="s">
        <v>#N/A Requesting Data...4223414498</v>
        <stp/>
        <stp>BDP|8699304032829132897</stp>
        <tr r="J46" s="1"/>
      </tp>
      <tp t="s">
        <v>#N/A Requesting Data...3715812380</v>
        <stp/>
        <stp>BDP|6649501699233164023</stp>
        <tr r="AT314" s="1"/>
      </tp>
      <tp t="s">
        <v>#N/A Requesting Data...4009676989</v>
        <stp/>
        <stp>BDP|8686188124636119473</stp>
        <tr r="J1774" s="1"/>
      </tp>
      <tp t="s">
        <v>#N/A Requesting Data...4091968896</v>
        <stp/>
        <stp>BDP|3889369006371241862</stp>
        <tr r="H545" s="1"/>
      </tp>
      <tp t="s">
        <v>#N/A Requesting Data...4207731180</v>
        <stp/>
        <stp>BDP|9634435458109178804</stp>
        <tr r="H1417" s="1"/>
      </tp>
      <tp t="s">
        <v>#N/A Requesting Data...3916481925</v>
        <stp/>
        <stp>BDP|9996029714257152620</stp>
        <tr r="H801" s="1"/>
      </tp>
      <tp t="s">
        <v>#N/A Requesting Data...3912557144</v>
        <stp/>
        <stp>BDP|9374952129358092326</stp>
        <tr r="H657" s="1"/>
      </tp>
      <tp t="s">
        <v>#N/A Requesting Data...4129734198</v>
        <stp/>
        <stp>BDP|2165589395840295736</stp>
        <tr r="J497" s="1"/>
      </tp>
      <tp t="s">
        <v>#N/A Requesting Data...3912827562</v>
        <stp/>
        <stp>BDP|4633728686175909762</stp>
        <tr r="AT741" s="1"/>
      </tp>
      <tp t="s">
        <v>#N/A Requesting Data...3838336190</v>
        <stp/>
        <stp>BDP|8811022291758671009</stp>
        <tr r="E1239" s="1"/>
      </tp>
      <tp t="s">
        <v>#N/A Requesting Data...3794497349</v>
        <stp/>
        <stp>BDP|8272186852434066159</stp>
        <tr r="H345" s="1"/>
      </tp>
      <tp t="s">
        <v>#N/A Requesting Data...4264499041</v>
        <stp/>
        <stp>BDP|9637689427251079542</stp>
        <tr r="E652" s="1"/>
      </tp>
      <tp t="s">
        <v>#N/A Requesting Data...4200645975</v>
        <stp/>
        <stp>BDP|7311230769903047940</stp>
        <tr r="AT437" s="1"/>
      </tp>
      <tp t="s">
        <v>#N/A Requesting Data...3838459364</v>
        <stp/>
        <stp>BDP|2283810461825697097</stp>
        <tr r="J450" s="1"/>
      </tp>
      <tp t="s">
        <v>#N/A Requesting Data...4056407636</v>
        <stp/>
        <stp>BDP|9980161631595210713</stp>
        <tr r="E1504" s="1"/>
      </tp>
      <tp t="s">
        <v>#N/A Requesting Data...4116507199</v>
        <stp/>
        <stp>BDP|4749865675724852612</stp>
        <tr r="H1450" s="1"/>
      </tp>
      <tp t="s">
        <v>#N/A Requesting Data...4218692209</v>
        <stp/>
        <stp>BDP|3568862226256023681</stp>
        <tr r="AT565" s="1"/>
      </tp>
      <tp t="s">
        <v>#N/A Requesting Data...3882212831</v>
        <stp/>
        <stp>BDP|8418760278649021873</stp>
        <tr r="J187" s="1"/>
        <tr r="J1945" s="1"/>
        <tr r="J40" s="1"/>
      </tp>
      <tp t="s">
        <v>#N/A Requesting Data...4261494487</v>
        <stp/>
        <stp>BDP|5095757373545433901</stp>
        <tr r="AR1561" s="1"/>
      </tp>
      <tp t="s">
        <v>#N/A Requesting Data...3805605644</v>
        <stp/>
        <stp>BDP|1104266811188798336</stp>
        <tr r="AR2039" s="1"/>
      </tp>
      <tp t="s">
        <v>#N/A Requesting Data...4175074938</v>
        <stp/>
        <stp>BDP|8670606205741034619</stp>
        <tr r="AV667" s="1"/>
      </tp>
      <tp t="s">
        <v>#N/A Requesting Data...4178830302</v>
        <stp/>
        <stp>BDP|8088724541687726567</stp>
        <tr r="H141" s="1"/>
      </tp>
      <tp t="s">
        <v>#N/A Requesting Data...3883396723</v>
        <stp/>
        <stp>BDP|9291493228264258233</stp>
        <tr r="AV675" s="1"/>
      </tp>
      <tp t="s">
        <v>#N/A Requesting Data...4209092754</v>
        <stp/>
        <stp>BDP|8547375662231738553</stp>
        <tr r="J857" s="1"/>
      </tp>
      <tp t="s">
        <v>#N/A Requesting Data...3997468242</v>
        <stp/>
        <stp>BDP|6144708982085689576</stp>
        <tr r="AV482" s="1"/>
      </tp>
      <tp t="s">
        <v>#N/A Requesting Data...3982681345</v>
        <stp/>
        <stp>BDP|1566898232991564293</stp>
        <tr r="AT871" s="1"/>
      </tp>
      <tp t="s">
        <v>#N/A Requesting Data...4130700697</v>
        <stp/>
        <stp>BDP|2001210087794615523</stp>
        <tr r="AT528" s="1"/>
      </tp>
      <tp t="s">
        <v>#N/A Requesting Data...4151743750</v>
        <stp/>
        <stp>BDP|1560670190136457145</stp>
        <tr r="H1649" s="1"/>
      </tp>
      <tp t="s">
        <v>#N/A Requesting Data...3846535222</v>
        <stp/>
        <stp>BDP|9609281847210343681</stp>
        <tr r="AV566" s="1"/>
      </tp>
      <tp t="s">
        <v>#N/A Requesting Data...3819183613</v>
        <stp/>
        <stp>BDP|1118789162300184985</stp>
        <tr r="H1305" s="1"/>
        <tr r="H978" s="1"/>
      </tp>
      <tp t="s">
        <v>#N/A Requesting Data...3877810725</v>
        <stp/>
        <stp>BDP|5154446351268128575</stp>
        <tr r="H600" s="1"/>
      </tp>
      <tp t="s">
        <v>#N/A Requesting Data...3805812630</v>
        <stp/>
        <stp>BDP|4218899749528437957</stp>
        <tr r="E1312" s="1"/>
      </tp>
      <tp t="s">
        <v>#N/A Requesting Data...4011674586</v>
        <stp/>
        <stp>BDP|9317362727524780565</stp>
        <tr r="AV342" s="1"/>
      </tp>
      <tp t="s">
        <v>#N/A Requesting Data...4066155527</v>
        <stp/>
        <stp>BDP|8439422484589368428</stp>
        <tr r="H1975" s="1"/>
        <tr r="H87" s="1"/>
      </tp>
      <tp t="s">
        <v>#N/A Requesting Data...4286233708</v>
        <stp/>
        <stp>BDP|1369022092457741675</stp>
        <tr r="AT884" s="1"/>
      </tp>
      <tp t="s">
        <v>#N/A Requesting Data...3963237743</v>
        <stp/>
        <stp>BDP|6816876836630254486</stp>
        <tr r="H1292" s="1"/>
        <tr r="H23" s="1"/>
        <tr r="H969" s="1"/>
      </tp>
      <tp t="s">
        <v>#N/A Requesting Data...3813909819</v>
        <stp/>
        <stp>BDP|1038083528728378204</stp>
        <tr r="E1829" s="1"/>
      </tp>
      <tp t="s">
        <v>#N/A Requesting Data...3727172765</v>
        <stp/>
        <stp>BDP|5848672698955294662</stp>
        <tr r="AT320" s="1"/>
      </tp>
      <tp t="s">
        <v>#N/A Requesting Data...4264387969</v>
        <stp/>
        <stp>BDP|2959952506155863714</stp>
        <tr r="AV256" s="1"/>
      </tp>
      <tp t="s">
        <v>#N/A Requesting Data...4027212737</v>
        <stp/>
        <stp>BDP|8425433123323377443</stp>
        <tr r="E1096" s="1"/>
        <tr r="E190" s="1"/>
        <tr r="E952" s="1"/>
      </tp>
      <tp t="s">
        <v>#N/A Requesting Data...3899953222</v>
        <stp/>
        <stp>BDP|2931845665023336683</stp>
        <tr r="AU323" s="1"/>
      </tp>
      <tp t="s">
        <v>#N/A Requesting Data...4007994791</v>
        <stp/>
        <stp>BDP|7145934306235439237</stp>
        <tr r="H905" s="1"/>
      </tp>
      <tp t="s">
        <v>#N/A Requesting Data...4249352849</v>
        <stp/>
        <stp>BDP|8756706167989391905</stp>
        <tr r="J1886" s="1"/>
      </tp>
      <tp t="s">
        <v>#N/A Requesting Data...4211074329</v>
        <stp/>
        <stp>BDP|8414265072814427046</stp>
        <tr r="AU354" s="1"/>
      </tp>
      <tp t="s">
        <v>#N/A Requesting Data...4213518467</v>
        <stp/>
        <stp>BDP|9370899303259142183</stp>
        <tr r="J122" s="1"/>
      </tp>
      <tp t="s">
        <v>#N/A Requesting Data...4291474889</v>
        <stp/>
        <stp>BDP|4309911403810859497</stp>
        <tr r="J445" s="1"/>
      </tp>
      <tp t="s">
        <v>#N/A Requesting Data...4053990756</v>
        <stp/>
        <stp>BDP|5380834423357017134</stp>
        <tr r="AV1016" s="1"/>
        <tr r="AV1277" s="1"/>
        <tr r="AV1335" s="1"/>
        <tr r="AV1709" s="1"/>
        <tr r="AV1740" s="1"/>
        <tr r="AV829" s="1"/>
      </tp>
      <tp t="s">
        <v>#N/A Requesting Data...4251783605</v>
        <stp/>
        <stp>BDP|9495266648795975335</stp>
        <tr r="E1678" s="1"/>
      </tp>
      <tp t="s">
        <v>#N/A Requesting Data...4291604890</v>
        <stp/>
        <stp>BDP|3971347942845923867</stp>
        <tr r="H1290" s="1"/>
      </tp>
      <tp t="s">
        <v>#N/A Requesting Data...4013245719</v>
        <stp/>
        <stp>BDP|5439122370439681303</stp>
        <tr r="E1035" s="1"/>
      </tp>
      <tp t="s">
        <v>#N/A Requesting Data...4083084354</v>
        <stp/>
        <stp>BDP|5657546992634603465</stp>
        <tr r="J601" s="1"/>
      </tp>
      <tp t="s">
        <v>#N/A Requesting Data...4045532130</v>
        <stp/>
        <stp>BDP|8216584618544508173</stp>
        <tr r="J486" s="1"/>
      </tp>
      <tp t="s">
        <v>#N/A Requesting Data...3797497561</v>
        <stp/>
        <stp>BDP|6584711649575591981</stp>
        <tr r="H996" s="1"/>
      </tp>
      <tp t="s">
        <v>#N/A Requesting Data...4224707706</v>
        <stp/>
        <stp>BDP|2067127374219324455</stp>
        <tr r="J611" s="1"/>
      </tp>
      <tp t="s">
        <v>#N/A Requesting Data...3994712126</v>
        <stp/>
        <stp>BDP|4455923805721062533</stp>
        <tr r="E1146" s="1"/>
        <tr r="E1657" s="1"/>
        <tr r="E1836" s="1"/>
        <tr r="E249" s="1"/>
        <tr r="E787" s="1"/>
      </tp>
      <tp t="s">
        <v>#N/A Requesting Data...4245502207</v>
        <stp/>
        <stp>BDP|6267658877978022602</stp>
        <tr r="H353" s="1"/>
      </tp>
      <tp t="s">
        <v>#N/A Requesting Data...3940036420</v>
        <stp/>
        <stp>BDP|6607665103190093925</stp>
        <tr r="AT640" s="1"/>
      </tp>
      <tp t="s">
        <v>#N/A Requesting Data...3946149489</v>
        <stp/>
        <stp>BDP|5766826964785898786</stp>
        <tr r="H648" s="1"/>
      </tp>
      <tp t="s">
        <v>#N/A Requesting Data...3898950646</v>
        <stp/>
        <stp>BDP|8663309811956367558</stp>
        <tr r="H1880" s="1"/>
        <tr r="H2084" s="1"/>
      </tp>
      <tp t="s">
        <v>#N/A Requesting Data...4244764304</v>
        <stp/>
        <stp>BDP|9475146857982309654</stp>
        <tr r="AV603" s="1"/>
      </tp>
      <tp t="s">
        <v>#N/A Requesting Data...4001723343</v>
        <stp/>
        <stp>BDP|4678339691623628434</stp>
        <tr r="AU372" s="1"/>
      </tp>
      <tp t="s">
        <v>#N/A Requesting Data...3983768989</v>
        <stp/>
        <stp>BDP|6750721090740665120</stp>
        <tr r="E361" s="1"/>
      </tp>
      <tp t="s">
        <v>#N/A Requesting Data...3865809088</v>
        <stp/>
        <stp>BDP|4015933242478138812</stp>
        <tr r="J1541" s="1"/>
        <tr r="J1852" s="1"/>
      </tp>
      <tp t="s">
        <v>#N/A Requesting Data...3820375333</v>
        <stp/>
        <stp>BDP|5707752874549510520</stp>
        <tr r="J1450" s="1"/>
      </tp>
      <tp t="s">
        <v>#N/A Requesting Data...4017595802</v>
        <stp/>
        <stp>BDP|8350056946444369159</stp>
        <tr r="E1768" s="1"/>
      </tp>
      <tp t="s">
        <v>#N/A Requesting Data...4068527436</v>
        <stp/>
        <stp>BDP|5220438467758500656</stp>
        <tr r="J577" s="1"/>
      </tp>
      <tp t="s">
        <v>#N/A Requesting Data...4007736028</v>
        <stp/>
        <stp>BDP|7243721547655860898</stp>
        <tr r="E1505" s="1"/>
      </tp>
      <tp t="s">
        <v>#N/A Requesting Data...4234740565</v>
        <stp/>
        <stp>BDP|4797220591651160735</stp>
        <tr r="J512" s="1"/>
      </tp>
      <tp t="s">
        <v>#N/A Requesting Data...3813036640</v>
        <stp/>
        <stp>BDP|5654293389175215328</stp>
        <tr r="E546" s="1"/>
      </tp>
      <tp t="s">
        <v>#N/A Requesting Data...4080450587</v>
        <stp/>
        <stp>BDP|9906001561502683482</stp>
        <tr r="AU266" s="1"/>
      </tp>
      <tp t="s">
        <v>#N/A Requesting Data...4059284793</v>
        <stp/>
        <stp>BDP|3278201271408315763</stp>
        <tr r="J264" s="1"/>
      </tp>
      <tp t="s">
        <v>#N/A Requesting Data...4158735148</v>
        <stp/>
        <stp>BDP|4180758797702656131</stp>
        <tr r="E335" s="1"/>
      </tp>
      <tp t="s">
        <v>#N/A Requesting Data...4061552194</v>
        <stp/>
        <stp>BDP|9105459557287205679</stp>
        <tr r="AV910" s="1"/>
      </tp>
      <tp t="s">
        <v>#N/A Requesting Data...3882186399</v>
        <stp/>
        <stp>BDP|2435121120441291928</stp>
        <tr r="J1498" s="1"/>
        <tr r="J1610" s="1"/>
      </tp>
      <tp t="s">
        <v>#N/A Requesting Data...3914965206</v>
        <stp/>
        <stp>BDP|1318215620961397972</stp>
        <tr r="AU263" s="1"/>
      </tp>
      <tp t="s">
        <v>#N/A Requesting Data...4227032543</v>
        <stp/>
        <stp>BDP|1834618269328026070</stp>
        <tr r="AP3" s="1"/>
      </tp>
      <tp t="s">
        <v>#N/A Requesting Data...3888506253</v>
        <stp/>
        <stp>BDP|5794992555556961655</stp>
        <tr r="AT759" s="1"/>
      </tp>
      <tp t="s">
        <v>#N/A Requesting Data...3914541899</v>
        <stp/>
        <stp>BDP|6305300895606499350</stp>
        <tr r="E294" s="1"/>
      </tp>
      <tp t="s">
        <v>#N/A Requesting Data...3959555686</v>
        <stp/>
        <stp>BDP|8633415307815401030</stp>
        <tr r="E270" s="1"/>
      </tp>
      <tp t="s">
        <v>#N/A Requesting Data...3956414591</v>
        <stp/>
        <stp>BDP|3950331321582529992</stp>
        <tr r="J1677" s="1"/>
        <tr r="J803" s="1"/>
      </tp>
      <tp t="s">
        <v>#N/A Requesting Data...3959003625</v>
        <stp/>
        <stp>BDP|7321716515318640063</stp>
        <tr r="H311" s="1"/>
      </tp>
      <tp t="s">
        <v>#N/A Requesting Data...3836661013</v>
        <stp/>
        <stp>BDP|4339529146594255828</stp>
        <tr r="AU602" s="1"/>
      </tp>
      <tp t="s">
        <v>#N/A Requesting Data...4017765605</v>
        <stp/>
        <stp>BDP|4521336486082427432</stp>
        <tr r="H1083" s="1"/>
        <tr r="H181" s="1"/>
      </tp>
      <tp t="s">
        <v>#N/A Requesting Data...3891556704</v>
        <stp/>
        <stp>BDP|2869547497810574799</stp>
        <tr r="AV469" s="1"/>
      </tp>
      <tp t="s">
        <v>#N/A Requesting Data...3893015641</v>
        <stp/>
        <stp>BDP|1008826175232766549</stp>
        <tr r="E289" s="1"/>
      </tp>
      <tp t="s">
        <v>#N/A Requesting Data...4281953389</v>
        <stp/>
        <stp>BDP|5676837433920004723</stp>
        <tr r="AU605" s="1"/>
      </tp>
      <tp t="s">
        <v>#N/A Requesting Data...3949852120</v>
        <stp/>
        <stp>BDP|8570072773215454318</stp>
        <tr r="J519" s="1"/>
      </tp>
      <tp t="s">
        <v>#N/A Requesting Data...3997653507</v>
        <stp/>
        <stp>BDP|9520370813384692632</stp>
        <tr r="E291" s="1"/>
      </tp>
      <tp t="s">
        <v>#N/A Requesting Data...4054425309</v>
        <stp/>
        <stp>BDP|3888778638837467973</stp>
        <tr r="H1255" s="1"/>
      </tp>
      <tp t="s">
        <v>#N/A Requesting Data...4077956406</v>
        <stp/>
        <stp>BDP|7080508276049164539</stp>
        <tr r="E1050" s="1"/>
      </tp>
      <tp t="s">
        <v>#N/A Requesting Data...4060376845</v>
        <stp/>
        <stp>BDP|1210197058518159469</stp>
        <tr r="AO1958" s="1"/>
      </tp>
      <tp t="s">
        <v>#N/A Requesting Data...3920065867</v>
        <stp/>
        <stp>BDP|9205546176244033649</stp>
        <tr r="J461" s="1"/>
      </tp>
      <tp t="s">
        <v>#N/A Requesting Data...4147183252</v>
        <stp/>
        <stp>BDP|6618522210523773870</stp>
        <tr r="AV661" s="1"/>
      </tp>
      <tp t="s">
        <v>#N/A Requesting Data...4175252947</v>
        <stp/>
        <stp>BDP|2454124319132366986</stp>
        <tr r="AU413" s="1"/>
      </tp>
      <tp t="s">
        <v>#N/A Requesting Data...3871492564</v>
        <stp/>
        <stp>BDP|7538913042855524679</stp>
        <tr r="H1900" s="1"/>
      </tp>
      <tp t="s">
        <v>#N/A Requesting Data...4188350676</v>
        <stp/>
        <stp>BDP|9036254164444005057</stp>
        <tr r="H1149" s="1"/>
      </tp>
      <tp t="s">
        <v>#N/A Requesting Data...4180651308</v>
        <stp/>
        <stp>BDP|8184354927933660315</stp>
        <tr r="AU285" s="1"/>
      </tp>
      <tp t="s">
        <v>#N/A Requesting Data...3830296724</v>
        <stp/>
        <stp>BDP|5086171947349622031</stp>
        <tr r="J133" s="1"/>
      </tp>
      <tp t="s">
        <v>#N/A Requesting Data...3764078182</v>
        <stp/>
        <stp>BDP|4470802294178692435</stp>
        <tr r="AT918" s="1"/>
      </tp>
      <tp t="s">
        <v>#N/A Requesting Data...4265967376</v>
        <stp/>
        <stp>BDP|1691547897424714073</stp>
        <tr r="H1404" s="1"/>
      </tp>
      <tp t="s">
        <v>#N/A Requesting Data...4153478685</v>
        <stp/>
        <stp>BDP|3394878200904664674</stp>
        <tr r="AV570" s="1"/>
      </tp>
      <tp t="s">
        <v>#N/A Requesting Data...4019936738</v>
        <stp/>
        <stp>BDP|8405179563630718623</stp>
        <tr r="J184" s="1"/>
        <tr r="J1937" s="1"/>
      </tp>
      <tp t="s">
        <v>#N/A Requesting Data...3952808173</v>
        <stp/>
        <stp>BDP|8952260930788293884</stp>
        <tr r="J883" s="1"/>
      </tp>
      <tp t="s">
        <v>#N/A Requesting Data...3878592376</v>
        <stp/>
        <stp>BDP|8584940145018435454</stp>
        <tr r="J833" s="1"/>
      </tp>
      <tp t="s">
        <v>#N/A Requesting Data...4258325420</v>
        <stp/>
        <stp>BDP|9578122520644592774</stp>
        <tr r="H466" s="1"/>
      </tp>
      <tp t="s">
        <v>#N/A Requesting Data...4085249233</v>
        <stp/>
        <stp>BDP|6036934721690167466</stp>
        <tr r="H1220" s="1"/>
      </tp>
      <tp t="s">
        <v>#N/A Requesting Data...4263996841</v>
        <stp/>
        <stp>BDP|8562612005912397577</stp>
        <tr r="AP1994" s="1"/>
      </tp>
      <tp t="s">
        <v>#N/A Requesting Data...4272526503</v>
        <stp/>
        <stp>BDP|8496090468933419442</stp>
        <tr r="H1074" s="1"/>
      </tp>
      <tp t="s">
        <v>#N/A Requesting Data...3837675063</v>
        <stp/>
        <stp>BDP|6298587680810877273</stp>
        <tr r="AT544" s="1"/>
      </tp>
      <tp t="s">
        <v>#N/A Requesting Data...4105050917</v>
        <stp/>
        <stp>BDP|8697112244261581534</stp>
        <tr r="AT351" s="1"/>
      </tp>
      <tp t="s">
        <v>#N/A Requesting Data...4034250878</v>
        <stp/>
        <stp>BDP|7950306696465998138</stp>
        <tr r="AU570" s="1"/>
      </tp>
      <tp t="s">
        <v>#N/A Requesting Data...3889959358</v>
        <stp/>
        <stp>BDP|8976219406415503511</stp>
        <tr r="J1476" s="1"/>
      </tp>
      <tp t="s">
        <v>#N/A Requesting Data...3859060913</v>
        <stp/>
        <stp>BDP|6494953025617814066</stp>
        <tr r="AU497" s="1"/>
      </tp>
      <tp t="s">
        <v>#N/A Requesting Data...3887436235</v>
        <stp/>
        <stp>BDP|7909205263701409849</stp>
        <tr r="AP2012" s="1"/>
      </tp>
      <tp t="s">
        <v>#N/A Requesting Data...4253900065</v>
        <stp/>
        <stp>BDP|3801933363916235003</stp>
        <tr r="AV594" s="1"/>
      </tp>
      <tp t="s">
        <v>#N/A Requesting Data...4202790975</v>
        <stp/>
        <stp>BDP|7973338293882187523</stp>
        <tr r="J1072" s="1"/>
        <tr r="J1906" s="1"/>
        <tr r="J1964" s="1"/>
      </tp>
      <tp t="s">
        <v>#N/A Requesting Data...3837197295</v>
        <stp/>
        <stp>BDP|4005719453588861406</stp>
        <tr r="AT408" s="1"/>
      </tp>
      <tp t="s">
        <v>#N/A Requesting Data...4141269812</v>
        <stp/>
        <stp>BDP|7953841663280552312</stp>
        <tr r="AV716" s="1"/>
      </tp>
      <tp t="s">
        <v>#N/A Requesting Data...4120968397</v>
        <stp/>
        <stp>BDP|1161231344948831548</stp>
        <tr r="H1172" s="1"/>
      </tp>
      <tp t="s">
        <v>#N/A Requesting Data...3880883148</v>
        <stp/>
        <stp>BDP|4602724832602904857</stp>
        <tr r="J1104" s="1"/>
        <tr r="J1570" s="1"/>
      </tp>
      <tp t="s">
        <v>#N/A Requesting Data...3872834553</v>
        <stp/>
        <stp>BDP|8193881891113498064</stp>
        <tr r="J1320" s="1"/>
        <tr r="J47" s="1"/>
        <tr r="J998" s="1"/>
      </tp>
      <tp t="s">
        <v>#N/A Requesting Data...3869536049</v>
        <stp/>
        <stp>BDP|9621606115406973203</stp>
        <tr r="H1231" s="1"/>
      </tp>
      <tp t="s">
        <v>#N/A Requesting Data...4020419680</v>
        <stp/>
        <stp>BDP|5865226819438073489</stp>
        <tr r="E369" s="1"/>
      </tp>
      <tp t="s">
        <v>#N/A Requesting Data...4231083001</v>
        <stp/>
        <stp>BDP|9937077028181490091</stp>
        <tr r="H1747" s="1"/>
      </tp>
      <tp t="s">
        <v>#N/A Requesting Data...3894488551</v>
        <stp/>
        <stp>BDP|1797682933759424730</stp>
        <tr r="AT690" s="1"/>
      </tp>
      <tp t="s">
        <v>#N/A Requesting Data...4163995940</v>
        <stp/>
        <stp>BDP|8497157579893600757</stp>
        <tr r="E1514" s="1"/>
      </tp>
      <tp t="s">
        <v>#N/A Requesting Data...3778179913</v>
        <stp/>
        <stp>BDP|5029063683474913371</stp>
        <tr r="AT583" s="1"/>
      </tp>
      <tp t="s">
        <v>#N/A Requesting Data...3856490871</v>
        <stp/>
        <stp>BDP|4134943338517417323</stp>
        <tr r="J1099" s="1"/>
      </tp>
      <tp t="s">
        <v>#N/A Requesting Data...4291673195</v>
        <stp/>
        <stp>BDP|2928634437624447923</stp>
        <tr r="AT841" s="1"/>
      </tp>
      <tp t="s">
        <v>#N/A Requesting Data...4287480018</v>
        <stp/>
        <stp>BDP|7049361883027859159</stp>
        <tr r="AV737" s="1"/>
      </tp>
      <tp t="s">
        <v>#N/A Requesting Data...4098469205</v>
        <stp/>
        <stp>BDP|9328453728893725613</stp>
        <tr r="AV922" s="1"/>
      </tp>
      <tp t="s">
        <v>#N/A Requesting Data...4205415114</v>
        <stp/>
        <stp>BDP|8344218814764745594</stp>
        <tr r="J243" s="1"/>
      </tp>
      <tp t="s">
        <v>#N/A Requesting Data...4042326807</v>
        <stp/>
        <stp>BDP|9187777147187027797</stp>
        <tr r="H1521" s="1"/>
      </tp>
      <tp t="s">
        <v>#N/A Requesting Data...3771272364</v>
        <stp/>
        <stp>BDP|8110315600647084686</stp>
        <tr r="AT877" s="1"/>
      </tp>
      <tp t="s">
        <v>#N/A Requesting Data...3873387649</v>
        <stp/>
        <stp>BDP|1326838205786893557</stp>
        <tr r="J1032" s="1"/>
        <tr r="J1116" s="1"/>
      </tp>
      <tp t="s">
        <v>#N/A Requesting Data...4280623023</v>
        <stp/>
        <stp>BDP|9974342305887281727</stp>
        <tr r="H1127" s="1"/>
      </tp>
      <tp t="s">
        <v>#N/A Requesting Data...4031511657</v>
        <stp/>
        <stp>BDP|6558524532928987244</stp>
        <tr r="AV519" s="1"/>
      </tp>
      <tp t="s">
        <v>#N/A Requesting Data...4055221832</v>
        <stp/>
        <stp>BDP|9309433419902199418</stp>
        <tr r="J1319" s="1"/>
      </tp>
      <tp t="s">
        <v>#N/A Requesting Data...4205956264</v>
        <stp/>
        <stp>BDP|2872815393171247818</stp>
        <tr r="H263" s="1"/>
      </tp>
      <tp t="s">
        <v>#N/A Requesting Data...4074496940</v>
        <stp/>
        <stp>BDP|4849711356535263946</stp>
        <tr r="J660" s="1"/>
      </tp>
      <tp t="s">
        <v>#N/A Requesting Data...4017266569</v>
        <stp/>
        <stp>BDP|8836616648528157896</stp>
        <tr r="AU705" s="1"/>
      </tp>
      <tp t="s">
        <v>#N/A Requesting Data...3963809850</v>
        <stp/>
        <stp>BDP|5345193695361575630</stp>
        <tr r="E1551" s="1"/>
        <tr r="E1876" s="1"/>
      </tp>
      <tp t="s">
        <v>#N/A Requesting Data...4259840230</v>
        <stp/>
        <stp>BDP|8360782909387901220</stp>
        <tr r="H1789" s="1"/>
      </tp>
      <tp t="s">
        <v>#N/A Requesting Data...3990184629</v>
        <stp/>
        <stp>BDP|4168896729392124697</stp>
        <tr r="J629" s="1"/>
      </tp>
      <tp t="s">
        <v>#N/A Requesting Data...4198910058</v>
        <stp/>
        <stp>BDP|7854072106859212456</stp>
        <tr r="E625" s="1"/>
      </tp>
      <tp t="s">
        <v>#N/A Requesting Data...4225794195</v>
        <stp/>
        <stp>BDP|8441505561983801234</stp>
        <tr r="E366" s="1"/>
      </tp>
      <tp t="s">
        <v>#N/A Requesting Data...4179855954</v>
        <stp/>
        <stp>BDP|8985788311301688587</stp>
        <tr r="E1244" s="1"/>
      </tp>
      <tp t="s">
        <v>#N/A Requesting Data...4132162459</v>
        <stp/>
        <stp>BDP|9886832521808151156</stp>
        <tr r="E1777" s="1"/>
      </tp>
      <tp t="s">
        <v>#N/A Requesting Data...4111855437</v>
        <stp/>
        <stp>BDP|9264104348100444604</stp>
        <tr r="E1653" s="1"/>
        <tr r="E247" s="1"/>
      </tp>
      <tp t="s">
        <v>#N/A Requesting Data...4236395946</v>
        <stp/>
        <stp>BDP|3195783536995776866</stp>
        <tr r="E1481" s="1"/>
      </tp>
      <tp t="s">
        <v>#N/A Requesting Data...3990590892</v>
        <stp/>
        <stp>BDP|9371711107005908124</stp>
        <tr r="J1542" s="1"/>
      </tp>
      <tp t="s">
        <v>#N/A Requesting Data...4137844067</v>
        <stp/>
        <stp>BDP|9688695911760988497</stp>
        <tr r="AU864" s="1"/>
      </tp>
      <tp t="s">
        <v>#N/A Requesting Data...3944324277</v>
        <stp/>
        <stp>BDP|8477727822604854327</stp>
        <tr r="J476" s="1"/>
      </tp>
      <tp t="s">
        <v>#N/A Requesting Data...4166274624</v>
        <stp/>
        <stp>BDP|1925892519566681406</stp>
        <tr r="E2066" s="1"/>
      </tp>
      <tp t="s">
        <v>#N/A Requesting Data...4109558491</v>
        <stp/>
        <stp>BDP|6411177198187044348</stp>
        <tr r="AV730" s="1"/>
      </tp>
      <tp t="s">
        <v>#N/A Requesting Data...4161996502</v>
        <stp/>
        <stp>BDP|8817632821993617531</stp>
        <tr r="AU890" s="1"/>
      </tp>
      <tp t="s">
        <v>#N/A Requesting Data...4235246218</v>
        <stp/>
        <stp>BDP|5541294302208098516</stp>
        <tr r="E1287" s="1"/>
      </tp>
      <tp t="s">
        <v>#N/A Requesting Data...3996155379</v>
        <stp/>
        <stp>BDP|6893798091565707788</stp>
        <tr r="AV515" s="1"/>
      </tp>
      <tp t="s">
        <v>#N/A Requesting Data...3896016577</v>
        <stp/>
        <stp>BDP|1946870624776392764</stp>
        <tr r="J1673" s="1"/>
      </tp>
      <tp t="s">
        <v>#N/A Requesting Data...3991084813</v>
        <stp/>
        <stp>BDP|3944193368737303940</stp>
        <tr r="H210" s="1"/>
      </tp>
      <tp t="s">
        <v>#N/A Requesting Data...3895369553</v>
        <stp/>
        <stp>BDP|9896330360851039742</stp>
        <tr r="E1393" s="1"/>
      </tp>
      <tp t="s">
        <v>#N/A Requesting Data...3987720155</v>
        <stp/>
        <stp>BDP|8832764670493369120</stp>
        <tr r="J1218" s="1"/>
      </tp>
      <tp t="s">
        <v>#N/A Requesting Data...4213440716</v>
        <stp/>
        <stp>BDP|3648146889361549111</stp>
        <tr r="J1956" s="1"/>
      </tp>
      <tp t="s">
        <v>#N/A Requesting Data...4159228071</v>
        <stp/>
        <stp>BDP|3214030219370408836</stp>
        <tr r="E1666" s="1"/>
      </tp>
      <tp t="s">
        <v>#N/A Requesting Data...4156644190</v>
        <stp/>
        <stp>BDP|5927909949406407486</stp>
        <tr r="H566" s="1"/>
      </tp>
      <tp t="s">
        <v>#N/A Requesting Data...4000664170</v>
        <stp/>
        <stp>BDP|9036873948927225810</stp>
        <tr r="AT323" s="1"/>
      </tp>
      <tp t="s">
        <v>#N/A Requesting Data...4174974381</v>
        <stp/>
        <stp>BDP|8215079727590621085</stp>
        <tr r="AS6" s="1"/>
      </tp>
      <tp t="s">
        <v>#N/A Requesting Data...4175704254</v>
        <stp/>
        <stp>BDP|4285552881162276183</stp>
        <tr r="J170" s="1"/>
        <tr r="J1902" s="1"/>
        <tr r="J230" s="1"/>
      </tp>
      <tp t="s">
        <v>#N/A Requesting Data...3962562639</v>
        <stp/>
        <stp>BDP|6114601725310999815</stp>
        <tr r="J186" s="1"/>
        <tr r="J1943" s="1"/>
      </tp>
      <tp t="s">
        <v>#N/A Requesting Data...3923281755</v>
        <stp/>
        <stp>BDP|9459760792304821945</stp>
        <tr r="J1295" s="1"/>
      </tp>
      <tp t="s">
        <v>#N/A Requesting Data...4030428005</v>
        <stp/>
        <stp>BDP|9929434748186840563</stp>
        <tr r="E1669" s="1"/>
      </tp>
      <tp t="s">
        <v>#N/A Requesting Data...4102467694</v>
        <stp/>
        <stp>BDP|4254989145501690253</stp>
        <tr r="H1612" s="1"/>
      </tp>
      <tp t="s">
        <v>#N/A Requesting Data...4145246039</v>
        <stp/>
        <stp>BDP|3899808037691061332</stp>
        <tr r="AT865" s="1"/>
      </tp>
      <tp t="s">
        <v>#N/A Requesting Data...4136483978</v>
        <stp/>
        <stp>BDP|3939328784964770647</stp>
        <tr r="J675" s="1"/>
      </tp>
      <tp t="s">
        <v>#N/A Requesting Data...4026132131</v>
        <stp/>
        <stp>BDP|6885959441093615266</stp>
        <tr r="H746" s="1"/>
      </tp>
      <tp t="s">
        <v>#N/A Requesting Data...4188222360</v>
        <stp/>
        <stp>BDP|3603895661963017435</stp>
        <tr r="AU663" s="1"/>
      </tp>
      <tp t="s">
        <v>#N/A Requesting Data...4172092191</v>
        <stp/>
        <stp>BDP|1184086176104015824</stp>
        <tr r="J296" s="1"/>
      </tp>
      <tp t="s">
        <v>#N/A Requesting Data...4272792133</v>
        <stp/>
        <stp>BDP|3368778648658564242</stp>
        <tr r="J1919" s="1"/>
      </tp>
      <tp t="s">
        <v>#N/A Requesting Data...4015201257</v>
        <stp/>
        <stp>BDP|8166285426234614641</stp>
        <tr r="H745" s="1"/>
      </tp>
      <tp t="s">
        <v>#N/A Requesting Data...3907171081</v>
        <stp/>
        <stp>BDP|7501705958188912794</stp>
        <tr r="H1525" s="1"/>
      </tp>
      <tp t="s">
        <v>#N/A Requesting Data...4008097647</v>
        <stp/>
        <stp>BDP|8241696246786637667</stp>
        <tr r="J1382" s="1"/>
      </tp>
      <tp t="s">
        <v>#N/A Requesting Data...3987920841</v>
        <stp/>
        <stp>BDP|5700302174249905270</stp>
        <tr r="AV719" s="1"/>
      </tp>
      <tp t="s">
        <v>#N/A Requesting Data...4096882739</v>
        <stp/>
        <stp>BDP|5411056369469626032</stp>
        <tr r="H381" s="1"/>
      </tp>
      <tp t="s">
        <v>#N/A Requesting Data...4261949868</v>
        <stp/>
        <stp>BDP|3921922766010862684</stp>
        <tr r="AV304" s="1"/>
      </tp>
      <tp t="s">
        <v>#N/A Requesting Data...3927857956</v>
        <stp/>
        <stp>BDP|3910360232311114816</stp>
        <tr r="E137" s="1"/>
      </tp>
      <tp t="s">
        <v>#N/A Requesting Data...3909937191</v>
        <stp/>
        <stp>BDP|4982223546481480942</stp>
        <tr r="AT762" s="1"/>
      </tp>
      <tp t="s">
        <v>#N/A Requesting Data...3950447527</v>
        <stp/>
        <stp>BDP|7702436925139691257</stp>
        <tr r="E371" s="1"/>
      </tp>
      <tp t="s">
        <v>#N/A Requesting Data...4163041002</v>
        <stp/>
        <stp>BDP|1111078731718305066</stp>
        <tr r="J571" s="1"/>
      </tp>
      <tp t="s">
        <v>#N/A Requesting Data...4077466069</v>
        <stp/>
        <stp>BDP|9157481785346652989</stp>
        <tr r="H173" s="1"/>
      </tp>
      <tp t="s">
        <v>#N/A Requesting Data...4250861720</v>
        <stp/>
        <stp>BDP|1741418870050673820</stp>
        <tr r="E146" s="1"/>
      </tp>
      <tp t="s">
        <v>#N/A Requesting Data...3953262968</v>
        <stp/>
        <stp>BDP|5148407430440751848</stp>
        <tr r="AV461" s="1"/>
      </tp>
      <tp t="s">
        <v>#N/A Requesting Data...3891698367</v>
        <stp/>
        <stp>BDP|2697197582097855676</stp>
        <tr r="AT633" s="1"/>
      </tp>
      <tp t="s">
        <v>#N/A Requesting Data...4288913053</v>
        <stp/>
        <stp>BDP|6146383716497469999</stp>
        <tr r="J1249" s="1"/>
      </tp>
      <tp t="s">
        <v>#N/A Requesting Data...4104329273</v>
        <stp/>
        <stp>BDP|8113128100457238431</stp>
        <tr r="E125" s="1"/>
      </tp>
      <tp t="s">
        <v>#N/A Requesting Data...4058495343</v>
        <stp/>
        <stp>BDP|8678442823231135525</stp>
        <tr r="H1213" s="1"/>
      </tp>
      <tp t="s">
        <v>#N/A Requesting Data...3857415696</v>
        <stp/>
        <stp>BDP|7643543611480155907</stp>
        <tr r="AT291" s="1"/>
      </tp>
      <tp t="s">
        <v>#N/A Requesting Data...4102080996</v>
        <stp/>
        <stp>BDP|2543946766743628432</stp>
        <tr r="AU845" s="1"/>
      </tp>
      <tp t="s">
        <v>#N/A Requesting Data...3852497091</v>
        <stp/>
        <stp>BDP|8378027342733002512</stp>
        <tr r="AT396" s="1"/>
      </tp>
      <tp t="s">
        <v>#N/A Requesting Data...4002879865</v>
        <stp/>
        <stp>BDP|2107569217009547579</stp>
        <tr r="AU445" s="1"/>
      </tp>
      <tp t="s">
        <v>#N/A Requesting Data...4249351186</v>
        <stp/>
        <stp>BDP|8367853599066478596</stp>
        <tr r="AU504" s="1"/>
      </tp>
      <tp t="s">
        <v>#N/A Requesting Data...4188563780</v>
        <stp/>
        <stp>BDP|4285287342301889920</stp>
        <tr r="J737" s="1"/>
      </tp>
      <tp t="s">
        <v>#N/A Requesting Data...4244759501</v>
        <stp/>
        <stp>BDP|2732635585817586161</stp>
        <tr r="E1420" s="1"/>
        <tr r="E97" s="1"/>
      </tp>
      <tp t="s">
        <v>#N/A Requesting Data...4213437782</v>
        <stp/>
        <stp>BDP|8380572268548711987</stp>
        <tr r="E884" s="1"/>
      </tp>
      <tp t="s">
        <v>#N/A Requesting Data...4149458002</v>
        <stp/>
        <stp>BDP|4946262297425226099</stp>
        <tr r="AU313" s="1"/>
      </tp>
      <tp t="s">
        <v>#N/A Requesting Data...4145121487</v>
        <stp/>
        <stp>BDP|9709351974127644039</stp>
        <tr r="H560" s="1"/>
      </tp>
      <tp t="s">
        <v>#N/A Requesting Data...3968902052</v>
        <stp/>
        <stp>BDP|8361109779010979405</stp>
        <tr r="H1675" s="1"/>
      </tp>
      <tp t="s">
        <v>#N/A Requesting Data...4190334725</v>
        <stp/>
        <stp>BDP|5137950651822535134</stp>
        <tr r="J436" s="1"/>
      </tp>
      <tp t="s">
        <v>#N/A Requesting Data...4065736344</v>
        <stp/>
        <stp>BDP|8617808696072322104</stp>
        <tr r="H559" s="1"/>
      </tp>
      <tp t="s">
        <v>#N/A Requesting Data...4041865759</v>
        <stp/>
        <stp>BDP|9307733431853439467</stp>
        <tr r="AR1366" s="1"/>
      </tp>
      <tp t="s">
        <v>#N/A Requesting Data...4195451846</v>
        <stp/>
        <stp>BDP|6955070689981179555</stp>
        <tr r="AV701" s="1"/>
      </tp>
      <tp t="s">
        <v>#N/A Requesting Data...4243186623</v>
        <stp/>
        <stp>BDP|1944474758728432215</stp>
        <tr r="AT595" s="1"/>
      </tp>
      <tp t="s">
        <v>#N/A Requesting Data...4262117132</v>
        <stp/>
        <stp>BDP|8524828841376604838</stp>
        <tr r="H567" s="1"/>
      </tp>
      <tp t="s">
        <v>#N/A Requesting Data...4109000720</v>
        <stp/>
        <stp>BDP|6203162714634212817</stp>
        <tr r="AT311" s="1"/>
      </tp>
      <tp t="s">
        <v>#N/A Requesting Data...4238688531</v>
        <stp/>
        <stp>BDP|6584292748762767809</stp>
        <tr r="H1379" s="1"/>
        <tr r="H1588" s="1"/>
      </tp>
      <tp t="s">
        <v>#N/A Requesting Data...4100896674</v>
        <stp/>
        <stp>BDP|7388117485841241566</stp>
        <tr r="H1855" s="1"/>
      </tp>
      <tp t="s">
        <v>#N/A Requesting Data...4027761638</v>
        <stp/>
        <stp>BDP|9560134212272478133</stp>
        <tr r="AT740" s="1"/>
      </tp>
      <tp t="s">
        <v>#N/A Requesting Data...4062754586</v>
        <stp/>
        <stp>BDP|8750222131842115169</stp>
        <tr r="J570" s="1"/>
      </tp>
      <tp t="s">
        <v>#N/A Requesting Data...3967152360</v>
        <stp/>
        <stp>BDP|9252486005057534096</stp>
        <tr r="AP1473" s="1"/>
      </tp>
      <tp t="s">
        <v>#N/A Requesting Data...4211734537</v>
        <stp/>
        <stp>BDP|6004773093812134052</stp>
        <tr r="AU378" s="1"/>
      </tp>
      <tp t="s">
        <v>#N/A Requesting Data...4289322360</v>
        <stp/>
        <stp>BDP|8316240665772382413</stp>
        <tr r="E1832" s="1"/>
      </tp>
      <tp t="s">
        <v>#N/A Requesting Data...4180505911</v>
        <stp/>
        <stp>BDP|7093170994624411172</stp>
        <tr r="AS1804" s="1"/>
      </tp>
      <tp t="s">
        <v>#N/A Requesting Data...4237177688</v>
        <stp/>
        <stp>BDP|9566954493722484172</stp>
        <tr r="H132" s="1"/>
      </tp>
      <tp t="s">
        <v>#N/A Requesting Data...4198699323</v>
        <stp/>
        <stp>BDP|5314625697165629507</stp>
        <tr r="AV490" s="1"/>
      </tp>
      <tp t="s">
        <v>#N/A Requesting Data...4162575585</v>
        <stp/>
        <stp>BDP|1628106136069726072</stp>
        <tr r="E1918" s="1"/>
      </tp>
      <tp t="s">
        <v>#N/A Requesting Data...4045833639</v>
        <stp/>
        <stp>BDP|3128410124569231662</stp>
        <tr r="AS1810" s="1"/>
      </tp>
      <tp t="s">
        <v>#N/A Requesting Data...4089009765</v>
        <stp/>
        <stp>BDP|4583402083951337349</stp>
        <tr r="E870" s="1"/>
      </tp>
      <tp t="s">
        <v>#N/A Requesting Data...4178347819</v>
        <stp/>
        <stp>BDP|8876156518297794531</stp>
        <tr r="H299" s="1"/>
      </tp>
      <tp t="s">
        <v>#N/A Requesting Data...4168374964</v>
        <stp/>
        <stp>BDP|7589453582269473873</stp>
        <tr r="E1168" s="1"/>
      </tp>
      <tp t="s">
        <v>#N/A Requesting Data...4082195311</v>
        <stp/>
        <stp>BDP|9069081269480960599</stp>
        <tr r="AU408" s="1"/>
      </tp>
      <tp t="s">
        <v>#N/A Requesting Data...4196920953</v>
        <stp/>
        <stp>BDP|2891181539592146896</stp>
        <tr r="J99" s="1"/>
      </tp>
      <tp t="s">
        <v>#N/A Requesting Data...4284066723</v>
        <stp/>
        <stp>BDP|4613978220826645364</stp>
        <tr r="AT860" s="1"/>
      </tp>
      <tp t="s">
        <v>#N/A Requesting Data...3948381157</v>
        <stp/>
        <stp>BDP|8133011751077621061</stp>
        <tr r="H1201" s="1"/>
      </tp>
      <tp t="s">
        <v>#N/A Requesting Data...4278946615</v>
        <stp/>
        <stp>BDP|7039381793233866427</stp>
        <tr r="E1205" s="1"/>
      </tp>
      <tp t="s">
        <v>#N/A Requesting Data...4279434519</v>
        <stp/>
        <stp>BDP|4500138002956577906</stp>
        <tr r="E1537" s="1"/>
      </tp>
      <tp t="s">
        <v>#N/A Requesting Data...4236629918</v>
        <stp/>
        <stp>BDP|3461229292780098252</stp>
        <tr r="AU856" s="1"/>
      </tp>
      <tp t="s">
        <v>#N/A Requesting Data...4071165469</v>
        <stp/>
        <stp>BDP|2459150487182635312</stp>
        <tr r="J1654" s="1"/>
        <tr r="J1949" s="1"/>
        <tr r="J43" s="1"/>
      </tp>
      <tp t="s">
        <v>#N/A Requesting Data...4157872871</v>
        <stp/>
        <stp>BDP|9815260357257940312</stp>
        <tr r="H1221" s="1"/>
      </tp>
      <tp t="s">
        <v>#N/A Requesting Data...4049841619</v>
        <stp/>
        <stp>BDP|1645043782655323627</stp>
        <tr r="H954" s="1"/>
      </tp>
      <tp t="s">
        <v>#N/A Requesting Data...4101564182</v>
        <stp/>
        <stp>BDP|7873189660353407959</stp>
        <tr r="AV555" s="1"/>
      </tp>
      <tp t="s">
        <v>#N/A Requesting Data...4191350135</v>
        <stp/>
        <stp>BDP|2560666184395736317</stp>
        <tr r="AU553" s="1"/>
      </tp>
      <tp t="s">
        <v>#N/A Requesting Data...4055122291</v>
        <stp/>
        <stp>BDP|9463205947741460419</stp>
        <tr r="E344" s="1"/>
      </tp>
      <tp t="s">
        <v>#N/A Requesting Data...3973617677</v>
        <stp/>
        <stp>BDP|4424640986871550154</stp>
        <tr r="E89" s="1"/>
      </tp>
      <tp t="s">
        <v>#N/A Requesting Data...4099616357</v>
        <stp/>
        <stp>BDP|9218925624490793857</stp>
        <tr r="AT628" s="1"/>
      </tp>
      <tp t="s">
        <v>#N/A Requesting Data...4041283920</v>
        <stp/>
        <stp>BDP|6078467272108503770</stp>
        <tr r="AU449" s="1"/>
      </tp>
      <tp t="s">
        <v>#N/A Requesting Data...4158361053</v>
        <stp/>
        <stp>BDP|1027480550559946373</stp>
        <tr r="J1522" s="1"/>
      </tp>
      <tp t="s">
        <v>#N/A Requesting Data...4132203335</v>
        <stp/>
        <stp>BDP|5947881863428768934</stp>
        <tr r="J1282" s="1"/>
        <tr r="J960" s="1"/>
      </tp>
      <tp t="s">
        <v>#N/A Requesting Data...4052380690</v>
        <stp/>
        <stp>BDP|3960447389733757651</stp>
        <tr r="H1142" s="1"/>
        <tr r="H1451" s="1"/>
      </tp>
      <tp t="s">
        <v>#N/A Requesting Data...4162464469</v>
        <stp/>
        <stp>BDP|3597756177891588849</stp>
        <tr r="AT591" s="1"/>
      </tp>
      <tp t="s">
        <v>#N/A Requesting Data...3988698946</v>
        <stp/>
        <stp>BDP|9737101171674136111</stp>
        <tr r="AV363" s="1"/>
      </tp>
      <tp t="s">
        <v>#N/A Requesting Data...4203349454</v>
        <stp/>
        <stp>BDP|7794178719178676591</stp>
        <tr r="AU684" s="1"/>
      </tp>
      <tp t="s">
        <v>#N/A Requesting Data...3981934073</v>
        <stp/>
        <stp>BDP|2828194388792704399</stp>
        <tr r="J731" s="1"/>
      </tp>
      <tp t="s">
        <v>#N/A Requesting Data...4227078588</v>
        <stp/>
        <stp>BDP|5057073697153184563</stp>
        <tr r="E1255" s="1"/>
      </tp>
      <tp t="s">
        <v>#N/A Requesting Data...4109824741</v>
        <stp/>
        <stp>BDP|6485605574365276855</stp>
        <tr r="H415" s="1"/>
      </tp>
      <tp t="s">
        <v>#N/A Requesting Data...3966447046</v>
        <stp/>
        <stp>BDP|3503094988446484777</stp>
        <tr r="E1314" s="1"/>
      </tp>
      <tp t="s">
        <v>#N/A Requesting Data...3998977349</v>
        <stp/>
        <stp>BDP|2530869158533586697</stp>
        <tr r="H1670" s="1"/>
      </tp>
      <tp t="s">
        <v>#N/A Requesting Data...4156206716</v>
        <stp/>
        <stp>BDP|8193558023531668462</stp>
        <tr r="H488" s="1"/>
      </tp>
      <tp t="s">
        <v>#N/A Requesting Data...4075257207</v>
        <stp/>
        <stp>BDP|1456803075670404422</stp>
        <tr r="AU919" s="1"/>
      </tp>
      <tp t="s">
        <v>#N/A Requesting Data...4139626263</v>
        <stp/>
        <stp>BDP|9540605083369737464</stp>
        <tr r="AU489" s="1"/>
      </tp>
      <tp t="s">
        <v>#N/A Requesting Data...4068793196</v>
        <stp/>
        <stp>BDP|4694241444498693070</stp>
        <tr r="J739" s="1"/>
      </tp>
      <tp t="s">
        <v>#N/A Requesting Data...4052330785</v>
        <stp/>
        <stp>BDP|9330727232757555010</stp>
        <tr r="J805" s="1"/>
      </tp>
      <tp t="s">
        <v>#N/A Requesting Data...4212803501</v>
        <stp/>
        <stp>BDP|2701626427525359960</stp>
        <tr r="J993" s="1"/>
      </tp>
      <tp t="s">
        <v>#N/A Requesting Data...4127449472</v>
        <stp/>
        <stp>BDP|2968233546119858708</stp>
        <tr r="E331" s="1"/>
      </tp>
      <tp t="s">
        <v>#N/A Requesting Data...4138683710</v>
        <stp/>
        <stp>BDP|4883003676819327099</stp>
        <tr r="J1768" s="1"/>
      </tp>
      <tp t="s">
        <v>#N/A Requesting Data...4279435667</v>
        <stp/>
        <stp>BDP|5206899673700914055</stp>
        <tr r="AU365" s="1"/>
      </tp>
      <tp t="s">
        <v>#N/A Requesting Data...4152675371</v>
        <stp/>
        <stp>BDP|2502000257954352950</stp>
        <tr r="AT498" s="1"/>
      </tp>
      <tp t="s">
        <v>#N/A Requesting Data...4081452158</v>
        <stp/>
        <stp>BDP|4426490929720337839</stp>
        <tr r="H912" s="1"/>
      </tp>
      <tp t="s">
        <v>#N/A Requesting Data...4181502696</v>
        <stp/>
        <stp>BDP|7653043855430757846</stp>
        <tr r="AV739" s="1"/>
      </tp>
      <tp t="s">
        <v>#N/A Requesting Data...4044752817</v>
        <stp/>
        <stp>BDP|4238616797243611267</stp>
        <tr r="H1787" s="1"/>
      </tp>
      <tp t="s">
        <v>#N/A Requesting Data...3977137338</v>
        <stp/>
        <stp>BDP|6717897639565320203</stp>
        <tr r="J378" s="1"/>
      </tp>
      <tp t="s">
        <v>#N/A Requesting Data...3968806735</v>
        <stp/>
        <stp>BDP|7812657323389348093</stp>
        <tr r="E686" s="1"/>
      </tp>
      <tp t="s">
        <v>#N/A Requesting Data...4162922459</v>
        <stp/>
        <stp>BDP|6551376456059652362</stp>
        <tr r="J1615" s="1"/>
      </tp>
      <tp t="s">
        <v>#N/A Requesting Data...3976786792</v>
        <stp/>
        <stp>BDP|3531920402127621777</stp>
        <tr r="J1895" s="1"/>
      </tp>
      <tp t="s">
        <v>#N/A Requesting Data...4136974250</v>
        <stp/>
        <stp>BDP|3728864433853695101</stp>
        <tr r="H1115" s="1"/>
      </tp>
      <tp t="s">
        <v>#N/A Requesting Data...4083302347</v>
        <stp/>
        <stp>BDP|2259248181050204204</stp>
        <tr r="J600" s="1"/>
      </tp>
      <tp t="s">
        <v>#N/A Requesting Data...4069297363</v>
        <stp/>
        <stp>BDP|5296230161388641334</stp>
        <tr r="AT906" s="1"/>
      </tp>
      <tp t="s">
        <v>#N/A Requesting Data...4250263601</v>
        <stp/>
        <stp>BDP|6439101725939103651</stp>
        <tr r="AU689" s="1"/>
      </tp>
      <tp t="s">
        <v>#N/A Requesting Data...4055215338</v>
        <stp/>
        <stp>BDP|1504858330607259776</stp>
        <tr r="H593" s="1"/>
      </tp>
      <tp t="s">
        <v>#N/A Requesting Data...4269621122</v>
        <stp/>
        <stp>BDP|7847287032595012978</stp>
        <tr r="AU885" s="1"/>
      </tp>
      <tp t="s">
        <v>#N/A Requesting Data...4116221870</v>
        <stp/>
        <stp>BDP|4505930902834955382</stp>
        <tr r="J904" s="1"/>
      </tp>
      <tp t="s">
        <v>#N/A Requesting Data...4211142069</v>
        <stp/>
        <stp>BDP|8528456174417772668</stp>
        <tr r="J369" s="1"/>
      </tp>
      <tp t="s">
        <v>#N/A Requesting Data...4163550726</v>
        <stp/>
        <stp>BDP|2863784012608216654</stp>
        <tr r="AU379" s="1"/>
      </tp>
      <tp t="s">
        <v>#N/A Requesting Data...4115798887</v>
        <stp/>
        <stp>BDP|8211965558549106780</stp>
        <tr r="E26" s="1"/>
      </tp>
      <tp t="s">
        <v>#N/A Requesting Data...4004046730</v>
        <stp/>
        <stp>BDP|5467100292353121425</stp>
        <tr r="H298" s="1"/>
      </tp>
      <tp t="s">
        <v>#N/A Requesting Data...4202079874</v>
        <stp/>
        <stp>BDP|5249172886166363056</stp>
        <tr r="J612" s="1"/>
      </tp>
      <tp t="s">
        <v>#N/A Requesting Data...4034817072</v>
        <stp/>
        <stp>BDP|5245751355054326941</stp>
        <tr r="H552" s="1"/>
      </tp>
      <tp t="s">
        <v>#N/A Requesting Data...4126664730</v>
        <stp/>
        <stp>BDP|7346389120249950482</stp>
        <tr r="J317" s="1"/>
      </tp>
      <tp t="s">
        <v>#N/A Requesting Data...4097463904</v>
        <stp/>
        <stp>BDP|2326380864868200476</stp>
        <tr r="AV709" s="1"/>
      </tp>
      <tp t="s">
        <v>#N/A Requesting Data...4121327977</v>
        <stp/>
        <stp>BDP|5519422382364755689</stp>
        <tr r="J1301" s="1"/>
        <tr r="J975" s="1"/>
      </tp>
      <tp t="s">
        <v>#N/A Requesting Data...4284973871</v>
        <stp/>
        <stp>BDP|4082073589481748638</stp>
        <tr r="AV866" s="1"/>
      </tp>
      <tp t="s">
        <v>#N/A Requesting Data...4266323241</v>
        <stp/>
        <stp>BDP|3156600862548818008</stp>
        <tr r="E473" s="1"/>
      </tp>
      <tp t="s">
        <v>#N/A Requesting Data...4109482434</v>
        <stp/>
        <stp>BDP|6867503634859636217</stp>
        <tr r="AV604" s="1"/>
      </tp>
      <tp t="s">
        <v>#N/A Requesting Data...4113023333</v>
        <stp/>
        <stp>BDP|7799102517119269594</stp>
        <tr r="E1559" s="1"/>
      </tp>
      <tp t="s">
        <v>#N/A Requesting Data...4277605049</v>
        <stp/>
        <stp>BDP|8265704888605696976</stp>
        <tr r="J1260" s="1"/>
      </tp>
      <tp t="s">
        <v>#N/A Requesting Data...4143614733</v>
        <stp/>
        <stp>BDP|9413608808171618514</stp>
        <tr r="J746" s="1"/>
      </tp>
      <tp t="s">
        <v>#N/A Requesting Data...4286328000</v>
        <stp/>
        <stp>BDP|3462588209888698582</stp>
        <tr r="H1238" s="1"/>
      </tp>
      <tp t="s">
        <v>#N/A Requesting Data...4149045551</v>
        <stp/>
        <stp>BDP|2871925455806417307</stp>
        <tr r="AU417" s="1"/>
      </tp>
      <tp t="s">
        <v>#N/A Requesting Data...4013283489</v>
        <stp/>
        <stp>BDP|7118553887879954813</stp>
        <tr r="AT444" s="1"/>
      </tp>
      <tp t="s">
        <v>#N/A Requesting Data...3902279477</v>
        <stp/>
        <stp>BDP|9301117018993612170</stp>
        <tr r="AT484" s="1"/>
      </tp>
      <tp t="s">
        <v>#N/A Requesting Data...4244820924</v>
        <stp/>
        <stp>BDP|1333818123052338296</stp>
        <tr r="AU396" s="1"/>
      </tp>
      <tp t="s">
        <v>#N/A Requesting Data...4017858189</v>
        <stp/>
        <stp>BDP|4181344353890503981</stp>
        <tr r="E881" s="1"/>
      </tp>
      <tp t="s">
        <v>#N/A Requesting Data...4213402679</v>
        <stp/>
        <stp>BDP|6541001153188809052</stp>
        <tr r="AO252" s="1"/>
      </tp>
      <tp t="s">
        <v>#N/A Requesting Data...3995730774</v>
        <stp/>
        <stp>BDP|9568082453314330362</stp>
        <tr r="E1230" s="1"/>
      </tp>
      <tp t="s">
        <v>#N/A Requesting Data...4027391992</v>
        <stp/>
        <stp>BDP|7128083155070019949</stp>
        <tr r="J699" s="1"/>
      </tp>
      <tp t="s">
        <v>#N/A Requesting Data...4025033161</v>
        <stp/>
        <stp>BDP|7894831738462867532</stp>
        <tr r="AT642" s="1"/>
      </tp>
      <tp t="s">
        <v>#N/A Requesting Data...4211880340</v>
        <stp/>
        <stp>BDP|9908038043297820192</stp>
        <tr r="AU622" s="1"/>
      </tp>
      <tp t="s">
        <v>#N/A Requesting Data...4213000804</v>
        <stp/>
        <stp>BDP|7788370076030803865</stp>
        <tr r="H862" s="1"/>
      </tp>
      <tp t="s">
        <v>#N/A Requesting Data...4137603507</v>
        <stp/>
        <stp>BDP|1781996809173867074</stp>
        <tr r="AT420" s="1"/>
      </tp>
      <tp t="s">
        <v>#N/A Requesting Data...4080404433</v>
        <stp/>
        <stp>BDP|9519495831534351168</stp>
        <tr r="H374" s="1"/>
      </tp>
      <tp t="s">
        <v>#N/A Requesting Data...4273612183</v>
        <stp/>
        <stp>BDP|9087155325629118894</stp>
        <tr r="E853" s="1"/>
      </tp>
      <tp t="s">
        <v>#N/A Requesting Data...4179749161</v>
        <stp/>
        <stp>BDP|1629815562084872051</stp>
        <tr r="E919" s="1"/>
      </tp>
      <tp t="s">
        <v>#N/A Requesting Data...4274905473</v>
        <stp/>
        <stp>BDP|6270697489922886120</stp>
        <tr r="J1280" s="1"/>
        <tr r="J1569" s="1"/>
        <tr r="J228" s="1"/>
        <tr r="J781" s="1"/>
      </tp>
      <tp t="s">
        <v>#N/A Requesting Data...4035863548</v>
        <stp/>
        <stp>BDP|3342598887455790020</stp>
        <tr r="J204" s="1"/>
      </tp>
      <tp t="s">
        <v>#N/A Requesting Data...4255803736</v>
        <stp/>
        <stp>BDP|6844257391562472404</stp>
        <tr r="H551" s="1"/>
      </tp>
      <tp t="s">
        <v>#N/A Requesting Data...4199130160</v>
        <stp/>
        <stp>BDP|8053685734976760039</stp>
        <tr r="H1652" s="1"/>
      </tp>
      <tp t="s">
        <v>#N/A Requesting Data...4028966548</v>
        <stp/>
        <stp>BDP|6710737942998877671</stp>
        <tr r="H1316" s="1"/>
      </tp>
      <tp t="s">
        <v>#N/A Requesting Data...4219505507</v>
        <stp/>
        <stp>BDP|2474682869000987955</stp>
        <tr r="E508" s="1"/>
      </tp>
      <tp t="s">
        <v>#N/A Requesting Data...4005522880</v>
        <stp/>
        <stp>BDP|3206589524069165665</stp>
        <tr r="AV376" s="1"/>
      </tp>
      <tp t="s">
        <v>#N/A Requesting Data...4068994558</v>
        <stp/>
        <stp>BDP|7610937858737681723</stp>
        <tr r="E1787" s="1"/>
      </tp>
      <tp t="s">
        <v>#N/A Requesting Data...3964307911</v>
        <stp/>
        <stp>BDP|8995030672523846796</stp>
        <tr r="AT255" s="1"/>
      </tp>
      <tp t="s">
        <v>#N/A Requesting Data...4097468534</v>
        <stp/>
        <stp>BDP|8196176130561671093</stp>
        <tr r="E701" s="1"/>
      </tp>
      <tp t="s">
        <v>#N/A Requesting Data...4132510455</v>
        <stp/>
        <stp>BDP|7532875908025107128</stp>
        <tr r="J1548" s="1"/>
      </tp>
      <tp t="s">
        <v>#N/A Requesting Data...4228354229</v>
        <stp/>
        <stp>BDP|7266433998646457747</stp>
        <tr r="E997" s="1"/>
      </tp>
      <tp t="s">
        <v>#N/A Requesting Data...4204676675</v>
        <stp/>
        <stp>BDP|7256605633138802102</stp>
        <tr r="H1868" s="1"/>
      </tp>
      <tp t="s">
        <v>#N/A Requesting Data...4055578689</v>
        <stp/>
        <stp>BDP|9785562837812921662</stp>
        <tr r="AU617" s="1"/>
      </tp>
      <tp t="s">
        <v>#N/A Requesting Data...4179960662</v>
        <stp/>
        <stp>BDP|8926144702346284448</stp>
        <tr r="E713" s="1"/>
      </tp>
      <tp t="s">
        <v>#N/A Requesting Data...4185076829</v>
        <stp/>
        <stp>BDP|6878902506634300046</stp>
        <tr r="E1752" s="1"/>
      </tp>
      <tp t="s">
        <v>#N/A Requesting Data...4017203311</v>
        <stp/>
        <stp>BDP|7114943720010543792</stp>
        <tr r="AV681" s="1"/>
      </tp>
      <tp t="s">
        <v>#N/A Requesting Data...3962332124</v>
        <stp/>
        <stp>BDP|1486633987075954109</stp>
        <tr r="AT915" s="1"/>
      </tp>
      <tp t="s">
        <v>#N/A Requesting Data...4094238871</v>
        <stp/>
        <stp>BDP|1905337831718788221</stp>
        <tr r="J21" s="1"/>
      </tp>
      <tp t="s">
        <v>#N/A Requesting Data...4042512537</v>
        <stp/>
        <stp>BDP|6960581624293380982</stp>
        <tr r="E384" s="1"/>
      </tp>
      <tp t="s">
        <v>#N/A Requesting Data...4104177252</v>
        <stp/>
        <stp>BDP|9540024118642612179</stp>
        <tr r="AV506" s="1"/>
      </tp>
      <tp t="s">
        <v>#N/A Requesting Data...4036415975</v>
        <stp/>
        <stp>BDP|6405784324310372852</stp>
        <tr r="AV755" s="1"/>
      </tp>
      <tp t="s">
        <v>#N/A Requesting Data...4146945984</v>
        <stp/>
        <stp>BDP|3834064980620403043</stp>
        <tr r="AU900" s="1"/>
      </tp>
      <tp t="s">
        <v>#N/A Requesting Data...4261822030</v>
        <stp/>
        <stp>BDP|7924614122239696128</stp>
        <tr r="AU339" s="1"/>
      </tp>
      <tp t="s">
        <v>#N/A Requesting Data...4082928286</v>
        <stp/>
        <stp>BDP|9970660549793993303</stp>
        <tr r="E2094" s="1"/>
      </tp>
      <tp t="s">
        <v>#N/A Requesting Data...4214042185</v>
        <stp/>
        <stp>BDP|1958569825244268977</stp>
        <tr r="H155" s="1"/>
        <tr r="H1629" s="1"/>
      </tp>
      <tp t="s">
        <v>#N/A Requesting Data...4233384101</v>
        <stp/>
        <stp>BDP|2695963167076879002</stp>
        <tr r="AV863" s="1"/>
      </tp>
      <tp t="s">
        <v>#N/A Requesting Data...4267628818</v>
        <stp/>
        <stp>BDP|4481277129349554608</stp>
        <tr r="E535" s="1"/>
      </tp>
      <tp t="s">
        <v>#N/A Requesting Data...3994296268</v>
        <stp/>
        <stp>BDP|5098069191783852401</stp>
        <tr r="AT868" s="1"/>
      </tp>
      <tp t="s">
        <v>#N/A Requesting Data...4035229009</v>
        <stp/>
        <stp>BDP|8131533785139173792</stp>
        <tr r="E748" s="1"/>
      </tp>
      <tp t="s">
        <v>#N/A Requesting Data...3872681741</v>
        <stp/>
        <stp>BDP|6022743794304964760</stp>
        <tr r="AT696" s="1"/>
      </tp>
      <tp t="s">
        <v>#N/A Requesting Data...4028868419</v>
        <stp/>
        <stp>BDP|3850422188383990749</stp>
        <tr r="H156" s="1"/>
      </tp>
      <tp t="s">
        <v>#N/A Requesting Data...4167334101</v>
        <stp/>
        <stp>BDP|7992899575103312097</stp>
        <tr r="E1169" s="1"/>
      </tp>
      <tp t="s">
        <v>#N/A Requesting Data...4249004532</v>
        <stp/>
        <stp>BDP|9574336714028951843</stp>
        <tr r="E1889" s="1"/>
        <tr r="E42" s="1"/>
      </tp>
      <tp t="s">
        <v>#N/A Requesting Data...4028739658</v>
        <stp/>
        <stp>BDP|5646866638541760407</stp>
        <tr r="E945" s="1"/>
      </tp>
      <tp t="s">
        <v>#N/A Requesting Data...4063792514</v>
        <stp/>
        <stp>BDP|8274984254596582948</stp>
        <tr r="H535" s="1"/>
      </tp>
      <tp t="s">
        <v>#N/A Requesting Data...4183862657</v>
        <stp/>
        <stp>BDP|9188359709838508941</stp>
        <tr r="H331" s="1"/>
      </tp>
      <tp t="s">
        <v>#N/A Requesting Data...4174691174</v>
        <stp/>
        <stp>BDP|5935855823380585466</stp>
        <tr r="H1098" s="1"/>
        <tr r="H1985" s="1"/>
      </tp>
      <tp t="s">
        <v>#N/A Requesting Data...4198779773</v>
        <stp/>
        <stp>BDP|8189547231634028181</stp>
        <tr r="AT530" s="1"/>
      </tp>
      <tp t="s">
        <v>#N/A Requesting Data...4069593641</v>
        <stp/>
        <stp>BDP|6628927847876859672</stp>
        <tr r="AT360" s="1"/>
      </tp>
      <tp t="s">
        <v>#N/A Requesting Data...4119462817</v>
        <stp/>
        <stp>BDP|8392132972266863363</stp>
        <tr r="E507" s="1"/>
      </tp>
      <tp t="s">
        <v>#N/A Requesting Data...4234027506</v>
        <stp/>
        <stp>BDP|9175166888669195221</stp>
        <tr r="J1877" s="1"/>
      </tp>
      <tp t="s">
        <v>#N/A Requesting Data...4188865712</v>
        <stp/>
        <stp>BDP|5821243180292812680</stp>
        <tr r="AT505" s="1"/>
      </tp>
      <tp t="s">
        <v>#N/A Requesting Data...4157623878</v>
        <stp/>
        <stp>BDP|1621830249733786578</stp>
        <tr r="AO2042" s="1"/>
      </tp>
      <tp t="s">
        <v>#N/A Requesting Data...4196324975</v>
        <stp/>
        <stp>BDP|9200079247871948770</stp>
        <tr r="AT908" s="1"/>
      </tp>
      <tp t="s">
        <v>#N/A Requesting Data...4146111309</v>
        <stp/>
        <stp>BDP|9536109262263983627</stp>
        <tr r="E1624" s="1"/>
        <tr r="E2076" s="1"/>
      </tp>
      <tp t="s">
        <v>#N/A Requesting Data...4098110213</v>
        <stp/>
        <stp>BDP|1491819626240766098</stp>
        <tr r="H395" s="1"/>
      </tp>
      <tp t="s">
        <v>#N/A Requesting Data...4063040637</v>
        <stp/>
        <stp>BDP|6808738186737233520</stp>
        <tr r="H366" s="1"/>
      </tp>
      <tp t="s">
        <v>#N/A Requesting Data...4198259195</v>
        <stp/>
        <stp>BDP|7627087937418512711</stp>
        <tr r="AV518" s="1"/>
      </tp>
      <tp t="s">
        <v>#N/A Requesting Data...4173628993</v>
        <stp/>
        <stp>BDP|4706355290517971267</stp>
        <tr r="E357" s="1"/>
      </tp>
      <tp t="s">
        <v>#N/A Requesting Data...4168359551</v>
        <stp/>
        <stp>BDP|7908683703229679396</stp>
        <tr r="H431" s="1"/>
      </tp>
      <tp t="s">
        <v>#N/A Requesting Data...4186908746</v>
        <stp/>
        <stp>BDP|6906441596581635105</stp>
        <tr r="H908" s="1"/>
      </tp>
      <tp t="s">
        <v>#N/A Requesting Data...4209706029</v>
        <stp/>
        <stp>BDP|6506628851538995621</stp>
        <tr r="H464" s="1"/>
      </tp>
      <tp t="s">
        <v>#N/A Requesting Data...4283870193</v>
        <stp/>
        <stp>BDP|7234869743957263781</stp>
        <tr r="E1348" s="1"/>
      </tp>
      <tp t="s">
        <v>#N/A Requesting Data...4086126227</v>
        <stp/>
        <stp>BDP|9631307888069658055</stp>
        <tr r="E1871" s="1"/>
        <tr r="E2079" s="1"/>
        <tr r="E36" s="1"/>
      </tp>
      <tp t="s">
        <v>#N/A Requesting Data...4165980960</v>
        <stp/>
        <stp>BDP|8557566662409487974</stp>
        <tr r="J625" s="1"/>
      </tp>
      <tp t="s">
        <v>#N/A Requesting Data...4063674814</v>
        <stp/>
        <stp>BDP|5074601134209676209</stp>
        <tr r="E1954" s="1"/>
      </tp>
      <tp t="s">
        <v>#N/A Requesting Data...4293232557</v>
        <stp/>
        <stp>BDP|9366319610599050902</stp>
        <tr r="AV833" s="1"/>
      </tp>
      <tp t="s">
        <v>#N/A Requesting Data...4181455596</v>
        <stp/>
        <stp>BDP|6729608641136146952</stp>
        <tr r="H923" s="1"/>
      </tp>
      <tp t="s">
        <v>#N/A Requesting Data...4188215019</v>
        <stp/>
        <stp>BDP|9802805159379086630</stp>
        <tr r="AP1369" s="1"/>
        <tr r="AP1370" s="1"/>
      </tp>
      <tp t="s">
        <v>#N/A Requesting Data...4243446704</v>
        <stp/>
        <stp>BDP|9621754968604116780</stp>
        <tr r="E312" s="1"/>
      </tp>
      <tp t="s">
        <v>#N/A Requesting Data...4134894555</v>
        <stp/>
        <stp>BDP|3586941113883854385</stp>
        <tr r="AV530" s="1"/>
      </tp>
      <tp t="s">
        <v>#N/A Requesting Data...4094216771</v>
        <stp/>
        <stp>BDP|9675379156243094751</stp>
        <tr r="AU654" s="1"/>
      </tp>
      <tp t="s">
        <v>#N/A Requesting Data...4185252812</v>
        <stp/>
        <stp>BDP|9368165830249601915</stp>
        <tr r="AT1009" s="1"/>
        <tr r="AT1271" s="1"/>
        <tr r="AT1328" s="1"/>
        <tr r="AT1363" s="1"/>
        <tr r="AT1702" s="1"/>
        <tr r="AT1716" s="1"/>
        <tr r="AT1733" s="1"/>
        <tr r="AT770" s="1"/>
        <tr r="AT822" s="1"/>
        <tr r="AT842" s="1"/>
      </tp>
      <tp t="s">
        <v>#N/A Requesting Data...4223403027</v>
        <stp/>
        <stp>BDP|9460165153381446773</stp>
        <tr r="E1516" s="1"/>
      </tp>
      <tp t="s">
        <v>#N/A Requesting Data...4174913831</v>
        <stp/>
        <stp>BDP|5005850631116579331</stp>
        <tr r="J1383" s="1"/>
      </tp>
      <tp t="s">
        <v>#N/A Requesting Data...4131406044</v>
        <stp/>
        <stp>BDP|6010626531111280938</stp>
        <tr r="AU573" s="1"/>
      </tp>
      <tp t="s">
        <v>#N/A Requesting Data...4098078919</v>
        <stp/>
        <stp>BDP|8335177570426217347</stp>
        <tr r="J326" s="1"/>
      </tp>
      <tp t="s">
        <v>#N/A Requesting Data...4224235959</v>
        <stp/>
        <stp>BDP|5523633827743775947</stp>
        <tr r="E567" s="1"/>
      </tp>
      <tp t="s">
        <v>#N/A Requesting Data...4060023253</v>
        <stp/>
        <stp>BDP|7188211260940681851</stp>
        <tr r="J701" s="1"/>
      </tp>
      <tp t="s">
        <v>#N/A Requesting Data...4114505780</v>
        <stp/>
        <stp>BDP|1531511112439466718</stp>
        <tr r="E1138" s="1"/>
        <tr r="E90" s="1"/>
      </tp>
      <tp t="s">
        <v>#N/A Requesting Data...4266272844</v>
        <stp/>
        <stp>BDP|5226624865959548731</stp>
        <tr r="E500" s="1"/>
      </tp>
      <tp t="s">
        <v>#N/A Requesting Data...4217538275</v>
        <stp/>
        <stp>BDP|7191510243664843985</stp>
        <tr r="H1503" s="1"/>
      </tp>
      <tp t="s">
        <v>#N/A Requesting Data...4126434747</v>
        <stp/>
        <stp>BDP|5981206235567946861</stp>
        <tr r="E1583" s="1"/>
      </tp>
      <tp t="s">
        <v>#N/A Requesting Data...4286966394</v>
        <stp/>
        <stp>BDP|5404193394203835522</stp>
        <tr r="J174" s="1"/>
      </tp>
      <tp t="s">
        <v>#N/A Requesting Data...4108380384</v>
        <stp/>
        <stp>BDP|5068763260728035751</stp>
        <tr r="H717" s="1"/>
      </tp>
      <tp t="s">
        <v>#N/A Requesting Data...4113305071</v>
        <stp/>
        <stp>BDP|5755005495202981589</stp>
        <tr r="AT901" s="1"/>
      </tp>
      <tp t="s">
        <v>#N/A Requesting Data...4172275595</v>
        <stp/>
        <stp>BDP|4110910672215331422</stp>
        <tr r="E101" s="1"/>
        <tr r="E1425" s="1"/>
        <tr r="E1454" s="1"/>
      </tp>
      <tp t="s">
        <v>#N/A Requesting Data...4247573734</v>
        <stp/>
        <stp>BDP|2030152443449642533</stp>
        <tr r="E910" s="1"/>
      </tp>
      <tp t="s">
        <v>#N/A Requesting Data...4196493006</v>
        <stp/>
        <stp>BDP|9440757380564379916</stp>
        <tr r="AU726" s="1"/>
      </tp>
      <tp t="s">
        <v>#N/A Requesting Data...4185169712</v>
        <stp/>
        <stp>BDP|4046575341616794828</stp>
        <tr r="H385" s="1"/>
      </tp>
      <tp t="s">
        <v>#N/A Requesting Data...4112350683</v>
        <stp/>
        <stp>BDP|2205781328898113430</stp>
        <tr r="J680" s="1"/>
      </tp>
      <tp t="s">
        <v>#N/A Requesting Data...4101478496</v>
        <stp/>
        <stp>BDP|2598263580581750241</stp>
        <tr r="J377" s="1"/>
      </tp>
      <tp t="s">
        <v>#N/A Requesting Data...4076026067</v>
        <stp/>
        <stp>BDP|4533423682913555007</stp>
        <tr r="J156" s="1"/>
      </tp>
      <tp t="s">
        <v>#N/A Requesting Data...4117219807</v>
        <stp/>
        <stp>BDP|1542988748265775223</stp>
        <tr r="H689" s="1"/>
      </tp>
      <tp t="s">
        <v>#N/A Requesting Data...4185105805</v>
        <stp/>
        <stp>BDP|4788595057126952903</stp>
        <tr r="H1341" s="1"/>
        <tr r="H1818" s="1"/>
      </tp>
      <tp t="s">
        <v>#N/A Requesting Data...4140028933</v>
        <stp/>
        <stp>BDP|5148455655819206633</stp>
        <tr r="E1317" s="1"/>
      </tp>
      <tp t="s">
        <v>#N/A Requesting Data...4144282851</v>
        <stp/>
        <stp>BDP|6491507446714758853</stp>
        <tr r="H1684" s="1"/>
      </tp>
      <tp t="s">
        <v>#N/A Requesting Data...4081210859</v>
        <stp/>
        <stp>BDP|5235708883865846498</stp>
        <tr r="AT617" s="1"/>
      </tp>
      <tp t="s">
        <v>#N/A Requesting Data...4165703375</v>
        <stp/>
        <stp>BDP|4291026931544823897</stp>
        <tr r="AT454" s="1"/>
      </tp>
      <tp t="s">
        <v>#N/A Requesting Data...4094170870</v>
        <stp/>
        <stp>BDP|7953175956980148892</stp>
        <tr r="E273" s="1"/>
      </tp>
      <tp t="s">
        <v>#N/A Requesting Data...4238230293</v>
        <stp/>
        <stp>BDP|5375263879248529395</stp>
        <tr r="J945" s="1"/>
      </tp>
      <tp t="s">
        <v>#N/A Requesting Data...3957025670</v>
        <stp/>
        <stp>BDP|9603844044686653806</stp>
        <tr r="AT552" s="1"/>
      </tp>
      <tp t="s">
        <v>#N/A Requesting Data...4238498105</v>
        <stp/>
        <stp>BDP|2919357391464866755</stp>
        <tr r="J1769" s="1"/>
      </tp>
      <tp t="s">
        <v>#N/A Requesting Data...4223625745</v>
        <stp/>
        <stp>BDP|1869429681970828637</stp>
        <tr r="J938" s="1"/>
      </tp>
      <tp t="s">
        <v>#N/A Requesting Data...4258292737</v>
        <stp/>
        <stp>BDP|9604607563106352461</stp>
        <tr r="E1763" s="1"/>
      </tp>
      <tp t="s">
        <v>#N/A Requesting Data...4190042293</v>
        <stp/>
        <stp>BDP|3678276881882992092</stp>
        <tr r="AV360" s="1"/>
      </tp>
      <tp t="s">
        <v>#N/A Requesting Data...4145499410</v>
        <stp/>
        <stp>BDP|6232527491214439551</stp>
        <tr r="E319" s="1"/>
      </tp>
      <tp t="s">
        <v>#N/A Requesting Data...4174964616</v>
        <stp/>
        <stp>BDP|8576241190399408152</stp>
        <tr r="J619" s="1"/>
      </tp>
      <tp t="s">
        <v>#N/A Requesting Data...4162065965</v>
        <stp/>
        <stp>BDP|6305862660341106246</stp>
        <tr r="AV846" s="1"/>
      </tp>
      <tp t="s">
        <v>#N/A Requesting Data...4280721655</v>
        <stp/>
        <stp>BDP|3220867634374390724</stp>
        <tr r="AV745" s="1"/>
      </tp>
      <tp t="s">
        <v>#N/A Requesting Data...4140571487</v>
        <stp/>
        <stp>BDP|2222786144949803372</stp>
        <tr r="E418" s="1"/>
      </tp>
      <tp t="s">
        <v>#N/A Requesting Data...4043074315</v>
        <stp/>
        <stp>BDP|8394941851547242856</stp>
        <tr r="AT542" s="1"/>
      </tp>
      <tp t="s">
        <v>#N/A Requesting Data...4261627357</v>
        <stp/>
        <stp>BDP|1885696710845723877</stp>
        <tr r="AU492" s="1"/>
      </tp>
      <tp t="s">
        <v>#N/A Requesting Data...4097375131</v>
        <stp/>
        <stp>BDP|4156760344215602944</stp>
        <tr r="AV489" s="1"/>
      </tp>
      <tp t="s">
        <v>#N/A Requesting Data...4107742695</v>
        <stp/>
        <stp>BDP|5222984640171352281</stp>
        <tr r="AU406" s="1"/>
      </tp>
      <tp t="s">
        <v>#N/A Requesting Data...4232085244</v>
        <stp/>
        <stp>BDP|5203905048086806537</stp>
        <tr r="AV622" s="1"/>
      </tp>
      <tp t="s">
        <v>#N/A Requesting Data...4142972032</v>
        <stp/>
        <stp>BDP|7101696784666834456</stp>
        <tr r="AP1019" s="1"/>
      </tp>
      <tp t="s">
        <v>#N/A Requesting Data...4094608274</v>
        <stp/>
        <stp>BDP|5695072085837711127</stp>
        <tr r="AV905" s="1"/>
      </tp>
      <tp t="s">
        <v>#N/A Requesting Data...4122282732</v>
        <stp/>
        <stp>BDP|6475711063558261451</stp>
        <tr r="H666" s="1"/>
      </tp>
      <tp t="s">
        <v>#N/A Requesting Data...4236714830</v>
        <stp/>
        <stp>BDP|4718421703733301840</stp>
        <tr r="J1764" s="1"/>
      </tp>
      <tp t="s">
        <v>#N/A Requesting Data...4276616574</v>
        <stp/>
        <stp>BDP|2022832955444731000</stp>
        <tr r="J934" s="1"/>
      </tp>
      <tp t="s">
        <v>#N/A Requesting Data...4260415598</v>
        <stp/>
        <stp>BDP|5934298631316587956</stp>
        <tr r="J1525" s="1"/>
      </tp>
      <tp t="s">
        <v>#N/A Requesting Data...4243802094</v>
        <stp/>
        <stp>BDP|7929536478137445908</stp>
        <tr r="J1829" s="1"/>
      </tp>
      <tp t="s">
        <v>#N/A Requesting Data...4271309888</v>
        <stp/>
        <stp>BDP|9298203165490301626</stp>
        <tr r="AT688" s="1"/>
      </tp>
      <tp t="s">
        <v>#N/A Requesting Data...4263012297</v>
        <stp/>
        <stp>BDP|6259964218770995532</stp>
        <tr r="AT453" s="1"/>
      </tp>
      <tp t="s">
        <v>#N/A Requesting Data...4247333574</v>
        <stp/>
        <stp>BDP|3278930191018582033</stp>
        <tr r="J751" s="1"/>
      </tp>
      <tp t="s">
        <v>#N/A Requesting Data...4206642115</v>
        <stp/>
        <stp>BDP|3777935876303470508</stp>
        <tr r="H274" s="1"/>
      </tp>
      <tp t="s">
        <v>#N/A Requesting Data...4198655619</v>
        <stp/>
        <stp>BDP|9178750591415164924</stp>
        <tr r="H1777" s="1"/>
      </tp>
      <tp t="s">
        <v>#N/A Requesting Data...4269669366</v>
        <stp/>
        <stp>BDP|9613424031136702344</stp>
        <tr r="H848" s="1"/>
      </tp>
      <tp t="s">
        <v>#N/A Requesting Data...4195715751</v>
        <stp/>
        <stp>BDP|3673843816813769258</stp>
        <tr r="AU437" s="1"/>
      </tp>
      <tp t="s">
        <v>#N/A Requesting Data...4205476314</v>
        <stp/>
        <stp>BDP|4837860620403052686</stp>
        <tr r="H910" s="1"/>
      </tp>
      <tp t="s">
        <v>#N/A Requesting Data...4267395821</v>
        <stp/>
        <stp>BDP|8298004458567980157</stp>
        <tr r="AV852" s="1"/>
      </tp>
      <tp t="s">
        <v>#N/A Requesting Data...4124510309</v>
        <stp/>
        <stp>BDP|1904173849486988996</stp>
        <tr r="AT920" s="1"/>
      </tp>
      <tp t="s">
        <v>#N/A Requesting Data...4168605694</v>
        <stp/>
        <stp>BDP|7361859190115870893</stp>
        <tr r="H1579" s="1"/>
      </tp>
      <tp t="s">
        <v>#N/A Requesting Data...4149872819</v>
        <stp/>
        <stp>BDP|5933918219504213245</stp>
        <tr r="E1040" s="1"/>
      </tp>
      <tp t="s">
        <v>#N/A Requesting Data...4134817548</v>
        <stp/>
        <stp>BDP|3550053407801978993</stp>
        <tr r="E115" s="1"/>
      </tp>
      <tp t="s">
        <v>#N/A Requesting Data...4211702514</v>
        <stp/>
        <stp>BDP|5367803053012308148</stp>
        <tr r="E595" s="1"/>
      </tp>
      <tp t="s">
        <v>#N/A Requesting Data...4191870725</v>
        <stp/>
        <stp>BDP|4645543984213417158</stp>
        <tr r="J1178" s="1"/>
        <tr r="J1935" s="1"/>
      </tp>
      <tp t="s">
        <v>#N/A Requesting Data...4169419605</v>
        <stp/>
        <stp>BDP|6281578702461628968</stp>
        <tr r="H1815" s="1"/>
      </tp>
      <tp t="s">
        <v>#N/A Requesting Data...4280100130</v>
        <stp/>
        <stp>BDP|2266072383177755661</stp>
        <tr r="E1189" s="1"/>
      </tp>
      <tp t="s">
        <v>#N/A Requesting Data...4277018241</v>
        <stp/>
        <stp>BDP|1323731347288454145</stp>
        <tr r="H807" s="1"/>
      </tp>
      <tp t="s">
        <v>#N/A Requesting Data...4054900854</v>
        <stp/>
        <stp>BDP|1555270482181148163</stp>
        <tr r="AT316" s="1"/>
      </tp>
      <tp t="s">
        <v>#N/A Requesting Data...4268276179</v>
        <stp/>
        <stp>BDP|4717845287559512662</stp>
        <tr r="AU516" s="1"/>
      </tp>
      <tp t="s">
        <v>#N/A Requesting Data...4221411243</v>
        <stp/>
        <stp>BDP|2045896311045630594</stp>
        <tr r="H328" s="1"/>
      </tp>
      <tp t="s">
        <v>#N/A Requesting Data...4149060671</v>
        <stp/>
        <stp>BDP|2564679356963723941</stp>
        <tr r="AV702" s="1"/>
      </tp>
      <tp t="s">
        <v>#N/A Requesting Data...4190565625</v>
        <stp/>
        <stp>BDP|5553044583845265346</stp>
        <tr r="J802" s="1"/>
      </tp>
      <tp t="s">
        <v>#N/A Requesting Data...4063514078</v>
        <stp/>
        <stp>BDP|1892821769614310047</stp>
        <tr r="AT911" s="1"/>
      </tp>
      <tp t="s">
        <v>#N/A Requesting Data...3997708211</v>
        <stp/>
        <stp>BDP|9420898267564851862</stp>
        <tr r="AT439" s="1"/>
      </tp>
      <tp t="s">
        <v>#N/A Requesting Data...4276919944</v>
        <stp/>
        <stp>BDP|7409984019682780660</stp>
        <tr r="J691" s="1"/>
      </tp>
      <tp t="s">
        <v>#N/A Requesting Data...4191649622</v>
        <stp/>
        <stp>BDP|8154485439587096342</stp>
        <tr r="J1757" s="1"/>
      </tp>
      <tp t="s">
        <v>#N/A Requesting Data...4135118315</v>
        <stp/>
        <stp>BDP|1269354085741486023</stp>
        <tr r="H321" s="1"/>
      </tp>
      <tp t="s">
        <v>#N/A Requesting Data...4123956816</v>
        <stp/>
        <stp>BDP|6966694347647334806</stp>
        <tr r="E348" s="1"/>
      </tp>
      <tp t="s">
        <v>#N/A Requesting Data...4273500444</v>
        <stp/>
        <stp>BDP|8283753563366480441</stp>
        <tr r="H758" s="1"/>
      </tp>
      <tp t="s">
        <v>#N/A Requesting Data...4276192962</v>
        <stp/>
        <stp>BDP|8119253856305554134</stp>
        <tr r="H710" s="1"/>
      </tp>
      <tp t="s">
        <v>#N/A Requesting Data...4249745315</v>
        <stp/>
        <stp>BDP|7972424209481442920</stp>
        <tr r="J1672" s="1"/>
      </tp>
      <tp t="s">
        <v>#N/A Requesting Data...4250221520</v>
        <stp/>
        <stp>BDP|4680949461020326047</stp>
        <tr r="H113" s="1"/>
      </tp>
      <tp t="s">
        <v>#N/A Requesting Data...4159244002</v>
        <stp/>
        <stp>BDP|7504423934308737307</stp>
        <tr r="J1910" s="1"/>
      </tp>
      <tp t="s">
        <v>#N/A Requesting Data...4197576004</v>
        <stp/>
        <stp>BDP|2172058313308328009</stp>
        <tr r="J1786" s="1"/>
      </tp>
      <tp t="s">
        <v>#N/A Requesting Data...4232988503</v>
        <stp/>
        <stp>BDP|9163151721428611974</stp>
        <tr r="AP779" s="1"/>
      </tp>
      <tp t="s">
        <v>#N/A Requesting Data...4138740704</v>
        <stp/>
        <stp>BDP|2072729784580655648</stp>
        <tr r="J421" s="1"/>
      </tp>
      <tp t="s">
        <v>#N/A Requesting Data...4271734987</v>
        <stp/>
        <stp>BDP|6803824222664435398</stp>
        <tr r="J1881" s="1"/>
        <tr r="J39" s="1"/>
      </tp>
      <tp t="s">
        <v>#N/A Requesting Data...4191561187</v>
        <stp/>
        <stp>BDP|9477955592901401322</stp>
        <tr r="E857" s="1"/>
      </tp>
      <tp t="s">
        <v>#N/A Requesting Data...4260285561</v>
        <stp/>
        <stp>BDP|4292378135588078758</stp>
        <tr r="AV744" s="1"/>
      </tp>
      <tp t="s">
        <v>#N/A Requesting Data...4170377752</v>
        <stp/>
        <stp>BDP|3019249195384320773</stp>
        <tr r="H1061" s="1"/>
      </tp>
      <tp t="s">
        <v>#N/A Requesting Data...4266970182</v>
        <stp/>
        <stp>BDP|7753979102807304248</stp>
        <tr r="J1890" s="1"/>
      </tp>
      <tp t="s">
        <v>#N/A Requesting Data...4245708378</v>
        <stp/>
        <stp>BDP|5967871775670749199</stp>
        <tr r="E1088" s="1"/>
      </tp>
      <tp t="s">
        <v>#N/A Requesting Data...4212067214</v>
        <stp/>
        <stp>BDP|3321314209913898869</stp>
        <tr r="H1435" s="1"/>
      </tp>
      <tp t="s">
        <v>#N/A Requesting Data...4225604900</v>
        <stp/>
        <stp>BDP|7221578593315654552</stp>
        <tr r="AV607" s="1"/>
      </tp>
      <tp t="s">
        <v>#N/A Requesting Data...4261911851</v>
        <stp/>
        <stp>BDP|4139004385283211431</stp>
        <tr r="H238" s="1"/>
      </tp>
      <tp t="s">
        <v>#N/A Requesting Data...4175609260</v>
        <stp/>
        <stp>BDP|4776716068915390478</stp>
        <tr r="AV913" s="1"/>
      </tp>
      <tp t="s">
        <v>#N/A Requesting Data...4208577448</v>
        <stp/>
        <stp>BDP|3612593114350287331</stp>
        <tr r="E243" s="1"/>
      </tp>
      <tp t="s">
        <v>#N/A Requesting Data...4250658631</v>
        <stp/>
        <stp>BDP|3454862499756886092</stp>
        <tr r="H285" s="1"/>
      </tp>
      <tp t="s">
        <v>#N/A Requesting Data...4288127634</v>
        <stp/>
        <stp>BDP|3313199776207309650</stp>
        <tr r="AV398" s="1"/>
      </tp>
      <tp t="s">
        <v>#N/A Requesting Data...4195332830</v>
        <stp/>
        <stp>BDP|6969426253804605742</stp>
        <tr r="E537" s="1"/>
      </tp>
      <tp t="s">
        <v>#N/A Requesting Data...4203741071</v>
        <stp/>
        <stp>BDP|1115679819833582105</stp>
        <tr r="AV523" s="1"/>
      </tp>
      <tp t="s">
        <v>#N/A Requesting Data...4175602237</v>
        <stp/>
        <stp>BDP|2494231543192938276</stp>
        <tr r="H554" s="1"/>
      </tp>
      <tp t="s">
        <v>#N/A Requesting Data...4209702780</v>
        <stp/>
        <stp>BDP|7970622143031292002</stp>
        <tr r="J881" s="1"/>
      </tp>
      <tp t="s">
        <v>#N/A Requesting Data...4151109895</v>
        <stp/>
        <stp>BDP|1593895373592174840</stp>
        <tr r="J608" s="1"/>
      </tp>
      <tp t="s">
        <v>#N/A Requesting Data...4221187055</v>
        <stp/>
        <stp>BDP|5575100169923693506</stp>
        <tr r="E385" s="1"/>
      </tp>
      <tp t="s">
        <v>#N/A Requesting Data...4197504748</v>
        <stp/>
        <stp>BDP|6673545465549451893</stp>
        <tr r="E455" s="1"/>
      </tp>
      <tp t="s">
        <v>#N/A Requesting Data...4184071334</v>
        <stp/>
        <stp>BDP|7159477079348710820</stp>
        <tr r="J844" s="1"/>
      </tp>
      <tp t="s">
        <v>#N/A Requesting Data...4249832719</v>
        <stp/>
        <stp>BDP|3575097526703167613</stp>
        <tr r="E619" s="1"/>
      </tp>
      <tp t="s">
        <v>#N/A Requesting Data...4289168378</v>
        <stp/>
        <stp>BDP|1572527157397304297</stp>
        <tr r="E1295" s="1"/>
      </tp>
      <tp t="s">
        <v>#N/A Requesting Data...4287921438</v>
        <stp/>
        <stp>BDP|3893381179410260303</stp>
        <tr r="E85" s="1"/>
      </tp>
      <tp t="s">
        <v>#N/A Requesting Data...4191774652</v>
        <stp/>
        <stp>BDP|7873074209923449093</stp>
        <tr r="E399" s="1"/>
      </tp>
      <tp t="s">
        <v>#N/A Requesting Data...4174442824</v>
        <stp/>
        <stp>BDP|1984364231995408019</stp>
        <tr r="H806" s="1"/>
      </tp>
      <tp t="s">
        <v>#N/A Requesting Data...4210998760</v>
        <stp/>
        <stp>BDP|4936431945492482201</stp>
        <tr r="E1499" s="1"/>
      </tp>
      <tp t="s">
        <v>#N/A Requesting Data...4185203153</v>
        <stp/>
        <stp>BDP|1462743338936218712</stp>
        <tr r="J1576" s="1"/>
        <tr r="J59" s="1"/>
      </tp>
      <tp t="s">
        <v>#N/A Requesting Data...4289698176</v>
        <stp/>
        <stp>BDP|6761788809460865553</stp>
        <tr r="AT603" s="1"/>
      </tp>
      <tp t="s">
        <v>#N/A Requesting Data...4181228338</v>
        <stp/>
        <stp>BDP|8670482850604269974</stp>
        <tr r="J1595" s="1"/>
        <tr r="J1909" s="1"/>
      </tp>
      <tp t="s">
        <v>#N/A Requesting Data...4292963747</v>
        <stp/>
        <stp>BDP|9525709800119830368</stp>
        <tr r="AU517" s="1"/>
      </tp>
      <tp t="s">
        <v>#N/A Requesting Data...4253942497</v>
        <stp/>
        <stp>BDP|6821730747919089873</stp>
        <tr r="H484" s="1"/>
      </tp>
      <tp t="s">
        <v>#N/A Requesting Data...4036770711</v>
        <stp/>
        <stp>BDP|8405111310165970974</stp>
        <tr r="AT328" s="1"/>
      </tp>
      <tp t="s">
        <v>#N/A Requesting Data...4287557941</v>
        <stp/>
        <stp>BDP|5114222426844786590</stp>
        <tr r="AU205" s="1"/>
      </tp>
      <tp t="s">
        <v>#N/A Requesting Data...4161404376</v>
        <stp/>
        <stp>BDP|6050688316167498216</stp>
        <tr r="E806" s="1"/>
      </tp>
      <tp t="s">
        <v>#N/A Requesting Data...4160841162</v>
        <stp/>
        <stp>BDP|7837658169972672197</stp>
        <tr r="J244" s="1"/>
      </tp>
      <tp t="s">
        <v>#N/A Requesting Data...4186294560</v>
        <stp/>
        <stp>BDP|3437395292355418800</stp>
        <tr r="J1175" s="1"/>
        <tr r="J1928" s="1"/>
      </tp>
      <tp t="s">
        <v>#N/A Requesting Data...4221628761</v>
        <stp/>
        <stp>BDP|3638408221938423984</stp>
        <tr r="H2066" s="1"/>
      </tp>
      <tp t="s">
        <v>#N/A Requesting Data...4278625813</v>
        <stp/>
        <stp>BDP|3793598127651944188</stp>
        <tr r="H379" s="1"/>
      </tp>
      <tp t="s">
        <v>#N/A Requesting Data...4009383056</v>
        <stp/>
        <stp>BDP|6126340417903891329</stp>
        <tr r="AT677" s="1"/>
      </tp>
      <tp t="s">
        <v>#N/A Requesting Data...4250366985</v>
        <stp/>
        <stp>BDP|1765007588884513923</stp>
        <tr r="E1646" s="1"/>
        <tr r="E93" s="1"/>
      </tp>
      <tp t="s">
        <v>#N/A Requesting Data...4219789672</v>
        <stp/>
        <stp>BDP|7555271168845080229</stp>
        <tr r="J657" s="1"/>
      </tp>
      <tp t="s">
        <v>#N/A Requesting Data...4257378013</v>
        <stp/>
        <stp>BDP|4695130338126006457</stp>
        <tr r="AT708" s="1"/>
      </tp>
      <tp t="s">
        <v>#N/A Requesting Data...4171583485</v>
        <stp/>
        <stp>BDP|1375751025274331489</stp>
        <tr r="J540" s="1"/>
      </tp>
      <tp t="s">
        <v>#N/A Requesting Data...4229076236</v>
        <stp/>
        <stp>BDP|3880596523235361599</stp>
        <tr r="AV582" s="1"/>
      </tp>
      <tp t="s">
        <v>#N/A Requesting Data...4214098808</v>
        <stp/>
        <stp>BDP|2877454416736759542</stp>
        <tr r="H1104" s="1"/>
        <tr r="H1570" s="1"/>
      </tp>
      <tp t="s">
        <v>#N/A Requesting Data...4216106971</v>
        <stp/>
        <stp>BDP|2582931350673900978</stp>
        <tr r="E323" s="1"/>
      </tp>
      <tp t="s">
        <v>#N/A Requesting Data...4240604709</v>
        <stp/>
        <stp>BDP|5218081624024528734</stp>
        <tr r="H1174" s="1"/>
        <tr r="H1620" s="1"/>
        <tr r="H1922" s="1"/>
      </tp>
      <tp t="s">
        <v>#N/A Requesting Data...4262938236</v>
        <stp/>
        <stp>BDP|6972369560732065579</stp>
        <tr r="J206" s="1"/>
      </tp>
      <tp t="s">
        <v>#N/A Requesting Data...4269600809</v>
        <stp/>
        <stp>BDP|7703219903008899949</stp>
        <tr r="J1523" s="1"/>
        <tr r="J1644" s="1"/>
        <tr r="J1779" s="1"/>
      </tp>
      <tp t="s">
        <v>#N/A Requesting Data...4190410988</v>
        <stp/>
        <stp>BDP|3676492557167989186</stp>
        <tr r="H1895" s="1"/>
      </tp>
      <tp t="s">
        <v>#N/A Requesting Data...4265125075</v>
        <stp/>
        <stp>BDP|6200799953588874896</stp>
        <tr r="J1552" s="1"/>
      </tp>
      <tp t="s">
        <v>#N/A Requesting Data...4249189695</v>
        <stp/>
        <stp>BDP|9296602394172703086</stp>
        <tr r="AU611" s="1"/>
      </tp>
      <tp t="s">
        <v>#N/A Requesting Data...4233818668</v>
        <stp/>
        <stp>BDP|1718304608800549637</stp>
        <tr r="E1223" s="1"/>
      </tp>
      <tp t="s">
        <v>#N/A Requesting Data...4264186957</v>
        <stp/>
        <stp>BDP|8382736528311071814</stp>
        <tr r="AU498" s="1"/>
      </tp>
      <tp t="s">
        <v>#N/A Requesting Data...4287186528</v>
        <stp/>
        <stp>BDP|9878993448866339631</stp>
        <tr r="J300" s="1"/>
      </tp>
      <tp t="s">
        <v>#N/A Requesting Data...4240600241</v>
        <stp/>
        <stp>BDP|8394241007837042995</stp>
        <tr r="H1491" s="1"/>
      </tp>
      <tp t="s">
        <v>#N/A Requesting Data...4236148934</v>
        <stp/>
        <stp>BDP|6507833543287968956</stp>
        <tr r="J996" s="1"/>
      </tp>
      <tp t="s">
        <v>#N/A Requesting Data...4213059925</v>
        <stp/>
        <stp>BDP|8347895806316275275</stp>
        <tr r="E1057" s="1"/>
      </tp>
      <tp t="s">
        <v>#N/A Requesting Data...4187878224</v>
        <stp/>
        <stp>BDP|2915610143997035328</stp>
        <tr r="H840" s="1"/>
      </tp>
      <tp t="s">
        <v>#N/A Requesting Data...4286825444</v>
        <stp/>
        <stp>BDP|7551253167797833061</stp>
        <tr r="AU360" s="1"/>
      </tp>
      <tp t="s">
        <v>#N/A Requesting Data...4231952781</v>
        <stp/>
        <stp>BDP|9117830462311871217</stp>
        <tr r="AU493" s="1"/>
      </tp>
      <tp t="s">
        <v>#N/A Requesting Data...4202611380</v>
        <stp/>
        <stp>BDP|1954067469112851172</stp>
        <tr r="E1564" s="1"/>
        <tr r="E50" s="1"/>
        <tr r="E780" s="1"/>
      </tp>
      <tp t="s">
        <v>#N/A Requesting Data...4191495802</v>
        <stp/>
        <stp>BDP|4845859867626274818</stp>
        <tr r="AV384" s="1"/>
      </tp>
      <tp t="s">
        <v>#N/A Requesting Data...4197965631</v>
        <stp/>
        <stp>BDP|1241676529387563601</stp>
        <tr r="H1313" s="1"/>
      </tp>
      <tp t="s">
        <v>#N/A Requesting Data...4255298932</v>
        <stp/>
        <stp>BDP|2841366993325707949</stp>
        <tr r="H1420" s="1"/>
        <tr r="H97" s="1"/>
      </tp>
      <tp t="s">
        <v>#N/A Requesting Data...4209376884</v>
        <stp/>
        <stp>BDP|7401041274836356297</stp>
        <tr r="H498" s="1"/>
      </tp>
      <tp t="s">
        <v>#N/A Requesting Data...4231038582</v>
        <stp/>
        <stp>BDP|7903490269893728201</stp>
        <tr r="AV906" s="1"/>
      </tp>
      <tp t="s">
        <v>#N/A Requesting Data...4286926532</v>
        <stp/>
        <stp>BDP|3050459420107332681</stp>
        <tr r="J242" s="1"/>
      </tp>
      <tp t="s">
        <v>#N/A Requesting Data...4217462014</v>
        <stp/>
        <stp>BDP|5779305119956656561</stp>
        <tr r="J1961" s="1"/>
      </tp>
      <tp t="s">
        <v>#N/A Requesting Data...4238306856</v>
        <stp/>
        <stp>BDP|2413590051603783551</stp>
        <tr r="AU416" s="1"/>
      </tp>
      <tp t="s">
        <v>#N/A Requesting Data...4245590700</v>
        <stp/>
        <stp>BDP|1025495504099404879</stp>
        <tr r="H451" s="1"/>
      </tp>
      <tp t="s">
        <v>#N/A Requesting Data...4033740210</v>
        <stp/>
        <stp>BDP|7497126723860979021</stp>
        <tr r="AT614" s="1"/>
      </tp>
      <tp t="s">
        <v>#N/A Requesting Data...4276095954</v>
        <stp/>
        <stp>BDP|6407531762902296391</stp>
        <tr r="H1878" s="1"/>
      </tp>
      <tp t="s">
        <v>#N/A Requesting Data...4259062057</v>
        <stp/>
        <stp>BDP|3047316109462078661</stp>
        <tr r="J1159" s="1"/>
        <tr r="J1904" s="1"/>
      </tp>
      <tp t="s">
        <v>#N/A Requesting Data...4062755557</v>
        <stp/>
        <stp>BDP|8937350888984203388</stp>
        <tr r="AT371" s="1"/>
      </tp>
      <tp t="s">
        <v>#N/A Requesting Data...4285969250</v>
        <stp/>
        <stp>BDP|6849669759426982703</stp>
        <tr r="E1386" s="1"/>
      </tp>
      <tp t="s">
        <v>#N/A Requesting Data...4265006245</v>
        <stp/>
        <stp>BDP|7049519550755880677</stp>
        <tr r="J692" s="1"/>
      </tp>
      <tp t="s">
        <v>#N/A Requesting Data...3997087230</v>
        <stp/>
        <stp>BDP|5973994755675885839</stp>
        <tr r="AT508" s="1"/>
      </tp>
      <tp t="s">
        <v>#N/A Requesting Data...4210219885</v>
        <stp/>
        <stp>BDP|3632105930325818000</stp>
        <tr r="J1161" s="1"/>
      </tp>
      <tp t="s">
        <v>#N/A Requesting Data...4231574539</v>
        <stp/>
        <stp>BDP|6745575839876026263</stp>
        <tr r="J1880" s="1"/>
        <tr r="J2084" s="1"/>
      </tp>
      <tp t="s">
        <v>#N/A Requesting Data...4289707071</v>
        <stp/>
        <stp>BDP|6404169854392176486</stp>
        <tr r="H208" s="1"/>
      </tp>
      <tp t="s">
        <v>#N/A Requesting Data...4276508443</v>
        <stp/>
        <stp>BDP|9646275979819147167</stp>
        <tr r="J1925" s="1"/>
      </tp>
      <tp t="s">
        <v>#N/A Requesting Data...4233784746</v>
        <stp/>
        <stp>BDP|8564124909539395424</stp>
        <tr r="J892" s="1"/>
      </tp>
      <tp t="s">
        <v>#N/A Requesting Data...4233001526</v>
        <stp/>
        <stp>BDP|5492654621924690190</stp>
        <tr r="AS1019" s="1"/>
      </tp>
      <tp t="s">
        <v>#N/A Requesting Data...4290942968</v>
        <stp/>
        <stp>BDP|1266354640926160492</stp>
        <tr r="AU633" s="1"/>
      </tp>
      <tp t="s">
        <v>#N/A Requesting Data...4217800058</v>
        <stp/>
        <stp>BDP|8809867066113674112</stp>
        <tr r="J1951" s="1"/>
      </tp>
      <tp t="s">
        <v>#N/A Requesting Data...4267297647</v>
        <stp/>
        <stp>BDP|3394341380228018488</stp>
        <tr r="H838" s="1"/>
      </tp>
      <tp t="s">
        <v>#N/A Requesting Data...4288541694</v>
        <stp/>
        <stp>BDP|5582248415011332381</stp>
        <tr r="AU696" s="1"/>
      </tp>
      <tp t="s">
        <v>#N/A Requesting Data...4264914837</v>
        <stp/>
        <stp>BDP|9177808208453095660</stp>
        <tr r="J292" s="1"/>
      </tp>
      <tp t="s">
        <v>#N/A Requesting Data...4187265078</v>
        <stp/>
        <stp>BDP|7350780159228804955</stp>
        <tr r="AT524" s="1"/>
      </tp>
      <tp t="s">
        <v>#N/A Requesting Data...4269405429</v>
        <stp/>
        <stp>BDP|5265927485338265881</stp>
        <tr r="AS1997" s="1"/>
      </tp>
      <tp t="s">
        <v>#N/A Requesting Data...4213209604</v>
        <stp/>
        <stp>BDP|3942751939485867623</stp>
        <tr r="H1161" s="1"/>
      </tp>
      <tp t="s">
        <v>#N/A Requesting Data...4252226702</v>
        <stp/>
        <stp>BDP|4748826095275913466</stp>
        <tr r="H1249" s="1"/>
      </tp>
      <tp t="s">
        <v>#N/A Requesting Data...4250918628</v>
        <stp/>
        <stp>BDP|6541750711787643380</stp>
        <tr r="H12" s="1"/>
        <tr r="H1843" s="1"/>
      </tp>
      <tp t="s">
        <v>#N/A Requesting Data...4233938483</v>
        <stp/>
        <stp>BDP|2100126463930518197</stp>
        <tr r="AU394" s="1"/>
      </tp>
      <tp t="s">
        <v>#N/A Requesting Data...4287159380</v>
        <stp/>
        <stp>BDP|4031774425145781095</stp>
        <tr r="AV699" s="1"/>
      </tp>
      <tp t="s">
        <v>#N/A Requesting Data...4231625545</v>
        <stp/>
        <stp>BDP|7055470531416381294</stp>
        <tr r="E1256" s="1"/>
      </tp>
      <tp t="s">
        <v>#N/A Requesting Data...4184101043</v>
        <stp/>
        <stp>BDP|2933693768971090741</stp>
        <tr r="AT832" s="1"/>
      </tp>
      <tp t="s">
        <v>#N/A Requesting Data...4269644469</v>
        <stp/>
        <stp>BDP|4566366269616140371</stp>
        <tr r="H1536" s="1"/>
      </tp>
      <tp t="s">
        <v>#N/A Requesting Data...4266185665</v>
        <stp/>
        <stp>BDP|8362850270243202087</stp>
        <tr r="H694" s="1"/>
      </tp>
      <tp t="s">
        <v>#N/A Requesting Data...4149659510</v>
        <stp/>
        <stp>BDP|3015837364381272891</stp>
        <tr r="AT593" s="1"/>
      </tp>
      <tp t="s">
        <v>#N/A Requesting Data...4269398586</v>
        <stp/>
        <stp>BDP|8904983919656024245</stp>
        <tr r="H1980" s="1"/>
      </tp>
      <tp t="s">
        <v>#N/A Requesting Data...4272886642</v>
        <stp/>
        <stp>BDP|2511784734780085258</stp>
        <tr r="E1464" s="1"/>
        <tr r="E1723" s="1"/>
        <tr r="E793" s="1"/>
      </tp>
      <tp t="s">
        <v>#N/A Requesting Data...4272480931</v>
        <stp/>
        <stp>BDP|5743566428584162244</stp>
        <tr r="H725" s="1"/>
      </tp>
      <tp t="s">
        <v>#N/A Requesting Data...4218181679</v>
        <stp/>
        <stp>BDP|5942423603184651126</stp>
        <tr r="E690" s="1"/>
      </tp>
      <tp t="s">
        <v>#N/A Requesting Data...4267921549</v>
        <stp/>
        <stp>BDP|8351563880531123084</stp>
        <tr r="J1559" s="1"/>
      </tp>
      <tp t="s">
        <v>#N/A Requesting Data...4261609004</v>
        <stp/>
        <stp>BDP|2208236976236299598</stp>
        <tr r="E1494" s="1"/>
      </tp>
      <tp t="s">
        <v>#N/A Requesting Data...4234078252</v>
        <stp/>
        <stp>BDP|7884099168767140246</stp>
        <tr r="E1030" s="1"/>
      </tp>
      <tp t="s">
        <v>#N/A Requesting Data...4148609541</v>
        <stp/>
        <stp>BDP|1693574778903428411</stp>
        <tr r="AT624" s="1"/>
      </tp>
      <tp t="s">
        <v>#N/A Requesting Data...4231906290</v>
        <stp/>
        <stp>BDP|8119400898710661136</stp>
        <tr r="H273" s="1"/>
      </tp>
      <tp t="s">
        <v>#N/A Requesting Data...4273878533</v>
        <stp/>
        <stp>BDP|2229227128351174757</stp>
        <tr r="J1834" s="1"/>
      </tp>
      <tp t="s">
        <v>#N/A Requesting Data...4244567632</v>
        <stp/>
        <stp>BDP|8521030868959072335</stp>
        <tr r="J221" s="1"/>
        <tr r="J276" s="1"/>
      </tp>
      <tp t="s">
        <v>#N/A Requesting Data...4258139645</v>
        <stp/>
        <stp>BDP|2389447765024769081</stp>
        <tr r="E470" s="1"/>
      </tp>
      <tp t="s">
        <v>#N/A Requesting Data...4249988630</v>
        <stp/>
        <stp>BDP|7480587720832731669</stp>
        <tr r="H1198" s="1"/>
      </tp>
      <tp t="s">
        <v>#N/A Requesting Data...4263485817</v>
        <stp/>
        <stp>BDP|2324368743018214997</stp>
        <tr r="E320" s="1"/>
      </tp>
      <tp t="s">
        <v>#N/A Requesting Data...4255220017</v>
        <stp/>
        <stp>BDP|7628314842474864008</stp>
        <tr r="J335" s="1"/>
      </tp>
      <tp t="s">
        <v>#N/A Requesting Data...4259423616</v>
        <stp/>
        <stp>BDP|4827336006160408349</stp>
        <tr r="H534" s="1"/>
      </tp>
      <tp t="s">
        <v>#N/A Requesting Data...4290815481</v>
        <stp/>
        <stp>BDP|5029628923051431486</stp>
        <tr r="H1936" s="1"/>
      </tp>
      <tp t="s">
        <v>#N/A Requesting Data...4246469457</v>
        <stp/>
        <stp>BDP|6971179946190654735</stp>
        <tr r="H640" s="1"/>
      </tp>
      <tp t="s">
        <v>#N/A Requesting Data...4258366095</v>
        <stp/>
        <stp>BDP|6181456129311858586</stp>
        <tr r="AU446" s="1"/>
      </tp>
      <tp t="s">
        <v>#N/A Requesting Data...4281742348</v>
        <stp/>
        <stp>BDP|5302144660101960731</stp>
        <tr r="J1758" s="1"/>
      </tp>
      <tp t="s">
        <v>#N/A Requesting Data...4292565944</v>
        <stp/>
        <stp>BDP|2264204362297904544</stp>
        <tr r="H1920" s="1"/>
        <tr r="H30" s="1"/>
      </tp>
      <tp t="s">
        <v>#N/A Requesting Data...4238103694</v>
        <stp/>
        <stp>BDP|4847131373671894723</stp>
        <tr r="AV915" s="1"/>
      </tp>
      <tp t="s">
        <v>#N/A Requesting Data...4281513502</v>
        <stp/>
        <stp>BDP|3593753263190170605</stp>
        <tr r="H670" s="1"/>
      </tp>
      <tp t="s">
        <v>#N/A Requesting Data...4252679510</v>
        <stp/>
        <stp>BDP|7703791328833206561</stp>
        <tr r="H619" s="1"/>
      </tp>
      <tp t="s">
        <v>#N/A Requesting Data...4250551683</v>
        <stp/>
        <stp>BDP|9469613907909130217</stp>
        <tr r="J333" s="1"/>
      </tp>
      <tp t="s">
        <v>#N/A Requesting Data...4256544410</v>
        <stp/>
        <stp>BDP|6504435377380691157</stp>
        <tr r="J511" s="1"/>
      </tp>
      <tp t="s">
        <v>#N/A Requesting Data...4015320711</v>
        <stp/>
        <stp>BDP|3663601461957637036</stp>
        <tr r="AT664" s="1"/>
      </tp>
      <tp t="s">
        <v>#N/A Requesting Data...4251132982</v>
        <stp/>
        <stp>BDP|4155313002713191015</stp>
        <tr r="J372" s="1"/>
      </tp>
      <tp t="s">
        <v>#N/A Requesting Data...4251270451</v>
        <stp/>
        <stp>BDP|7286675248160887179</stp>
        <tr r="E1667" s="1"/>
      </tp>
      <tp t="s">
        <v>#N/A Requesting Data...4272359948</v>
        <stp/>
        <stp>BDP|4324408437393431427</stp>
        <tr r="J85" s="1"/>
      </tp>
      <tp t="s">
        <v>#N/A Requesting Data...4281528134</v>
        <stp/>
        <stp>BDP|3716205722914712300</stp>
        <tr r="E451" s="1"/>
      </tp>
      <tp t="s">
        <v>#N/A Requesting Data...4278127241</v>
        <stp/>
        <stp>BDP|5902238240583146495</stp>
        <tr r="AV297" s="1"/>
      </tp>
      <tp t="s">
        <v>#N/A Requesting Data...4277660616</v>
        <stp/>
        <stp>BDP|2411457524534049478</stp>
        <tr r="AU287" s="1"/>
      </tp>
      <tp t="s">
        <v>#N/A Requesting Data...4294006621</v>
        <stp/>
        <stp>BDP|5013708930573500672</stp>
        <tr r="AU448" s="1"/>
      </tp>
      <tp t="s">
        <v>#N/A Requesting Data...4261550812</v>
        <stp/>
        <stp>BDP|3398746752085008071</stp>
        <tr r="E1848" s="1"/>
      </tp>
      <tp t="s">
        <v>#N/A Requesting Data...4278593193</v>
        <stp/>
        <stp>BDP|2547651344382705616</stp>
        <tr r="J1139" s="1"/>
        <tr r="J91" s="1"/>
      </tp>
      <tp t="s">
        <v>#N/A Requesting Data...4149090010</v>
        <stp/>
        <stp>BDP|4377485609747162311</stp>
        <tr r="AT364" s="1"/>
      </tp>
      <tp t="s">
        <v>#N/A Requesting Data...4284473251</v>
        <stp/>
        <stp>BDP|5007534209753120793</stp>
        <tr r="H485" s="1"/>
      </tp>
      <tp t="s">
        <v>#N/A Requesting Data...4264679025</v>
        <stp/>
        <stp>BDP|8217323895161083779</stp>
        <tr r="J17" s="1"/>
      </tp>
      <tp t="s">
        <v>#N/A Requesting Data...4277049523</v>
        <stp/>
        <stp>BDP|9674531163538345672</stp>
        <tr r="J890" s="1"/>
      </tp>
      <tp t="s">
        <v>#N/A Requesting Data...4285268045</v>
        <stp/>
        <stp>BDP|8417542888343276281</stp>
        <tr r="AT561" s="1"/>
      </tp>
      <tp t="s">
        <v>#N/A Requesting Data...4268340523</v>
        <stp/>
        <stp>BDP|7244579320560175475</stp>
        <tr r="J308" s="1"/>
      </tp>
      <tp t="s">
        <v>#N/A Requesting Data...4259568231</v>
        <stp/>
        <stp>BDP|8563551864288786700</stp>
        <tr r="J1308" s="1"/>
        <tr r="J983" s="1"/>
      </tp>
      <tp t="s">
        <v>#N/A Requesting Data...4249854699</v>
        <stp/>
        <stp>BDP|8216905466644784707</stp>
        <tr r="AT655" s="1"/>
      </tp>
      <tp t="s">
        <v>#N/A Requesting Data...4209589508</v>
        <stp/>
        <stp>BDP|4570129322191227241</stp>
        <tr r="AT346" s="1"/>
      </tp>
      <tp t="s">
        <v>#N/A Requesting Data...4275685040</v>
        <stp/>
        <stp>BDP|1490013227574534342</stp>
        <tr r="E976" s="1"/>
      </tp>
      <tp t="s">
        <v>#N/A Requesting Data...4266304333</v>
        <stp/>
        <stp>BDP|7676647150209104903</stp>
        <tr r="J1546" s="1"/>
      </tp>
      <tp t="s">
        <v>#N/A Requesting Data...3965138286</v>
        <stp/>
        <stp>BDP|1600419061220397762</stp>
        <tr r="AT383" s="1"/>
      </tp>
      <tp t="s">
        <v>#N/A Requesting Data...4284596439</v>
        <stp/>
        <stp>BDP|7010564238100824556</stp>
        <tr r="H270" s="1"/>
      </tp>
      <tp t="s">
        <v>#N/A Requesting Data...4069945159</v>
        <stp/>
        <stp>BDP|1930461501152978344</stp>
        <tr r="AT405" s="1"/>
      </tp>
      <tp t="s">
        <v>#N/A Requesting Data...4270217210</v>
        <stp/>
        <stp>BDP|8639816473713690018</stp>
        <tr r="AV568" s="1"/>
      </tp>
      <tp t="s">
        <v>#N/A Requesting Data...4273212446</v>
        <stp/>
        <stp>BDP|4429963185791738037</stp>
        <tr r="E1746" s="1"/>
      </tp>
      <tp t="s">
        <v>#N/A Requesting Data...4279059789</v>
        <stp/>
        <stp>BDP|5934950952039808456</stp>
        <tr r="H913" s="1"/>
      </tp>
      <tp t="s">
        <v>#N/A Requesting Data...4033564745</v>
        <stp/>
        <stp>BDP|4480370228045186494</stp>
        <tr r="AT293" s="1"/>
      </tp>
      <tp t="s">
        <v>#N/A Requesting Data...4267851500</v>
        <stp/>
        <stp>BDP|2135905661280478977</stp>
        <tr r="H752" s="1"/>
      </tp>
      <tp t="s">
        <v>#N/A Requesting Data...4291344343</v>
        <stp/>
        <stp>BDP|9161747009108967261</stp>
        <tr r="J409" s="1"/>
      </tp>
      <tp t="s">
        <v>#N/A Requesting Data...4089774228</v>
        <stp/>
        <stp>BDP|7852454760578843966</stp>
        <tr r="AT430" s="1"/>
      </tp>
      <tp t="s">
        <v>#N/A Requesting Data...4254331582</v>
        <stp/>
        <stp>BDP|3754165140771710350</stp>
        <tr r="AT615" s="1"/>
      </tp>
      <tp t="s">
        <v>#N/A Requesting Data...4268872548</v>
        <stp/>
        <stp>BDP|1699727636226269700</stp>
        <tr r="H651" s="1"/>
      </tp>
      <tp t="s">
        <v>#N/A Requesting Data...4062729916</v>
        <stp/>
        <stp>BDP|3687612296599455150</stp>
        <tr r="AT407" s="1"/>
      </tp>
      <tp t="s">
        <v>#N/A Requesting Data...4281412390</v>
        <stp/>
        <stp>BDP|3072665426706290521</stp>
        <tr r="E1340" s="1"/>
        <tr r="E1817" s="1"/>
      </tp>
      <tp t="s">
        <v>#N/A Requesting Data...4272788477</v>
        <stp/>
        <stp>BDP|7311136451881330621</stp>
        <tr r="H292" s="1"/>
      </tp>
      <tp t="s">
        <v>#N/A Requesting Data...4291115796</v>
        <stp/>
        <stp>BDP|3948085453505712759</stp>
        <tr r="H326" s="1"/>
      </tp>
      <tp t="s">
        <v>#N/A Requesting Data...4272300794</v>
        <stp/>
        <stp>BDP|1421834894602462679</stp>
        <tr r="AR2051" s="1"/>
      </tp>
      <tp t="s">
        <v>#N/A Requesting Data...4294051648</v>
        <stp/>
        <stp>BDP|7329222074653599501</stp>
        <tr r="E1075" s="1"/>
        <tr r="E1122" s="1"/>
        <tr r="E1490" s="1"/>
        <tr r="E1597" s="1"/>
        <tr r="E1967" s="1"/>
      </tp>
      <tp t="s">
        <v>#N/A Requesting Data...4279900942</v>
        <stp/>
        <stp>BDP|8708776822388738157</stp>
        <tr r="H383" s="1"/>
      </tp>
      <tp t="s">
        <v>#N/A Requesting Data...4280058557</v>
        <stp/>
        <stp>BDP|9003067267469466251</stp>
        <tr r="H1086" s="1"/>
      </tp>
      <tp t="s">
        <v>#N/A Requesting Data...4287097387</v>
        <stp/>
        <stp>BDP|7495700225577706174</stp>
        <tr r="H329" s="1"/>
      </tp>
      <tp t="s">
        <v>#N/A Requesting Data...4239774727</v>
        <stp/>
        <stp>BDP|9122809256018164876</stp>
        <tr r="AT754" s="1"/>
      </tp>
      <tp t="s">
        <v>#N/A Requesting Data...4274187473</v>
        <stp/>
        <stp>BDP|7155580046451732399</stp>
        <tr r="E921" s="1"/>
      </tp>
      <tp t="s">
        <v>#N/A Requesting Data...4292109531</v>
        <stp/>
        <stp>BDP|1737779928328149880</stp>
        <tr r="E920" s="1"/>
      </tp>
      <tp t="s">
        <v>#N/A Requesting Data...4292482757</v>
        <stp/>
        <stp>BDP|1577544276777602008</stp>
        <tr r="J1051" s="1"/>
      </tp>
      <tp t="s">
        <v>#N/A Requesting Data...4277234222</v>
        <stp/>
        <stp>BDP|2483130667338576940</stp>
        <tr r="H852" s="1"/>
      </tp>
      <tp t="s">
        <v>#N/A Requesting Data...4281897772</v>
        <stp/>
        <stp>BDP|2507557836112382242</stp>
        <tr r="J687" s="1"/>
      </tp>
      <tp t="s">
        <v>#N/A Requesting Data...4289294835</v>
        <stp/>
        <stp>BDP|9344428441144662974</stp>
        <tr r="H1258" s="1"/>
      </tp>
      <tp t="s">
        <v>#N/A Requesting Data...4279729345</v>
        <stp/>
        <stp>BDP|2039093956611715299</stp>
        <tr r="J438" s="1"/>
      </tp>
      <tp t="s">
        <v>#N/A Requesting Data...4279038578</v>
        <stp/>
        <stp>BDP|1201589399450331910</stp>
        <tr r="J362" s="1"/>
      </tp>
      <tp t="s">
        <v>#N/A Requesting Data...4283584749</v>
        <stp/>
        <stp>BDP|5049689516834720289</stp>
        <tr r="AV916" s="1"/>
      </tp>
      <tp t="s">
        <v>#N/A Requesting Data...4293283249</v>
        <stp/>
        <stp>BDP|5634057612763279324</stp>
        <tr r="J1397" s="1"/>
      </tp>
      <tp t="s">
        <v>#N/A Requesting Data...4292914505</v>
        <stp/>
        <stp>BDP|8028817804271449507</stp>
        <tr r="E493" s="1"/>
      </tp>
      <tp t="s">
        <v>#N/A Requesting Data...4290966286</v>
        <stp/>
        <stp>BDP|5506247958752854402</stp>
        <tr r="E1301" s="1"/>
        <tr r="E975" s="1"/>
      </tp>
      <tp t="s">
        <v>#N/A Requesting Data...4290460050</v>
        <stp/>
        <stp>BDP|5480778042207524529</stp>
        <tr r="J316" s="1"/>
      </tp>
      <tp t="s">
        <v>#N/A Requesting Data...4287823192</v>
        <stp/>
        <stp>BDP|5783147584639442155</stp>
        <tr r="J514" s="1"/>
      </tp>
      <tp t="s">
        <v>#N/A Requesting Data...4288978216</v>
        <stp/>
        <stp>BDP|3037433398639904347</stp>
        <tr r="E1227" s="1"/>
      </tp>
      <tp t="s">
        <v>#N/A Requesting Data...4286323444</v>
        <stp/>
        <stp>BDP|1468251307001815687</stp>
        <tr r="J728" s="1"/>
      </tp>
      <tp t="s">
        <v>#N/A Requesting Data...4130168361</v>
        <stp/>
        <stp>BDP|4619160796728975091</stp>
        <tr r="AT625" s="1"/>
      </tp>
      <tp t="s">
        <v>#N/A Requesting Data...4291919937</v>
        <stp/>
        <stp>BDP|8793062212469492415</stp>
        <tr r="AV690" s="1"/>
      </tp>
      <tp t="s">
        <v>#N/A Requesting Data...4288887466</v>
        <stp/>
        <stp>BDP|7083625398978429485</stp>
        <tr r="H602" s="1"/>
      </tp>
      <tp t="s">
        <v>#N/A Requesting Data...4291106417</v>
        <stp/>
        <stp>BDP|2555568336885249513</stp>
        <tr r="J141" s="1"/>
      </tp>
      <tp t="s">
        <v>#N/A Requesting Data...4294829276</v>
        <stp/>
        <stp>BDP|4203385208792548113</stp>
        <tr r="H847" s="1"/>
      </tp>
      <tp t="s">
        <v>#N/A Requesting Data...4294434476</v>
        <stp/>
        <stp>BDP|1335766433152925392</stp>
        <tr r="H365" s="1"/>
      </tp>
      <tp t="s">
        <v>#N/A Requesting Data...4292067317</v>
        <stp/>
        <stp>BDP|5998439043554711580</stp>
        <tr r="J149" s="1"/>
      </tp>
      <tp t="s">
        <v>#N/A Requesting Data...4292207302</v>
        <stp/>
        <stp>BDP|1074298954184898631</stp>
        <tr r="J386" s="1"/>
      </tp>
      <tp t="s">
        <v>#N/A Requesting Data...4293272697</v>
        <stp/>
        <stp>BDP|7242678225653612412</stp>
        <tr r="AV743" s="1"/>
      </tp>
      <tp t="s">
        <v>#N/A Requesting Data...4294146529</v>
        <stp/>
        <stp>BDP|4350211725670324038</stp>
        <tr r="H342" s="1"/>
      </tp>
      <tp t="s">
        <v>#N/A Requesting Data...4294938089</v>
        <stp/>
        <stp>BDP|1754349003017014177</stp>
        <tr r="J637" s="1"/>
      </tp>
      <tp t="s">
        <v>#N/A Requesting Data...1285805877</v>
        <stp/>
        <stp>BDP|7292132564172276600</stp>
        <tr r="E937" s="1"/>
      </tp>
      <tp t="s">
        <v>#N/A Requesting Data...2183009667</v>
        <stp/>
        <stp>BDP|2746569114022572077</stp>
        <tr r="AV372" s="1"/>
      </tp>
      <tp t="s">
        <v>#N/A Requesting Data...4252660049</v>
        <stp/>
        <stp>BDP|4457176046672395710</stp>
        <tr r="AT667" s="1"/>
      </tp>
      <tp t="s">
        <v>#N/A Requesting Data...606970283</v>
        <stp/>
        <stp>BDP|1094537931234704720</stp>
        <tr r="H1506" s="1"/>
      </tp>
      <tp t="s">
        <v>#N/A Requesting Data...870059653</v>
        <stp/>
        <stp>BDP|3993676634342473094</stp>
        <tr r="J721" s="1"/>
      </tp>
      <tp t="s">
        <v>#N/A Requesting Data...2017898638</v>
        <stp/>
        <stp>BDP|2197961942068743353</stp>
        <tr r="J652" s="1"/>
      </tp>
      <tp t="s">
        <v>#N/A Requesting Data...4143432682</v>
        <stp/>
        <stp>BDP|8393943923112236516</stp>
        <tr r="J337" s="1"/>
      </tp>
      <tp t="s">
        <v>#N/A Requesting Data...2085256805</v>
        <stp/>
        <stp>BDP|5185483951550812071</stp>
        <tr r="H833" s="1"/>
      </tp>
      <tp t="s">
        <v>#N/A Requesting Data...462596352</v>
        <stp/>
        <stp>BDP|5592809796150491009</stp>
        <tr r="H854" s="1"/>
      </tp>
      <tp t="s">
        <v>#N/A Requesting Data...2350221327</v>
        <stp/>
        <stp>BDP|2468291317925596086</stp>
        <tr r="E421" s="1"/>
      </tp>
      <tp t="s">
        <v>#N/A Requesting Data...541250981</v>
        <stp/>
        <stp>BDP|4020066551604310133</stp>
        <tr r="J895" s="1"/>
      </tp>
      <tp t="s">
        <v>#N/A Requesting Data...1231745910</v>
        <stp/>
        <stp>BDP|1102037972274232655</stp>
        <tr r="J1641" s="1"/>
      </tp>
      <tp t="s">
        <v>#N/A Requesting Data...2919469522</v>
        <stp/>
        <stp>BDP|6065709321750528738</stp>
        <tr r="E105" s="1"/>
      </tp>
      <tp t="s">
        <v>#N/A Requesting Data...3104318399</v>
        <stp/>
        <stp>BDP|6914593746707233433</stp>
        <tr r="E606" s="1"/>
      </tp>
      <tp t="s">
        <v>#N/A Requesting Data...3278036432</v>
        <stp/>
        <stp>BDP|2951587324364575572</stp>
        <tr r="E851" s="1"/>
      </tp>
      <tp t="s">
        <v>#N/A Requesting Data...490618460</v>
        <stp/>
        <stp>BDP|7562309532675242629</stp>
        <tr r="H1080" s="1"/>
      </tp>
      <tp t="s">
        <v>#N/A Requesting Data...1518935480</v>
        <stp/>
        <stp>BDP|6105247956414563111</stp>
        <tr r="J1146" s="1"/>
        <tr r="J1657" s="1"/>
        <tr r="J1836" s="1"/>
        <tr r="J249" s="1"/>
        <tr r="J787" s="1"/>
      </tp>
      <tp t="s">
        <v>#N/A Requesting Data...2697563685</v>
        <stp/>
        <stp>BDP|4226449291389394436</stp>
        <tr r="AV368" s="1"/>
      </tp>
      <tp t="s">
        <v>#N/A Requesting Data...1611622897</v>
        <stp/>
        <stp>BDP|6602212412319716856</stp>
        <tr r="J1373" s="1"/>
        <tr r="J1434" s="1"/>
        <tr r="J54" s="1"/>
      </tp>
      <tp t="s">
        <v>#N/A Requesting Data...786165416</v>
        <stp/>
        <stp>BDP|5256968488787886734</stp>
        <tr r="E1246" s="1"/>
      </tp>
      <tp t="s">
        <v>#N/A Requesting Data...3018144419</v>
        <stp/>
        <stp>BDP|7498170132641717018</stp>
        <tr r="H697" s="1"/>
      </tp>
      <tp t="s">
        <v>#N/A Requesting Data...1139947915</v>
        <stp/>
        <stp>BDP|1850569358466245305</stp>
        <tr r="H2078" s="1"/>
      </tp>
      <tp t="s">
        <v>#N/A Requesting Data...3852798664</v>
        <stp/>
        <stp>BDP|7148059591513701963</stp>
        <tr r="J1000" s="1"/>
      </tp>
      <tp t="s">
        <v>#N/A Requesting Data...3322276359</v>
        <stp/>
        <stp>BDP|1620874501758036548</stp>
        <tr r="E188" s="1"/>
      </tp>
      <tp t="s">
        <v>#N/A Requesting Data...369693474</v>
        <stp/>
        <stp>BDP|5402988588534367431</stp>
        <tr r="H1951" s="1"/>
      </tp>
      <tp t="s">
        <v>#N/A Requesting Data...1531431281</v>
        <stp/>
        <stp>BDP|9099670221280143933</stp>
        <tr r="H92" s="1"/>
      </tp>
      <tp t="s">
        <v>#N/A Requesting Data...1415850117</v>
        <stp/>
        <stp>BDP|2885377051736834627</stp>
        <tr r="E1523" s="1"/>
        <tr r="E1644" s="1"/>
        <tr r="E1779" s="1"/>
      </tp>
      <tp t="s">
        <v>#N/A Requesting Data...2787942656</v>
        <stp/>
        <stp>BDP|1263735790848118344</stp>
        <tr r="H1452" s="1"/>
      </tp>
      <tp t="s">
        <v>#N/A Requesting Data...2543059298</v>
        <stp/>
        <stp>BDP|2047325592235196959</stp>
        <tr r="AU673" s="1"/>
      </tp>
      <tp t="s">
        <v>#N/A Requesting Data...2974429315</v>
        <stp/>
        <stp>BDP|4549138340546129338</stp>
        <tr r="AS1795" s="1"/>
      </tp>
      <tp t="s">
        <v>#N/A Requesting Data...2626400306</v>
        <stp/>
        <stp>BDP|5297951293769784874</stp>
        <tr r="H290" s="1"/>
      </tp>
      <tp t="s">
        <v>#N/A Requesting Data...150927895</v>
        <stp/>
        <stp>BDP|3053542592429557275</stp>
        <tr r="AU736" s="1"/>
      </tp>
      <tp t="s">
        <v>#N/A Requesting Data...1743261801</v>
        <stp/>
        <stp>BDP|9566840611483740733</stp>
        <tr r="H1215" s="1"/>
      </tp>
      <tp t="s">
        <v>#N/A Requesting Data...3071668000</v>
        <stp/>
        <stp>BDP|1282208560516286749</stp>
        <tr r="J350" s="1"/>
      </tp>
      <tp t="s">
        <v>#N/A Requesting Data...1268121930</v>
        <stp/>
        <stp>BDP|1687108871532555166</stp>
        <tr r="H301" s="1"/>
      </tp>
      <tp t="s">
        <v>#N/A Requesting Data...4072953634</v>
        <stp/>
        <stp>BDP|3422869232555213975</stp>
        <tr r="E604" s="1"/>
      </tp>
      <tp t="s">
        <v>#N/A Requesting Data...523697346</v>
        <stp/>
        <stp>BDP|5416083679870600660</stp>
        <tr r="J1572" s="1"/>
      </tp>
      <tp t="s">
        <v>#N/A Requesting Data...2122846243</v>
        <stp/>
        <stp>BDP|5047075157333184746</stp>
        <tr r="AV260" s="1"/>
      </tp>
      <tp t="s">
        <v>#N/A Requesting Data...2067833147</v>
        <stp/>
        <stp>BDP|4599447017415247012</stp>
        <tr r="J392" s="1"/>
      </tp>
      <tp t="s">
        <v>#N/A Requesting Data...3199468128</v>
        <stp/>
        <stp>BDP|7330156546086723028</stp>
        <tr r="E885" s="1"/>
      </tp>
      <tp t="s">
        <v>#N/A Requesting Data...873183229</v>
        <stp/>
        <stp>BDP|3065539174224097127</stp>
        <tr r="AV514" s="1"/>
      </tp>
      <tp t="s">
        <v>#N/A Requesting Data...2056052999</v>
        <stp/>
        <stp>BDP|8831856090685144894</stp>
        <tr r="E142" s="1"/>
      </tp>
      <tp t="s">
        <v>#N/A Requesting Data...1707098273</v>
        <stp/>
        <stp>BDP|7341422765697635670</stp>
        <tr r="E1568" s="1"/>
        <tr r="E57" s="1"/>
      </tp>
      <tp t="s">
        <v>#N/A Requesting Data...3388199821</v>
        <stp/>
        <stp>BDP|2888468255572783598</stp>
        <tr r="H260" s="1"/>
      </tp>
      <tp t="s">
        <v>#N/A Requesting Data...617454661</v>
        <stp/>
        <stp>BDP|1099359627373052773</stp>
        <tr r="AU755" s="1"/>
      </tp>
      <tp t="s">
        <v>#N/A Requesting Data...1754704357</v>
        <stp/>
        <stp>BDP|9415827742683639277</stp>
        <tr r="H642" s="1"/>
      </tp>
      <tp t="s">
        <v>#N/A Requesting Data...558626762</v>
        <stp/>
        <stp>BDP|9147746083083244110</stp>
        <tr r="E1097" s="1"/>
      </tp>
      <tp t="s">
        <v>#N/A Requesting Data...2232249957</v>
        <stp/>
        <stp>BDP|7886033179485068080</stp>
        <tr r="J410" s="1"/>
      </tp>
      <tp t="s">
        <v>#N/A Requesting Data...967472560</v>
        <stp/>
        <stp>BDP|7799905586533902020</stp>
        <tr r="J884" s="1"/>
      </tp>
      <tp t="s">
        <v>#N/A Requesting Data...3761296785</v>
        <stp/>
        <stp>BDP|7142823900843961901</stp>
        <tr r="E1925" s="1"/>
      </tp>
      <tp t="s">
        <v>#N/A Requesting Data...4037644718</v>
        <stp/>
        <stp>BDP|4985290459570768641</stp>
        <tr r="AT892" s="1"/>
      </tp>
      <tp t="s">
        <v>#N/A Requesting Data...125182473</v>
        <stp/>
        <stp>BDP|2445594011215587637</stp>
        <tr r="AV733" s="1"/>
      </tp>
      <tp t="s">
        <v>#N/A Requesting Data...4150967544</v>
        <stp/>
        <stp>BDP|4840589912335818000</stp>
        <tr r="AT858" s="1"/>
      </tp>
      <tp t="s">
        <v>#N/A Requesting Data...4200980564</v>
        <stp/>
        <stp>BDP|6313205628046531545</stp>
        <tr r="E288" s="1"/>
      </tp>
      <tp t="s">
        <v>#N/A Requesting Data...2201656996</v>
        <stp/>
        <stp>BDP|8161179247230970828</stp>
        <tr r="E221" s="1"/>
        <tr r="E276" s="1"/>
      </tp>
      <tp t="s">
        <v>#N/A Requesting Data...4010522636</v>
        <stp/>
        <stp>BDP|8965962592548268552</stp>
        <tr r="AT737" s="1"/>
      </tp>
      <tp t="s">
        <v>#N/A Requesting Data...3179545371</v>
        <stp/>
        <stp>BDP|1087693954733787401</stp>
        <tr r="J1685" s="1"/>
      </tp>
      <tp t="s">
        <v>#N/A Requesting Data...4205953032</v>
        <stp/>
        <stp>BDP|6163650274695824726</stp>
        <tr r="AT440" s="1"/>
      </tp>
      <tp t="s">
        <v>#N/A Requesting Data...1237327142</v>
        <stp/>
        <stp>BDP|1038293157422700133</stp>
        <tr r="J896" s="1"/>
      </tp>
      <tp t="s">
        <v>#N/A Requesting Data...768529557</v>
        <stp/>
        <stp>BDP|5538036569406771020</stp>
        <tr r="E1878" s="1"/>
      </tp>
      <tp t="s">
        <v>#N/A Requesting Data...1193755411</v>
        <stp/>
        <stp>BDP|5380370383099576296</stp>
        <tr r="H1633" s="1"/>
        <tr r="H1682" s="1"/>
        <tr r="H84" s="1"/>
      </tp>
      <tp t="s">
        <v>#N/A Requesting Data...4143390837</v>
        <stp/>
        <stp>BDP|4982216913084856684</stp>
        <tr r="J1789" s="1"/>
      </tp>
      <tp t="s">
        <v>#N/A Requesting Data...274272971</v>
        <stp/>
        <stp>BDP|9758606920148896044</stp>
        <tr r="H1132" s="1"/>
        <tr r="H1973" s="1"/>
        <tr r="H83" s="1"/>
      </tp>
      <tp t="s">
        <v>#N/A Requesting Data...3965637329</v>
        <stp/>
        <stp>BDP|5494898233538228379</stp>
        <tr r="E991" s="1"/>
      </tp>
      <tp t="s">
        <v>#N/A Requesting Data...1419756549</v>
        <stp/>
        <stp>BDP|2074193919923257496</stp>
        <tr r="H1762" s="1"/>
      </tp>
      <tp t="s">
        <v>#N/A Requesting Data...4007764729</v>
        <stp/>
        <stp>BDP|6845403880657667856</stp>
        <tr r="AU373" s="1"/>
      </tp>
      <tp t="s">
        <v>#N/A Requesting Data...1901972585</v>
        <stp/>
        <stp>BDP|2755152923745941133</stp>
        <tr r="AV589" s="1"/>
      </tp>
      <tp t="s">
        <v>#N/A Requesting Data...859037990</v>
        <stp/>
        <stp>BDP|5101151738701449334</stp>
        <tr r="E1498" s="1"/>
        <tr r="E1610" s="1"/>
      </tp>
      <tp t="s">
        <v>#N/A Requesting Data...3836639681</v>
        <stp/>
        <stp>BDP|4150858240774930951</stp>
        <tr r="E1600" s="1"/>
      </tp>
      <tp t="s">
        <v>#N/A Requesting Data...584337123</v>
        <stp/>
        <stp>BDP|9192813430011924610</stp>
        <tr r="H1043" s="1"/>
        <tr r="H79" s="1"/>
      </tp>
      <tp t="s">
        <v>#N/A Requesting Data...2342398847</v>
        <stp/>
        <stp>BDP|5061633342860843213</stp>
        <tr r="J313" s="1"/>
      </tp>
      <tp t="s">
        <v>#N/A Requesting Data...243631401</v>
        <stp/>
        <stp>BDP|5460487455834116505</stp>
        <tr r="H187" s="1"/>
        <tr r="H1945" s="1"/>
        <tr r="H40" s="1"/>
      </tp>
      <tp t="s">
        <v>#N/A Requesting Data...4164501290</v>
        <stp/>
        <stp>BDP|7634426157917835432</stp>
        <tr r="J650" s="1"/>
      </tp>
      <tp t="s">
        <v>#N/A Requesting Data...643283209</v>
        <stp/>
        <stp>BDP|2964138446354195658</stp>
        <tr r="AS1473" s="1"/>
      </tp>
      <tp t="s">
        <v>#N/A Requesting Data...1777776337</v>
        <stp/>
        <stp>BDP|9835029237087424814</stp>
        <tr r="AS2042" s="1"/>
      </tp>
      <tp t="s">
        <v>#N/A Requesting Data...4100142212</v>
        <stp/>
        <stp>BDP|9491911669430447307</stp>
        <tr r="AT368" s="1"/>
      </tp>
      <tp t="s">
        <v>#N/A Requesting Data...3034682394</v>
        <stp/>
        <stp>BDP|1725335833830950465</stp>
        <tr r="AV859" s="1"/>
      </tp>
      <tp t="s">
        <v>#N/A Requesting Data...1678963333</v>
        <stp/>
        <stp>BDP|5571188278455538387</stp>
        <tr r="AV534" s="1"/>
      </tp>
      <tp t="s">
        <v>#N/A Requesting Data...3244254160</v>
        <stp/>
        <stp>BDP|4042030639361314318</stp>
        <tr r="E1936" s="1"/>
      </tp>
      <tp t="s">
        <v>#N/A Requesting Data...4279637332</v>
        <stp/>
        <stp>BDP|8336098934766551837</stp>
        <tr r="H1492" s="1"/>
      </tp>
      <tp t="s">
        <v>#N/A Requesting Data...4218238813</v>
        <stp/>
        <stp>BDP|2849049340090681324</stp>
        <tr r="AT283" s="1"/>
      </tp>
      <tp t="s">
        <v>#N/A Requesting Data...3764881040</v>
        <stp/>
        <stp>BDP|3179786188671959807</stp>
        <tr r="AR2033" s="1"/>
      </tp>
      <tp t="s">
        <v>#N/A Requesting Data...1116626926</v>
        <stp/>
        <stp>BDP|4568989594023484250</stp>
        <tr r="E1092" s="1"/>
        <tr r="E1982" s="1"/>
      </tp>
      <tp t="s">
        <v>#N/A Requesting Data...3205694739</v>
        <stp/>
        <stp>BDP|4487935074419343694</stp>
        <tr r="AO2000" s="1"/>
      </tp>
      <tp t="s">
        <v>#N/A Requesting Data...4200304398</v>
        <stp/>
        <stp>BDP|6964518156767574426</stp>
        <tr r="E583" s="1"/>
      </tp>
      <tp t="s">
        <v>#N/A Requesting Data...4257702748</v>
        <stp/>
        <stp>BDP|2644818419717326942</stp>
        <tr r="AT564" s="1"/>
      </tp>
      <tp t="s">
        <v>#N/A Requesting Data...1348302661</v>
        <stp/>
        <stp>BDP|7334906839478181024</stp>
        <tr r="H1408" s="1"/>
        <tr r="H1976" s="1"/>
      </tp>
      <tp t="s">
        <v>#N/A Requesting Data...4279546956</v>
        <stp/>
        <stp>BDP|7664066544904551283</stp>
        <tr r="AT675" s="1"/>
      </tp>
      <tp t="s">
        <v>#N/A Requesting Data...2085570836</v>
        <stp/>
        <stp>BDP|4996043772181218744</stp>
        <tr r="AU327" s="1"/>
      </tp>
      <tp t="s">
        <v>#N/A Requesting Data...1639752752</v>
        <stp/>
        <stp>BDP|6848259864667494042</stp>
        <tr r="AV652" s="1"/>
      </tp>
      <tp t="s">
        <v>#N/A Requesting Data...927692462</v>
        <stp/>
        <stp>BDP|7576486514791821687</stp>
        <tr r="AU875" s="1"/>
      </tp>
      <tp t="s">
        <v>#N/A Requesting Data...3304116811</v>
        <stp/>
        <stp>BDP|2829133246387733533</stp>
        <tr r="J1502" s="1"/>
        <tr r="J1622" s="1"/>
      </tp>
      <tp t="s">
        <v>#N/A Requesting Data...835509482</v>
        <stp/>
        <stp>BDP|1421653627071911164</stp>
        <tr r="J726" s="1"/>
      </tp>
      <tp t="s">
        <v>#N/A Requesting Data...3090528495</v>
        <stp/>
        <stp>BDP|1066105363530832322</stp>
        <tr r="H1282" s="1"/>
        <tr r="H960" s="1"/>
      </tp>
      <tp t="s">
        <v>#N/A Requesting Data...4165642738</v>
        <stp/>
        <stp>BDP|9736572440755929803</stp>
        <tr r="J1189" s="1"/>
      </tp>
      <tp t="s">
        <v>#N/A Requesting Data...3046599130</v>
        <stp/>
        <stp>BDP|2067970187975871361</stp>
        <tr r="J113" s="1"/>
      </tp>
      <tp t="s">
        <v>#N/A Requesting Data...708858995</v>
        <stp/>
        <stp>BDP|4566688041401144236</stp>
        <tr r="E353" s="1"/>
      </tp>
      <tp t="s">
        <v>#N/A Requesting Data...1967181823</v>
        <stp/>
        <stp>BDP|3014937918199798726</stp>
        <tr r="J1847" s="1"/>
        <tr r="J2059" s="1"/>
      </tp>
      <tp t="s">
        <v>#N/A Requesting Data...985822524</v>
        <stp/>
        <stp>BDP|2336595815153063019</stp>
        <tr r="J501" s="1"/>
      </tp>
      <tp t="s">
        <v>#N/A Requesting Data...217944725</v>
        <stp/>
        <stp>BDP|1081163299988804499</stp>
        <tr r="H747" s="1"/>
      </tp>
      <tp t="s">
        <v>#N/A Requesting Data...3231724082</v>
        <stp/>
        <stp>BDP|8339928925232320496</stp>
        <tr r="AU468" s="1"/>
      </tp>
      <tp t="s">
        <v>#N/A Requesting Data...3399469956</v>
        <stp/>
        <stp>BDP|6576892090192780050</stp>
        <tr r="E1128" s="1"/>
        <tr r="E1628" s="1"/>
        <tr r="E784" s="1"/>
        <tr r="E81" s="1"/>
      </tp>
      <tp t="s">
        <v>#N/A Requesting Data...3542656610</v>
        <stp/>
        <stp>BDP|5464889393612192302</stp>
        <tr r="H1517" s="1"/>
      </tp>
      <tp t="s">
        <v>#N/A Requesting Data...3431617282</v>
        <stp/>
        <stp>BDP|4071753878484700542</stp>
        <tr r="J740" s="1"/>
      </tp>
      <tp t="s">
        <v>#N/A Requesting Data...3584256967</v>
        <stp/>
        <stp>BDP|8591599492080217123</stp>
        <tr r="H1680" s="1"/>
      </tp>
      <tp t="s">
        <v>#N/A Requesting Data...1504498661</v>
        <stp/>
        <stp>BDP|4137546136032848556</stp>
        <tr r="H1501" s="1"/>
        <tr r="H1619" s="1"/>
      </tp>
      <tp t="s">
        <v>#N/A Requesting Data...1207524984</v>
        <stp/>
        <stp>BDP|4268732313063577495</stp>
        <tr r="E627" s="1"/>
      </tp>
      <tp t="s">
        <v>#N/A Requesting Data...575696426</v>
        <stp/>
        <stp>BDP|9082296920294219847</stp>
        <tr r="H1538" s="1"/>
      </tp>
      <tp t="s">
        <v>#N/A Requesting Data...992218863</v>
        <stp/>
        <stp>BDP|2617636645861634491</stp>
        <tr r="AR1467" s="1"/>
      </tp>
      <tp t="s">
        <v>#N/A Requesting Data...457139554</v>
        <stp/>
        <stp>BDP|6568300529296412474</stp>
        <tr r="E754" s="1"/>
      </tp>
      <tp t="s">
        <v>#N/A Requesting Data...138077273</v>
        <stp/>
        <stp>BDP|4241925447085880908</stp>
        <tr r="J2056" s="1"/>
      </tp>
      <tp t="s">
        <v>#N/A Requesting Data...4277997052</v>
        <stp/>
        <stp>BDP|8171559947215557998</stp>
        <tr r="H571" s="1"/>
      </tp>
      <tp t="s">
        <v>#N/A Requesting Data...416498885</v>
        <stp/>
        <stp>BDP|9343520043545905841</stp>
        <tr r="J182" s="1"/>
        <tr r="J1927" s="1"/>
        <tr r="J34" s="1"/>
        <tr r="J939" s="1"/>
      </tp>
      <tp t="s">
        <v>#N/A Requesting Data...2607227419</v>
        <stp/>
        <stp>BDP|7975627327922797443</stp>
        <tr r="J801" s="1"/>
      </tp>
      <tp t="s">
        <v>#N/A Requesting Data...2438920100</v>
        <stp/>
        <stp>BDP|1948768771954356023</stp>
        <tr r="J1489" s="1"/>
      </tp>
      <tp t="s">
        <v>#N/A Requesting Data...4182980847</v>
        <stp/>
        <stp>BDP|5963825351888002558</stp>
        <tr r="E11" s="1"/>
      </tp>
      <tp t="s">
        <v>#N/A Requesting Data...235621174</v>
        <stp/>
        <stp>BDP|7447705520983330488</stp>
        <tr r="AU380" s="1"/>
      </tp>
      <tp t="s">
        <v>#N/A Requesting Data...653202245</v>
        <stp/>
        <stp>BDP|8664862925717330095</stp>
        <tr r="H984" s="1"/>
      </tp>
      <tp t="s">
        <v>#N/A Requesting Data...1699119277</v>
        <stp/>
        <stp>BDP|4255497325207336027</stp>
        <tr r="AV660" s="1"/>
      </tp>
      <tp t="s">
        <v>#N/A Requesting Data...3474670329</v>
        <stp/>
        <stp>BDP|4314707927250962426</stp>
        <tr r="H582" s="1"/>
      </tp>
      <tp t="s">
        <v>#N/A Requesting Data...4010862496</v>
        <stp/>
        <stp>BDP|7948113950036212051</stp>
        <tr r="E212" s="1"/>
      </tp>
      <tp t="s">
        <v>#N/A Requesting Data...1954111346</v>
        <stp/>
        <stp>BDP|9897035181402134673</stp>
        <tr r="H515" s="1"/>
      </tp>
      <tp t="s">
        <v>#N/A Requesting Data...558429003</v>
        <stp/>
        <stp>BDP|3097997944983055819</stp>
        <tr r="J157" s="1"/>
      </tp>
      <tp t="s">
        <v>#N/A Requesting Data...669561843</v>
        <stp/>
        <stp>BDP|7448357646304883132</stp>
        <tr r="AU590" s="1"/>
      </tp>
      <tp t="s">
        <v>#N/A Requesting Data...1729454912</v>
        <stp/>
        <stp>BDP|7118666138716189125</stp>
        <tr r="E373" s="1"/>
      </tp>
      <tp t="s">
        <v>#N/A Requesting Data...734643617</v>
        <stp/>
        <stp>BDP|4828158719989880804</stp>
        <tr r="J210" s="1"/>
      </tp>
      <tp t="s">
        <v>#N/A Requesting Data...4254730305</v>
        <stp/>
        <stp>BDP|8594481620612313920</stp>
        <tr r="AU902" s="1"/>
      </tp>
      <tp t="s">
        <v>#N/A Requesting Data...1941705501</v>
        <stp/>
        <stp>BDP|8382072238038014605</stp>
        <tr r="H380" s="1"/>
      </tp>
      <tp t="s">
        <v>#N/A Requesting Data...740647946</v>
        <stp/>
        <stp>BDP|7709334234277884540</stp>
        <tr r="J542" s="1"/>
      </tp>
      <tp t="s">
        <v>#N/A Requesting Data...4201066505</v>
        <stp/>
        <stp>BDP|2763850476000905816</stp>
        <tr r="AT526" s="1"/>
      </tp>
      <tp t="s">
        <v>#N/A Requesting Data...3176993624</v>
        <stp/>
        <stp>BDP|1818973475062554837</stp>
        <tr r="E1427" s="1"/>
      </tp>
      <tp t="s">
        <v>#N/A Requesting Data...4242456704</v>
        <stp/>
        <stp>BDP|6795383989601386994</stp>
        <tr r="AT220" s="1"/>
      </tp>
      <tp t="s">
        <v>#N/A Requesting Data...3846477668</v>
        <stp/>
        <stp>BDP|2404961689492536425</stp>
        <tr r="AV876" s="1"/>
      </tp>
      <tp t="s">
        <v>#N/A Requesting Data...381459828</v>
        <stp/>
        <stp>BDP|1133314112844792293</stp>
        <tr r="E1113" s="1"/>
      </tp>
      <tp t="s">
        <v>#N/A Requesting Data...3648029247</v>
        <stp/>
        <stp>BDP|1360687313184703735</stp>
        <tr r="H403" s="1"/>
      </tp>
      <tp t="s">
        <v>#N/A Requesting Data...3715198310</v>
        <stp/>
        <stp>BDP|5584952922792723998</stp>
        <tr r="E1671" s="1"/>
        <tr r="E1854" s="1"/>
      </tp>
      <tp t="s">
        <v>#N/A Requesting Data...806455771</v>
        <stp/>
        <stp>BDP|1246266604066455081</stp>
        <tr r="H692" s="1"/>
      </tp>
      <tp t="s">
        <v>#N/A Requesting Data...3037204420</v>
        <stp/>
        <stp>BDP|6711552868410405021</stp>
        <tr r="E450" s="1"/>
      </tp>
      <tp t="s">
        <v>#N/A Requesting Data...1097775680</v>
        <stp/>
        <stp>BDP|6437210334696457488</stp>
        <tr r="H1350" s="1"/>
      </tp>
      <tp t="s">
        <v>#N/A Requesting Data...4219578092</v>
        <stp/>
        <stp>BDP|4277263736821916166</stp>
        <tr r="AT873" s="1"/>
      </tp>
      <tp t="s">
        <v>#N/A Requesting Data...2685605507</v>
        <stp/>
        <stp>BDP|1561519457560890468</stp>
        <tr r="J988" s="1"/>
      </tp>
      <tp t="s">
        <v>#N/A Requesting Data...1440507495</v>
        <stp/>
        <stp>BDP|3991565063767612276</stp>
        <tr r="H11" s="1"/>
      </tp>
      <tp t="s">
        <v>#N/A Requesting Data...993260626</v>
        <stp/>
        <stp>BDP|6782791610346438376</stp>
        <tr r="J724" s="1"/>
      </tp>
      <tp t="s">
        <v>#N/A Requesting Data...855007012</v>
        <stp/>
        <stp>BDP|3600718415563726381</stp>
        <tr r="AV389" s="1"/>
      </tp>
      <tp t="s">
        <v>#N/A Requesting Data...3179932634</v>
        <stp/>
        <stp>BDP|3326401268686607204</stp>
        <tr r="H507" s="1"/>
      </tp>
      <tp t="s">
        <v>#N/A Requesting Data...586970736</v>
        <stp/>
        <stp>BDP|2136227254456208680</stp>
        <tr r="J1669" s="1"/>
      </tp>
      <tp t="s">
        <v>#N/A Requesting Data...4100862797</v>
        <stp/>
        <stp>BDP|8885608050267318960</stp>
        <tr r="E1001" s="1"/>
      </tp>
      <tp t="s">
        <v>#N/A Requesting Data...3962013334</v>
        <stp/>
        <stp>BDP|2047672949203402671</stp>
        <tr r="AP1795" s="1"/>
      </tp>
      <tp t="s">
        <v>#N/A Requesting Data...3451380188</v>
        <stp/>
        <stp>BDP|5901269662036174218</stp>
        <tr r="E512" s="1"/>
      </tp>
      <tp t="s">
        <v>#N/A Requesting Data...3466584919</v>
        <stp/>
        <stp>BDP|8773693217723452900</stp>
        <tr r="E328" s="1"/>
      </tp>
      <tp t="s">
        <v>#N/A Requesting Data...3377261610</v>
        <stp/>
        <stp>BDP|9007928661841719297</stp>
        <tr r="E167" s="1"/>
        <tr r="E226" s="1"/>
      </tp>
      <tp t="s">
        <v>#N/A Requesting Data...3512478788</v>
        <stp/>
        <stp>BDP|1721155758848808806</stp>
        <tr r="AU904" s="1"/>
      </tp>
      <tp t="s">
        <v>#N/A Requesting Data...953311088</v>
        <stp/>
        <stp>BDP|7959296155962212753</stp>
        <tr r="J1088" s="1"/>
      </tp>
      <tp t="s">
        <v>#N/A Requesting Data...3829227088</v>
        <stp/>
        <stp>BDP|2856021116384993271</stp>
        <tr r="H1428" s="1"/>
      </tp>
      <tp t="s">
        <v>#N/A Requesting Data...2517675157</v>
        <stp/>
        <stp>BDP|1448165838453965513</stp>
        <tr r="E1792" s="1"/>
      </tp>
      <tp t="s">
        <v>#N/A Requesting Data...4055401469</v>
        <stp/>
        <stp>BDP|5270170470412336443</stp>
        <tr r="E1403" s="1"/>
        <tr r="E1443" s="1"/>
      </tp>
      <tp t="s">
        <v>#N/A Requesting Data...2352436439</v>
        <stp/>
        <stp>BDP|6343112888779035381</stp>
        <tr r="J238" s="1"/>
      </tp>
      <tp t="s">
        <v>#N/A Requesting Data...736895932</v>
        <stp/>
        <stp>BDP|1420267371492510345</stp>
        <tr r="H1651" s="1"/>
        <tr r="H98" s="1"/>
      </tp>
      <tp t="s">
        <v>#N/A Requesting Data...3884512580</v>
        <stp/>
        <stp>BDP|4447747063388041812</stp>
        <tr r="J1231" s="1"/>
      </tp>
      <tp t="s">
        <v>#N/A Requesting Data...4088623542</v>
        <stp/>
        <stp>BDP|8731980028886376075</stp>
        <tr r="E511" s="1"/>
      </tp>
      <tp t="s">
        <v>#N/A Requesting Data...2623452506</v>
        <stp/>
        <stp>BDP|2425743269842815420</stp>
        <tr r="AU644" s="1"/>
      </tp>
      <tp t="s">
        <v>#N/A Requesting Data...1933440541</v>
        <stp/>
        <stp>BDP|4086018660356494162</stp>
        <tr r="AP2033" s="1"/>
      </tp>
      <tp t="s">
        <v>#N/A Requesting Data...791097791</v>
        <stp/>
        <stp>BDP|2776065999928203693</stp>
        <tr r="H723" s="1"/>
      </tp>
      <tp t="s">
        <v>#N/A Requesting Data...687358819</v>
        <stp/>
        <stp>BDP|6153934789197057588</stp>
        <tr r="E688" s="1"/>
      </tp>
      <tp t="s">
        <v>#N/A Requesting Data...842570825</v>
        <stp/>
        <stp>BDP|3317651873720088761</stp>
        <tr r="H707" s="1"/>
      </tp>
      <tp t="s">
        <v>#N/A Requesting Data...180709128</v>
        <stp/>
        <stp>BDP|9712867319347936228</stp>
        <tr r="J1138" s="1"/>
        <tr r="J90" s="1"/>
      </tp>
      <tp t="s">
        <v>#N/A Requesting Data...746242186</v>
        <stp/>
        <stp>BDP|6673466301286431161</stp>
        <tr r="J1965" s="1"/>
      </tp>
      <tp t="s">
        <v>#N/A Requesting Data...2647018030</v>
        <stp/>
        <stp>BDP|4601344489529854307</stp>
        <tr r="H845" s="1"/>
      </tp>
      <tp t="s">
        <v>#N/A Requesting Data...3283292266</v>
        <stp/>
        <stp>BDP|2987292373080716278</stp>
        <tr r="J1238" s="1"/>
      </tp>
      <tp t="s">
        <v>#N/A Requesting Data...2831787928</v>
        <stp/>
        <stp>BDP|4331915045024302873</stp>
        <tr r="AV425" s="1"/>
      </tp>
      <tp t="s">
        <v>#N/A Requesting Data...153259915</v>
        <stp/>
        <stp>BDP|2816569433899679880</stp>
        <tr r="E734" s="1"/>
      </tp>
      <tp t="s">
        <v>#N/A Requesting Data...2208133459</v>
        <stp/>
        <stp>BDP|2171761092219459026</stp>
        <tr r="H245" s="1"/>
      </tp>
      <tp t="s">
        <v>#N/A Requesting Data...3009650195</v>
        <stp/>
        <stp>BDP|9292924814425678127</stp>
        <tr r="AV366" s="1"/>
      </tp>
      <tp t="s">
        <v>#N/A Requesting Data...3079328870</v>
        <stp/>
        <stp>BDP|3688188101104603398</stp>
        <tr r="J567" s="1"/>
      </tp>
      <tp t="s">
        <v>#N/A Requesting Data...1838451906</v>
        <stp/>
        <stp>BDP|4885724031267903226</stp>
        <tr r="E979" s="1"/>
      </tp>
      <tp t="s">
        <v>#N/A Requesting Data...4258058711</v>
        <stp/>
        <stp>BDP|9216483048544384814</stp>
        <tr r="AT307" s="1"/>
      </tp>
      <tp t="s">
        <v>#N/A Requesting Data...239362368</v>
        <stp/>
        <stp>BDP|6990007916784773685</stp>
        <tr r="J899" s="1"/>
      </tp>
      <tp t="s">
        <v>#N/A Requesting Data...3547506109</v>
        <stp/>
        <stp>BDP|6559709255293364232</stp>
        <tr r="J1016" s="1"/>
        <tr r="J1277" s="1"/>
        <tr r="J1335" s="1"/>
        <tr r="J1709" s="1"/>
        <tr r="J1740" s="1"/>
        <tr r="J829" s="1"/>
      </tp>
      <tp t="s">
        <v>#N/A Requesting Data...2787917184</v>
        <stp/>
        <stp>BDP|2350036431175591141</stp>
        <tr r="AV671" s="1"/>
      </tp>
      <tp t="s">
        <v>#N/A Requesting Data...331114231</v>
        <stp/>
        <stp>BDP|3501752917066183660</stp>
        <tr r="J130" s="1"/>
      </tp>
      <tp t="s">
        <v>#N/A Requesting Data...1704298077</v>
        <stp/>
        <stp>BDP|2664571268225982101</stp>
        <tr r="AV440" s="1"/>
      </tp>
      <tp t="s">
        <v>#N/A Requesting Data...4044132022</v>
        <stp/>
        <stp>BDP|4452960753215883890</stp>
        <tr r="E649" s="1"/>
      </tp>
      <tp t="s">
        <v>#N/A Requesting Data...1962053854</v>
        <stp/>
        <stp>BDP|2017479453822202461</stp>
        <tr r="AU456" s="1"/>
      </tp>
      <tp t="s">
        <v>#N/A Requesting Data...2200748198</v>
        <stp/>
        <stp>BDP|2213800057148134243</stp>
        <tr r="H335" s="1"/>
      </tp>
      <tp t="s">
        <v>#N/A Requesting Data...1387693922</v>
        <stp/>
        <stp>BDP|3173078481147390945</stp>
        <tr r="E956" s="1"/>
      </tp>
      <tp t="s">
        <v>#N/A Requesting Data...191954774</v>
        <stp/>
        <stp>BDP|5018924990025314513</stp>
        <tr r="J510" s="1"/>
      </tp>
      <tp t="s">
        <v>#N/A Requesting Data...231126323</v>
        <stp/>
        <stp>BDP|2829336648352456275</stp>
        <tr r="H662" s="1"/>
      </tp>
      <tp t="s">
        <v>#N/A Requesting Data...2165682756</v>
        <stp/>
        <stp>BDP|1854415409204431458</stp>
        <tr r="J2087" s="1"/>
      </tp>
      <tp t="s">
        <v>#N/A Requesting Data...4229298680</v>
        <stp/>
        <stp>BDP|4671741940380477278</stp>
        <tr r="AT449" s="1"/>
      </tp>
      <tp t="s">
        <v>#N/A Requesting Data...2011480786</v>
        <stp/>
        <stp>BDP|4500564056955340474</stp>
        <tr r="J1410" s="1"/>
      </tp>
      <tp t="s">
        <v>#N/A Requesting Data...316964911</v>
        <stp/>
        <stp>BDP|1329978195423230721</stp>
        <tr r="AS2036" s="1"/>
      </tp>
      <tp t="s">
        <v>#N/A Requesting Data...1972385554</v>
        <stp/>
        <stp>BDP|8672109847358815083</stp>
        <tr r="H963" s="1"/>
      </tp>
      <tp t="s">
        <v>#N/A Requesting Data...1212587705</v>
        <stp/>
        <stp>BDP|6241826086341267257</stp>
        <tr r="J688" s="1"/>
      </tp>
      <tp t="s">
        <v>#N/A Requesting Data...2578029390</v>
        <stp/>
        <stp>BDP|3405356096679756510</stp>
        <tr r="AU464" s="1"/>
      </tp>
      <tp t="s">
        <v>#N/A Requesting Data...1186988282</v>
        <stp/>
        <stp>BDP|3906142164313948210</stp>
        <tr r="AU878" s="1"/>
      </tp>
      <tp t="s">
        <v>#N/A Requesting Data...1488253853</v>
        <stp/>
        <stp>BDP|8692915145882546267</stp>
        <tr r="AU269" s="1"/>
      </tp>
      <tp t="s">
        <v>#N/A Requesting Data...3407866964</v>
        <stp/>
        <stp>BDP|7852164772810578488</stp>
        <tr r="E660" s="1"/>
      </tp>
      <tp t="s">
        <v>#N/A Requesting Data...1672214731</v>
        <stp/>
        <stp>BDP|3262012450541678240</stp>
        <tr r="H1934" s="1"/>
      </tp>
      <tp t="s">
        <v>#N/A Requesting Data...3836999548</v>
        <stp/>
        <stp>BDP|3447458486698426251</stp>
        <tr r="H837" s="1"/>
      </tp>
      <tp t="s">
        <v>#N/A Requesting Data...3467724805</v>
        <stp/>
        <stp>BDP|2682391232077343085</stp>
        <tr r="E52" s="1"/>
      </tp>
      <tp t="s">
        <v>#N/A Requesting Data...1995630425</v>
        <stp/>
        <stp>BDP|2340703278586914148</stp>
        <tr r="E913" s="1"/>
      </tp>
      <tp t="s">
        <v>#N/A Requesting Data...1735250337</v>
        <stp/>
        <stp>BDP|6659155201857521511</stp>
        <tr r="H938" s="1"/>
      </tp>
      <tp t="s">
        <v>#N/A Requesting Data...3579131244</v>
        <stp/>
        <stp>BDP|6352032240296687107</stp>
        <tr r="J368" s="1"/>
      </tp>
      <tp t="s">
        <v>#N/A Requesting Data...3606306493</v>
        <stp/>
        <stp>BDP|3773523140094062338</stp>
        <tr r="AU400" s="1"/>
      </tp>
      <tp t="s">
        <v>#N/A Requesting Data...723167676</v>
        <stp/>
        <stp>BDP|2847744016829542891</stp>
        <tr r="H22" s="1"/>
      </tp>
      <tp t="s">
        <v>#N/A Requesting Data...2110700935</v>
        <stp/>
        <stp>BDP|2730613426372673109</stp>
        <tr r="E1147" s="1"/>
      </tp>
      <tp t="s">
        <v>#N/A Requesting Data...1356563075</v>
        <stp/>
        <stp>BDP|6032970699855846600</stp>
        <tr r="AV371" s="1"/>
      </tp>
      <tp t="s">
        <v>#N/A Requesting Data...4276384098</v>
        <stp/>
        <stp>BDP|7280064263724403054</stp>
        <tr r="AT592" s="1"/>
      </tp>
      <tp t="s">
        <v>#N/A Requesting Data...1363316295</v>
        <stp/>
        <stp>BDP|4621786243760984225</stp>
        <tr r="AV688" s="1"/>
      </tp>
      <tp t="s">
        <v>#N/A Requesting Data...3290658573</v>
        <stp/>
        <stp>BDP|1248790721204929556</stp>
        <tr r="AU609" s="1"/>
      </tp>
      <tp t="s">
        <v>#N/A Requesting Data...3137340270</v>
        <stp/>
        <stp>BDP|8353258414377282962</stp>
        <tr r="H121" s="1"/>
      </tp>
      <tp t="s">
        <v>#N/A Requesting Data...1839167482</v>
        <stp/>
        <stp>BDP|3189831729869504585</stp>
        <tr r="AU533" s="1"/>
      </tp>
      <tp t="s">
        <v>#N/A Requesting Data...1656545744</v>
        <stp/>
        <stp>BDP|6510156402295136752</stp>
        <tr r="J2061" s="1"/>
      </tp>
      <tp t="s">
        <v>#N/A Requesting Data...1408464892</v>
        <stp/>
        <stp>BDP|4006563193469492479</stp>
        <tr r="AV680" s="1"/>
      </tp>
      <tp t="s">
        <v>#N/A Requesting Data...1698129754</v>
        <stp/>
        <stp>BDP|3817021000752406481</stp>
        <tr r="J1897" s="1"/>
      </tp>
      <tp t="s">
        <v>#N/A Requesting Data...975482254</v>
        <stp/>
        <stp>BDP|5141234221415746526</stp>
        <tr r="H435" s="1"/>
      </tp>
      <tp t="s">
        <v>#N/A Requesting Data...300234039</v>
        <stp/>
        <stp>BDP|1060475383568759055</stp>
        <tr r="J351" s="1"/>
      </tp>
      <tp t="s">
        <v>#N/A Requesting Data...1567586033</v>
        <stp/>
        <stp>BDP|3140742312380985094</stp>
        <tr r="H632" s="1"/>
      </tp>
      <tp t="s">
        <v>#N/A Requesting Data...4150706636</v>
        <stp/>
        <stp>BDP|3207513246281413669</stp>
        <tr r="H1821" s="1"/>
      </tp>
      <tp t="s">
        <v>#N/A Requesting Data...3893257987</v>
        <stp/>
        <stp>BDP|4876789939255766091</stp>
        <tr r="H1047" s="1"/>
      </tp>
      <tp t="s">
        <v>#N/A Requesting Data...3615027947</v>
        <stp/>
        <stp>BDP|7980793096334024810</stp>
        <tr r="AU300" s="1"/>
      </tp>
      <tp t="s">
        <v>#N/A Requesting Data...4146101402</v>
        <stp/>
        <stp>BDP|2786951197997697043</stp>
        <tr r="E1772" s="1"/>
      </tp>
      <tp t="s">
        <v>#N/A Requesting Data...3082842918</v>
        <stp/>
        <stp>BDP|4522638143775450664</stp>
        <tr r="AU710" s="1"/>
      </tp>
      <tp t="s">
        <v>#N/A Requesting Data...1681940132</v>
        <stp/>
        <stp>BDP|2256397701804468093</stp>
        <tr r="J394" s="1"/>
      </tp>
      <tp t="s">
        <v>#N/A Requesting Data...2000309465</v>
        <stp/>
        <stp>BDP|8141249517607026957</stp>
        <tr r="H1036" s="1"/>
        <tr r="H799" s="1"/>
      </tp>
      <tp t="s">
        <v>#N/A Requesting Data...958851990</v>
        <stp/>
        <stp>BDP|5130302537418410855</stp>
        <tr r="AV284" s="1"/>
      </tp>
      <tp t="s">
        <v>#N/A Requesting Data...4112111652</v>
        <stp/>
        <stp>BDP|2775057332044179067</stp>
        <tr r="AU389" s="1"/>
      </tp>
      <tp t="s">
        <v>#N/A Requesting Data...4282090903</v>
        <stp/>
        <stp>BDP|3445710660546408162</stp>
        <tr r="AT216" s="1"/>
      </tp>
      <tp t="s">
        <v>#N/A Requesting Data...4267654990</v>
        <stp/>
        <stp>BDP|6740455406497176021</stp>
        <tr r="AT417" s="1"/>
      </tp>
      <tp t="s">
        <v>#N/A Requesting Data...3853537636</v>
        <stp/>
        <stp>BDP|7915684492665076846</stp>
        <tr r="E1102" s="1"/>
        <tr r="E1565" s="1"/>
        <tr r="E1842" s="1"/>
        <tr r="E51" s="1"/>
      </tp>
      <tp t="s">
        <v>#N/A Requesting Data...1400557316</v>
        <stp/>
        <stp>BDP|1039863226046061872</stp>
        <tr r="H188" s="1"/>
      </tp>
      <tp t="s">
        <v>#N/A Requesting Data...1843245542</v>
        <stp/>
        <stp>BDP|6236297077750813635</stp>
        <tr r="AS1467" s="1"/>
      </tp>
      <tp t="s">
        <v>#N/A Requesting Data...4176622667</v>
        <stp/>
        <stp>BDP|8778368799466859179</stp>
        <tr r="AT556" s="1"/>
      </tp>
      <tp t="s">
        <v>#N/A Requesting Data...1871504565</v>
        <stp/>
        <stp>BDP|7644278777243782460</stp>
        <tr r="H357" s="1"/>
      </tp>
      <tp t="s">
        <v>#N/A Requesting Data...3517319839</v>
        <stp/>
        <stp>BDP|9630437812319486049</stp>
        <tr r="E409" s="1"/>
      </tp>
      <tp t="s">
        <v>#N/A Requesting Data...4235517878</v>
        <stp/>
        <stp>BDP|5697533801314287117</stp>
        <tr r="E17" s="1"/>
      </tp>
      <tp t="s">
        <v>#N/A Requesting Data...1440473829</v>
        <stp/>
        <stp>BDP|7474390847876675381</stp>
        <tr r="H1280" s="1"/>
        <tr r="H1569" s="1"/>
        <tr r="H228" s="1"/>
        <tr r="H781" s="1"/>
      </tp>
      <tp t="s">
        <v>#N/A Requesting Data...285203967</v>
        <stp/>
        <stp>BDP|2786271476694528677</stp>
        <tr r="J1978" s="1"/>
      </tp>
      <tp t="s">
        <v>#N/A Requesting Data...1409829123</v>
        <stp/>
        <stp>BDP|7510639995019059470</stp>
        <tr r="J320" s="1"/>
      </tp>
      <tp t="s">
        <v>#N/A Requesting Data...692225176</v>
        <stp/>
        <stp>BDP|6058737561452330058</stp>
        <tr r="J1100" s="1"/>
      </tp>
      <tp t="s">
        <v>#N/A Requesting Data...471618981</v>
        <stp/>
        <stp>BDP|1584575672665549310</stp>
        <tr r="E1684" s="1"/>
      </tp>
      <tp t="s">
        <v>#N/A Requesting Data...2779425896</v>
        <stp/>
        <stp>BDP|6367782560334864670</stp>
        <tr r="E732" s="1"/>
      </tp>
      <tp t="s">
        <v>#N/A Requesting Data...1108441711</v>
        <stp/>
        <stp>BDP|7654777945169577855</stp>
        <tr r="AU1464" s="1"/>
        <tr r="AU1723" s="1"/>
        <tr r="AU793" s="1"/>
      </tp>
      <tp t="s">
        <v>#N/A Requesting Data...3531960221</v>
        <stp/>
        <stp>BDP|5057265608313901130</stp>
        <tr r="E266" s="1"/>
      </tp>
      <tp t="s">
        <v>#N/A Requesting Data...1996125246</v>
        <stp/>
        <stp>BDP|8610373224334737860</stp>
        <tr r="H436" s="1"/>
      </tp>
      <tp t="s">
        <v>#N/A Requesting Data...2669909404</v>
        <stp/>
        <stp>BDP|6181955316923741814</stp>
        <tr r="J548" s="1"/>
      </tp>
      <tp t="s">
        <v>#N/A Requesting Data...3839716880</v>
        <stp/>
        <stp>BDP|7026455417875152260</stp>
        <tr r="E840" s="1"/>
      </tp>
      <tp t="s">
        <v>#N/A Requesting Data...4246204074</v>
        <stp/>
        <stp>BDP|9104144943991331803</stp>
        <tr r="AT924" s="1"/>
      </tp>
      <tp t="s">
        <v>#N/A Requesting Data...3745534497</v>
        <stp/>
        <stp>BDP|6377425911037370168</stp>
        <tr r="AU303" s="1"/>
      </tp>
      <tp t="s">
        <v>#N/A Requesting Data...3037294283</v>
        <stp/>
        <stp>BDP|7268467851451598250</stp>
        <tr r="E1249" s="1"/>
      </tp>
      <tp t="s">
        <v>#N/A Requesting Data...3842053525</v>
        <stp/>
        <stp>BDP|5832774049076798541</stp>
        <tr r="E426" s="1"/>
      </tp>
      <tp t="s">
        <v>#N/A Requesting Data...797272141</v>
        <stp/>
        <stp>BDP|1209771416283452128</stp>
        <tr r="AP2048" s="1"/>
      </tp>
      <tp t="s">
        <v>#N/A Requesting Data...3265045356</v>
        <stp/>
        <stp>BDP|1214957003614269937</stp>
        <tr r="H924" s="1"/>
      </tp>
      <tp t="s">
        <v>#N/A Requesting Data...3518763212</v>
        <stp/>
        <stp>BDP|9717803790499571470</stp>
        <tr r="E801" s="1"/>
      </tp>
      <tp t="s">
        <v>#N/A Requesting Data...4207016224</v>
        <stp/>
        <stp>BDP|4233871286127053666</stp>
        <tr r="AT589" s="1"/>
      </tp>
      <tp t="s">
        <v>#N/A Requesting Data...1955159882</v>
        <stp/>
        <stp>BDP|1035201150000338361</stp>
        <tr r="AU443" s="1"/>
      </tp>
      <tp t="s">
        <v>#N/A Requesting Data...4243756511</v>
        <stp/>
        <stp>BDP|5717725661218258930</stp>
        <tr r="AT432" s="1"/>
      </tp>
      <tp t="s">
        <v>#N/A Requesting Data...564795761</v>
        <stp/>
        <stp>BDP|4509342238368520991</stp>
        <tr r="H601" s="1"/>
      </tp>
      <tp t="s">
        <v>#N/A Requesting Data...2888381660</v>
        <stp/>
        <stp>BDP|4806944884513868350</stp>
        <tr r="AU1016" s="1"/>
        <tr r="AU1277" s="1"/>
        <tr r="AU1335" s="1"/>
        <tr r="AU1709" s="1"/>
        <tr r="AU1740" s="1"/>
        <tr r="AU829" s="1"/>
      </tp>
      <tp t="s">
        <v>#N/A Requesting Data...2794672120</v>
        <stp/>
        <stp>BDP|7352156771632156636</stp>
        <tr r="E255" s="1"/>
      </tp>
      <tp t="s">
        <v>#N/A Requesting Data...2309521942</v>
        <stp/>
        <stp>BDP|2840470460334904131</stp>
        <tr r="J615" s="1"/>
      </tp>
      <tp t="s">
        <v>#N/A Requesting Data...2558217491</v>
        <stp/>
        <stp>BDP|8036011373498575227</stp>
        <tr r="AP1470" s="1"/>
      </tp>
      <tp t="s">
        <v>#N/A Requesting Data...2003639596</v>
        <stp/>
        <stp>BDP|8889505975404224852</stp>
        <tr r="AV711" s="1"/>
      </tp>
      <tp t="s">
        <v>#N/A Requesting Data...3776126540</v>
        <stp/>
        <stp>BDP|3872805863753761869</stp>
        <tr r="H359" s="1"/>
      </tp>
      <tp t="s">
        <v>#N/A Requesting Data...3655034910</v>
        <stp/>
        <stp>BDP|2481685542196446002</stp>
        <tr r="J706" s="1"/>
      </tp>
      <tp t="s">
        <v>#N/A Requesting Data...3796120117</v>
        <stp/>
        <stp>BDP|5700034991543882977</stp>
        <tr r="AV857" s="1"/>
      </tp>
      <tp t="s">
        <v>#N/A Requesting Data...4168228791</v>
        <stp/>
        <stp>BDP|8850853820204235056</stp>
        <tr r="E1497" s="1"/>
        <tr r="E1605" s="1"/>
      </tp>
      <tp t="s">
        <v>#N/A Requesting Data...1360746936</v>
        <stp/>
        <stp>BDP|8007953620695866073</stp>
        <tr r="AV762" s="1"/>
      </tp>
      <tp t="s">
        <v>#N/A Requesting Data...2047679732</v>
        <stp/>
        <stp>BDP|4052413274223724282</stp>
        <tr r="AU751" s="1"/>
      </tp>
      <tp t="s">
        <v>#N/A Requesting Data...3593869649</v>
        <stp/>
        <stp>BDP|4068950766584807917</stp>
        <tr r="J674" s="1"/>
      </tp>
      <tp t="s">
        <v>#N/A Requesting Data...1595739764</v>
        <stp/>
        <stp>BDP|1022188834722260752</stp>
        <tr r="H1532" s="1"/>
      </tp>
      <tp t="s">
        <v>#N/A Requesting Data...4069175564</v>
        <stp/>
        <stp>BDP|4984075973882385755</stp>
        <tr r="J1256" s="1"/>
      </tp>
      <tp t="s">
        <v>#N/A Requesting Data...2935941192</v>
        <stp/>
        <stp>BDP|2279998890590302432</stp>
        <tr r="H127" s="1"/>
      </tp>
      <tp t="s">
        <v>#N/A Requesting Data...1656895004</v>
        <stp/>
        <stp>BDP|4752549159526037410</stp>
        <tr r="E592" s="1"/>
      </tp>
      <tp t="s">
        <v>#N/A Requesting Data...2404893697</v>
        <stp/>
        <stp>BDP|7580197084721557960</stp>
        <tr r="J1029" s="1"/>
      </tp>
      <tp t="s">
        <v>#N/A Requesting Data...2599395250</v>
        <stp/>
        <stp>BDP|7580428362852941170</stp>
        <tr r="AU572" s="1"/>
      </tp>
      <tp t="s">
        <v>#N/A Requesting Data...2272292346</v>
        <stp/>
        <stp>BDP|4294020803136838404</stp>
        <tr r="E1061" s="1"/>
      </tp>
      <tp t="s">
        <v>#N/A Requesting Data...2519138446</v>
        <stp/>
        <stp>BDP|6584267665192460696</stp>
        <tr r="J527" s="1"/>
      </tp>
      <tp t="s">
        <v>#N/A Requesting Data...3478856764</v>
        <stp/>
        <stp>BDP|3155567734065161694</stp>
        <tr r="AU434" s="1"/>
      </tp>
      <tp t="s">
        <v>#N/A Requesting Data...882574441</v>
        <stp/>
        <stp>BDP|6040674349327685538</stp>
        <tr r="E1571" s="1"/>
      </tp>
      <tp t="s">
        <v>#N/A Requesting Data...1828529283</v>
        <stp/>
        <stp>BDP|1502239875591889307</stp>
        <tr r="E62" s="1"/>
      </tp>
      <tp t="s">
        <v>#N/A Requesting Data...2574189280</v>
        <stp/>
        <stp>BDP|5379787315204712126</stp>
        <tr r="E1108" s="1"/>
        <tr r="E927" s="1"/>
      </tp>
      <tp t="s">
        <v>#N/A Requesting Data...701679957</v>
        <stp/>
        <stp>BDP|7763181770263467404</stp>
        <tr r="J604" s="1"/>
      </tp>
      <tp t="s">
        <v>#N/A Requesting Data...719231868</v>
        <stp/>
        <stp>BDP|4238842186663252194</stp>
        <tr r="E13" s="1"/>
        <tr r="E1844" s="1"/>
      </tp>
      <tp t="s">
        <v>#N/A Requesting Data...3684582871</v>
        <stp/>
        <stp>BDP|8630901579060580022</stp>
        <tr r="H898" s="1"/>
      </tp>
      <tp t="s">
        <v>#N/A Requesting Data...2406191849</v>
        <stp/>
        <stp>BDP|6246333824744483592</stp>
        <tr r="AR1743" s="1"/>
      </tp>
      <tp t="s">
        <v>#N/A Requesting Data...1870437753</v>
        <stp/>
        <stp>BDP|1695154554695835677</stp>
        <tr r="H1236" s="1"/>
      </tp>
      <tp t="s">
        <v>#N/A Requesting Data...1634679867</v>
        <stp/>
        <stp>BDP|5538133729158160868</stp>
        <tr r="H1349" s="1"/>
      </tp>
      <tp t="s">
        <v>#N/A Requesting Data...3421947171</v>
        <stp/>
        <stp>BDP|1486583037300131125</stp>
        <tr r="E1675" s="1"/>
      </tp>
      <tp t="s">
        <v>#N/A Requesting Data...3061053861</v>
        <stp/>
        <stp>BDP|5383823968368045512</stp>
        <tr r="E1263" s="1"/>
      </tp>
      <tp t="s">
        <v>#N/A Requesting Data...2216731689</v>
        <stp/>
        <stp>BDP|8271910305167757092</stp>
        <tr r="H738" s="1"/>
      </tp>
      <tp t="s">
        <v>#N/A Requesting Data...2588941894</v>
        <stp/>
        <stp>BDP|1805765310502408321</stp>
        <tr r="AV487" s="1"/>
      </tp>
      <tp t="s">
        <v>#N/A Requesting Data...853435348</v>
        <stp/>
        <stp>BDP|9915485441398946712</stp>
        <tr r="AV529" s="1"/>
      </tp>
      <tp t="s">
        <v>#N/A Requesting Data...2814460159</v>
        <stp/>
        <stp>BDP|5947844354737140901</stp>
        <tr r="H1346" s="1"/>
      </tp>
      <tp t="s">
        <v>#N/A Requesting Data...924692215</v>
        <stp/>
        <stp>BDP|9021997630352069715</stp>
        <tr r="AU907" s="1"/>
      </tp>
      <tp t="s">
        <v>#N/A Requesting Data...3153103033</v>
        <stp/>
        <stp>BDP|3781296370331410128</stp>
        <tr r="AV894" s="1"/>
      </tp>
      <tp t="s">
        <v>#N/A Requesting Data...2102418908</v>
        <stp/>
        <stp>BDP|4453292662161561724</stp>
        <tr r="J1509" s="1"/>
      </tp>
      <tp t="s">
        <v>#N/A Requesting Data...739434531</v>
        <stp/>
        <stp>BDP|9103922850103968023</stp>
        <tr r="J1074" s="1"/>
      </tp>
      <tp t="s">
        <v>#N/A Requesting Data...2261374579</v>
        <stp/>
        <stp>BDP|5738247978124297204</stp>
        <tr r="E989" s="1"/>
      </tp>
      <tp t="s">
        <v>#N/A Requesting Data...2293175643</v>
        <stp/>
        <stp>BDP|8417740400980153985</stp>
        <tr r="AV470" s="1"/>
      </tp>
      <tp t="s">
        <v>#N/A Requesting Data...649959307</v>
        <stp/>
        <stp>BDP|4696215921390957261</stp>
        <tr r="J1497" s="1"/>
        <tr r="J1605" s="1"/>
      </tp>
      <tp t="s">
        <v>#N/A Requesting Data...1780155172</v>
        <stp/>
        <stp>BDP|8331868288779028745</stp>
        <tr r="J229" s="1"/>
      </tp>
      <tp t="s">
        <v>#N/A Requesting Data...4247716093</v>
        <stp/>
        <stp>BDP|1285674321741425294</stp>
        <tr r="E352" s="1"/>
      </tp>
      <tp t="s">
        <v>#N/A Requesting Data...1535295107</v>
        <stp/>
        <stp>BDP|5331910018658331308</stp>
        <tr r="J845" s="1"/>
      </tp>
      <tp t="s">
        <v>#N/A Requesting Data...1193090443</v>
        <stp/>
        <stp>BDP|5955381117027887672</stp>
        <tr r="E495" s="1"/>
      </tp>
      <tp t="s">
        <v>#N/A Requesting Data...483324373</v>
        <stp/>
        <stp>BDP|3011920577123575899</stp>
        <tr r="H394" s="1"/>
      </tp>
      <tp t="s">
        <v>#N/A Requesting Data...485969257</v>
        <stp/>
        <stp>BDP|9043430679139129527</stp>
        <tr r="E750" s="1"/>
      </tp>
      <tp t="s">
        <v>#N/A Requesting Data...1536259552</v>
        <stp/>
        <stp>BDP|2944554540901189443</stp>
        <tr r="AU256" s="1"/>
      </tp>
      <tp t="s">
        <v>#N/A Requesting Data...2361306531</v>
        <stp/>
        <stp>BDP|7988253074741631578</stp>
        <tr r="J2089" s="1"/>
      </tp>
      <tp t="s">
        <v>#N/A Requesting Data...1998106239</v>
        <stp/>
        <stp>BDP|1259769335333807075</stp>
        <tr r="J162" s="1"/>
      </tp>
      <tp t="s">
        <v>#N/A Requesting Data...1178102451</v>
        <stp/>
        <stp>BDP|8365380674143310929</stp>
        <tr r="AO6" s="1"/>
      </tp>
      <tp t="s">
        <v>#N/A Requesting Data...2997578474</v>
        <stp/>
        <stp>BDP|1873037208603412497</stp>
        <tr r="H894" s="1"/>
      </tp>
      <tp t="s">
        <v>#N/A Requesting Data...4214818492</v>
        <stp/>
        <stp>BDP|4184399520204069765</stp>
        <tr r="AT206" s="1"/>
      </tp>
      <tp t="s">
        <v>#N/A Requesting Data...2628070302</v>
        <stp/>
        <stp>BDP|4273583963750100165</stp>
        <tr r="AV580" s="1"/>
      </tp>
      <tp t="s">
        <v>#N/A Requesting Data...2347706332</v>
        <stp/>
        <stp>BDP|7397479220463996424</stp>
        <tr r="E404" s="1"/>
      </tp>
      <tp t="s">
        <v>#N/A Requesting Data...2463421989</v>
        <stp/>
        <stp>BDP|2986609456416245128</stp>
        <tr r="J1134" s="1"/>
        <tr r="J1634" s="1"/>
        <tr r="J241" s="1"/>
        <tr r="J786" s="1"/>
        <tr r="J86" s="1"/>
      </tp>
      <tp t="s">
        <v>#N/A Requesting Data...3383540062</v>
        <stp/>
        <stp>BDP|1659157164946045686</stp>
        <tr r="AU674" s="1"/>
      </tp>
      <tp t="s">
        <v>#N/A Requesting Data...2046504415</v>
        <stp/>
        <stp>BDP|8194448890861361296</stp>
        <tr r="E268" s="1"/>
      </tp>
      <tp t="s">
        <v>#N/A Requesting Data...2376658894</v>
        <stp/>
        <stp>BDP|1800059662546107714</stp>
        <tr r="AV351" s="1"/>
      </tp>
      <tp t="s">
        <v>#N/A Requesting Data...4291293160</v>
        <stp/>
        <stp>BDP|7751022755993610797</stp>
        <tr r="AT280" s="1"/>
      </tp>
      <tp t="s">
        <v>#N/A Requesting Data...2459950330</v>
        <stp/>
        <stp>BDP|2474641084973242997</stp>
        <tr r="H1112" s="1"/>
        <tr r="H1486" s="1"/>
        <tr r="H1582" s="1"/>
      </tp>
      <tp t="s">
        <v>#N/A Requesting Data...1570087577</v>
        <stp/>
        <stp>BDP|6402291375776402339</stp>
        <tr r="E875" s="1"/>
      </tp>
      <tp t="s">
        <v>#N/A Requesting Data...4259979635</v>
        <stp/>
        <stp>BDP|8559369693220819471</stp>
        <tr r="AT656" s="1"/>
      </tp>
      <tp t="s">
        <v>#N/A Requesting Data...4285892038</v>
        <stp/>
        <stp>BDP|4394868287906907449</stp>
        <tr r="AT462" s="1"/>
      </tp>
      <tp t="s">
        <v>#N/A Requesting Data...1179090812</v>
        <stp/>
        <stp>BDP|7452118967930911644</stp>
        <tr r="H1755" s="1"/>
      </tp>
      <tp t="s">
        <v>#N/A Requesting Data...601441801</v>
        <stp/>
        <stp>BDP|2271786407384157737</stp>
        <tr r="E1961" s="1"/>
      </tp>
      <tp t="s">
        <v>#N/A Requesting Data...4256185941</v>
        <stp/>
        <stp>BDP|8259316880191965450</stp>
        <tr r="AT221" s="1"/>
        <tr r="AT276" s="1"/>
      </tp>
      <tp t="s">
        <v>#N/A Requesting Data...4274592251</v>
        <stp/>
        <stp>BDP|3477328993678970738</stp>
        <tr r="AT203" s="1"/>
      </tp>
      <tp t="s">
        <v>#N/A Requesting Data...369819960</v>
        <stp/>
        <stp>BDP|7642635974865981549</stp>
        <tr r="AU421" s="1"/>
      </tp>
      <tp t="s">
        <v>#N/A Requesting Data...4230059760</v>
        <stp/>
        <stp>BDP|3051112946658288892</stp>
        <tr r="AT639" s="1"/>
      </tp>
      <tp t="s">
        <v>#N/A Requesting Data...738953429</v>
        <stp/>
        <stp>BDP|5829955531968952191</stp>
        <tr r="H1222" s="1"/>
      </tp>
      <tp t="s">
        <v>#N/A Requesting Data...3175541791</v>
        <stp/>
        <stp>BDP|8304276298605051008</stp>
        <tr r="E208" s="1"/>
      </tp>
      <tp t="s">
        <v>#N/A Requesting Data...1955590925</v>
        <stp/>
        <stp>BDP|2065650549912702470</stp>
        <tr r="J663" s="1"/>
      </tp>
      <tp t="s">
        <v>#N/A Requesting Data...859312668</v>
        <stp/>
        <stp>BDP|3763760411777573499</stp>
        <tr r="E995" s="1"/>
      </tp>
      <tp t="s">
        <v>#N/A Requesting Data...2123878636</v>
        <stp/>
        <stp>BDP|9987923889147964973</stp>
        <tr r="H481" s="1"/>
      </tp>
      <tp t="s">
        <v>#N/A Requesting Data...2035920737</v>
        <stp/>
        <stp>BDP|9541197158349032282</stp>
        <tr r="H1952" s="1"/>
      </tp>
      <tp t="s">
        <v>#N/A Requesting Data...595554314</v>
        <stp/>
        <stp>BDP|6102680644475614774</stp>
        <tr r="E551" s="1"/>
      </tp>
      <tp t="s">
        <v>#N/A Requesting Data...4284720852</v>
        <stp/>
        <stp>BDP|1215493122566771723</stp>
        <tr r="AT726" s="1"/>
      </tp>
      <tp t="s">
        <v>#N/A Requesting Data...3950069694</v>
        <stp/>
        <stp>BDP|6435590309184819106</stp>
        <tr r="E841" s="1"/>
      </tp>
      <tp t="s">
        <v>#N/A Requesting Data...4108949701</v>
        <stp/>
        <stp>BDP|2299111291074874868</stp>
        <tr r="H1248" s="1"/>
      </tp>
      <tp t="s">
        <v>#N/A Requesting Data...2034721421</v>
        <stp/>
        <stp>BDP|5174227169382103575</stp>
        <tr r="E1435" s="1"/>
      </tp>
      <tp t="s">
        <v>#N/A Requesting Data...4246972989</v>
        <stp/>
        <stp>BDP|6824672789338969633</stp>
        <tr r="AT837" s="1"/>
      </tp>
      <tp t="s">
        <v>#N/A Requesting Data...4230693623</v>
        <stp/>
        <stp>BDP|1353888590107367157</stp>
        <tr r="AT761" s="1"/>
      </tp>
      <tp t="s">
        <v>#N/A Requesting Data...2028650773</v>
        <stp/>
        <stp>BDP|8012933228327243249</stp>
        <tr r="AU657" s="1"/>
      </tp>
      <tp t="s">
        <v>#N/A Requesting Data...2794787159</v>
        <stp/>
        <stp>BDP|7600198058675261086</stp>
        <tr r="H1246" s="1"/>
      </tp>
      <tp t="s">
        <v>#N/A Requesting Data...3269993070</v>
        <stp/>
        <stp>BDP|9997435276168905483</stp>
        <tr r="E1058" s="1"/>
      </tp>
      <tp t="s">
        <v>#N/A Requesting Data...1095128655</v>
        <stp/>
        <stp>BDP|4468510622296390393</stp>
        <tr r="AU357" s="1"/>
      </tp>
      <tp t="s">
        <v>#N/A Requesting Data...1788106848</v>
        <stp/>
        <stp>BDP|1558090058892161085</stp>
        <tr r="J26" s="1"/>
      </tp>
      <tp t="s">
        <v>#N/A Requesting Data...3159295428</v>
        <stp/>
        <stp>BDP|2076260078005212416</stp>
        <tr r="J2077" s="1"/>
      </tp>
      <tp t="s">
        <v>#N/A Requesting Data...1864407954</v>
        <stp/>
        <stp>BDP|2490213506775607388</stp>
        <tr r="J1831" s="1"/>
      </tp>
      <tp t="s">
        <v>#N/A Requesting Data...3094930833</v>
        <stp/>
        <stp>BDP|5764601757885588581</stp>
        <tr r="E461" s="1"/>
      </tp>
      <tp t="s">
        <v>#N/A Requesting Data...3306147470</v>
        <stp/>
        <stp>BDP|7995249300043031005</stp>
        <tr r="H1879" s="1"/>
      </tp>
      <tp t="s">
        <v>#N/A Requesting Data...818760165</v>
        <stp/>
        <stp>BDP|3072161124474190212</stp>
        <tr r="E758" s="1"/>
      </tp>
      <tp t="s">
        <v>#N/A Requesting Data...2645731452</v>
        <stp/>
        <stp>BDP|6133431909620193484</stp>
        <tr r="J636" s="1"/>
      </tp>
      <tp t="s">
        <v>#N/A Requesting Data...4292932177</v>
        <stp/>
        <stp>BDP|6061366795332227839</stp>
        <tr r="AT706" s="1"/>
      </tp>
      <tp t="s">
        <v>#N/A Requesting Data...4275334692</v>
        <stp/>
        <stp>BDP|4088577426095718045</stp>
        <tr r="AT839" s="1"/>
      </tp>
      <tp t="s">
        <v>#N/A Requesting Data...901034581</v>
        <stp/>
        <stp>BDP|3773744080622970888</stp>
        <tr r="H1533" s="1"/>
      </tp>
      <tp t="s">
        <v>#N/A Requesting Data...2127290425</v>
        <stp/>
        <stp>BDP|6735743750627331529</stp>
        <tr r="H1685" s="1"/>
      </tp>
      <tp t="s">
        <v>#N/A Requesting Data...2001283515</v>
        <stp/>
        <stp>BDP|7217769567809099915</stp>
        <tr r="H855" s="1"/>
      </tp>
      <tp t="s">
        <v>#N/A Requesting Data...4141926293</v>
        <stp/>
        <stp>BDP|7387598649252967285</stp>
        <tr r="H1067" s="1"/>
      </tp>
      <tp t="s">
        <v>#N/A Requesting Data...4276382443</v>
        <stp/>
        <stp>BDP|3579457322225556656</stp>
        <tr r="AT645" s="1"/>
      </tp>
      <tp t="s">
        <v>#N/A Requesting Data...3467699091</v>
        <stp/>
        <stp>BDP|1397277143787105648</stp>
        <tr r="H1214" s="1"/>
      </tp>
      <tp t="s">
        <v>#N/A Requesting Data...2904176986</v>
        <stp/>
        <stp>BDP|3001802294357175376</stp>
        <tr r="AU918" s="1"/>
      </tp>
      <tp t="s">
        <v>#N/A Requesting Data...468086149</v>
        <stp/>
        <stp>BDP|4619670403752768674</stp>
        <tr r="J281" s="1"/>
      </tp>
      <tp t="s">
        <v>#N/A Requesting Data...496037344</v>
        <stp/>
        <stp>BDP|8757139907527843899</stp>
        <tr r="AU752" s="1"/>
      </tp>
      <tp t="s">
        <v>#N/A Requesting Data...2094849214</v>
        <stp/>
        <stp>BDP|7897564829067521116</stp>
        <tr r="J366" s="1"/>
      </tp>
      <tp t="s">
        <v>#N/A Requesting Data...528573093</v>
        <stp/>
        <stp>BDP|8517752286913144246</stp>
        <tr r="E623" s="1"/>
      </tp>
      <tp t="s">
        <v>#N/A Requesting Data...2779487101</v>
        <stp/>
        <stp>BDP|1350976356058902388</stp>
        <tr r="E149" s="1"/>
      </tp>
      <tp t="s">
        <v>#N/A Requesting Data...3162076298</v>
        <stp/>
        <stp>BDP|7517125263305343349</stp>
        <tr r="E1346" s="1"/>
      </tp>
      <tp t="s">
        <v>#N/A Requesting Data...1967655507</v>
        <stp/>
        <stp>BDP|3655467597831041943</stp>
        <tr r="E662" s="1"/>
      </tp>
      <tp t="s">
        <v>#N/A Requesting Data...3709084748</v>
        <stp/>
        <stp>BDP|5877374202916946670</stp>
        <tr r="AU892" s="1"/>
      </tp>
      <tp t="s">
        <v>#N/A Requesting Data...1731603228</v>
        <stp/>
        <stp>BDP|5379743014975604063</stp>
        <tr r="J289" s="1"/>
      </tp>
      <tp t="s">
        <v>#N/A Requesting Data...1091600318</v>
        <stp/>
        <stp>BDP|9537804424597191239</stp>
        <tr r="AV883" s="1"/>
      </tp>
      <tp t="s">
        <v>#N/A Requesting Data...3843908322</v>
        <stp/>
        <stp>BDP|9573987267110911005</stp>
        <tr r="E417" s="1"/>
      </tp>
      <tp t="s">
        <v>#N/A Requesting Data...3201775174</v>
        <stp/>
        <stp>BDP|7099687202282997501</stp>
        <tr r="H223" s="1"/>
      </tp>
      <tp t="s">
        <v>#N/A Requesting Data...3409748730</v>
        <stp/>
        <stp>BDP|3306775148860631699</stp>
        <tr r="H1484" s="1"/>
      </tp>
      <tp t="s">
        <v>#N/A Requesting Data...1384349787</v>
        <stp/>
        <stp>BDP|4298642630384741314</stp>
        <tr r="AV493" s="1"/>
      </tp>
      <tp t="s">
        <v>#N/A Requesting Data...1526379038</v>
        <stp/>
        <stp>BDP|2789343732475358120</stp>
        <tr r="AU520" s="1"/>
      </tp>
      <tp t="s">
        <v>#N/A Requesting Data...1085864051</v>
        <stp/>
        <stp>BDP|4635205377273079419</stp>
        <tr r="H1030" s="1"/>
      </tp>
      <tp t="s">
        <v>#N/A Requesting Data...893287152</v>
        <stp/>
        <stp>BDP|9301769862936492834</stp>
        <tr r="E485" s="1"/>
      </tp>
      <tp t="s">
        <v>#N/A Requesting Data...1775521587</v>
        <stp/>
        <stp>BDP|7618225962685357058</stp>
        <tr r="J662" s="1"/>
      </tp>
      <tp t="s">
        <v>#N/A Requesting Data...2206438113</v>
        <stp/>
        <stp>BDP|9733688936028901205</stp>
        <tr r="E457" s="1"/>
      </tp>
      <tp t="s">
        <v>#N/A Requesting Data...2133109823</v>
        <stp/>
        <stp>BDP|4092154996602729848</stp>
        <tr r="J949" s="1"/>
      </tp>
      <tp t="s">
        <v>#N/A Requesting Data...3819998167</v>
        <stp/>
        <stp>BDP|3512414067082359501</stp>
        <tr r="E295" s="1"/>
      </tp>
      <tp t="s">
        <v>#N/A Requesting Data...4278748407</v>
        <stp/>
        <stp>BDP|7483678406402111545</stp>
        <tr r="AT613" s="1"/>
      </tp>
      <tp t="s">
        <v>#N/A Requesting Data...2100968186</v>
        <stp/>
        <stp>BDP|4283605305833132764</stp>
        <tr r="J1133" s="1"/>
        <tr r="J1406" s="1"/>
        <tr r="J1444" s="1"/>
      </tp>
      <tp t="s">
        <v>#N/A Requesting Data...481657185</v>
        <stp/>
        <stp>BDP|6392102353972312636</stp>
        <tr r="E466" s="1"/>
      </tp>
      <tp t="s">
        <v>#N/A Requesting Data...3651525359</v>
        <stp/>
        <stp>BDP|2577756172430062424</stp>
        <tr r="H1865" s="1"/>
      </tp>
      <tp t="s">
        <v>#N/A Requesting Data...2913554618</v>
        <stp/>
        <stp>BDP|3853925479709264217</stp>
        <tr r="AV331" s="1"/>
      </tp>
      <tp t="s">
        <v>#N/A Requesting Data...592769104</v>
        <stp/>
        <stp>BDP|8389971811770560611</stp>
        <tr r="AU715" s="1"/>
      </tp>
      <tp t="s">
        <v>#N/A Requesting Data...2245773170</v>
        <stp/>
        <stp>BDP|5804866568379785405</stp>
        <tr r="E612" s="1"/>
      </tp>
      <tp t="s">
        <v>#N/A Requesting Data...4257748342</v>
        <stp/>
        <stp>BDP|9209758812460426903</stp>
        <tr r="AP1997" s="1"/>
      </tp>
      <tp t="s">
        <v>#N/A Requesting Data...4059481249</v>
        <stp/>
        <stp>BDP|3696504857695124014</stp>
        <tr r="J690" s="1"/>
      </tp>
      <tp t="s">
        <v>#N/A Requesting Data...2998862999</v>
        <stp/>
        <stp>BDP|2020510216901379150</stp>
        <tr r="H206" s="1"/>
      </tp>
      <tp t="s">
        <v>#N/A Requesting Data...3766660744</v>
        <stp/>
        <stp>BDP|5480313017421784048</stp>
        <tr r="AV409" s="1"/>
      </tp>
      <tp t="s">
        <v>#N/A Requesting Data...4252685909</v>
        <stp/>
        <stp>BDP|3266613603915016612</stp>
        <tr r="J178" s="1"/>
        <tr r="J1921" s="1"/>
        <tr r="J31" s="1"/>
      </tp>
      <tp t="s">
        <v>#N/A Requesting Data...4270981558</v>
        <stp/>
        <stp>BDP|1144803982950485769</stp>
        <tr r="AT880" s="1"/>
      </tp>
      <tp t="s">
        <v>#N/A Requesting Data...1190464879</v>
        <stp/>
        <stp>BDP|1675512752107286062</stp>
        <tr r="H422" s="1"/>
      </tp>
      <tp t="s">
        <v>#N/A Requesting Data...775724162</v>
        <stp/>
        <stp>BDP|1910609764756487185</stp>
        <tr r="H1585" s="1"/>
        <tr r="H1849" s="1"/>
        <tr r="H2062" s="1"/>
      </tp>
      <tp t="s">
        <v>#N/A Requesting Data...2354477325</v>
        <stp/>
        <stp>BDP|9269125119299037680</stp>
        <tr r="E621" s="1"/>
      </tp>
      <tp t="s">
        <v>#N/A Requesting Data...2994326848</v>
        <stp/>
        <stp>BDP|1468271098355598984</stp>
        <tr r="J298" s="1"/>
      </tp>
      <tp t="s">
        <v>#N/A Requesting Data...1817978634</v>
        <stp/>
        <stp>BDP|4321239763383598509</stp>
        <tr r="J1251" s="1"/>
      </tp>
      <tp t="s">
        <v>#N/A Requesting Data...4101188249</v>
        <stp/>
        <stp>BDP|6205804246989529570</stp>
        <tr r="E1830" s="1"/>
      </tp>
      <tp t="s">
        <v>#N/A Requesting Data...1796914757</v>
        <stp/>
        <stp>BDP|3828327437763981624</stp>
        <tr r="J309" s="1"/>
      </tp>
      <tp t="s">
        <v>#N/A Requesting Data...3710873872</v>
        <stp/>
        <stp>BDP|5847460361337906606</stp>
        <tr r="J2078" s="1"/>
      </tp>
      <tp t="s">
        <v>#N/A Requesting Data...445287014</v>
        <stp/>
        <stp>BDP|8237833451363084068</stp>
        <tr r="E204" s="1"/>
      </tp>
      <tp t="s">
        <v>#N/A Requesting Data...4274474166</v>
        <stp/>
        <stp>BDP|1030701771502164562</stp>
        <tr r="AT284" s="1"/>
      </tp>
      <tp t="s">
        <v>#N/A Requesting Data...4270679107</v>
        <stp/>
        <stp>BDP|2004622676422169733</stp>
        <tr r="AT619" s="1"/>
      </tp>
      <tp t="s">
        <v>#N/A Requesting Data...723586704</v>
        <stp/>
        <stp>BDP|2123192668486293548</stp>
        <tr r="J52" s="1"/>
      </tp>
      <tp t="s">
        <v>#N/A Requesting Data...795465578</v>
        <stp/>
        <stp>BDP|6973107483671509892</stp>
        <tr r="H612" s="1"/>
      </tp>
      <tp t="s">
        <v>#N/A Requesting Data...1336156018</v>
        <stp/>
        <stp>BDP|5629027201806039539</stp>
        <tr r="E1679" s="1"/>
      </tp>
      <tp t="s">
        <v>#N/A Requesting Data...1699255612</v>
        <stp/>
        <stp>BDP|6047543410430012425</stp>
        <tr r="AV451" s="1"/>
      </tp>
      <tp t="s">
        <v>#N/A Requesting Data...3721585132</v>
        <stp/>
        <stp>BDP|6521811893546251734</stp>
        <tr r="AV869" s="1"/>
      </tp>
      <tp t="s">
        <v>#N/A Requesting Data...2583644670</v>
        <stp/>
        <stp>BDP|3843199533914022340</stp>
        <tr r="J104" s="1"/>
      </tp>
      <tp t="s">
        <v>#N/A Requesting Data...4094031924</v>
        <stp/>
        <stp>BDP|6991389111022194061</stp>
        <tr r="J263" s="1"/>
      </tp>
      <tp t="s">
        <v>#N/A Requesting Data...3348888639</v>
        <stp/>
        <stp>BDP|8996584157629261737</stp>
        <tr r="J1558" s="1"/>
      </tp>
      <tp t="s">
        <v>#N/A Requesting Data...1227440643</v>
        <stp/>
        <stp>BDP|2816556610474901439</stp>
        <tr r="E1640" s="1"/>
      </tp>
      <tp t="s">
        <v>#N/A Requesting Data...3822502401</v>
        <stp/>
        <stp>BDP|5150339065715847383</stp>
        <tr r="AU531" s="1"/>
      </tp>
      <tp t="s">
        <v>#N/A Requesting Data...3386006106</v>
        <stp/>
        <stp>BDP|3640551090861267864</stp>
        <tr r="J594" s="1"/>
      </tp>
      <tp t="s">
        <v>#N/A Requesting Data...2211694221</v>
        <stp/>
        <stp>BDP|9612750987137069739</stp>
        <tr r="E441" s="1"/>
      </tp>
      <tp t="s">
        <v>#N/A Requesting Data...2176851056</v>
        <stp/>
        <stp>BDP|2127196437770131692</stp>
        <tr r="J267" s="1"/>
      </tp>
      <tp t="s">
        <v>#N/A Requesting Data...1182181225</v>
        <stp/>
        <stp>BDP|1562827357219276351</stp>
        <tr r="J1071" s="1"/>
        <tr r="J928" s="1"/>
      </tp>
      <tp t="s">
        <v>#N/A Requesting Data...2131496116</v>
        <stp/>
        <stp>BDP|4813798354436093620</stp>
        <tr r="H1656" s="1"/>
      </tp>
      <tp t="s">
        <v>#N/A Requesting Data...3466293554</v>
        <stp/>
        <stp>BDP|2220374787058086765</stp>
        <tr r="J1568" s="1"/>
        <tr r="J57" s="1"/>
      </tp>
      <tp t="s">
        <v>#N/A Requesting Data...1187584319</v>
        <stp/>
        <stp>BDP|7098934293742266360</stp>
        <tr r="AV835" s="1"/>
      </tp>
      <tp t="s">
        <v>#N/A Requesting Data...4143867278</v>
        <stp/>
        <stp>BDP|6546851831573091857</stp>
        <tr r="AU883" s="1"/>
      </tp>
      <tp t="s">
        <v>#N/A Requesting Data...3972016354</v>
        <stp/>
        <stp>BDP|1012052970001056117</stp>
        <tr r="AR2018" s="1"/>
      </tp>
      <tp t="s">
        <v>#N/A Requesting Data...731006055</v>
        <stp/>
        <stp>BDP|5213438604727697077</stp>
        <tr r="H421" s="1"/>
      </tp>
      <tp t="s">
        <v>#N/A Requesting Data...2045319551</v>
        <stp/>
        <stp>BDP|7716684152564009690</stp>
        <tr r="AU640" s="1"/>
      </tp>
      <tp t="s">
        <v>#N/A Requesting Data...1534123516</v>
        <stp/>
        <stp>BDP|2098198502606653391</stp>
        <tr r="H1303" s="1"/>
      </tp>
      <tp t="s">
        <v>#N/A Requesting Data...4284227679</v>
        <stp/>
        <stp>BDP|8342017137905783860</stp>
        <tr r="AT357" s="1"/>
      </tp>
      <tp t="s">
        <v>#N/A Requesting Data...3131735288</v>
        <stp/>
        <stp>BDP|6002161173271588749</stp>
        <tr r="E1162" s="1"/>
        <tr r="E961" s="1"/>
      </tp>
      <tp t="s">
        <v>#N/A Requesting Data...2194803308</v>
        <stp/>
        <stp>BDP|7344429735974734273</stp>
        <tr r="AO777" s="1"/>
      </tp>
      <tp t="s">
        <v>#N/A Requesting Data...1975159196</v>
        <stp/>
        <stp>BDP|6944897849929982546</stp>
        <tr r="J203" s="1"/>
      </tp>
      <tp t="s">
        <v>#N/A Requesting Data...1041010598</v>
        <stp/>
        <stp>BDP|9725281291976994234</stp>
        <tr r="E408" s="1"/>
      </tp>
      <tp t="s">
        <v>#N/A Requesting Data...3766147029</v>
        <stp/>
        <stp>BDP|3489415121690090319</stp>
        <tr r="E1825" s="1"/>
      </tp>
      <tp t="s">
        <v>#N/A Requesting Data...3682808726</v>
        <stp/>
        <stp>BDP|2706540975516081036</stp>
        <tr r="AV539" s="1"/>
      </tp>
      <tp t="s">
        <v>#N/A Requesting Data...4292266412</v>
        <stp/>
        <stp>BDP|3725173655116282722</stp>
        <tr r="AT757" s="1"/>
      </tp>
      <tp t="s">
        <v>#N/A Requesting Data...3733766770</v>
        <stp/>
        <stp>BDP|6633837470219796672</stp>
        <tr r="E560" s="1"/>
      </tp>
      <tp t="s">
        <v>#N/A Requesting Data...1893296649</v>
        <stp/>
        <stp>BDP|7180467352781879182</stp>
        <tr r="H995" s="1"/>
      </tp>
      <tp t="s">
        <v>#N/A Requesting Data...652799391</v>
        <stp/>
        <stp>BDP|4091125865213561675</stp>
        <tr r="AV486" s="1"/>
      </tp>
      <tp t="s">
        <v>#N/A Requesting Data...2979979981</v>
        <stp/>
        <stp>BDP|5292685710353677794</stp>
        <tr r="AV300" s="1"/>
      </tp>
      <tp t="s">
        <v>#N/A Requesting Data...2633091517</v>
        <stp/>
        <stp>BDP|2865505041913566693</stp>
        <tr r="J1292" s="1"/>
        <tr r="J23" s="1"/>
        <tr r="J969" s="1"/>
      </tp>
      <tp t="s">
        <v>#N/A Requesting Data...962611615</v>
        <stp/>
        <stp>BDP|5698613157492488219</stp>
        <tr r="E324" s="1"/>
      </tp>
      <tp t="s">
        <v>#N/A Requesting Data...3726513639</v>
        <stp/>
        <stp>BDP|3400366726483595744</stp>
        <tr r="AV543" s="1"/>
      </tp>
      <tp t="s">
        <v>#N/A Requesting Data...2850814861</v>
        <stp/>
        <stp>BDP|1888550625706864659</stp>
        <tr r="E632" s="1"/>
      </tp>
      <tp t="s">
        <v>#N/A Requesting Data...1178032817</v>
        <stp/>
        <stp>BDP|4957380613355028576</stp>
        <tr r="H416" s="1"/>
      </tp>
      <tp t="s">
        <v>#N/A Requesting Data...3508400036</v>
        <stp/>
        <stp>BDP|8626827111416806185</stp>
        <tr r="J11" s="1"/>
      </tp>
      <tp t="s">
        <v>#N/A Requesting Data...3466010413</v>
        <stp/>
        <stp>BDP|3408089948085597444</stp>
        <tr r="E804" s="1"/>
      </tp>
      <tp t="s">
        <v>#N/A Requesting Data...1979992699</v>
        <stp/>
        <stp>BDP|1588017553595456768</stp>
        <tr r="H377" s="1"/>
      </tp>
      <tp t="s">
        <v>#N/A Requesting Data...2523860628</v>
        <stp/>
        <stp>BDP|6285585252469533877</stp>
        <tr r="J1695" s="1"/>
      </tp>
      <tp t="s">
        <v>#N/A Requesting Data...468494498</v>
        <stp/>
        <stp>BDP|9731810973131670098</stp>
        <tr r="J323" s="1"/>
      </tp>
      <tp t="s">
        <v>#N/A Requesting Data...3172876424</v>
        <stp/>
        <stp>BDP|2832088867220530386</stp>
        <tr r="H1354" s="1"/>
      </tp>
      <tp t="s">
        <v>#N/A Requesting Data...3225710919</v>
        <stp/>
        <stp>BDP|7609773161891310095</stp>
        <tr r="AR1470" s="1"/>
      </tp>
      <tp t="s">
        <v>#N/A Requesting Data...4074901931</v>
        <stp/>
        <stp>BDP|6905353948225714391</stp>
        <tr r="E759" s="1"/>
      </tp>
      <tp t="s">
        <v>#N/A Requesting Data...4290189912</v>
        <stp/>
        <stp>BDP|9537965347706607581</stp>
        <tr r="AT521" s="1"/>
      </tp>
      <tp t="s">
        <v>#N/A Requesting Data...1600243524</v>
        <stp/>
        <stp>BDP|1827535037174620407</stp>
        <tr r="AU616" s="1"/>
      </tp>
      <tp t="s">
        <v>#N/A Requesting Data...1046258531</v>
        <stp/>
        <stp>BDP|1358432172335104097</stp>
        <tr r="J1147" s="1"/>
      </tp>
      <tp t="s">
        <v>#N/A Requesting Data...1890940018</v>
        <stp/>
        <stp>BDP|2416831350210583888</stp>
        <tr r="J1346" s="1"/>
      </tp>
      <tp t="s">
        <v>#N/A Requesting Data...428277670</v>
        <stp/>
        <stp>BDP|2593787123984579415</stp>
        <tr r="AU730" s="1"/>
      </tp>
      <tp t="s">
        <v>#N/A Requesting Data...3530010235</v>
        <stp/>
        <stp>BDP|9842296850629820033</stp>
        <tr r="AV751" s="1"/>
      </tp>
      <tp t="s">
        <v>#N/A Requesting Data...4282587233</v>
        <stp/>
        <stp>BDP|7054928895873945347</stp>
        <tr r="AT210" s="1"/>
      </tp>
      <tp t="s">
        <v>#N/A Requesting Data...2706188301</v>
        <stp/>
        <stp>BDP|9392912719377052107</stp>
        <tr r="AU577" s="1"/>
      </tp>
      <tp t="s">
        <v>#N/A Requesting Data...2558427567</v>
        <stp/>
        <stp>BDP|6262995604111398976</stp>
        <tr r="AP776" s="1"/>
      </tp>
      <tp t="s">
        <v>#N/A Requesting Data...3597567745</v>
        <stp/>
        <stp>BDP|9501360548498894182</stp>
        <tr r="AV349" s="1"/>
      </tp>
      <tp t="s">
        <v>#N/A Requesting Data...4046114874</v>
        <stp/>
        <stp>BDP|7647450909603443756</stp>
        <tr r="J630" s="1"/>
      </tp>
      <tp t="s">
        <v>#N/A Requesting Data...1545762615</v>
        <stp/>
        <stp>BDP|4488430434592860608</stp>
        <tr r="AV457" s="1"/>
      </tp>
      <tp t="s">
        <v>#N/A Requesting Data...2292366595</v>
        <stp/>
        <stp>BDP|4195163532410953178</stp>
        <tr r="J1351" s="1"/>
      </tp>
      <tp t="s">
        <v>#N/A Requesting Data...2002461535</v>
        <stp/>
        <stp>BDP|5049773378681727331</stp>
        <tr r="AU882" s="1"/>
      </tp>
      <tp t="s">
        <v>#N/A Requesting Data...533284168</v>
        <stp/>
        <stp>BDP|8995676296078340809</stp>
        <tr r="AU879" s="1"/>
      </tp>
      <tp t="s">
        <v>#N/A Requesting Data...2031866934</v>
        <stp/>
        <stp>BDP|1802891142402134893</stp>
        <tr r="E1522" s="1"/>
      </tp>
      <tp t="s">
        <v>#N/A Requesting Data...2626369765</v>
        <stp/>
        <stp>BDP|2978274402667293059</stp>
        <tr r="AU719" s="1"/>
      </tp>
      <tp t="s">
        <v>#N/A Requesting Data...1668136915</v>
        <stp/>
        <stp>BDP|3250121747967832677</stp>
        <tr r="J373" s="1"/>
      </tp>
      <tp t="s">
        <v>#N/A Requesting Data...3030804670</v>
        <stp/>
        <stp>BDP|8100434609409685251</stp>
        <tr r="H646" s="1"/>
      </tp>
      <tp t="s">
        <v>#N/A Requesting Data...1102767763</v>
        <stp/>
        <stp>BDP|9124919539305162107</stp>
        <tr r="J576" s="1"/>
      </tp>
      <tp t="s">
        <v>#N/A Requesting Data...2352624944</v>
        <stp/>
        <stp>BDP|3116360400997950064</stp>
        <tr r="E1566" s="1"/>
      </tp>
      <tp t="s">
        <v>#N/A Requesting Data...1607532912</v>
        <stp/>
        <stp>BDP|1780903458482538824</stp>
        <tr r="E896" s="1"/>
      </tp>
      <tp t="s">
        <v>#N/A Requesting Data...695215738</v>
        <stp/>
        <stp>BDP|1699380353394620433</stp>
        <tr r="J1766" s="1"/>
      </tp>
      <tp t="s">
        <v>#N/A Requesting Data...2432866085</v>
        <stp/>
        <stp>BDP|1349917401079396680</stp>
        <tr r="H456" s="1"/>
      </tp>
      <tp t="s">
        <v>#N/A Requesting Data...1704445092</v>
        <stp/>
        <stp>BDP|3724121882178716589</stp>
        <tr r="H1140" s="1"/>
        <tr r="H1643" s="1"/>
      </tp>
      <tp t="s">
        <v>#N/A Requesting Data...1607636309</v>
        <stp/>
        <stp>BDP|1338371319556030259</stp>
        <tr r="J423" s="1"/>
      </tp>
      <tp t="s">
        <v>#N/A Requesting Data...3631169510</v>
        <stp/>
        <stp>BDP|6494291937680176036</stp>
        <tr r="E501" s="1"/>
      </tp>
      <tp t="s">
        <v>#N/A Requesting Data...3742679953</v>
        <stp/>
        <stp>BDP|7312259074856296387</stp>
        <tr r="AU874" s="1"/>
      </tp>
      <tp t="s">
        <v>#N/A Requesting Data...1357680995</v>
        <stp/>
        <stp>BDP|5834334894298042070</stp>
        <tr r="AV306" s="1"/>
      </tp>
      <tp t="s">
        <v>#N/A Requesting Data...3826445863</v>
        <stp/>
        <stp>BDP|1297091113665279228</stp>
        <tr r="H652" s="1"/>
      </tp>
      <tp t="s">
        <v>#N/A Requesting Data...3328478454</v>
        <stp/>
        <stp>BDP|1933362907016183319</stp>
        <tr r="AU897" s="1"/>
      </tp>
      <tp t="s">
        <v>#N/A Requesting Data...4291917062</v>
        <stp/>
        <stp>BDP|5865740348105942450</stp>
        <tr r="AT874" s="1"/>
      </tp>
      <tp t="s">
        <v>#N/A Requesting Data...2829850678</v>
        <stp/>
        <stp>BDP|1099315605021896447</stp>
        <tr r="AV341" s="1"/>
      </tp>
      <tp t="s">
        <v>#N/A Requesting Data...1643963544</v>
        <stp/>
        <stp>BDP|6504276562822928719</stp>
        <tr r="H1217" s="1"/>
      </tp>
      <tp t="s">
        <v>#N/A Requesting Data...1560550102</v>
        <stp/>
        <stp>BDP|9124442594132031195</stp>
        <tr r="AU838" s="1"/>
      </tp>
      <tp t="s">
        <v>#N/A Requesting Data...4219971121</v>
        <stp/>
        <stp>BDP|2333393736414105152</stp>
        <tr r="J709" s="1"/>
      </tp>
      <tp t="s">
        <v>#N/A Requesting Data...3014405764</v>
        <stp/>
        <stp>BDP|3400007879780607328</stp>
        <tr r="E711" s="1"/>
      </tp>
      <tp t="s">
        <v>#N/A Requesting Data...3645181515</v>
        <stp/>
        <stp>BDP|5378565015864949205</stp>
        <tr r="E692" s="1"/>
      </tp>
      <tp t="s">
        <v>#N/A Requesting Data...2179278638</v>
        <stp/>
        <stp>BDP|8483288920997335865</stp>
        <tr r="AU221" s="1"/>
        <tr r="AU276" s="1"/>
      </tp>
      <tp t="s">
        <v>#N/A Requesting Data...3967483407</v>
        <stp/>
        <stp>BDP|8663946249464099622</stp>
        <tr r="AU536" s="1"/>
      </tp>
      <tp t="s">
        <v>#N/A Requesting Data...564297021</v>
        <stp/>
        <stp>BDP|9251294073948776361</stp>
        <tr r="E460" s="1"/>
      </tp>
      <tp t="s">
        <v>#N/A Requesting Data...2365796872</v>
        <stp/>
        <stp>BDP|3310659860431691594</stp>
        <tr r="J344" s="1"/>
      </tp>
      <tp t="s">
        <v>#N/A Requesting Data...1860250725</v>
        <stp/>
        <stp>BDP|9783267401454881813</stp>
        <tr r="J1984" s="1"/>
      </tp>
      <tp t="s">
        <v>#N/A Requesting Data...2736542446</v>
        <stp/>
        <stp>BDP|2780514808783715309</stp>
        <tr r="E1187" s="1"/>
      </tp>
      <tp t="s">
        <v>#N/A Requesting Data...2928601349</v>
        <stp/>
        <stp>BDP|4579890945526947995</stp>
        <tr r="J404" s="1"/>
      </tp>
      <tp t="s">
        <v>#N/A Requesting Data...4290234414</v>
        <stp/>
        <stp>BDP|9647259611499339489</stp>
        <tr r="AT680" s="1"/>
      </tp>
      <tp t="s">
        <v>#N/A Requesting Data...3812691410</v>
        <stp/>
        <stp>BDP|6258322046237836175</stp>
        <tr r="E1293" s="1"/>
        <tr r="E24" s="1"/>
        <tr r="E970" s="1"/>
      </tp>
      <tp t="s">
        <v>#N/A Requesting Data...4232353616</v>
        <stp/>
        <stp>BDP|5502833504472857830</stp>
        <tr r="J1119" s="1"/>
      </tp>
      <tp t="s">
        <v>#N/A Requesting Data...3080809245</v>
        <stp/>
        <stp>BDP|7526880204891894984</stp>
        <tr r="E752" s="1"/>
      </tp>
      <tp t="s">
        <v>#N/A Requesting Data...1214414166</v>
        <stp/>
        <stp>BDP|2341530086301944965</stp>
        <tr r="H480" s="1"/>
      </tp>
      <tp t="s">
        <v>#N/A Requesting Data...3189037913</v>
        <stp/>
        <stp>BDP|6320125969112792412</stp>
        <tr r="J1350" s="1"/>
      </tp>
      <tp t="s">
        <v>#N/A Requesting Data...2101262464</v>
        <stp/>
        <stp>BDP|2863187406754913014</stp>
        <tr r="AU650" s="1"/>
      </tp>
      <tp t="s">
        <v>#N/A Requesting Data...1243971832</v>
        <stp/>
        <stp>BDP|7718775427111095499</stp>
        <tr r="AV919" s="1"/>
      </tp>
      <tp t="s">
        <v>#N/A Requesting Data...2106898146</v>
        <stp/>
        <stp>BDP|3929870091391104406</stp>
        <tr r="H2083" s="1"/>
      </tp>
      <tp t="s">
        <v>#N/A Requesting Data...1022071900</v>
        <stp/>
        <stp>BDP|9045350483667812205</stp>
        <tr r="E1479" s="1"/>
        <tr r="E1846" s="1"/>
      </tp>
      <tp t="s">
        <v>#N/A Requesting Data...1893516449</v>
        <stp/>
        <stp>BDP|9288648529919200323</stp>
        <tr r="E1235" s="1"/>
      </tp>
      <tp t="s">
        <v>#N/A Requesting Data...4202294798</v>
        <stp/>
        <stp>BDP|1875780756277111388</stp>
        <tr r="J965" s="1"/>
      </tp>
      <tp t="s">
        <v>#N/A Requesting Data...3110648775</v>
        <stp/>
        <stp>BDP|3187466614245955458</stp>
        <tr r="H2055" s="1"/>
      </tp>
      <tp t="s">
        <v>#N/A Requesting Data...2905638214</v>
        <stp/>
        <stp>BDP|8227981300912300468</stp>
        <tr r="H721" s="1"/>
      </tp>
      <tp t="s">
        <v>#N/A Requesting Data...1661434124</v>
        <stp/>
        <stp>BDP|5354732447716819705</stp>
        <tr r="E1758" s="1"/>
      </tp>
      <tp t="s">
        <v>#N/A Requesting Data...4293924529</v>
        <stp/>
        <stp>BDP|5854975701772290939</stp>
        <tr r="AT744" s="1"/>
      </tp>
      <tp t="s">
        <v>#N/A Requesting Data...2932187231</v>
        <stp/>
        <stp>BDP|8932570116449296259</stp>
        <tr r="J1527" s="1"/>
      </tp>
      <tp t="s">
        <v>#N/A Requesting Data...4294819788</v>
        <stp/>
        <stp>BDP|7198707639342267661</stp>
        <tr r="AT468" s="1"/>
      </tp>
      <tp t="s">
        <v>#N/A Requesting Data...4261376964</v>
        <stp/>
        <stp>BDP|5182427772876992743</stp>
        <tr r="J1300" s="1"/>
        <tr r="J974" s="1"/>
      </tp>
      <tp t="s">
        <v>#N/A Requesting Data...2837993831</v>
        <stp/>
        <stp>BDP|7844124867303859499</stp>
        <tr r="E616" s="1"/>
      </tp>
      <tp t="s">
        <v>#N/A Requesting Data...1799652254</v>
        <stp/>
        <stp>BDP|2889041623814361308</stp>
        <tr r="E1888" s="1"/>
        <tr r="E41" s="1"/>
      </tp>
      <tp t="s">
        <v>#N/A Requesting Data...1278911851</v>
        <stp/>
        <stp>BDP|5194083074417361226</stp>
        <tr r="AU739" s="1"/>
      </tp>
      <tp t="s">
        <v>#N/A Requesting Data...2657879211</v>
        <stp/>
        <stp>BDP|6765137965870531684</stp>
        <tr r="E1042" s="1"/>
      </tp>
      <tp t="s">
        <v>#N/A Requesting Data...4294936807</v>
        <stp/>
        <stp>BDP|1344538223839929867</stp>
        <tr r="AT504" s="1"/>
      </tp>
      <tp t="s">
        <v>#N/A Requesting Data...3397234319</v>
        <stp/>
        <stp>BDP|9826869971276486771</stp>
        <tr r="J1401" s="1"/>
        <tr r="J1441" s="1"/>
      </tp>
      <tp t="s">
        <v>#N/A Requesting Data...1876016919</v>
        <stp/>
        <stp>BDP|5193583777417397714</stp>
        <tr r="E1234" s="1"/>
        <tr r="E1616" s="1"/>
      </tp>
      <tp t="s">
        <v>#N/A Requesting Data...627259151</v>
        <stp/>
        <stp>BDP|1096057475701588092</stp>
        <tr r="H860" s="1"/>
      </tp>
      <tp t="s">
        <v>#N/A Requesting Data...1380339301</v>
        <stp/>
        <stp>BDP|4251052833597125792</stp>
        <tr r="H256" s="1"/>
      </tp>
      <tp t="s">
        <v>#N/A Requesting Data...1956129851</v>
        <stp/>
        <stp>BDP|1290585237235333528</stp>
        <tr r="E1547" s="1"/>
      </tp>
      <tp t="s">
        <v>#N/A Requesting Data...2799823920</v>
        <stp/>
        <stp>BDP|3464209731990978504</stp>
        <tr r="E72" s="1"/>
      </tp>
      <tp t="s">
        <v>#N/A Requesting Data...1667081392</v>
        <stp/>
        <stp>BDP|7395464869727241529</stp>
        <tr r="E636" s="1"/>
      </tp>
      <tp t="s">
        <v>#N/A Requesting Data...862673162</v>
        <stp/>
        <stp>BDP|8734495511048212211</stp>
        <tr r="E837" s="1"/>
      </tp>
      <tp t="s">
        <v>#N/A Requesting Data...2994032262</v>
        <stp/>
        <stp>BDP|4033999863654448835</stp>
        <tr r="H536" s="1"/>
      </tp>
      <tp t="s">
        <v>#N/A Requesting Data...2517433685</v>
        <stp/>
        <stp>BDP|8112351795995939055</stp>
        <tr r="E1655" s="1"/>
        <tr r="E1689" s="1"/>
      </tp>
      <tp t="s">
        <v>#N/A Requesting Data...3045185532</v>
        <stp/>
        <stp>BDP|5832220712935020456</stp>
        <tr r="AT834" s="1"/>
      </tp>
      <tp t="s">
        <v>#N/A Requesting Data...1435164731</v>
        <stp/>
        <stp>BDP|7993626641422093073</stp>
        <tr r="E855" s="1"/>
      </tp>
      <tp t="s">
        <v>#N/A Requesting Data...2405220721</v>
        <stp/>
        <stp>BDP|8626185195043162470</stp>
        <tr r="H330" s="1"/>
      </tp>
      <tp t="s">
        <v>#N/A Requesting Data...2663310918</v>
        <stp/>
        <stp>BDP|3601226412525947224</stp>
        <tr r="E890" s="1"/>
      </tp>
      <tp t="s">
        <v>#N/A Requesting Data...3575158876</v>
        <stp/>
        <stp>BDP|6413293140262775574</stp>
        <tr r="J981" s="1"/>
      </tp>
      <tp t="s">
        <v>#N/A Requesting Data...2927177815</v>
        <stp/>
        <stp>BDP|1990758166251549622</stp>
        <tr r="J416" s="1"/>
      </tp>
      <tp t="s">
        <v>#N/A Requesting Data...3561245692</v>
        <stp/>
        <stp>BDP|3006138524326279189</stp>
        <tr r="E176" s="1"/>
      </tp>
      <tp t="s">
        <v>#N/A Requesting Data...2655680233</v>
        <stp/>
        <stp>BDP|4540631205391647486</stp>
        <tr r="E429" s="1"/>
      </tp>
      <tp t="s">
        <v>#N/A Requesting Data...2323050274</v>
        <stp/>
        <stp>BDP|7416415618093687697</stp>
        <tr r="AT319" s="1"/>
      </tp>
      <tp t="s">
        <v>#N/A Requesting Data...3473932957</v>
        <stp/>
        <stp>BDP|8364838003636303122</stp>
        <tr r="AU469" s="1"/>
      </tp>
      <tp t="s">
        <v>#N/A Requesting Data...2816132731</v>
        <stp/>
        <stp>BDP|4555446204131592624</stp>
        <tr r="AT268" s="1"/>
      </tp>
      <tp t="s">
        <v>#N/A Requesting Data...3608911495</v>
        <stp/>
        <stp>BDP|1103705514967516723</stp>
        <tr r="J1296" s="1"/>
      </tp>
      <tp t="s">
        <v>#N/A Requesting Data...3515993534</v>
        <stp/>
        <stp>BDP|4466807386676650563</stp>
        <tr r="J2058" s="1"/>
      </tp>
      <tp t="s">
        <v>#N/A Requesting Data...4067347893</v>
        <stp/>
        <stp>BDP|4848457467441072083</stp>
        <tr r="J1136" s="1"/>
      </tp>
      <tp t="s">
        <v>#N/A Requesting Data...858319637</v>
        <stp/>
        <stp>BDP|1900610343714171084</stp>
        <tr r="AU258" s="1"/>
      </tp>
      <tp t="s">
        <v>#N/A Requesting Data...4001715481</v>
        <stp/>
        <stp>BDP|1638921160111661802</stp>
        <tr r="AU656" s="1"/>
      </tp>
      <tp t="s">
        <v>#N/A Requesting Data...2195616233</v>
        <stp/>
        <stp>BDP|2856874859481546908</stp>
        <tr r="H1297" s="1"/>
      </tp>
      <tp t="s">
        <v>#N/A Requesting Data...1579700823</v>
        <stp/>
        <stp>BDP|7324223084372782813</stp>
        <tr r="H1001" s="1"/>
      </tp>
      <tp t="s">
        <v>#N/A Requesting Data...1363719391</v>
        <stp/>
        <stp>BDP|2390423612921989192</stp>
        <tr r="AT574" s="1"/>
      </tp>
      <tp t="s">
        <v>#N/A Requesting Data...1031319759</v>
        <stp/>
        <stp>BDP|5491752126482308577</stp>
        <tr r="H133" s="1"/>
      </tp>
      <tp t="s">
        <v>#N/A Requesting Data...3090562595</v>
        <stp/>
        <stp>BDP|4727720526293559558</stp>
        <tr r="J1232" s="1"/>
      </tp>
      <tp t="s">
        <v>#N/A Requesting Data...1534583412</v>
        <stp/>
        <stp>BDP|5873229687148645087</stp>
        <tr r="AT720" s="1"/>
      </tp>
      <tp t="s">
        <v>#N/A Requesting Data...1235866724</v>
        <stp/>
        <stp>BDP|7339079750120314546</stp>
        <tr r="E206" s="1"/>
      </tp>
      <tp t="s">
        <v>#N/A Requesting Data...1956408522</v>
        <stp/>
        <stp>BDP|1315544527541763049</stp>
        <tr r="E258" s="1"/>
      </tp>
      <tp t="s">
        <v>#N/A Requesting Data...2866867929</v>
        <stp/>
        <stp>BDP|6527920501259690137</stp>
        <tr r="J1613" s="1"/>
        <tr r="J1864" s="1"/>
        <tr r="J2073" s="1"/>
      </tp>
      <tp t="s">
        <v>#N/A Requesting Data...4060872112</v>
        <stp/>
        <stp>BDP|4548625711575416114</stp>
        <tr r="E1984" s="1"/>
      </tp>
      <tp t="s">
        <v>#N/A Requesting Data...3358510384</v>
        <stp/>
        <stp>BDP|1558254144070519020</stp>
        <tr r="J744" s="1"/>
      </tp>
      <tp t="s">
        <v>#N/A Requesting Data...2267064133</v>
        <stp/>
        <stp>BDP|8383228896545001145</stp>
        <tr r="J1914" s="1"/>
      </tp>
      <tp t="s">
        <v>#N/A Requesting Data...3477584628</v>
        <stp/>
        <stp>BDP|4262888292842231091</stp>
        <tr r="H922" s="1"/>
      </tp>
      <tp t="s">
        <v>#N/A Requesting Data...3652382577</v>
        <stp/>
        <stp>BDP|8932333681224876002</stp>
        <tr r="AT861" s="1"/>
      </tp>
      <tp t="s">
        <v>#N/A Requesting Data...867500853</v>
        <stp/>
        <stp>BDP|3730203301295447311</stp>
        <tr r="J1963" s="1"/>
      </tp>
      <tp t="s">
        <v>#N/A Requesting Data...3781852694</v>
        <stp/>
        <stp>BDP|7906583013402765658</stp>
        <tr r="J1083" s="1"/>
        <tr r="J181" s="1"/>
      </tp>
      <tp t="s">
        <v>#N/A Requesting Data...3816047310</v>
        <stp/>
        <stp>BDP|5779610020302153479</stp>
        <tr r="AU750" s="1"/>
      </tp>
      <tp t="s">
        <v>#N/A Requesting Data...368288279</v>
        <stp/>
        <stp>BDP|7357481369542624048</stp>
        <tr r="AT833" s="1"/>
      </tp>
      <tp t="s">
        <v>#N/A Requesting Data...1867964649</v>
        <stp/>
        <stp>BDP|6892174946632117680</stp>
        <tr r="J146" s="1"/>
      </tp>
      <tp t="s">
        <v>#N/A Requesting Data...1219505438</v>
        <stp/>
        <stp>BDP|4971076227341997006</stp>
        <tr r="AU895" s="1"/>
      </tp>
      <tp t="s">
        <v>#N/A Requesting Data...1411598433</v>
        <stp/>
        <stp>BDP|4902549424925849119</stp>
        <tr r="AT736" s="1"/>
      </tp>
      <tp t="s">
        <v>#N/A Requesting Data...3270062861</v>
        <stp/>
        <stp>BDP|3624579101584340534</stp>
        <tr r="E680" s="1"/>
      </tp>
      <tp t="s">
        <v>#N/A Requesting Data...2509599742</v>
        <stp/>
        <stp>BDP|1132546708435816653</stp>
        <tr r="J478" s="1"/>
      </tp>
      <tp t="s">
        <v>#N/A Requesting Data...3961309173</v>
        <stp/>
        <stp>BDP|3287647786872837887</stp>
        <tr r="AU591" s="1"/>
      </tp>
      <tp t="s">
        <v>#N/A Requesting Data...1543587806</v>
        <stp/>
        <stp>BDP|3901507560725155286</stp>
        <tr r="AU207" s="1"/>
      </tp>
      <tp t="s">
        <v>#N/A Requesting Data...1520205886</v>
        <stp/>
        <stp>BDP|1248043167947599740</stp>
        <tr r="J153" s="1"/>
      </tp>
      <tp t="s">
        <v>#N/A Requesting Data...1601773193</v>
        <stp/>
        <stp>BDP|4242785843412103282</stp>
        <tr r="J893" s="1"/>
      </tp>
      <tp t="s">
        <v>#N/A Requesting Data...3709644693</v>
        <stp/>
        <stp>BDP|3410337249021997266</stp>
        <tr r="H1601" s="1"/>
        <tr r="H930" s="1"/>
      </tp>
      <tp t="s">
        <v>#N/A Requesting Data...3691778372</v>
        <stp/>
        <stp>BDP|8203646633723637929</stp>
        <tr r="AU910" s="1"/>
      </tp>
      <tp t="s">
        <v>#N/A Requesting Data...978413095</v>
        <stp/>
        <stp>BDP|3203820878233866818</stp>
        <tr r="AV452" s="1"/>
      </tp>
      <tp t="s">
        <v>#N/A Requesting Data...3035101363</v>
        <stp/>
        <stp>BDP|3311765544505486246</stp>
        <tr r="E18" s="1"/>
        <tr r="E1851" s="1"/>
      </tp>
      <tp t="s">
        <v>#N/A Requesting Data...2072092134</v>
        <stp/>
        <stp>BDP|1281603150812141726</stp>
        <tr r="AU581" s="1"/>
      </tp>
      <tp t="s">
        <v>#N/A Requesting Data...2611579940</v>
        <stp/>
        <stp>BDP|8542152889260917615</stp>
        <tr r="E287" s="1"/>
      </tp>
      <tp t="s">
        <v>#N/A Requesting Data...3344614198</v>
        <stp/>
        <stp>BDP|3855705736066750686</stp>
        <tr r="E2055" s="1"/>
      </tp>
      <tp t="s">
        <v>#N/A Requesting Data...3440390946</v>
        <stp/>
        <stp>BDP|9744541055666402830</stp>
        <tr r="H885" s="1"/>
      </tp>
      <tp t="s">
        <v>#N/A Requesting Data...2165264438</v>
        <stp/>
        <stp>BDP|6204666668084918544</stp>
        <tr r="AU629" s="1"/>
      </tp>
      <tp t="s">
        <v>#N/A Requesting Data...711298489</v>
        <stp/>
        <stp>BDP|7997627439054744149</stp>
        <tr r="J1481" s="1"/>
      </tp>
      <tp t="s">
        <v>#N/A Requesting Data...2288707659</v>
        <stp/>
        <stp>BDP|3123731254561478734</stp>
        <tr r="E564" s="1"/>
      </tp>
      <tp t="s">
        <v>#N/A Requesting Data...4253339431</v>
        <stp/>
        <stp>BDP|8372422794353289168</stp>
        <tr r="E862" s="1"/>
      </tp>
      <tp t="s">
        <v>#N/A Requesting Data...1545054977</v>
        <stp/>
        <stp>BDP|8632267867459209239</stp>
        <tr r="H517" s="1"/>
      </tp>
      <tp t="s">
        <v>#N/A Requesting Data...2957695887</v>
        <stp/>
        <stp>BDP|9889873448696911487</stp>
        <tr r="E1980" s="1"/>
      </tp>
      <tp t="s">
        <v>#N/A Requesting Data...3022784101</v>
        <stp/>
        <stp>BDP|5589536773411394108</stp>
        <tr r="J1923" s="1"/>
      </tp>
      <tp t="s">
        <v>#N/A Requesting Data...3832094944</v>
        <stp/>
        <stp>BDP|6728117580178312039</stp>
        <tr r="H1053" s="1"/>
      </tp>
      <tp t="s">
        <v>#N/A Requesting Data...2852231900</v>
        <stp/>
        <stp>BDP|8977352057128524189</stp>
        <tr r="J1535" s="1"/>
      </tp>
      <tp t="s">
        <v>#N/A Requesting Data...1160273909</v>
        <stp/>
        <stp>BDP|5625463112107681029</stp>
        <tr r="AU862" s="1"/>
      </tp>
      <tp t="s">
        <v>#N/A Requesting Data...598540243</v>
        <stp/>
        <stp>BDP|5744553372302335257</stp>
        <tr r="AS1063" s="1"/>
      </tp>
      <tp t="s">
        <v>#N/A Requesting Data...3405206787</v>
        <stp/>
        <stp>BDP|6535072036255038720</stp>
        <tr r="J143" s="1"/>
      </tp>
      <tp t="s">
        <v>#N/A Requesting Data...3497537321</v>
        <stp/>
        <stp>BDP|7931717916475972314</stp>
        <tr r="E644" s="1"/>
      </tp>
      <tp t="s">
        <v>#N/A Requesting Data...2135766920</v>
        <stp/>
        <stp>BDP|5925139802266862569</stp>
        <tr r="J1235" s="1"/>
      </tp>
      <tp t="s">
        <v>#N/A Requesting Data...2391229656</v>
        <stp/>
        <stp>BDP|1294128075745038529</stp>
        <tr r="E502" s="1"/>
      </tp>
      <tp t="s">
        <v>#N/A Requesting Data...2843690519</v>
        <stp/>
        <stp>BDP|8119431191660384271</stp>
        <tr r="H1232" s="1"/>
      </tp>
      <tp t="s">
        <v>#N/A Requesting Data...2154423701</v>
        <stp/>
        <stp>BDP|2614683909273182019</stp>
        <tr r="J503" s="1"/>
      </tp>
      <tp t="s">
        <v>#N/A Requesting Data...2628693059</v>
        <stp/>
        <stp>BDP|7092459325353543524</stp>
        <tr r="AT433" s="1"/>
      </tp>
      <tp t="s">
        <v>#N/A Requesting Data...2935038415</v>
        <stp/>
        <stp>BDP|5650275979552663590</stp>
        <tr r="H669" s="1"/>
      </tp>
      <tp t="s">
        <v>#N/A Requesting Data...1988366367</v>
        <stp/>
        <stp>BDP|3777104841699844893</stp>
        <tr r="H1085" s="1"/>
      </tp>
      <tp t="s">
        <v>#N/A Requesting Data...2038461259</v>
        <stp/>
        <stp>BDP|2289333700082197477</stp>
        <tr r="AU467" s="1"/>
      </tp>
      <tp t="s">
        <v>#N/A Requesting Data...2929162658</v>
        <stp/>
        <stp>BDP|2229770865316035274</stp>
        <tr r="H21" s="1"/>
      </tp>
      <tp t="s">
        <v>#N/A Requesting Data...3645918673</v>
        <stp/>
        <stp>BDP|4469298401344924516</stp>
        <tr r="J1464" s="1"/>
        <tr r="J1723" s="1"/>
        <tr r="J793" s="1"/>
      </tp>
      <tp t="s">
        <v>#N/A Requesting Data...602715862</v>
        <stp/>
        <stp>BDP|7581176027611810291</stp>
        <tr r="E1760" s="1"/>
      </tp>
      <tp t="s">
        <v>#N/A Requesting Data...2106782396</v>
        <stp/>
        <stp>BDP|8059844922987724252</stp>
        <tr r="J1055" s="1"/>
      </tp>
      <tp t="s">
        <v>#N/A Requesting Data...1198782367</v>
        <stp/>
        <stp>BDP|6537630075820463032</stp>
        <tr r="J441" s="1"/>
      </tp>
      <tp t="s">
        <v>#N/A Requesting Data...3042196352</v>
        <stp/>
        <stp>BDP|9833347231498880617</stp>
        <tr r="J1094" s="1"/>
        <tr r="J951" s="1"/>
      </tp>
      <tp t="s">
        <v>#N/A Requesting Data...1204485510</v>
        <stp/>
        <stp>BDP|1753144175047270708</stp>
        <tr r="H1383" s="1"/>
      </tp>
      <tp t="s">
        <v>#N/A Requesting Data...1680361073</v>
        <stp/>
        <stp>BDP|2777370031312508707</stp>
        <tr r="H687" s="1"/>
      </tp>
      <tp t="s">
        <v>#N/A Requesting Data...3888964076</v>
        <stp/>
        <stp>BDP|3309021303187257347</stp>
        <tr r="AR776" s="1"/>
      </tp>
      <tp t="s">
        <v>#N/A Requesting Data...3354677257</v>
        <stp/>
        <stp>BDP|5555727307250026540</stp>
        <tr r="J1501" s="1"/>
        <tr r="J1619" s="1"/>
      </tp>
      <tp t="s">
        <v>#N/A Requesting Data...658063259</v>
        <stp/>
        <stp>BDP|2190580401218977858</stp>
        <tr r="J851" s="1"/>
      </tp>
      <tp t="s">
        <v>#N/A Requesting Data...1374459813</v>
        <stp/>
        <stp>BDP|1043919207146119939</stp>
        <tr r="E425" s="1"/>
      </tp>
      <tp t="s">
        <v>#N/A Requesting Data...834680172</v>
        <stp/>
        <stp>BDP|4174420742481338267</stp>
        <tr r="AP1561" s="1"/>
      </tp>
      <tp t="s">
        <v>#N/A Requesting Data...1799724092</v>
        <stp/>
        <stp>BDP|6733117896920118945</stp>
        <tr r="AU404" s="1"/>
      </tp>
      <tp t="s">
        <v>#N/A Requesting Data...2398274790</v>
        <stp/>
        <stp>BDP|1930689805269811991</stp>
        <tr r="H1768" s="1"/>
      </tp>
      <tp t="s">
        <v>#N/A Requesting Data...1618693995</v>
        <stp/>
        <stp>BDP|1628934219418975608</stp>
        <tr r="AV511" s="1"/>
      </tp>
      <tp t="s">
        <v>#N/A Requesting Data...1719958445</v>
        <stp/>
        <stp>BDP|4709068240657531010</stp>
        <tr r="E1550" s="1"/>
      </tp>
      <tp t="s">
        <v>#N/A Requesting Data...3880998945</v>
        <stp/>
        <stp>BDP|3172229137842681771</stp>
        <tr r="J1030" s="1"/>
      </tp>
      <tp t="s">
        <v>#N/A Requesting Data...912568565</v>
        <stp/>
        <stp>BDP|5283606134215132220</stp>
        <tr r="J1210" s="1"/>
      </tp>
      <tp t="s">
        <v>#N/A Requesting Data...2205808530</v>
        <stp/>
        <stp>BDP|4724058632196732627</stp>
        <tr r="J653" s="1"/>
      </tp>
      <tp t="s">
        <v>#N/A Requesting Data...734535015</v>
        <stp/>
        <stp>BDP|4175438441490674302</stp>
        <tr r="J72" s="1"/>
      </tp>
      <tp t="s">
        <v>#N/A Requesting Data...3641815719</v>
        <stp/>
        <stp>BDP|8154829870416003666</stp>
        <tr r="AU598" s="1"/>
      </tp>
      <tp t="s">
        <v>#N/A Requesting Data...1511542323</v>
        <stp/>
        <stp>BDP|1074985226904939926</stp>
        <tr r="E1642" s="1"/>
        <tr r="E1885" s="1"/>
        <tr r="E2091" s="1"/>
      </tp>
      <tp t="s">
        <v>#N/A Requesting Data...1063901499</v>
        <stp/>
        <stp>BDP|7889114009156389764</stp>
        <tr r="AU324" s="1"/>
      </tp>
      <tp t="s">
        <v>#N/A Requesting Data...1242225540</v>
        <stp/>
        <stp>BDP|4738748755197315608</stp>
        <tr r="H1143" s="1"/>
        <tr r="H95" s="1"/>
      </tp>
      <tp t="s">
        <v>#N/A Requesting Data...2528976768</v>
        <stp/>
        <stp>BDP|9007792752178659485</stp>
        <tr r="J910" s="1"/>
      </tp>
      <tp t="s">
        <v>#N/A Requesting Data...3701202924</v>
        <stp/>
        <stp>BDP|3803183452063117360</stp>
        <tr r="AV554" s="1"/>
      </tp>
      <tp t="s">
        <v>#N/A Requesting Data...2921320854</v>
        <stp/>
        <stp>BDP|2007037362562619126</stp>
        <tr r="J853" s="1"/>
      </tp>
      <tp t="s">
        <v>#N/A Requesting Data...1623636554</v>
        <stp/>
        <stp>BDP|7475115846500176575</stp>
        <tr r="H1355" s="1"/>
      </tp>
      <tp t="s">
        <v>#N/A Requesting Data...612106120</v>
        <stp/>
        <stp>BDP|6294826692934051474</stp>
        <tr r="H1162" s="1"/>
        <tr r="H961" s="1"/>
      </tp>
      <tp t="s">
        <v>#N/A Requesting Data...2421788334</v>
        <stp/>
        <stp>BDP|5142560196961255892</stp>
        <tr r="AT687" s="1"/>
      </tp>
      <tp t="s">
        <v>#N/A Requesting Data...4058239801</v>
        <stp/>
        <stp>BDP|9898162558725948856</stp>
        <tr r="H510" s="1"/>
      </tp>
      <tp t="s">
        <v>#N/A Requesting Data...2015473825</v>
        <stp/>
        <stp>BDP|8919766514779570749</stp>
        <tr r="J589" s="1"/>
      </tp>
      <tp t="s">
        <v>#N/A Requesting Data...1585493939</v>
        <stp/>
        <stp>BDP|5920668542970521722</stp>
        <tr r="E536" s="1"/>
      </tp>
      <tp t="s">
        <v>#N/A Requesting Data...3822742296</v>
        <stp/>
        <stp>BDP|4923265416745661254</stp>
        <tr r="E1039" s="1"/>
      </tp>
      <tp t="s">
        <v>#N/A Requesting Data...2944078249</v>
        <stp/>
        <stp>BDP|2453298853265383075</stp>
        <tr r="J310" s="1"/>
      </tp>
      <tp t="s">
        <v>#N/A Requesting Data...979638246</v>
        <stp/>
        <stp>BDP|3463068849914954380</stp>
        <tr r="H147" s="1"/>
      </tp>
      <tp t="s">
        <v>#N/A Requesting Data...4126851227</v>
        <stp/>
        <stp>BDP|8415103296427076784</stp>
        <tr r="AV631" s="1"/>
      </tp>
      <tp t="s">
        <v>#N/A Requesting Data...1739280639</v>
        <stp/>
        <stp>BDP|5215388531297287237</stp>
        <tr r="AV605" s="1"/>
      </tp>
      <tp t="s">
        <v>#N/A Requesting Data...3196092109</v>
        <stp/>
        <stp>BDP|8568019067858873614</stp>
        <tr r="J2086" s="1"/>
      </tp>
      <tp t="s">
        <v>#N/A Requesting Data...692625155</v>
        <stp/>
        <stp>BDP|9820145664317570974</stp>
        <tr r="AV676" s="1"/>
      </tp>
      <tp t="s">
        <v>#N/A Requesting Data...2953153265</v>
        <stp/>
        <stp>BDP|4398508756675833173</stp>
        <tr r="H1950" s="1"/>
      </tp>
      <tp t="s">
        <v>#N/A Requesting Data...853904011</v>
        <stp/>
        <stp>BDP|1232481200770720571</stp>
        <tr r="AT384" s="1"/>
      </tp>
      <tp t="s">
        <v>#N/A Requesting Data...2453615860</v>
        <stp/>
        <stp>BDP|4077628510861113290</stp>
        <tr r="E1140" s="1"/>
        <tr r="E1643" s="1"/>
      </tp>
      <tp t="s">
        <v>#N/A Requesting Data...3039578179</v>
        <stp/>
        <stp>BDP|7412537518632009156</stp>
        <tr r="AU848" s="1"/>
      </tp>
      <tp t="s">
        <v>#N/A Requesting Data...2288334953</v>
        <stp/>
        <stp>BDP|4960740536116575658</stp>
        <tr r="J282" s="1"/>
      </tp>
      <tp t="s">
        <v>#N/A Requesting Data...4083597988</v>
        <stp/>
        <stp>BDP|8171773994112886415</stp>
        <tr r="H596" s="1"/>
      </tp>
      <tp t="s">
        <v>#N/A Requesting Data...2117180452</v>
        <stp/>
        <stp>BDP|5695639455692383486</stp>
        <tr r="H1170" s="1"/>
        <tr r="H1347" s="1"/>
      </tp>
      <tp t="s">
        <v>#N/A Requesting Data...1449815300</v>
        <stp/>
        <stp>BDP|7251410779124884091</stp>
        <tr r="H349" s="1"/>
      </tp>
      <tp t="s">
        <v>#N/A Requesting Data...4237556350</v>
        <stp/>
        <stp>BDP|3639746559156188713</stp>
        <tr r="J208" s="1"/>
      </tp>
      <tp t="s">
        <v>#N/A Requesting Data...1496313856</v>
        <stp/>
        <stp>BDP|7907043735771173520</stp>
        <tr r="E992" s="1"/>
      </tp>
      <tp t="s">
        <v>#N/A Requesting Data...813428845</v>
        <stp/>
        <stp>BDP|1970752305020529674</stp>
        <tr r="J1411" s="1"/>
        <tr r="J1447" s="1"/>
      </tp>
      <tp t="s">
        <v>#N/A Requesting Data...4290955742</v>
        <stp/>
        <stp>BDP|1678643474747502781</stp>
        <tr r="AT415" s="1"/>
      </tp>
      <tp t="s">
        <v>#N/A Requesting Data...2925044524</v>
        <stp/>
        <stp>BDP|2228570028497727212</stp>
        <tr r="H367" s="1"/>
      </tp>
      <tp t="s">
        <v>#N/A Requesting Data...3897305387</v>
        <stp/>
        <stp>BDP|9343043716810117887</stp>
        <tr r="H1881" s="1"/>
        <tr r="H39" s="1"/>
      </tp>
      <tp t="s">
        <v>#N/A Requesting Data...3565086596</v>
        <stp/>
        <stp>BDP|2166784854842707223</stp>
        <tr r="J62" s="1"/>
      </tp>
      <tp t="s">
        <v>#N/A Requesting Data...2388971613</v>
        <stp/>
        <stp>BDP|3754410502825938256</stp>
        <tr r="H461" s="1"/>
      </tp>
      <tp t="s">
        <v>#N/A Requesting Data...3599565156</v>
        <stp/>
        <stp>BDP|6438196015506299024</stp>
        <tr r="AU728" s="1"/>
      </tp>
      <tp t="s">
        <v>#N/A Requesting Data...1252259922</v>
        <stp/>
        <stp>BDP|2758891104528036220</stp>
        <tr r="E499" s="1"/>
      </tp>
      <tp t="s">
        <v>#N/A Requesting Data...972424768</v>
        <stp/>
        <stp>BDP|6260028228477160319</stp>
        <tr r="J382" s="1"/>
      </tp>
      <tp t="s">
        <v>#N/A Requesting Data...3230095895</v>
        <stp/>
        <stp>BDP|1724418862276487584</stp>
        <tr r="J529" s="1"/>
      </tp>
      <tp t="s">
        <v>#N/A Requesting Data...1820104502</v>
        <stp/>
        <stp>BDP|7632641362792838501</stp>
        <tr r="J415" s="1"/>
      </tp>
      <tp t="s">
        <v>#N/A Requesting Data...1576060310</v>
        <stp/>
        <stp>BDP|3169410119675346323</stp>
        <tr r="AV918" s="1"/>
      </tp>
      <tp t="s">
        <v>#N/A Requesting Data...2910718129</v>
        <stp/>
        <stp>BDP|1950483148806568751</stp>
        <tr r="AT631" s="1"/>
      </tp>
      <tp t="s">
        <v>#N/A Requesting Data...1043531180</v>
        <stp/>
        <stp>BDP|7215197973090999184</stp>
        <tr r="H1164" s="1"/>
      </tp>
      <tp t="s">
        <v>#N/A Requesting Data...3376615072</v>
        <stp/>
        <stp>BDP|1634499750480760013</stp>
        <tr r="J1884" s="1"/>
      </tp>
      <tp t="s">
        <v>#N/A Requesting Data...781831843</v>
        <stp/>
        <stp>BDP|1037278893768934243</stp>
        <tr r="H811" s="1"/>
      </tp>
      <tp t="s">
        <v>#N/A Requesting Data...3657743882</v>
        <stp/>
        <stp>BDP|4257561135835078787</stp>
        <tr r="E1480" s="1"/>
      </tp>
      <tp t="s">
        <v>#N/A Requesting Data...2731799862</v>
        <stp/>
        <stp>BDP|6558748164630937757</stp>
        <tr r="E702" s="1"/>
      </tp>
      <tp t="s">
        <v>#N/A Requesting Data...4191333364</v>
        <stp/>
        <stp>BDP|2336099959247970030</stp>
        <tr r="J905" s="1"/>
      </tp>
      <tp t="s">
        <v>#N/A Requesting Data...2868805027</v>
        <stp/>
        <stp>BDP|1617273628342965399</stp>
        <tr r="E1814" s="1"/>
      </tp>
      <tp t="s">
        <v>#N/A Requesting Data...1625534269</v>
        <stp/>
        <stp>BDP|7777140459897087439</stp>
        <tr r="H735" s="1"/>
      </tp>
      <tp t="s">
        <v>#N/A Requesting Data...3304434025</v>
        <stp/>
        <stp>BDP|1843561820475171367</stp>
        <tr r="E1133" s="1"/>
        <tr r="E1406" s="1"/>
        <tr r="E1444" s="1"/>
      </tp>
      <tp t="s">
        <v>#N/A Requesting Data...3845652320</v>
        <stp/>
        <stp>BDP|5387542723992805053</stp>
        <tr r="E1010" s="1"/>
        <tr r="E1017" s="1"/>
        <tr r="E1020" s="1"/>
        <tr r="E1034" s="1"/>
        <tr r="E1064" s="1"/>
        <tr r="E1079" s="1"/>
        <tr r="E1124" s="1"/>
        <tr r="E1155" s="1"/>
        <tr r="E1166" s="1"/>
        <tr r="E1193" s="1"/>
        <tr r="E1226" s="1"/>
        <tr r="E1272" s="1"/>
        <tr r="E1278" s="1"/>
        <tr r="E129" s="1"/>
        <tr r="E1294" s="1"/>
        <tr r="E1329" s="1"/>
        <tr r="E1336" s="1"/>
        <tr r="E1345" s="1"/>
        <tr r="E1364" s="1"/>
        <tr r="E1367" s="1"/>
        <tr r="E1371" s="1"/>
        <tr r="E1385" s="1"/>
        <tr r="E1432" s="1"/>
        <tr r="E1436" s="1"/>
        <tr r="E1458" s="1"/>
        <tr r="E1465" s="1"/>
        <tr r="E1468" s="1"/>
        <tr r="E1471" s="1"/>
        <tr r="E1474" s="1"/>
        <tr r="E1496" s="1"/>
        <tr r="E150" s="1"/>
        <tr r="E1543" s="1"/>
        <tr r="E1562" s="1"/>
        <tr r="E1604" s="1"/>
        <tr r="E165" s="1"/>
        <tr r="E1674" s="1"/>
        <tr r="E1703" s="1"/>
        <tr r="E1710" s="1"/>
        <tr r="E1717" s="1"/>
        <tr r="E1724" s="1"/>
        <tr r="E1727" s="1"/>
        <tr r="E1734" s="1"/>
        <tr r="E1741" s="1"/>
        <tr r="E1744" s="1"/>
        <tr r="E1759" s="1"/>
        <tr r="E177" s="1"/>
        <tr r="E1796" s="1"/>
        <tr r="E1799" s="1"/>
        <tr r="E1802" s="1"/>
        <tr r="E1805" s="1"/>
        <tr r="E1808" s="1"/>
        <tr r="E1811" s="1"/>
        <tr r="E1824" s="1"/>
        <tr r="E1839" s="1"/>
        <tr r="E1857" s="1"/>
        <tr r="E1915" s="1"/>
        <tr r="E195" s="1"/>
        <tr r="E1959" s="1"/>
        <tr r="E1970" s="1"/>
        <tr r="E1989" s="1"/>
        <tr r="E199" s="1"/>
        <tr r="E1992" s="1"/>
        <tr r="E1995" s="1"/>
        <tr r="E1998" s="1"/>
        <tr r="E2001" s="1"/>
        <tr r="E2004" s="1"/>
        <tr r="E2007" s="1"/>
        <tr r="E2010" s="1"/>
        <tr r="E2013" s="1"/>
        <tr r="E2016" s="1"/>
        <tr r="E2019" s="1"/>
        <tr r="E2022" s="1"/>
        <tr r="E2025" s="1"/>
        <tr r="E2028" s="1"/>
        <tr r="E2031" s="1"/>
        <tr r="E2034" s="1"/>
        <tr r="E2037" s="1"/>
        <tr r="E2040" s="1"/>
        <tr r="E2043" s="1"/>
        <tr r="E2046" s="1"/>
        <tr r="E2049" s="1"/>
        <tr r="E2052" s="1"/>
        <tr r="E2069" s="1"/>
        <tr r="E224" s="1"/>
        <tr r="E234" s="1"/>
        <tr r="E25" s="1"/>
        <tr r="E253" s="1"/>
        <tr r="E277" s="1"/>
        <tr r="E4" s="1"/>
        <tr r="E471" s="1"/>
        <tr r="E562" s="1"/>
        <tr r="E7" s="1"/>
        <tr r="E70" s="1"/>
        <tr r="E764" s="1"/>
        <tr r="E771" s="1"/>
        <tr r="E782" s="1"/>
        <tr r="E794" s="1"/>
        <tr r="E798" s="1"/>
        <tr r="E816" s="1"/>
        <tr r="E823" s="1"/>
        <tr r="E830" s="1"/>
        <tr r="E925" s="1"/>
        <tr r="E932" s="1"/>
        <tr r="E971" s="1"/>
      </tp>
      <tp t="s">
        <v>#N/A Requesting Data...2806599200</v>
        <stp/>
        <stp>BDP|4489393781946387968</stp>
        <tr r="H340" s="1"/>
      </tp>
      <tp t="s">
        <v>#N/A Requesting Data...1396343854</v>
        <stp/>
        <stp>BDP|2833620872096103507</stp>
        <tr r="AT274" s="1"/>
      </tp>
      <tp t="s">
        <v>#N/A Requesting Data...763884456</v>
        <stp/>
        <stp>BDP|4945284115366521187</stp>
        <tr r="E1033" s="1"/>
      </tp>
      <tp t="s">
        <v>#N/A Requesting Data...920913117</v>
        <stp/>
        <stp>BDP|4295556209747584658</stp>
        <tr r="H286" s="1"/>
      </tp>
      <tp t="s">
        <v>#N/A Requesting Data...3594972546</v>
        <stp/>
        <stp>BDP|3040488514553430561</stp>
        <tr r="H1219" s="1"/>
      </tp>
      <tp t="s">
        <v>#N/A Requesting Data...3196813770</v>
        <stp/>
        <stp>BDP|5812054592464593843</stp>
        <tr r="J1255" s="1"/>
      </tp>
      <tp t="s">
        <v>#N/A Requesting Data...2621652213</v>
        <stp/>
        <stp>BDP|8751024926679823359</stp>
        <tr r="AV205" s="1"/>
      </tp>
      <tp t="s">
        <v>#N/A Requesting Data...2289693640</v>
        <stp/>
        <stp>BDP|9120344206833979945</stp>
        <tr r="H1281" s="1"/>
      </tp>
      <tp t="s">
        <v>#N/A Requesting Data...2317699744</v>
        <stp/>
        <stp>BDP|5776710718894929792</stp>
        <tr r="AV924" s="1"/>
      </tp>
      <tp t="s">
        <v>#N/A Requesting Data...1576572815</v>
        <stp/>
        <stp>BDP|7739555226740889028</stp>
        <tr r="J713" s="1"/>
      </tp>
      <tp t="s">
        <v>#N/A Requesting Data...4212822905</v>
        <stp/>
        <stp>BDP|6680434224973868372</stp>
        <tr r="E1142" s="1"/>
        <tr r="E1451" s="1"/>
      </tp>
      <tp t="s">
        <v>#N/A Requesting Data...3108784310</v>
        <stp/>
        <stp>BDP|4487555672675995341</stp>
        <tr r="AP2021" s="1"/>
      </tp>
      <tp t="s">
        <v>#N/A Requesting Data...3055906902</v>
        <stp/>
        <stp>BDP|9494712981816251085</stp>
        <tr r="H586" s="1"/>
      </tp>
      <tp t="s">
        <v>#N/A Requesting Data...2769603017</v>
        <stp/>
        <stp>BDP|8935114189302928363</stp>
        <tr r="H1284" s="1"/>
        <tr r="H962" s="1"/>
      </tp>
      <tp t="s">
        <v>#N/A Requesting Data...3634894454</v>
        <stp/>
        <stp>BDP|2480445262825532591</stp>
        <tr r="H540" s="1"/>
      </tp>
      <tp t="s">
        <v>#N/A Requesting Data...2472231732</v>
        <stp/>
        <stp>BDP|5041173320813083591</stp>
        <tr r="J1405" s="1"/>
      </tp>
      <tp t="s">
        <v>#N/A Requesting Data...4037766609</v>
        <stp/>
        <stp>BDP|3607220468063519477</stp>
        <tr r="H743" s="1"/>
      </tp>
      <tp t="s">
        <v>#N/A Requesting Data...1270897316</v>
        <stp/>
        <stp>BDP|8099908079816509030</stp>
        <tr r="J1375" s="1"/>
      </tp>
      <tp t="s">
        <v>#N/A Requesting Data...3878930578</v>
        <stp/>
        <stp>BDP|3066697453818546805</stp>
        <tr r="H843" s="1"/>
      </tp>
      <tp t="s">
        <v>#N/A Requesting Data...687609324</v>
        <stp/>
        <stp>BDP|6640180337394683007</stp>
        <tr r="J912" s="1"/>
      </tp>
      <tp t="s">
        <v>#N/A Requesting Data...2339858852</v>
        <stp/>
        <stp>BDP|2325560300195317299</stp>
        <tr r="AV535" s="1"/>
      </tp>
      <tp t="s">
        <v>#N/A Requesting Data...3778288867</v>
        <stp/>
        <stp>BDP|2885732302252257740</stp>
        <tr r="J730" s="1"/>
      </tp>
      <tp t="s">
        <v>#N/A Requesting Data...3816482908</v>
        <stp/>
        <stp>BDP|4210681210964201777</stp>
        <tr r="J1303" s="1"/>
      </tp>
      <tp t="s">
        <v>#N/A Requesting Data...3464997498</v>
        <stp/>
        <stp>BDP|8505487431649382609</stp>
        <tr r="J1010" s="1"/>
        <tr r="J1017" s="1"/>
        <tr r="J1020" s="1"/>
        <tr r="J1034" s="1"/>
        <tr r="J1064" s="1"/>
        <tr r="J1079" s="1"/>
        <tr r="J1124" s="1"/>
        <tr r="J1155" s="1"/>
        <tr r="J1166" s="1"/>
        <tr r="J1193" s="1"/>
        <tr r="J1226" s="1"/>
        <tr r="J1272" s="1"/>
        <tr r="J1278" s="1"/>
        <tr r="J129" s="1"/>
        <tr r="J1294" s="1"/>
        <tr r="J1329" s="1"/>
        <tr r="J1336" s="1"/>
        <tr r="J1345" s="1"/>
        <tr r="J1364" s="1"/>
        <tr r="J1367" s="1"/>
        <tr r="J1371" s="1"/>
        <tr r="J1385" s="1"/>
        <tr r="J1432" s="1"/>
        <tr r="J1436" s="1"/>
        <tr r="J1458" s="1"/>
        <tr r="J1465" s="1"/>
        <tr r="J1468" s="1"/>
        <tr r="J1471" s="1"/>
        <tr r="J1474" s="1"/>
        <tr r="J1496" s="1"/>
        <tr r="J150" s="1"/>
        <tr r="J1543" s="1"/>
        <tr r="J1562" s="1"/>
        <tr r="J1604" s="1"/>
        <tr r="J165" s="1"/>
        <tr r="J1674" s="1"/>
        <tr r="J1703" s="1"/>
        <tr r="J1710" s="1"/>
        <tr r="J1717" s="1"/>
        <tr r="J1724" s="1"/>
        <tr r="J1727" s="1"/>
        <tr r="J1734" s="1"/>
        <tr r="J1741" s="1"/>
        <tr r="J1744" s="1"/>
        <tr r="J1759" s="1"/>
        <tr r="J177" s="1"/>
        <tr r="J1796" s="1"/>
        <tr r="J1799" s="1"/>
        <tr r="J1802" s="1"/>
        <tr r="J1805" s="1"/>
        <tr r="J1808" s="1"/>
        <tr r="J1811" s="1"/>
        <tr r="J1824" s="1"/>
        <tr r="J1839" s="1"/>
        <tr r="J1857" s="1"/>
        <tr r="J1915" s="1"/>
        <tr r="J195" s="1"/>
        <tr r="J1959" s="1"/>
        <tr r="J1970" s="1"/>
        <tr r="J1989" s="1"/>
        <tr r="J199" s="1"/>
        <tr r="J1992" s="1"/>
        <tr r="J1995" s="1"/>
        <tr r="J1998" s="1"/>
        <tr r="J2001" s="1"/>
        <tr r="J2004" s="1"/>
        <tr r="J2007" s="1"/>
        <tr r="J2010" s="1"/>
        <tr r="J2013" s="1"/>
        <tr r="J2016" s="1"/>
        <tr r="J2019" s="1"/>
        <tr r="J2022" s="1"/>
        <tr r="J2025" s="1"/>
        <tr r="J2028" s="1"/>
        <tr r="J2031" s="1"/>
        <tr r="J2034" s="1"/>
        <tr r="J2037" s="1"/>
        <tr r="J2040" s="1"/>
        <tr r="J2043" s="1"/>
        <tr r="J2046" s="1"/>
        <tr r="J2049" s="1"/>
        <tr r="J2052" s="1"/>
        <tr r="J2069" s="1"/>
        <tr r="J224" s="1"/>
        <tr r="J234" s="1"/>
        <tr r="J25" s="1"/>
        <tr r="J253" s="1"/>
        <tr r="J277" s="1"/>
        <tr r="J4" s="1"/>
        <tr r="J471" s="1"/>
        <tr r="J562" s="1"/>
        <tr r="J7" s="1"/>
        <tr r="J70" s="1"/>
        <tr r="J764" s="1"/>
        <tr r="J771" s="1"/>
        <tr r="J782" s="1"/>
        <tr r="J794" s="1"/>
        <tr r="J798" s="1"/>
        <tr r="J816" s="1"/>
        <tr r="J823" s="1"/>
        <tr r="J830" s="1"/>
        <tr r="J925" s="1"/>
        <tr r="J932" s="1"/>
        <tr r="J971" s="1"/>
      </tp>
      <tp t="s">
        <v>#N/A Requesting Data...3236877088</v>
        <stp/>
        <stp>BDP|9523942669390031670</stp>
        <tr r="AU546" s="1"/>
      </tp>
      <tp t="s">
        <v>#N/A Requesting Data...3462421137</v>
        <stp/>
        <stp>BDP|2783030988262514869</stp>
        <tr r="AT590" s="1"/>
      </tp>
      <tp t="s">
        <v>#N/A Requesting Data...2880052217</v>
        <stp/>
        <stp>BDP|7042411480959701299</stp>
        <tr r="J1078" s="1"/>
        <tr r="J1968" s="1"/>
      </tp>
      <tp t="s">
        <v>#N/A Requesting Data...3273776986</v>
        <stp/>
        <stp>BDP|2132143990672208882</stp>
        <tr r="E279" s="1"/>
      </tp>
      <tp t="s">
        <v>#N/A Requesting Data...2506335118</v>
        <stp/>
        <stp>BDP|7891305240691284156</stp>
        <tr r="H239" s="1"/>
      </tp>
      <tp t="s">
        <v>#N/A Requesting Data...2482066450</v>
        <stp/>
        <stp>BDP|9273895012647311752</stp>
        <tr r="J1313" s="1"/>
      </tp>
      <tp t="s">
        <v>#N/A Requesting Data...2014560807</v>
        <stp/>
        <stp>BDP|9672898128320341380</stp>
        <tr r="H1919" s="1"/>
      </tp>
      <tp t="s">
        <v>#N/A Requesting Data...960007512</v>
        <stp/>
        <stp>BDP|1659731846871625393</stp>
        <tr r="H742" s="1"/>
      </tp>
      <tp t="s">
        <v>#N/A Requesting Data...1119909851</v>
        <stp/>
        <stp>BDP|2988941197625759715</stp>
        <tr r="J864" s="1"/>
      </tp>
      <tp t="s">
        <v>#N/A Requesting Data...785505147</v>
        <stp/>
        <stp>BDP|6845122704925373217</stp>
        <tr r="J523" s="1"/>
      </tp>
      <tp t="s">
        <v>#N/A Requesting Data...3508573377</v>
        <stp/>
        <stp>BDP|9527624788846285116</stp>
        <tr r="AU308" s="1"/>
      </tp>
      <tp t="s">
        <v>#N/A Requesting Data...4083050704</v>
        <stp/>
        <stp>BDP|1677596235575736214</stp>
        <tr r="E1320" s="1"/>
        <tr r="E47" s="1"/>
        <tr r="E998" s="1"/>
      </tp>
      <tp t="s">
        <v>#N/A Requesting Data...645228967</v>
        <stp/>
        <stp>BDP|9009603599616779021</stp>
        <tr r="J1626" s="1"/>
        <tr r="J1874" s="1"/>
      </tp>
      <tp t="s">
        <v>#N/A Requesting Data...1125870096</v>
        <stp/>
        <stp>BDP|7814313624620431653</stp>
        <tr r="AT289" s="1"/>
      </tp>
      <tp t="s">
        <v>#N/A Requesting Data...3085335953</v>
        <stp/>
        <stp>BDP|9793998035376709506</stp>
        <tr r="AU212" s="1"/>
      </tp>
      <tp t="s">
        <v>#N/A Requesting Data...1014299316</v>
        <stp/>
        <stp>BDP|6329366324571846651</stp>
        <tr r="AR2045" s="1"/>
      </tp>
      <tp t="s">
        <v>#N/A Requesting Data...1840835022</v>
        <stp/>
        <stp>BDP|6374539673943652795</stp>
        <tr r="H1912" s="1"/>
      </tp>
      <tp t="s">
        <v>#N/A Requesting Data...4219398980</v>
        <stp/>
        <stp>BDP|2544745878190743223</stp>
        <tr r="AV206" s="1"/>
      </tp>
      <tp t="s">
        <v>#N/A Requesting Data...2766875986</v>
        <stp/>
        <stp>BDP|1445295325746653724</stp>
        <tr r="H1229" s="1"/>
      </tp>
      <tp t="s">
        <v>#N/A Requesting Data...3457930263</v>
        <stp/>
        <stp>BDP|9932771403946248838</stp>
        <tr r="AT870" s="1"/>
      </tp>
      <tp t="s">
        <v>#N/A Requesting Data...912258589</v>
        <stp/>
        <stp>BDP|8143901017857223794</stp>
        <tr r="J371" s="1"/>
      </tp>
      <tp t="s">
        <v>#N/A Requesting Data...1951976691</v>
        <stp/>
        <stp>BDP|9174273767188866548</stp>
        <tr r="AU877" s="1"/>
      </tp>
      <tp t="s">
        <v>#N/A Requesting Data...1328185297</v>
        <stp/>
        <stp>BDP|6811635722954163657</stp>
        <tr r="H314" s="1"/>
      </tp>
      <tp t="s">
        <v>#N/A Requesting Data...1251946009</v>
        <stp/>
        <stp>BDP|6900841269829918107</stp>
        <tr r="AU685" s="1"/>
      </tp>
      <tp t="s">
        <v>#N/A Requesting Data...2826140226</v>
        <stp/>
        <stp>BDP|4528486522774757655</stp>
        <tr r="H1507" s="1"/>
      </tp>
      <tp t="s">
        <v>#N/A Requesting Data...1371364750</v>
        <stp/>
        <stp>BDP|7289561242261284796</stp>
        <tr r="AV669" s="1"/>
      </tp>
      <tp t="s">
        <v>#N/A Requesting Data...4068853485</v>
        <stp/>
        <stp>BDP|2738133999658083209</stp>
        <tr r="H1072" s="1"/>
        <tr r="H1906" s="1"/>
        <tr r="H1964" s="1"/>
      </tp>
      <tp t="s">
        <v>#N/A Requesting Data...2253732487</v>
        <stp/>
        <stp>BDP|1226186723704251696</stp>
        <tr r="AV435" s="1"/>
      </tp>
      <tp t="s">
        <v>#N/A Requesting Data...1507845128</v>
        <stp/>
        <stp>BDP|8212590812199356586</stp>
        <tr r="AU557" s="1"/>
      </tp>
      <tp t="s">
        <v>#N/A Requesting Data...1628734050</v>
        <stp/>
        <stp>BDP|8154972971141633737</stp>
        <tr r="AU695" s="1"/>
      </tp>
      <tp t="s">
        <v>#N/A Requesting Data...2665235919</v>
        <stp/>
        <stp>BDP|4739172924660503733</stp>
        <tr r="J1001" s="1"/>
      </tp>
      <tp t="s">
        <v>#N/A Requesting Data...4028943228</v>
        <stp/>
        <stp>BDP|8308105899794930415</stp>
        <tr r="AU870" s="1"/>
      </tp>
      <tp t="s">
        <v>#N/A Requesting Data...2182835998</v>
        <stp/>
        <stp>BDP|8116313619619829331</stp>
        <tr r="E557" s="1"/>
      </tp>
      <tp t="s">
        <v>#N/A Requesting Data...1577743043</v>
        <stp/>
        <stp>BDP|4676096040416564685</stp>
        <tr r="AT513" s="1"/>
      </tp>
      <tp t="s">
        <v>#N/A Requesting Data...976032554</v>
        <stp/>
        <stp>BDP|4824155339444726209</stp>
        <tr r="AU601" s="1"/>
      </tp>
      <tp t="s">
        <v>#N/A Requesting Data...1440866186</v>
        <stp/>
        <stp>BDP|5576341168039287986</stp>
        <tr r="AT607" s="1"/>
      </tp>
      <tp t="s">
        <v>#N/A Requesting Data...2725711018</v>
        <stp/>
        <stp>BDP|9978085981092208319</stp>
        <tr r="AT514" s="1"/>
      </tp>
      <tp t="s">
        <v>#N/A Requesting Data...3363130294</v>
        <stp/>
        <stp>BDP|1599446838676915032</stp>
        <tr r="E459" s="1"/>
      </tp>
      <tp t="s">
        <v>#N/A Requesting Data...3951222112</v>
        <stp/>
        <stp>BDP|4528447760363652549</stp>
        <tr r="AU334" s="1"/>
      </tp>
      <tp t="s">
        <v>#N/A Requesting Data...3656172951</v>
        <stp/>
        <stp>BDP|7740784925275195786</stp>
        <tr r="J1676" s="1"/>
      </tp>
      <tp t="s">
        <v>#N/A Requesting Data...2257438086</v>
        <stp/>
        <stp>BDP|7581045752315223720</stp>
        <tr r="AT450" s="1"/>
      </tp>
      <tp t="s">
        <v>#N/A Requesting Data...4109403288</v>
        <stp/>
        <stp>BDP|8995035894928539989</stp>
        <tr r="J1938" s="1"/>
      </tp>
      <tp t="s">
        <v>#N/A Requesting Data...3725888841</v>
        <stp/>
        <stp>BDP|7818820115326554899</stp>
        <tr r="E1025" s="1"/>
      </tp>
      <tp t="s">
        <v>#N/A Requesting Data...3049021433</v>
        <stp/>
        <stp>BDP|9755711060401149945</stp>
        <tr r="AV500" s="1"/>
      </tp>
      <tp t="s">
        <v>#N/A Requesting Data...2825305212</v>
        <stp/>
        <stp>BDP|4605074510383521674</stp>
        <tr r="J1128" s="1"/>
        <tr r="J1628" s="1"/>
        <tr r="J784" s="1"/>
        <tr r="J81" s="1"/>
      </tp>
      <tp t="s">
        <v>#N/A Requesting Data...2000907321</v>
        <stp/>
        <stp>BDP|4745862780062576672</stp>
        <tr r="AV891" s="1"/>
      </tp>
      <tp t="s">
        <v>#N/A Requesting Data...3301918401</v>
        <stp/>
        <stp>BDP|1643614736241799558</stp>
        <tr r="E657" s="1"/>
      </tp>
      <tp t="s">
        <v>#N/A Requesting Data...3800335412</v>
        <stp/>
        <stp>BDP|8579828942776589235</stp>
        <tr r="J1655" s="1"/>
        <tr r="J1689" s="1"/>
      </tp>
      <tp t="s">
        <v>#N/A Requesting Data...2222650035</v>
        <stp/>
        <stp>BDP|4109747575177539361</stp>
        <tr r="E878" s="1"/>
      </tp>
      <tp t="s">
        <v>#N/A Requesting Data...1606943334</v>
        <stp/>
        <stp>BDP|9076077081736643734</stp>
        <tr r="J140" s="1"/>
        <tr r="J1413" s="1"/>
        <tr r="J1448" s="1"/>
      </tp>
      <tp t="s">
        <v>#N/A Requesting Data...2970365021</v>
        <stp/>
        <stp>BDP|9036408175673091963</stp>
        <tr r="AU518" s="1"/>
      </tp>
      <tp t="s">
        <v>#N/A Requesting Data...2955389243</v>
        <stp/>
        <stp>BDP|1764557911765491048</stp>
        <tr r="H283" s="1"/>
      </tp>
      <tp t="s">
        <v>#N/A Requesting Data...2557512136</v>
        <stp/>
        <stp>BDP|4269561754026752244</stp>
        <tr r="H504" s="1"/>
      </tp>
      <tp t="s">
        <v>#N/A Requesting Data...3802018817</v>
        <stp/>
        <stp>BDP|1348541337884468343</stp>
        <tr r="J664" s="1"/>
      </tp>
      <tp t="s">
        <v>#N/A Requesting Data...1240806473</v>
        <stp/>
        <stp>BDP|4473210667714086423</stp>
        <tr r="E1307" s="1"/>
      </tp>
      <tp t="s">
        <v>#N/A Requesting Data...2509821943</v>
        <stp/>
        <stp>BDP|4340433034982225166</stp>
        <tr r="J332" s="1"/>
      </tp>
      <tp t="s">
        <v>#N/A Requesting Data...2960956689</v>
        <stp/>
        <stp>BDP|2432426267213827398</stp>
        <tr r="AV668" s="1"/>
      </tp>
      <tp t="s">
        <v>#N/A Requesting Data...480374995</v>
        <stp/>
        <stp>BDP|4378869787302000621</stp>
        <tr r="AT476" s="1"/>
      </tp>
      <tp t="s">
        <v>#N/A Requesting Data...3042021796</v>
        <stp/>
        <stp>BDP|3308371316856737756</stp>
        <tr r="E1377" s="1"/>
      </tp>
      <tp t="s">
        <v>#N/A Requesting Data...2312627077</v>
        <stp/>
        <stp>BDP|3480679405021405421</stp>
        <tr r="J972" s="1"/>
      </tp>
      <tp t="s">
        <v>#N/A Requesting Data...2591320643</v>
        <stp/>
        <stp>BDP|5586718510327659425</stp>
        <tr r="AT460" s="1"/>
      </tp>
      <tp t="s">
        <v>#N/A Requesting Data...1563421315</v>
        <stp/>
        <stp>BDP|1195744776421389005</stp>
        <tr r="H516" s="1"/>
      </tp>
      <tp t="s">
        <v>#N/A Requesting Data...1190473001</v>
        <stp/>
        <stp>BDP|2255448574558333902</stp>
        <tr r="J813" s="1"/>
      </tp>
      <tp t="s">
        <v>#N/A Requesting Data...2236142351</v>
        <stp/>
        <stp>BDP|2231182428801380009</stp>
        <tr r="E963" s="1"/>
      </tp>
      <tp t="s">
        <v>#N/A Requesting Data...1238816070</v>
        <stp/>
        <stp>BDP|1265808245884663908</stp>
        <tr r="E1767" s="1"/>
      </tp>
      <tp t="s">
        <v>#N/A Requesting Data...1502930713</v>
        <stp/>
        <stp>BDP|2155129301891162229</stp>
        <tr r="E1253" s="1"/>
      </tp>
      <tp t="s">
        <v>#N/A Requesting Data...1865215351</v>
        <stp/>
        <stp>BDP|3819353588228185055</stp>
        <tr r="AV524" s="1"/>
      </tp>
      <tp t="s">
        <v>#N/A Requesting Data...1500984645</v>
        <stp/>
        <stp>BDP|6041616464430317678</stp>
        <tr r="J581" s="1"/>
      </tp>
      <tp t="s">
        <v>#N/A Requesting Data...246258889</v>
        <stp/>
        <stp>BDP|2368207424872743012</stp>
        <tr r="AT587" s="1"/>
      </tp>
      <tp t="s">
        <v>#N/A Requesting Data...3534612154</v>
        <stp/>
        <stp>BDP|1141719920095846197</stp>
        <tr r="J900" s="1"/>
      </tp>
      <tp t="s">
        <v>#N/A Requesting Data...3698283615</v>
        <stp/>
        <stp>BDP|4851264969172538232</stp>
        <tr r="E966" s="1"/>
      </tp>
      <tp t="s">
        <v>#N/A Requesting Data...1228035483</v>
        <stp/>
        <stp>BDP|7968730289730035823</stp>
        <tr r="J192" s="1"/>
      </tp>
      <tp t="s">
        <v>#N/A Requesting Data...2647483275</v>
        <stp/>
        <stp>BDP|8573009221292197844</stp>
        <tr r="AT492" s="1"/>
      </tp>
      <tp t="s">
        <v>#N/A Requesting Data...2320592280</v>
        <stp/>
        <stp>BDP|8189131241848331511</stp>
        <tr r="AU292" s="1"/>
      </tp>
      <tp t="s">
        <v>#N/A Requesting Data...4116012789</v>
        <stp/>
        <stp>BDP|7677870704299650622</stp>
        <tr r="H557" s="1"/>
      </tp>
      <tp t="s">
        <v>#N/A Requesting Data...1590000303</v>
        <stp/>
        <stp>BDP|5108372492136248973</stp>
        <tr r="AO2003" s="1"/>
      </tp>
      <tp t="s">
        <v>#N/A Requesting Data...766264898</v>
        <stp/>
        <stp>BDP|4217752844301700654</stp>
        <tr r="H491" s="1"/>
      </tp>
      <tp t="s">
        <v>#N/A Requesting Data...1920523361</v>
        <stp/>
        <stp>BDP|6609244434757625017</stp>
        <tr r="AU539" s="1"/>
      </tp>
      <tp t="s">
        <v>#N/A Requesting Data...883519509</v>
        <stp/>
        <stp>BDP|2864437379918050944</stp>
        <tr r="E2054" s="1"/>
      </tp>
      <tp t="s">
        <v>#N/A Requesting Data...1018127349</v>
        <stp/>
        <stp>BDP|4875515745077936238</stp>
        <tr r="E432" s="1"/>
      </tp>
      <tp t="s">
        <v>#N/A Requesting Data...1831692898</v>
        <stp/>
        <stp>BDP|3698983408638547254</stp>
        <tr r="E227" s="1"/>
      </tp>
      <tp t="s">
        <v>#N/A Requesting Data...3512650707</v>
        <stp/>
        <stp>BDP|8720650287321613752</stp>
        <tr r="H1309" s="1"/>
      </tp>
      <tp t="s">
        <v>#N/A Requesting Data...3120214180</v>
        <stp/>
        <stp>BDP|2493574531485733138</stp>
        <tr r="H354" s="1"/>
      </tp>
      <tp t="s">
        <v>#N/A Requesting Data...2452089805</v>
        <stp/>
        <stp>BDP|6192676345405507112</stp>
        <tr r="AP2039" s="1"/>
      </tp>
      <tp t="s">
        <v>#N/A Requesting Data...1083806943</v>
        <stp/>
        <stp>BDP|5253814992634484027</stp>
        <tr r="E984" s="1"/>
      </tp>
      <tp t="s">
        <v>#N/A Requesting Data...3769160694</v>
        <stp/>
        <stp>BDP|9683840227047244407</stp>
        <tr r="J1396" s="1"/>
        <tr r="J1617" s="1"/>
      </tp>
      <tp t="s">
        <v>#N/A Requesting Data...1792000389</v>
        <stp/>
        <stp>BDP|7571536436282580320</stp>
        <tr r="E330" s="1"/>
      </tp>
      <tp t="s">
        <v>#N/A Requesting Data...2410431656</v>
        <stp/>
        <stp>BDP|5043526031567387475</stp>
        <tr r="J1879" s="1"/>
      </tp>
      <tp t="s">
        <v>#N/A Requesting Data...1820031656</v>
        <stp/>
        <stp>BDP|6780384938886489040</stp>
        <tr r="AU600" s="1"/>
      </tp>
      <tp t="s">
        <v>#N/A Requesting Data...3389767217</v>
        <stp/>
        <stp>BDP|2843120108923584004</stp>
        <tr r="AT315" s="1"/>
      </tp>
      <tp t="s">
        <v>#N/A Requesting Data...2450866638</v>
        <stp/>
        <stp>BDP|6760230424405620315</stp>
        <tr r="AR2009" s="1"/>
      </tp>
      <tp t="s">
        <v>#N/A Requesting Data...2885251552</v>
        <stp/>
        <stp>BDP|1188940262026498844</stp>
        <tr r="AV601" s="1"/>
      </tp>
      <tp t="s">
        <v>#N/A Requesting Data...1023683472</v>
        <stp/>
        <stp>BDP|5490617043546368129</stp>
        <tr r="AV586" s="1"/>
      </tp>
      <tp t="s">
        <v>#N/A Requesting Data...3711777084</v>
        <stp/>
        <stp>BDP|5376528806072198211</stp>
        <tr r="E736" s="1"/>
      </tp>
      <tp t="s">
        <v>#N/A Requesting Data...1213327813</v>
        <stp/>
        <stp>BDP|6423476021297036752</stp>
        <tr r="H1240" s="1"/>
      </tp>
      <tp t="s">
        <v>#N/A Requesting Data...1187250481</v>
        <stp/>
        <stp>BDP|8468534402014763952</stp>
        <tr r="H674" s="1"/>
      </tp>
      <tp t="s">
        <v>#N/A Requesting Data...2238895566</v>
        <stp/>
        <stp>BDP|8134114027682199923</stp>
        <tr r="E1284" s="1"/>
        <tr r="E962" s="1"/>
      </tp>
      <tp t="s">
        <v>#N/A Requesting Data...808439136</v>
        <stp/>
        <stp>BDP|2363678742457062720</stp>
        <tr r="J444" s="1"/>
      </tp>
      <tp t="s">
        <v>#N/A Requesting Data...1508771426</v>
        <stp/>
        <stp>BDP|4599755637828090831</stp>
        <tr r="H1040" s="1"/>
      </tp>
      <tp t="s">
        <v>#N/A Requesting Data...1493983667</v>
        <stp/>
        <stp>BDP|3195526413472139554</stp>
        <tr r="J1526" s="1"/>
        <tr r="J1784" s="1"/>
      </tp>
      <tp t="s">
        <v>#N/A Requesting Data...737722405</v>
        <stp/>
        <stp>BDP|8227721685416000118</stp>
        <tr r="AV686" s="1"/>
      </tp>
      <tp t="s">
        <v>#N/A Requesting Data...1603093468</v>
        <stp/>
        <stp>BDP|8102958428023045082</stp>
        <tr r="E1947" s="1"/>
      </tp>
      <tp t="s">
        <v>#N/A Requesting Data...2112965094</v>
        <stp/>
        <stp>BDP|7257752835190441323</stp>
        <tr r="H1342" s="1"/>
      </tp>
      <tp t="s">
        <v>#N/A Requesting Data...817545827</v>
        <stp/>
        <stp>BDP|9532912761340226635</stp>
        <tr r="H1247" s="1"/>
      </tp>
      <tp t="s">
        <v>#N/A Requesting Data...1553337773</v>
        <stp/>
        <stp>BDP|6386694090659672088</stp>
        <tr r="AU395" s="1"/>
      </tp>
      <tp t="s">
        <v>#N/A Requesting Data...1876361336</v>
        <stp/>
        <stp>BDP|1214250244320441732</stp>
        <tr r="AR2000" s="1"/>
      </tp>
      <tp t="s">
        <v>#N/A Requesting Data...852797773</v>
        <stp/>
        <stp>BDP|4592168567702728170</stp>
        <tr r="E1291" s="1"/>
        <tr r="E968" s="1"/>
      </tp>
      <tp t="s">
        <v>#N/A Requesting Data...1194574309</v>
        <stp/>
        <stp>BDP|3478855274149970583</stp>
        <tr r="AT701" s="1"/>
      </tp>
      <tp t="s">
        <v>#N/A Requesting Data...3148676218</v>
        <stp/>
        <stp>BDP|5902353829397616377</stp>
        <tr r="AV756" s="1"/>
      </tp>
      <tp t="s">
        <v>#N/A Requesting Data...4076179144</v>
        <stp/>
        <stp>BDP|9245167280079536949</stp>
        <tr r="H221" s="1"/>
        <tr r="H276" s="1"/>
      </tp>
      <tp t="s">
        <v>#N/A Requesting Data...2267021461</v>
        <stp/>
        <stp>BDP|2499829744516294854</stp>
        <tr r="AU681" s="1"/>
      </tp>
      <tp t="s">
        <v>#N/A Requesting Data...3398536479</v>
        <stp/>
        <stp>BDP|9792855058511929567</stp>
        <tr r="J1089" s="1"/>
        <tr r="J944" s="1"/>
      </tp>
      <tp t="s">
        <v>#N/A Requesting Data...1894861730</v>
        <stp/>
        <stp>BDP|2671029114633103047</stp>
        <tr r="J877" s="1"/>
      </tp>
      <tp t="s">
        <v>#N/A Requesting Data...1835180909</v>
        <stp/>
        <stp>BDP|6795147659644945662</stp>
        <tr r="H726" s="1"/>
      </tp>
      <tp t="s">
        <v>#N/A Requesting Data...998555566</v>
        <stp/>
        <stp>BDP|8136521067539049212</stp>
        <tr r="AT848" s="1"/>
      </tp>
      <tp t="s">
        <v>#N/A Requesting Data...3621617712</v>
        <stp/>
        <stp>BDP|7824242877291606381</stp>
        <tr r="AP2027" s="1"/>
      </tp>
      <tp t="s">
        <v>#N/A Requesting Data...1030861062</v>
        <stp/>
        <stp>BDP|7613608966276017159</stp>
        <tr r="H255" s="1"/>
      </tp>
      <tp t="s">
        <v>#N/A Requesting Data...3630177810</v>
        <stp/>
        <stp>BDP|7093323488864775887</stp>
        <tr r="E1281" s="1"/>
      </tp>
      <tp t="s">
        <v>#N/A Requesting Data...3596748064</v>
        <stp/>
        <stp>BDP|7131344261876544449</stp>
        <tr r="E525" s="1"/>
      </tp>
      <tp t="s">
        <v>#N/A Requesting Data...3922361091</v>
        <stp/>
        <stp>BDP|1372132331823190051</stp>
        <tr r="E605" s="1"/>
      </tp>
      <tp t="s">
        <v>#N/A Requesting Data...3273090585</v>
        <stp/>
        <stp>BDP|5887194044619491947</stp>
        <tr r="H1485" s="1"/>
      </tp>
      <tp t="s">
        <v>#N/A Requesting Data...3806606580</v>
        <stp/>
        <stp>BDP|3681821542666004938</stp>
        <tr r="J1887" s="1"/>
      </tp>
      <tp t="s">
        <v>#N/A Requesting Data...648531893</v>
        <stp/>
        <stp>BDP|5681810465453024878</stp>
        <tr r="AT863" s="1"/>
      </tp>
      <tp t="s">
        <v>#N/A Requesting Data...2217481054</v>
        <stp/>
        <stp>BDP|7617497190913559803</stp>
        <tr r="AT493" s="1"/>
      </tp>
      <tp t="s">
        <v>#N/A Requesting Data...2811450968</v>
        <stp/>
        <stp>BDP|3784030179815293051</stp>
        <tr r="J1171" s="1"/>
        <tr r="J1826" s="1"/>
      </tp>
      <tp t="s">
        <v>#N/A Requesting Data...824237730</v>
        <stp/>
        <stp>BDP|6689163645515760780</stp>
        <tr r="J1667" s="1"/>
      </tp>
      <tp t="s">
        <v>#N/A Requesting Data...2081781013</v>
        <stp/>
        <stp>BDP|5971105507222431708</stp>
        <tr r="H1244" s="1"/>
      </tp>
      <tp t="s">
        <v>#N/A Requesting Data...1390700779</v>
        <stp/>
        <stp>BDP|8326845048187250278</stp>
        <tr r="AV343" s="1"/>
      </tp>
      <tp t="s">
        <v>#N/A Requesting Data...2951347749</v>
        <stp/>
        <stp>BDP|2886984919319106224</stp>
        <tr r="AV840" s="1"/>
      </tp>
      <tp t="s">
        <v>#N/A Requesting Data...3314496401</v>
        <stp/>
        <stp>BDP|7831069704451011705</stp>
        <tr r="E1866" s="1"/>
      </tp>
      <tp t="s">
        <v>#N/A Requesting Data...1824423141</v>
        <stp/>
        <stp>BDP|7933435466047369351</stp>
        <tr r="H931" s="1"/>
      </tp>
      <tp t="s">
        <v>#N/A Requesting Data...2629116308</v>
        <stp/>
        <stp>BDP|5034755138161054172</stp>
        <tr r="J568" s="1"/>
      </tp>
      <tp t="s">
        <v>#N/A Requesting Data...2725103380</v>
        <stp/>
        <stp>BDP|8140200135889779199</stp>
        <tr r="H1171" s="1"/>
        <tr r="H1826" s="1"/>
      </tp>
      <tp t="s">
        <v>#N/A Requesting Data...3147859480</v>
        <stp/>
        <stp>BDP|2467336016582836333</stp>
        <tr r="AU621" s="1"/>
      </tp>
      <tp t="s">
        <v>#N/A Requesting Data...628168457</v>
        <stp/>
        <stp>BDP|5256166919723622711</stp>
        <tr r="AT697" s="1"/>
      </tp>
      <tp t="s">
        <v>#N/A Requesting Data...4272603856</v>
        <stp/>
        <stp>BDP|7886710927063437013</stp>
        <tr r="H390" s="1"/>
      </tp>
      <tp t="s">
        <v>#N/A Requesting Data...1571077796</v>
        <stp/>
        <stp>BDP|9056717663840044995</stp>
        <tr r="E211" s="1"/>
      </tp>
      <tp t="s">
        <v>#N/A Requesting Data...4137901243</v>
        <stp/>
        <stp>BDP|6524279479235510757</stp>
        <tr r="H1553" s="1"/>
      </tp>
      <tp t="s">
        <v>#N/A Requesting Data...933011529</v>
        <stp/>
        <stp>BDP|5253992026718489727</stp>
        <tr r="E741" s="1"/>
      </tp>
      <tp t="s">
        <v>#N/A Requesting Data...1007274837</v>
        <stp/>
        <stp>BDP|7894906548012886939</stp>
        <tr r="AV314" s="1"/>
      </tp>
      <tp t="s">
        <v>#N/A Requesting Data...1670761698</v>
        <stp/>
        <stp>BDP|5899891095796718380</stp>
        <tr r="AP196" s="1"/>
      </tp>
      <tp t="s">
        <v>#N/A Requesting Data...469125046</v>
        <stp/>
        <stp>BDP|4664214944832005184</stp>
        <tr r="AT733" s="1"/>
      </tp>
      <tp t="s">
        <v>#N/A Requesting Data...3966525154</v>
        <stp/>
        <stp>BDP|3945263156354055121</stp>
        <tr r="J1599" s="1"/>
      </tp>
      <tp t="s">
        <v>#N/A Requesting Data...1097050890</v>
        <stp/>
        <stp>BDP|3152230860732043496</stp>
        <tr r="AU626" s="1"/>
      </tp>
      <tp t="s">
        <v>#N/A Requesting Data...4027195507</v>
        <stp/>
        <stp>BDP|2067597351433764046</stp>
        <tr r="H430" s="1"/>
      </tp>
      <tp t="s">
        <v>#N/A Requesting Data...3521760151</v>
        <stp/>
        <stp>BDP|6064842248348242357</stp>
        <tr r="J424" s="1"/>
      </tp>
      <tp t="s">
        <v>#N/A Requesting Data...2872423569</v>
        <stp/>
        <stp>BDP|5217297295468549702</stp>
        <tr r="AT388" s="1"/>
      </tp>
      <tp t="s">
        <v>#N/A Requesting Data...3949424659</v>
        <stp/>
        <stp>BDP|8895293657719831759</stp>
        <tr r="H334" s="1"/>
      </tp>
      <tp t="s">
        <v>#N/A Requesting Data...1961484858</v>
        <stp/>
        <stp>BDP|4924200004896468115</stp>
        <tr r="AV643" s="1"/>
      </tp>
      <tp t="s">
        <v>#N/A Requesting Data...2261406709</v>
        <stp/>
        <stp>BDP|1639714743890535397</stp>
        <tr r="H895" s="1"/>
      </tp>
      <tp t="s">
        <v>#N/A Requesting Data...2568224687</v>
        <stp/>
        <stp>BDP|5448123862190990354</stp>
        <tr r="H1227" s="1"/>
      </tp>
      <tp t="s">
        <v>#N/A Requesting Data...4286270394</v>
        <stp/>
        <stp>BDP|9498758381946164195</stp>
        <tr r="J861" s="1"/>
      </tp>
      <tp t="s">
        <v>#N/A Requesting Data...2145824965</v>
        <stp/>
        <stp>BDP|3984740514891435559</stp>
        <tr r="H511" s="1"/>
      </tp>
      <tp t="s">
        <v>#N/A Requesting Data...2870897649</v>
        <stp/>
        <stp>BDP|7462606374200991716</stp>
        <tr r="J911" s="1"/>
      </tp>
      <tp t="s">
        <v>#N/A Requesting Data...1800541440</v>
        <stp/>
        <stp>BDP|4192870135347905926</stp>
        <tr r="H378" s="1"/>
      </tp>
      <tp t="s">
        <v>#N/A Requesting Data...2495613227</v>
        <stp/>
        <stp>BDP|3370328629813035005</stp>
        <tr r="E1749" s="1"/>
      </tp>
      <tp t="s">
        <v>#N/A Requesting Data...979816227</v>
        <stp/>
        <stp>BDP|7383287220283454579</stp>
        <tr r="E1415" s="1"/>
      </tp>
      <tp t="s">
        <v>#N/A Requesting Data...2171692975</v>
        <stp/>
        <stp>BDP|9155506473783902935</stp>
        <tr r="E1404" s="1"/>
      </tp>
      <tp t="s">
        <v>#N/A Requesting Data...2568883989</v>
        <stp/>
        <stp>BDP|7453192145544510750</stp>
        <tr r="AV537" s="1"/>
      </tp>
      <tp t="s">
        <v>#N/A Requesting Data...2723322490</v>
        <stp/>
        <stp>BDP|1211292553000858785</stp>
        <tr r="AV271" s="1"/>
      </tp>
      <tp t="s">
        <v>#N/A Requesting Data...3475186565</v>
        <stp/>
        <stp>BDP|7834406594379149257</stp>
        <tr r="E658" s="1"/>
      </tp>
      <tp t="s">
        <v>#N/A Requesting Data...1160544428</v>
        <stp/>
        <stp>BDP|6512681841740336571</stp>
        <tr r="AT557" s="1"/>
      </tp>
      <tp t="s">
        <v>#N/A Requesting Data...1799326989</v>
        <stp/>
        <stp>BDP|3573495121334606035</stp>
        <tr r="AT486" s="1"/>
      </tp>
      <tp t="s">
        <v>#N/A Requesting Data...1288887641</v>
        <stp/>
        <stp>BDP|3351790592055712970</stp>
        <tr r="E1319" s="1"/>
      </tp>
      <tp t="s">
        <v>#N/A Requesting Data...4276076133</v>
        <stp/>
        <stp>BDP|6824134675046639703</stp>
        <tr r="AU608" s="1"/>
      </tp>
      <tp t="s">
        <v>#N/A Requesting Data...1277110219</v>
        <stp/>
        <stp>BDP|9352367844628100782</stp>
        <tr r="H1311" s="1"/>
        <tr r="H1635" s="1"/>
        <tr r="H986" s="1"/>
      </tp>
      <tp t="s">
        <v>#N/A Requesting Data...3322233856</v>
        <stp/>
        <stp>BDP|9134776952768539288</stp>
        <tr r="E1350" s="1"/>
      </tp>
      <tp t="s">
        <v>#N/A Requesting Data...2912079620</v>
        <stp/>
        <stp>BDP|5618669555465970252</stp>
        <tr r="AO1991" s="1"/>
      </tp>
      <tp t="s">
        <v>#N/A Requesting Data...2324274300</v>
        <stp/>
        <stp>BDP|1598985154435487948</stp>
        <tr r="H1410" s="1"/>
      </tp>
      <tp t="s">
        <v>#N/A Requesting Data...538849171</v>
        <stp/>
        <stp>BDP|1980447910532787739</stp>
        <tr r="AT261" s="1"/>
      </tp>
      <tp t="s">
        <v>#N/A Requesting Data...1546779599</v>
        <stp/>
        <stp>BDP|2636055475416816279</stp>
        <tr r="E216" s="1"/>
      </tp>
      <tp t="s">
        <v>#N/A Requesting Data...3033332787</v>
        <stp/>
        <stp>BDP|7894323632776168001</stp>
        <tr r="H1289" s="1"/>
      </tp>
      <tp t="s">
        <v>#N/A Requesting Data...2423395494</v>
        <stp/>
        <stp>BDP|2688793443202532200</stp>
        <tr r="H722" s="1"/>
      </tp>
      <tp t="s">
        <v>#N/A Requesting Data...1172409888</v>
        <stp/>
        <stp>BDP|3776299751806739318</stp>
        <tr r="AP2006" s="1"/>
      </tp>
      <tp t="s">
        <v>#N/A Requesting Data...2167469437</v>
        <stp/>
        <stp>BDP|1463608037770806528</stp>
        <tr r="AV390" s="1"/>
      </tp>
      <tp t="s">
        <v>#N/A Requesting Data...3661298140</v>
        <stp/>
        <stp>BDP|3717284372495432203</stp>
        <tr r="E1309" s="1"/>
      </tp>
      <tp t="s">
        <v>#N/A Requesting Data...2132442600</v>
        <stp/>
        <stp>BDP|4703674414467945544</stp>
        <tr r="AU628" s="1"/>
      </tp>
      <tp t="s">
        <v>#N/A Requesting Data...925169262</v>
        <stp/>
        <stp>BDP|3445324545865392094</stp>
        <tr r="H1414" s="1"/>
      </tp>
      <tp t="s">
        <v>#N/A Requesting Data...1915425474</v>
        <stp/>
        <stp>BDP|1213893884742746215</stp>
        <tr r="AO779" s="1"/>
      </tp>
      <tp t="s">
        <v>#N/A Requesting Data...839988246</v>
        <stp/>
        <stp>BDP|2437169922881104185</stp>
        <tr r="H1891" s="1"/>
        <tr r="H2095" s="1"/>
      </tp>
      <tp t="s">
        <v>#N/A Requesting Data...2803308694</v>
        <stp/>
        <stp>BDP|4848501210380112101</stp>
        <tr r="J924" s="1"/>
      </tp>
      <tp t="s">
        <v>#N/A Requesting Data...2377523917</v>
        <stp/>
        <stp>BDP|9928025097801113048</stp>
        <tr r="E1882" s="1"/>
      </tp>
      <tp t="s">
        <v>#N/A Requesting Data...1920329494</v>
        <stp/>
        <stp>BDP|3878449852067122416</stp>
        <tr r="H637" s="1"/>
      </tp>
      <tp t="s">
        <v>#N/A Requesting Data...949611689</v>
        <stp/>
        <stp>BDP|7690830555459776290</stp>
        <tr r="AV862" s="1"/>
      </tp>
      <tp t="s">
        <v>#N/A Requesting Data...2235527461</v>
        <stp/>
        <stp>BDP|9666632505187876968</stp>
        <tr r="J1240" s="1"/>
      </tp>
      <tp t="s">
        <v>#N/A Requesting Data...2582603561</v>
        <stp/>
        <stp>BDP|3482516078151754147</stp>
        <tr r="J1068" s="1"/>
        <tr r="J1109" s="1"/>
        <tr r="J1577" s="1"/>
        <tr r="J171" s="1"/>
      </tp>
      <tp t="s">
        <v>#N/A Requesting Data...3184505439</v>
        <stp/>
        <stp>BDP|8989833150191103555</stp>
        <tr r="AU447" s="1"/>
      </tp>
      <tp t="s">
        <v>#N/A Requesting Data...2147738972</v>
        <stp/>
        <stp>BDP|8445560845408929002</stp>
        <tr r="J105" s="1"/>
      </tp>
      <tp t="s">
        <v>#N/A Requesting Data...3390886655</v>
        <stp/>
        <stp>BDP|1233584624155866285</stp>
        <tr r="AT912" s="1"/>
      </tp>
      <tp t="s">
        <v>#N/A Requesting Data...1674590262</v>
        <stp/>
        <stp>BDP|1286578465180807364</stp>
        <tr r="E202" s="1"/>
      </tp>
      <tp t="s">
        <v>#N/A Requesting Data...2626795622</v>
        <stp/>
        <stp>BDP|7914000996599709660</stp>
        <tr r="E1254" s="1"/>
      </tp>
      <tp t="s">
        <v>#N/A Requesting Data...4097800429</v>
        <stp/>
        <stp>BDP|6410052423685828040</stp>
        <tr r="J941" s="1"/>
      </tp>
      <tp t="s">
        <v>#N/A Requesting Data...1947945614</v>
        <stp/>
        <stp>BDP|6013213058657325741</stp>
        <tr r="AV215" s="1"/>
      </tp>
      <tp t="s">
        <v>#N/A Requesting Data...2065496557</v>
        <stp/>
        <stp>BDP|6964477534230785022</stp>
        <tr r="AT922" s="1"/>
      </tp>
      <tp t="s">
        <v>#N/A Requesting Data...1520106222</v>
        <stp/>
        <stp>BDP|8386460768653704857</stp>
        <tr r="H1256" s="1"/>
      </tp>
      <tp t="s">
        <v>#N/A Requesting Data...2436513328</v>
        <stp/>
        <stp>BDP|3018587540955418631</stp>
        <tr r="E617" s="1"/>
      </tp>
      <tp t="s">
        <v>#N/A Requesting Data...2784392849</v>
        <stp/>
        <stp>BDP|4815635820969073844</stp>
        <tr r="H1753" s="1"/>
      </tp>
      <tp t="s">
        <v>#N/A Requesting Data...4083514906</v>
        <stp/>
        <stp>BDP|7071124499837393973</stp>
        <tr r="J1309" s="1"/>
      </tp>
      <tp t="s">
        <v>#N/A Requesting Data...4176316777</v>
        <stp/>
        <stp>BDP|8985517898551899472</stp>
        <tr r="E92" s="1"/>
      </tp>
      <tp t="s">
        <v>#N/A Requesting Data...2667053161</v>
        <stp/>
        <stp>BDP|5563155523036870147</stp>
        <tr r="H259" s="1"/>
      </tp>
      <tp t="s">
        <v>#N/A Requesting Data...3789865226</v>
        <stp/>
        <stp>BDP|8057623751669933357</stp>
        <tr r="AT313" s="1"/>
      </tp>
      <tp t="s">
        <v>#N/A Requesting Data...4184175607</v>
        <stp/>
        <stp>BDP|2575065338328723834</stp>
        <tr r="H412" s="1"/>
      </tp>
      <tp t="s">
        <v>#N/A Requesting Data...3445891503</v>
        <stp/>
        <stp>BDP|4097801985987805226</stp>
        <tr r="AT204" s="1"/>
      </tp>
      <tp t="s">
        <v>#N/A Requesting Data...3828951593</v>
        <stp/>
        <stp>BDP|5945746724976411712</stp>
        <tr r="H1516" s="1"/>
      </tp>
      <tp t="s">
        <v>#N/A Requesting Data...4197983974</v>
        <stp/>
        <stp>BDP|5857739337026527656</stp>
        <tr r="AU370" s="1"/>
      </tp>
      <tp t="s">
        <v>#N/A Requesting Data...3807002712</v>
        <stp/>
        <stp>BDP|5300512355591971528</stp>
        <tr r="H561" s="1"/>
      </tp>
      <tp t="s">
        <v>#N/A Requesting Data...853671743</v>
        <stp/>
        <stp>BDP|2961921241818714612</stp>
        <tr r="E645" s="1"/>
      </tp>
      <tp t="s">
        <v>#N/A Requesting Data...3094932729</v>
        <stp/>
        <stp>BDP|1462494442275574569</stp>
        <tr r="J873" s="1"/>
      </tp>
      <tp t="s">
        <v>#N/A Requesting Data...3752757882</v>
        <stp/>
        <stp>BDP|7122609074431024693</stp>
        <tr r="H1190" s="1"/>
      </tp>
      <tp t="s">
        <v>#N/A Requesting Data...3523859127</v>
        <stp/>
        <stp>BDP|1066767348261753258</stp>
        <tr r="H935" s="1"/>
      </tp>
      <tp t="s">
        <v>#N/A Requesting Data...1626210928</v>
        <stp/>
        <stp>BDP|3002026737370024197</stp>
        <tr r="AV505" s="1"/>
      </tp>
      <tp t="s">
        <v>#N/A Requesting Data...2895818661</v>
        <stp/>
        <stp>BDP|7354045779024229502</stp>
        <tr r="AV394" s="1"/>
      </tp>
      <tp t="s">
        <v>#N/A Requesting Data...3365090220</v>
        <stp/>
        <stp>BDP|7147710974174184299</stp>
        <tr r="E574" s="1"/>
      </tp>
      <tp t="s">
        <v>#N/A Requesting Data...1128226382</v>
        <stp/>
        <stp>BDP|3387224642783750789</stp>
        <tr r="H1224" s="1"/>
      </tp>
      <tp t="s">
        <v>#N/A Requesting Data...1708795246</v>
        <stp/>
        <stp>BDP|4327045641952339381</stp>
        <tr r="H678" s="1"/>
      </tp>
      <tp t="s">
        <v>#N/A Requesting Data...3865581213</v>
        <stp/>
        <stp>BDP|1689082109866943639</stp>
        <tr r="AT627" s="1"/>
      </tp>
      <tp t="s">
        <v>#N/A Requesting Data...2128199966</v>
        <stp/>
        <stp>BDP|6408678359926791208</stp>
        <tr r="H1666" s="1"/>
      </tp>
      <tp t="s">
        <v>#N/A Requesting Data...3114550271</v>
        <stp/>
        <stp>BDP|4508011862166330587</stp>
        <tr r="J384" s="1"/>
      </tp>
      <tp t="s">
        <v>#N/A Requesting Data...3212415730</v>
        <stp/>
        <stp>BDP|5826285532305834071</stp>
        <tr r="AR2048" s="1"/>
      </tp>
      <tp t="s">
        <v>#N/A Requesting Data...1148386470</v>
        <stp/>
        <stp>BDP|4410457316226343696</stp>
        <tr r="AT735" s="1"/>
      </tp>
      <tp t="s">
        <v>#N/A Requesting Data...970617485</v>
        <stp/>
        <stp>BDP|6519302423854375274</stp>
        <tr r="AU630" s="1"/>
      </tp>
      <tp t="s">
        <v>#N/A Requesting Data...3123976384</v>
        <stp/>
        <stp>BDP|9300025073686831988</stp>
        <tr r="E543" s="1"/>
      </tp>
      <tp t="s">
        <v>#N/A Requesting Data...1373711564</v>
        <stp/>
        <stp>BDP|8744588846059362182</stp>
        <tr r="E261" s="1"/>
      </tp>
      <tp t="s">
        <v>#N/A Requesting Data...2562452614</v>
        <stp/>
        <stp>BDP|2572877586224204749</stp>
        <tr r="H869" s="1"/>
      </tp>
      <tp t="s">
        <v>#N/A Requesting Data...3976166502</v>
        <stp/>
        <stp>BDP|1547354625123397242</stp>
        <tr r="J521" s="1"/>
      </tp>
      <tp t="s">
        <v>#N/A Requesting Data...1592063524</v>
        <stp/>
        <stp>BDP|4517310691906614914</stp>
        <tr r="AT875" s="1"/>
      </tp>
      <tp t="s">
        <v>#N/A Requesting Data...2175487569</v>
        <stp/>
        <stp>BDP|6388839173960904884</stp>
        <tr r="E1052" s="1"/>
        <tr r="E185" s="1"/>
      </tp>
      <tp t="s">
        <v>#N/A Requesting Data...3093228335</v>
        <stp/>
        <stp>BDP|3067014077662226769</stp>
        <tr r="J1972" s="1"/>
      </tp>
      <tp t="s">
        <v>#N/A Requesting Data...2919658164</v>
        <stp/>
        <stp>BDP|5753667420337061739</stp>
        <tr r="AV561" s="1"/>
      </tp>
      <tp t="s">
        <v>#N/A Requesting Data...1015028292</v>
        <stp/>
        <stp>BDP|3735561807100718733</stp>
        <tr r="E728" s="1"/>
      </tp>
      <tp t="s">
        <v>#N/A Requesting Data...2815819041</v>
        <stp/>
        <stp>BDP|7064982098225246303</stp>
        <tr r="AT620" s="1"/>
      </tp>
      <tp t="s">
        <v>#N/A Requesting Data...3632711559</v>
        <stp/>
        <stp>BDP|1708784303882863569</stp>
        <tr r="AV499" s="1"/>
      </tp>
      <tp t="s">
        <v>#N/A Requesting Data...1314279092</v>
        <stp/>
        <stp>BDP|1441747604847605009</stp>
        <tr r="AU203" s="1"/>
      </tp>
      <tp t="s">
        <v>#N/A Requesting Data...3961497810</v>
        <stp/>
        <stp>BDP|1491905140125791810</stp>
        <tr r="AU852" s="1"/>
      </tp>
      <tp t="s">
        <v>#N/A Requesting Data...2693490071</v>
        <stp/>
        <stp>BDP|8833925968352551457</stp>
        <tr r="H1889" s="1"/>
        <tr r="H42" s="1"/>
      </tp>
      <tp t="s">
        <v>#N/A Requesting Data...1662152575</v>
        <stp/>
        <stp>BDP|7629938939129683585</stp>
        <tr r="E1933" s="1"/>
      </tp>
      <tp t="s">
        <v>#N/A Requesting Data...3306452267</v>
        <stp/>
        <stp>BDP|8876648718558798615</stp>
        <tr r="AV522" s="1"/>
      </tp>
      <tp t="s">
        <v>#N/A Requesting Data...3754330729</v>
        <stp/>
        <stp>BDP|7727524068856866361</stp>
        <tr r="AU501" s="1"/>
      </tp>
      <tp t="s">
        <v>#N/A Requesting Data...2285660888</v>
        <stp/>
        <stp>BDP|5429366224726606339</stp>
        <tr r="E1783" s="1"/>
      </tp>
      <tp t="s">
        <v>#N/A Requesting Data...4201193192</v>
        <stp/>
        <stp>BDP|1175881999931527060</stp>
        <tr r="J1538" s="1"/>
      </tp>
      <tp t="s">
        <v>#N/A Requesting Data...3192652383</v>
        <stp/>
        <stp>BDP|3334523017813252571</stp>
        <tr r="AU505" s="1"/>
      </tp>
      <tp t="s">
        <v>#N/A Requesting Data...3549448447</v>
        <stp/>
        <stp>BDP|8946103982384800408</stp>
        <tr r="J982" s="1"/>
      </tp>
      <tp t="s">
        <v>#N/A Requesting Data...3508352338</v>
        <stp/>
        <stp>BDP|6589723849607872356</stp>
        <tr r="H1129" s="1"/>
        <tr r="H1630" s="1"/>
      </tp>
      <tp t="s">
        <v>#N/A Requesting Data...2566215749</v>
        <stp/>
        <stp>BDP|3231336452872721670</stp>
        <tr r="AR2027" s="1"/>
      </tp>
      <tp t="s">
        <v>#N/A Requesting Data...3945787433</v>
        <stp/>
        <stp>BDP|4589634245024469344</stp>
        <tr r="J875" s="1"/>
      </tp>
      <tp t="s">
        <v>#N/A Requesting Data...1345062550</v>
        <stp/>
        <stp>BDP|1651311071491764526</stp>
        <tr r="E1313" s="1"/>
      </tp>
      <tp t="s">
        <v>#N/A Requesting Data...1977889586</v>
        <stp/>
        <stp>BDP|3775055524544062452</stp>
        <tr r="E797" s="1"/>
      </tp>
      <tp t="s">
        <v>#N/A Requesting Data...2583449437</v>
        <stp/>
        <stp>BDP|3430664072052534161</stp>
        <tr r="J948" s="1"/>
      </tp>
      <tp t="s">
        <v>#N/A Requesting Data...1782169601</v>
        <stp/>
        <stp>BDP|8577955670753572466</stp>
        <tr r="AV600" s="1"/>
      </tp>
      <tp t="s">
        <v>#N/A Requesting Data...1279995789</v>
        <stp/>
        <stp>BDP|4408221304506859196</stp>
        <tr r="AT344" s="1"/>
      </tp>
      <tp t="s">
        <v>#N/A Requesting Data...2787001902</v>
        <stp/>
        <stp>BDP|2168629403620692557</stp>
        <tr r="AR1958" s="1"/>
      </tp>
      <tp t="s">
        <v>#N/A Requesting Data...3366482809</v>
        <stp/>
        <stp>BDP|7003373530415619321</stp>
        <tr r="H134" s="1"/>
      </tp>
      <tp t="s">
        <v>#N/A Requesting Data...3666739209</v>
        <stp/>
        <stp>BDP|5431948510254318831</stp>
        <tr r="E1304" s="1"/>
      </tp>
      <tp t="s">
        <v>#N/A Requesting Data...1267437962</v>
        <stp/>
        <stp>BDP|6781266967352549131</stp>
        <tr r="E1764" s="1"/>
      </tp>
      <tp t="s">
        <v>#N/A Requesting Data...3040013462</v>
        <stp/>
        <stp>BDP|6210560605943609170</stp>
        <tr r="AU714" s="1"/>
      </tp>
      <tp t="s">
        <v>#N/A Requesting Data...3559834832</v>
        <stp/>
        <stp>BDP|7435115980738586704</stp>
        <tr r="J1028" s="1"/>
      </tp>
      <tp t="s">
        <v>#N/A Requesting Data...1649927101</v>
        <stp/>
        <stp>BDP|4396428361916240120</stp>
        <tr r="E1308" s="1"/>
        <tr r="E983" s="1"/>
      </tp>
      <tp t="s">
        <v>#N/A Requesting Data...2438356216</v>
        <stp/>
        <stp>BDP|1158132034972179076</stp>
        <tr r="H686" s="1"/>
      </tp>
      <tp t="s">
        <v>#N/A Requesting Data...3361180408</v>
        <stp/>
        <stp>BDP|1172964797484105418</stp>
        <tr r="E2065" s="1"/>
      </tp>
      <tp t="s">
        <v>#N/A Requesting Data...3181348251</v>
        <stp/>
        <stp>BDP|2244000644556533133</stp>
        <tr r="H587" s="1"/>
      </tp>
      <tp t="s">
        <v>#N/A Requesting Data...1886599856</v>
        <stp/>
        <stp>BDP|4460919670932404917</stp>
        <tr r="H2087" s="1"/>
      </tp>
      <tp t="s">
        <v>#N/A Requesting Data...3844444046</v>
        <stp/>
        <stp>BDP|2426082051125556385</stp>
        <tr r="J573" s="1"/>
      </tp>
      <tp t="s">
        <v>#N/A Requesting Data...3624887655</v>
        <stp/>
        <stp>BDP|6017875810958743608</stp>
        <tr r="AR252" s="1"/>
      </tp>
      <tp t="s">
        <v>#N/A Requesting Data...2743609038</v>
        <stp/>
        <stp>BDP|7873617270353875414</stp>
        <tr r="H1770" s="1"/>
      </tp>
      <tp t="s">
        <v>#N/A Requesting Data...2826074717</v>
        <stp/>
        <stp>BDP|1131466652282234377</stp>
        <tr r="J627" s="1"/>
      </tp>
      <tp t="s">
        <v>#N/A Requesting Data...3247188129</v>
        <stp/>
        <stp>BDP|2201312530022039134</stp>
        <tr r="E872" s="1"/>
      </tp>
      <tp t="s">
        <v>#N/A Requesting Data...3651003953</v>
        <stp/>
        <stp>BDP|2415435871213775314</stp>
        <tr r="H1479" s="1"/>
        <tr r="H1846" s="1"/>
      </tp>
      <tp t="s">
        <v>#N/A Requesting Data...3026629618</v>
        <stp/>
        <stp>BDP|9204204499910388381</stp>
        <tr r="J1204" s="1"/>
      </tp>
      <tp t="s">
        <v>#N/A Requesting Data...2292502457</v>
        <stp/>
        <stp>BDP|4367215795518532622</stp>
        <tr r="AV896" s="1"/>
      </tp>
      <tp t="s">
        <v>#N/A Requesting Data...1107190814</v>
        <stp/>
        <stp>BDP|5795670631137773676</stp>
        <tr r="AT395" s="1"/>
      </tp>
      <tp t="s">
        <v>#N/A Requesting Data...1883415828</v>
        <stp/>
        <stp>BDP|8424531326156481841</stp>
        <tr r="J269" s="1"/>
      </tp>
      <tp t="s">
        <v>#N/A Requesting Data...2584105660</v>
        <stp/>
        <stp>BDP|9986725827778505587</stp>
        <tr r="H1045" s="1"/>
      </tp>
      <tp t="s">
        <v>#N/A Requesting Data...2858561525</v>
        <stp/>
        <stp>BDP|7666029576702046330</stp>
        <tr r="J919" s="1"/>
      </tp>
      <tp t="s">
        <v>#N/A Requesting Data...3858117707</v>
        <stp/>
        <stp>BDP|5282132945494451514</stp>
        <tr r="J1243" s="1"/>
      </tp>
      <tp t="s">
        <v>#N/A Requesting Data...1992480190</v>
        <stp/>
        <stp>BDP|3986304978750354631</stp>
        <tr r="E1877" s="1"/>
      </tp>
      <tp t="s">
        <v>#N/A Requesting Data...1799961302</v>
        <stp/>
        <stp>BDP|9759533696903208711</stp>
        <tr r="AU284" s="1"/>
      </tp>
      <tp t="s">
        <v>#N/A Requesting Data...2177489578</v>
        <stp/>
        <stp>BDP|1251974805510249930</stp>
        <tr r="E673" s="1"/>
      </tp>
      <tp t="s">
        <v>#N/A Requesting Data...423798214</v>
        <stp/>
        <stp>BDP|4256445908590857170</stp>
        <tr r="AT427" s="1"/>
      </tp>
      <tp t="s">
        <v>#N/A Requesting Data...3836138325</v>
        <stp/>
        <stp>BDP|1621012225053306102</stp>
        <tr r="J1191" s="1"/>
      </tp>
      <tp t="s">
        <v>#N/A Requesting Data...1201809579</v>
        <stp/>
        <stp>BDP|1471346065015657020</stp>
        <tr r="J1284" s="1"/>
        <tr r="J962" s="1"/>
      </tp>
      <tp t="s">
        <v>#N/A Requesting Data...4200674507</v>
        <stp/>
        <stp>BDP|6994851843929819267</stp>
        <tr r="H641" s="1"/>
      </tp>
      <tp t="s">
        <v>#N/A Requesting Data...1053783811</v>
        <stp/>
        <stp>BDP|9227424966842194861</stp>
        <tr r="E1303" s="1"/>
      </tp>
      <tp t="s">
        <v>#N/A Requesting Data...1678279797</v>
        <stp/>
        <stp>BDP|3340261202074387424</stp>
        <tr r="H900" s="1"/>
      </tp>
      <tp t="s">
        <v>#N/A Requesting Data...1968308841</v>
        <stp/>
        <stp>BDP|5447253077809874881</stp>
        <tr r="AV700" s="1"/>
      </tp>
      <tp t="s">
        <v>#N/A Requesting Data...3595912315</v>
        <stp/>
        <stp>BDP|3448469723136655210</stp>
        <tr r="AO1431" s="1"/>
      </tp>
      <tp t="s">
        <v>#N/A Requesting Data...1055417063</v>
        <stp/>
        <stp>BDP|7593779827290536369</stp>
        <tr r="J1386" s="1"/>
      </tp>
      <tp t="s">
        <v>#N/A Requesting Data...3664992750</v>
        <stp/>
        <stp>BDP|6700121573958422941</stp>
        <tr r="H1042" s="1"/>
      </tp>
      <tp t="s">
        <v>#N/A Requesting Data...4281149217</v>
        <stp/>
        <stp>BDP|4395224469990980177</stp>
        <tr r="H211" s="1"/>
      </tp>
      <tp t="s">
        <v>#N/A Requesting Data...3380261496</v>
        <stp/>
        <stp>BDP|1182359914636495423</stp>
        <tr r="AT347" s="1"/>
      </tp>
      <tp t="s">
        <v>#N/A Requesting Data...1816779053</v>
        <stp/>
        <stp>BDP|9845027723209971368</stp>
        <tr r="J1825" s="1"/>
      </tp>
      <tp t="s">
        <v>#N/A Requesting Data...1633065787</v>
        <stp/>
        <stp>BDP|6373180664906078697</stp>
        <tr r="J1135" s="1"/>
        <tr r="J1636" s="1"/>
      </tp>
      <tp t="s">
        <v>#N/A Requesting Data...982577626</v>
        <stp/>
        <stp>BDP|4784703541447962198</stp>
        <tr r="E134" s="1"/>
      </tp>
      <tp t="s">
        <v>#N/A Requesting Data...3428384224</v>
        <stp/>
        <stp>BDP|9306517392101242543</stp>
        <tr r="J1557" s="1"/>
      </tp>
      <tp t="s">
        <v>#N/A Requesting Data...2585750677</v>
        <stp/>
        <stp>BDP|3965296227492667073</stp>
        <tr r="E299" s="1"/>
      </tp>
      <tp t="s">
        <v>#N/A Requesting Data...968555331</v>
        <stp/>
        <stp>BDP|9469831404822069259</stp>
        <tr r="H396" s="1"/>
      </tp>
      <tp t="s">
        <v>#N/A Requesting Data...1378537330</v>
        <stp/>
        <stp>BDP|2735717046359735916</stp>
        <tr r="J1316" s="1"/>
      </tp>
      <tp t="s">
        <v>#N/A Requesting Data...3196353672</v>
        <stp/>
        <stp>BDP|3486257550223166669</stp>
        <tr r="AV731" s="1"/>
      </tp>
      <tp t="s">
        <v>#N/A Requesting Data...1298934711</v>
        <stp/>
        <stp>BDP|6779108035487485206</stp>
        <tr r="E1692" s="1"/>
      </tp>
      <tp t="s">
        <v>#N/A Requesting Data...3289331684</v>
        <stp/>
        <stp>BDP|8815797433755778833</stp>
        <tr r="E242" s="1"/>
      </tp>
      <tp t="s">
        <v>#N/A Requesting Data...3952140692</v>
        <stp/>
        <stp>BDP|1054432574396791568</stp>
        <tr r="AU491" s="1"/>
      </tp>
      <tp t="s">
        <v>#N/A Requesting Data...1985487800</v>
        <stp/>
        <stp>BDP|1177730673183178367</stp>
        <tr r="AU913" s="1"/>
      </tp>
      <tp t="s">
        <v>#N/A Requesting Data...991144834</v>
        <stp/>
        <stp>BDP|9948938843793713690</stp>
        <tr r="E912" s="1"/>
      </tp>
      <tp t="s">
        <v>#N/A Requesting Data...3186532519</v>
        <stp/>
        <stp>BDP|8424001383974600567</stp>
        <tr r="E697" s="1"/>
      </tp>
      <tp t="s">
        <v>#N/A Requesting Data...3301663532</v>
        <stp/>
        <stp>BDP|1012782900453896472</stp>
        <tr r="H375" s="1"/>
      </tp>
      <tp t="s">
        <v>#N/A Requesting Data...1222276240</v>
        <stp/>
        <stp>BDP|9371461394566390354</stp>
        <tr r="E1880" s="1"/>
        <tr r="E2084" s="1"/>
      </tp>
      <tp t="s">
        <v>#N/A Requesting Data...3305695641</v>
        <stp/>
        <stp>BDP|4446925973199372215</stp>
        <tr r="J158" s="1"/>
      </tp>
      <tp t="s">
        <v>#N/A Requesting Data...1951185641</v>
        <stp/>
        <stp>BDP|7400017126272746633</stp>
        <tr r="H748" s="1"/>
      </tp>
      <tp t="s">
        <v>#N/A Requesting Data...2314649879</v>
        <stp/>
        <stp>BDP|1226134083191607831</stp>
        <tr r="AV611" s="1"/>
      </tp>
      <tp t="s">
        <v>#N/A Requesting Data...1233615569</v>
        <stp/>
        <stp>BDP|4234712231255231448</stp>
        <tr r="AV705" s="1"/>
      </tp>
      <tp t="s">
        <v>#N/A Requesting Data...1596876231</v>
        <stp/>
        <stp>BDP|1434311113383738158</stp>
        <tr r="J723" s="1"/>
      </tp>
      <tp t="s">
        <v>#N/A Requesting Data...3473486911</v>
        <stp/>
        <stp>BDP|1663959498097919764</stp>
        <tr r="E309" s="1"/>
      </tp>
      <tp t="s">
        <v>#N/A Requesting Data...2294223263</v>
        <stp/>
        <stp>BDP|4964219303317841075</stp>
        <tr r="H1825" s="1"/>
      </tp>
      <tp t="s">
        <v>#N/A Requesting Data...2697311215</v>
        <stp/>
        <stp>BDP|4294022826076307116</stp>
        <tr r="AU645" s="1"/>
      </tp>
      <tp t="s">
        <v>#N/A Requesting Data...1882049744</v>
        <stp/>
        <stp>BDP|1280022396790533972</stp>
        <tr r="H153" s="1"/>
      </tp>
      <tp t="s">
        <v>#N/A Requesting Data...3434041942</v>
        <stp/>
        <stp>BDP|4617423638020106293</stp>
        <tr r="AP1743" s="1"/>
      </tp>
      <tp t="s">
        <v>#N/A Requesting Data...2213973191</v>
        <stp/>
        <stp>BDP|1039106570421592719</stp>
        <tr r="E368" s="1"/>
      </tp>
      <tp t="s">
        <v>#N/A Requesting Data...1589917154</v>
        <stp/>
        <stp>BDP|9322483651301918872</stp>
        <tr r="AU920" s="1"/>
      </tp>
      <tp t="s">
        <v>#N/A Requesting Data...4113430509</v>
        <stp/>
        <stp>BDP|5679546564120491768</stp>
        <tr r="E1158" s="1"/>
      </tp>
      <tp t="s">
        <v>#N/A Requesting Data...3996885649</v>
        <stp/>
        <stp>BDP|3201495629594246045</stp>
        <tr r="J638" s="1"/>
      </tp>
      <tp t="s">
        <v>#N/A Requesting Data...2332581938</v>
        <stp/>
        <stp>BDP|5009052265202198059</stp>
        <tr r="E1388" s="1"/>
      </tp>
      <tp t="s">
        <v>#N/A Requesting Data...2728722205</v>
        <stp/>
        <stp>BDP|5259779736987566720</stp>
        <tr r="J271" s="1"/>
      </tp>
      <tp t="s">
        <v>#N/A Requesting Data...2854091339</v>
        <stp/>
        <stp>BDP|7911193739703575781</stp>
        <tr r="AV433" s="1"/>
      </tp>
      <tp t="s">
        <v>#N/A Requesting Data...1952889643</v>
        <stp/>
        <stp>BDP|5723841236958662779</stp>
        <tr r="J465" s="1"/>
      </tp>
      <tp t="s">
        <v>#N/A Requesting Data...2077278614</v>
        <stp/>
        <stp>BDP|2645764602527443324</stp>
        <tr r="AT693" s="1"/>
      </tp>
      <tp t="s">
        <v>#N/A Requesting Data...3328394203</v>
        <stp/>
        <stp>BDP|1903971381092274393</stp>
        <tr r="E1489" s="1"/>
      </tp>
      <tp t="s">
        <v>#N/A Requesting Data...1991060110</v>
        <stp/>
        <stp>BDP|2108756300644963092</stp>
        <tr r="E153" s="1"/>
      </tp>
      <tp t="s">
        <v>#N/A Requesting Data...2587453211</v>
        <stp/>
        <stp>BDP|5481681938575904498</stp>
        <tr r="J584" s="1"/>
      </tp>
      <tp t="s">
        <v>#N/A Requesting Data...1117483955</v>
        <stp/>
        <stp>BDP|9321078812868026127</stp>
        <tr r="J679" s="1"/>
      </tp>
      <tp t="s">
        <v>#N/A Requesting Data...2807060016</v>
        <stp/>
        <stp>BDP|3677152440071774604</stp>
        <tr r="AV312" s="1"/>
      </tp>
      <tp t="s">
        <v>#N/A Requesting Data...4075654402</v>
        <stp/>
        <stp>BDP|6308343224854442239</stp>
        <tr r="H1123" s="1"/>
        <tr r="H1598" s="1"/>
      </tp>
      <tp t="s">
        <v>#N/A Requesting Data...2224668698</v>
        <stp/>
        <stp>BDP|4949697354920020610</stp>
        <tr r="H447" s="1"/>
      </tp>
      <tp t="s">
        <v>#N/A Requesting Data...921238634</v>
        <stp/>
        <stp>BDP|1825462462942009092</stp>
        <tr r="E1438" s="1"/>
      </tp>
      <tp t="s">
        <v>#N/A Requesting Data...3354500994</v>
        <stp/>
        <stp>BDP|4758865137696486874</stp>
        <tr r="E478" s="1"/>
      </tp>
      <tp t="s">
        <v>#N/A Requesting Data...3796175774</v>
        <stp/>
        <stp>BDP|3486373119507931760</stp>
        <tr r="J1791" s="1"/>
      </tp>
      <tp t="s">
        <v>#N/A Requesting Data...1163392779</v>
        <stp/>
        <stp>BDP|7621390252505992511</stp>
        <tr r="AT447" s="1"/>
      </tp>
      <tp t="s">
        <v>#N/A Requesting Data...3323720035</v>
        <stp/>
        <stp>BDP|8576387410379941219</stp>
        <tr r="J1111" s="1"/>
        <tr r="J1482" s="1"/>
        <tr r="J1580" s="1"/>
      </tp>
      <tp t="s">
        <v>#N/A Requesting Data...3695801139</v>
        <stp/>
        <stp>BDP|6560915293763689442</stp>
        <tr r="H1308" s="1"/>
        <tr r="H983" s="1"/>
      </tp>
      <tp t="s">
        <v>#N/A Requesting Data...4294641017</v>
        <stp/>
        <stp>BDP|1096754369666937708</stp>
        <tr r="H1295" s="1"/>
      </tp>
      <tp t="s">
        <v>#N/A Requesting Data...2445655007</v>
        <stp/>
        <stp>BDP|6410943554399647276</stp>
        <tr r="H446" s="1"/>
      </tp>
      <tp t="s">
        <v>#N/A Requesting Data...2449593619</v>
        <stp/>
        <stp>BDP|1221652933867597244</stp>
        <tr r="E359" s="1"/>
      </tp>
      <tp t="s">
        <v>#N/A Requesting Data...1546322035</v>
        <stp/>
        <stp>BDP|3984291736836601557</stp>
        <tr r="E1531" s="1"/>
      </tp>
      <tp t="s">
        <v>#N/A Requesting Data...3237305787</v>
        <stp/>
        <stp>BDP|7734406531974971652</stp>
        <tr r="AU687" s="1"/>
      </tp>
      <tp t="s">
        <v>#N/A Requesting Data...2723239070</v>
        <stp/>
        <stp>BDP|8843832821667980790</stp>
        <tr r="H524" s="1"/>
      </tp>
      <tp t="s">
        <v>#N/A Requesting Data...1456143801</v>
        <stp/>
        <stp>BDP|8397899831512778369</stp>
        <tr r="AT716" s="1"/>
      </tp>
      <tp t="s">
        <v>#N/A Requesting Data...2941771563</v>
        <stp/>
        <stp>BDP|2724481434864359325</stp>
        <tr r="J1265" s="1"/>
      </tp>
      <tp t="s">
        <v>#N/A Requesting Data...2197543490</v>
        <stp/>
        <stp>BDP|9898233813599349116</stp>
        <tr r="J546" s="1"/>
      </tp>
      <tp t="s">
        <v>#N/A Requesting Data...1613947495</v>
        <stp/>
        <stp>BDP|4338564721870808163</stp>
        <tr r="H1793" s="1"/>
      </tp>
      <tp t="s">
        <v>#N/A Requesting Data...995513435</v>
        <stp/>
        <stp>BDP|1961846999905876761</stp>
        <tr r="AT745" s="1"/>
      </tp>
      <tp t="s">
        <v>#N/A Requesting Data...2562773661</v>
        <stp/>
        <stp>BDP|5645383952784119570</stp>
        <tr r="E1302" s="1"/>
      </tp>
      <tp t="s">
        <v>#N/A Requesting Data...2269700703</v>
        <stp/>
        <stp>BDP|9155805920208900922</stp>
        <tr r="H584" s="1"/>
      </tp>
      <tp t="s">
        <v>#N/A Requesting Data...3567356602</v>
        <stp/>
        <stp>BDP|1274242654464150091</stp>
        <tr r="H1481" s="1"/>
      </tp>
      <tp t="s">
        <v>#N/A Requesting Data...1268879722</v>
        <stp/>
        <stp>BDP|9127290784507437623</stp>
        <tr r="E1437" s="1"/>
      </tp>
      <tp t="s">
        <v>#N/A Requesting Data...504132543</v>
        <stp/>
        <stp>BDP|3069144156452171797</stp>
        <tr r="AT548" s="1"/>
      </tp>
      <tp t="s">
        <v>#N/A Requesting Data...4261294293</v>
        <stp/>
        <stp>BDP|2118664159616636526</stp>
        <tr r="J858" s="1"/>
      </tp>
      <tp t="s">
        <v>#N/A Requesting Data...3239983937</v>
        <stp/>
        <stp>BDP|8343688145040216877</stp>
        <tr r="J533" s="1"/>
      </tp>
      <tp t="s">
        <v>#N/A Requesting Data...3316580635</v>
        <stp/>
        <stp>BDP|2800368555155523357</stp>
        <tr r="H606" s="1"/>
      </tp>
      <tp t="s">
        <v>#N/A Requesting Data...3470293234</v>
        <stp/>
        <stp>BDP|3230776844930967236</stp>
        <tr r="E139" s="1"/>
      </tp>
      <tp t="s">
        <v>#N/A Requesting Data...3425780055</v>
        <stp/>
        <stp>BDP|1133019299249240303</stp>
        <tr r="H2067" s="1"/>
      </tp>
      <tp t="s">
        <v>#N/A Requesting Data...3340166089</v>
        <stp/>
        <stp>BDP|3458317042781516796</stp>
        <tr r="J280" s="1"/>
      </tp>
      <tp t="s">
        <v>#N/A Requesting Data...2210336653</v>
        <stp/>
        <stp>BDP|2372630065843834369</stp>
        <tr r="AU884" s="1"/>
      </tp>
      <tp t="s">
        <v>#N/A Requesting Data...2331696808</v>
        <stp/>
        <stp>BDP|2845738147185030679</stp>
        <tr r="AV640" s="1"/>
      </tp>
      <tp t="s">
        <v>#N/A Requesting Data...1997813455</v>
        <stp/>
        <stp>BDP|6068696202302963092</stp>
        <tr r="J1564" s="1"/>
        <tr r="J50" s="1"/>
        <tr r="J780" s="1"/>
      </tp>
      <tp t="s">
        <v>#N/A Requesting Data...2304937534</v>
        <stp/>
        <stp>BDP|6645836809775310943</stp>
        <tr r="E372" s="1"/>
      </tp>
      <tp t="s">
        <v>#N/A Requesting Data...3261119151</v>
        <stp/>
        <stp>BDP|9056581129388097497</stp>
        <tr r="H581" s="1"/>
      </tp>
      <tp t="s">
        <v>#N/A Requesting Data...3173419538</v>
        <stp/>
        <stp>BDP|5085087990226677862</stp>
        <tr r="E1773" s="1"/>
      </tp>
      <tp t="s">
        <v>#N/A Requesting Data...592127224</v>
        <stp/>
        <stp>BDP|9965665180312786704</stp>
        <tr r="AT292" s="1"/>
      </tp>
      <tp t="s">
        <v>#N/A Requesting Data...1558763180</v>
        <stp/>
        <stp>BDP|6355171986354281980</stp>
        <tr r="H1655" s="1"/>
        <tr r="H1689" s="1"/>
      </tp>
      <tp t="s">
        <v>#N/A Requesting Data...3765232819</v>
        <stp/>
        <stp>BDP|2532489732493348444</stp>
        <tr r="E883" s="1"/>
      </tp>
      <tp t="s">
        <v>#N/A Requesting Data...1823133352</v>
        <stp/>
        <stp>BDP|2352872663208728689</stp>
        <tr r="H1300" s="1"/>
        <tr r="H974" s="1"/>
      </tp>
      <tp t="s">
        <v>#N/A Requesting Data...1785812104</v>
        <stp/>
        <stp>BDP|4688089692869392673</stp>
        <tr r="E284" s="1"/>
      </tp>
      <tp t="s">
        <v>#N/A Requesting Data...1020185384</v>
        <stp/>
        <stp>BDP|9822153365814439848</stp>
        <tr r="J866" s="1"/>
      </tp>
      <tp t="s">
        <v>#N/A Requesting Data...2462899705</v>
        <stp/>
        <stp>BDP|8328591614187071961</stp>
        <tr r="E376" s="1"/>
      </tp>
      <tp t="s">
        <v>#N/A Requesting Data...3390430349</v>
        <stp/>
        <stp>BDP|1119574263851532188</stp>
        <tr r="J283" s="1"/>
      </tp>
      <tp t="s">
        <v>#N/A Requesting Data...1280669939</v>
        <stp/>
        <stp>BDP|5200060689649579607</stp>
        <tr r="H1886" s="1"/>
      </tp>
      <tp t="s">
        <v>#N/A Requesting Data...1178081126</v>
        <stp/>
        <stp>BDP|1645337419247784620</stp>
        <tr r="E1627" s="1"/>
        <tr r="E1875" s="1"/>
        <tr r="E2080" s="1"/>
      </tp>
      <tp t="s">
        <v>#N/A Requesting Data...2173006615</v>
        <stp/>
        <stp>BDP|8504194493882016064</stp>
        <tr r="AT689" s="1"/>
      </tp>
      <tp t="s">
        <v>#N/A Requesting Data...2567659291</v>
        <stp/>
        <stp>BDP|9939306083823514365</stp>
        <tr r="AV657" s="1"/>
      </tp>
      <tp t="s">
        <v>#N/A Requesting Data...1901366193</v>
        <stp/>
        <stp>BDP|2372288343724706260</stp>
        <tr r="E700" s="1"/>
      </tp>
      <tp t="s">
        <v>#N/A Requesting Data...3688817032</v>
        <stp/>
        <stp>BDP|2673038729160220277</stp>
        <tr r="J1061" s="1"/>
      </tp>
      <tp t="s">
        <v>#N/A Requesting Data...1309324718</v>
        <stp/>
        <stp>BDP|7210821648678887194</stp>
        <tr r="AT1016" s="1"/>
        <tr r="AT1277" s="1"/>
        <tr r="AT1335" s="1"/>
        <tr r="AT1709" s="1"/>
        <tr r="AT1740" s="1"/>
        <tr r="AT829" s="1"/>
      </tp>
      <tp t="s">
        <v>#N/A Requesting Data...2645582590</v>
        <stp/>
        <stp>BDP|7279084429525210288</stp>
        <tr r="AU718" s="1"/>
      </tp>
      <tp t="s">
        <v>#N/A Requesting Data...2698735029</v>
        <stp/>
        <stp>BDP|4338850188170295655</stp>
        <tr r="J882" s="1"/>
      </tp>
      <tp t="s">
        <v>#N/A Requesting Data...2672419952</v>
        <stp/>
        <stp>BDP|7271624273261237583</stp>
        <tr r="H1556" s="1"/>
      </tp>
      <tp t="s">
        <v>#N/A Requesting Data...4028617294</v>
        <stp/>
        <stp>BDP|5483611331690588287</stp>
        <tr r="AU262" s="1"/>
      </tp>
      <tp t="s">
        <v>#N/A Requesting Data...1582354843</v>
        <stp/>
        <stp>BDP|7891362051962019160</stp>
        <tr r="H1390" s="1"/>
        <tr r="H1859" s="1"/>
      </tp>
      <tp t="s">
        <v>#N/A Requesting Data...1390557883</v>
        <stp/>
        <stp>BDP|6466540019955687562</stp>
        <tr r="E1530" s="1"/>
      </tp>
      <tp t="s">
        <v>#N/A Requesting Data...2673121555</v>
        <stp/>
        <stp>BDP|5390586522029696963</stp>
        <tr r="H462" s="1"/>
      </tp>
      <tp t="s">
        <v>#N/A Requesting Data...1516957280</v>
        <stp/>
        <stp>BDP|9403784094104897198</stp>
        <tr r="AS774" s="1"/>
      </tp>
      <tp t="s">
        <v>#N/A Requesting Data...2221874655</v>
        <stp/>
        <stp>BDP|7010096456195203541</stp>
        <tr r="J698" s="1"/>
      </tp>
      <tp t="s">
        <v>#N/A Requesting Data...1320510844</v>
        <stp/>
        <stp>BDP|9948893454830904649</stp>
        <tr r="E893" s="1"/>
      </tp>
      <tp t="s">
        <v>#N/A Requesting Data...1112256210</v>
        <stp/>
        <stp>BDP|8803738485560747570</stp>
        <tr r="H1353" s="1"/>
      </tp>
      <tp t="s">
        <v>#N/A Requesting Data...4051861440</v>
        <stp/>
        <stp>BDP|7725561309173289343</stp>
        <tr r="J1125" s="1"/>
        <tr r="J1606" s="1"/>
        <tr r="J1971" s="1"/>
        <tr r="J71" s="1"/>
      </tp>
      <tp t="s">
        <v>#N/A Requesting Data...3945317863</v>
        <stp/>
        <stp>BDP|6190199286818934590</stp>
        <tr r="AU457" s="1"/>
      </tp>
      <tp t="s">
        <v>#N/A Requesting Data...2256261530</v>
        <stp/>
        <stp>BDP|2868559729241972631</stp>
        <tr r="AV750" s="1"/>
      </tp>
      <tp t="s">
        <v>#N/A Requesting Data...3176681777</v>
        <stp/>
        <stp>BDP|2986046446192511604</stp>
        <tr r="H60" s="1"/>
      </tp>
      <tp t="s">
        <v>#N/A Requesting Data...4100291446</v>
        <stp/>
        <stp>BDP|7781260315784279285</stp>
        <tr r="E413" s="1"/>
      </tp>
      <tp t="s">
        <v>#N/A Requesting Data...4099983636</v>
        <stp/>
        <stp>BDP|4979218486239722572</stp>
        <tr r="H1761" s="1"/>
      </tp>
      <tp t="s">
        <v>#N/A Requesting Data...2041022969</v>
        <stp/>
        <stp>BDP|6221715520868977946</stp>
        <tr r="AV364" s="1"/>
      </tp>
      <tp t="s">
        <v>#N/A Requesting Data...1633552597</v>
        <stp/>
        <stp>BDP|7846032414505475151</stp>
        <tr r="H350" s="1"/>
      </tp>
      <tp t="s">
        <v>#N/A Requesting Data...2060666180</v>
        <stp/>
        <stp>BDP|4956577979030946403</stp>
        <tr r="J1355" s="1"/>
      </tp>
      <tp t="s">
        <v>#N/A Requesting Data...3816686500</v>
        <stp/>
        <stp>BDP|2720619804925542392</stp>
        <tr r="H1623" s="1"/>
      </tp>
      <tp t="s">
        <v>#N/A Requesting Data...1855783494</v>
        <stp/>
        <stp>BDP|7020056828451515666</stp>
        <tr r="AV424" s="1"/>
      </tp>
      <tp t="s">
        <v>#N/A Requesting Data...1302859620</v>
        <stp/>
        <stp>BDP|5983455714842281056</stp>
        <tr r="H628" s="1"/>
      </tp>
      <tp t="s">
        <v>#N/A Requesting Data...1519733930</v>
        <stp/>
        <stp>BDP|3281342194538510385</stp>
        <tr r="AU603" s="1"/>
      </tp>
      <tp t="s">
        <v>#N/A Requesting Data...1333313879</v>
        <stp/>
        <stp>BDP|1155623368046449508</stp>
        <tr r="H1176" s="1"/>
      </tp>
      <tp t="s">
        <v>#N/A Requesting Data...1384497239</v>
        <stp/>
        <stp>BDP|4056453362105193193</stp>
        <tr r="E1225" s="1"/>
      </tp>
      <tp t="s">
        <v>#N/A Requesting Data...2097159375</v>
        <stp/>
        <stp>BDP|3557099926382566105</stp>
        <tr r="H921" s="1"/>
      </tp>
      <tp t="s">
        <v>#N/A Requesting Data...1546014248</v>
        <stp/>
        <stp>BDP|7521696632412822292</stp>
        <tr r="AV417" s="1"/>
      </tp>
      <tp t="s">
        <v>#N/A Requesting Data...3802554134</v>
        <stp/>
        <stp>BDP|7588219368239629852</stp>
        <tr r="H467" s="1"/>
      </tp>
      <tp t="s">
        <v>#N/A Requesting Data...3344190163</v>
        <stp/>
        <stp>BDP|3142924799381476017</stp>
        <tr r="J1750" s="1"/>
      </tp>
      <tp t="s">
        <v>#N/A Requesting Data...2772395954</v>
        <stp/>
        <stp>BDP|7736180327063357544</stp>
        <tr r="H622" s="1"/>
      </tp>
      <tp t="s">
        <v>#N/A Requesting Data...3048300581</v>
        <stp/>
        <stp>BDP|1968922721640147844</stp>
        <tr r="H889" s="1"/>
      </tp>
      <tp t="s">
        <v>#N/A Requesting Data...3690971926</v>
        <stp/>
        <stp>BDP|2579405760350267282</stp>
        <tr r="H1495" s="1"/>
      </tp>
      <tp t="s">
        <v>#N/A Requesting Data...1589409229</v>
        <stp/>
        <stp>BDP|2952786473468945844</stp>
        <tr r="E1979" s="1"/>
      </tp>
      <tp t="s">
        <v>#N/A Requesting Data...1241034810</v>
        <stp/>
        <stp>BDP|1915418645341705262</stp>
        <tr r="AV286" s="1"/>
      </tp>
      <tp t="s">
        <v>#N/A Requesting Data...3893815863</v>
        <stp/>
        <stp>BDP|1668170221268980854</stp>
        <tr r="J505" s="1"/>
      </tp>
      <tp t="s">
        <v>#N/A Requesting Data...1358548325</v>
        <stp/>
        <stp>BDP|3596967181153675384</stp>
        <tr r="H1953" s="1"/>
      </tp>
      <tp t="s">
        <v>#N/A Requesting Data...2431091248</v>
        <stp/>
        <stp>BDP|1381484833914284062</stp>
        <tr r="J1314" s="1"/>
      </tp>
      <tp t="s">
        <v>#N/A Requesting Data...3961264188</v>
        <stp/>
        <stp>BDP|7371399869575948561</stp>
        <tr r="AV344" s="1"/>
      </tp>
      <tp t="s">
        <v>#N/A Requesting Data...2516954982</v>
        <stp/>
        <stp>BDP|7577304549766333437</stp>
        <tr r="J897" s="1"/>
      </tp>
      <tp t="s">
        <v>#N/A Requesting Data...3195956328</v>
        <stp/>
        <stp>BDP|7479384727505374143</stp>
        <tr r="J879" s="1"/>
      </tp>
      <tp t="s">
        <v>#N/A Requesting Data...1599320899</v>
        <stp/>
        <stp>BDP|4879665588269361194</stp>
        <tr r="AU382" s="1"/>
      </tp>
      <tp t="s">
        <v>#N/A Requesting Data...3243669721</v>
        <stp/>
        <stp>BDP|3645382743364755265</stp>
        <tr r="E158" s="1"/>
      </tp>
      <tp t="s">
        <v>#N/A Requesting Data...2628977357</v>
        <stp/>
        <stp>BDP|7148822582437865253</stp>
        <tr r="J549" s="1"/>
      </tp>
      <tp t="s">
        <v>#N/A Requesting Data...1804470111</v>
        <stp/>
        <stp>BDP|1323262112239956921</stp>
        <tr r="J2093" s="1"/>
      </tp>
      <tp t="s">
        <v>#N/A Requesting Data...3291473141</v>
        <stp/>
        <stp>BDP|4462421536023908251</stp>
        <tr r="AU316" s="1"/>
      </tp>
      <tp t="s">
        <v>#N/A Requesting Data...3891983763</v>
        <stp/>
        <stp>BDP|6582106172211239399</stp>
        <tr r="AU702" s="1"/>
      </tp>
      <tp t="s">
        <v>#N/A Requesting Data...2565664447</v>
        <stp/>
        <stp>BDP|4367943786963932456</stp>
        <tr r="J643" s="1"/>
      </tp>
      <tp t="s">
        <v>#N/A Requesting Data...3954633001</v>
        <stp/>
        <stp>BDP|2277759339226651250</stp>
        <tr r="H1041" s="1"/>
      </tp>
      <tp t="s">
        <v>#N/A Requesting Data...3133775090</v>
        <stp/>
        <stp>BDP|6271641453944103391</stp>
        <tr r="J1158" s="1"/>
      </tp>
      <tp t="s">
        <v>#N/A Requesting Data...2809662220</v>
        <stp/>
        <stp>BDP|8478914506163807063</stp>
        <tr r="E109" s="1"/>
        <tr r="E1986" s="1"/>
      </tp>
      <tp t="s">
        <v>#N/A Requesting Data...2134879662</v>
        <stp/>
        <stp>BDP|7829702808327413592</stp>
        <tr r="E1357" s="1"/>
      </tp>
      <tp t="s">
        <v>#N/A Requesting Data...2704916558</v>
        <stp/>
        <stp>BDP|4904905491153206577</stp>
        <tr r="J1600" s="1"/>
      </tp>
      <tp t="s">
        <v>#N/A Requesting Data...2150225625</v>
        <stp/>
        <stp>BDP|4321984930658528436</stp>
        <tr r="AV332" s="1"/>
      </tp>
      <tp t="s">
        <v>#N/A Requesting Data...1856652787</v>
        <stp/>
        <stp>BDP|1739291411559680948</stp>
        <tr r="AV339" s="1"/>
      </tp>
      <tp t="s">
        <v>#N/A Requesting Data...1669324256</v>
        <stp/>
        <stp>BDP|8200758241429570011</stp>
        <tr r="H1828" s="1"/>
      </tp>
      <tp t="s">
        <v>#N/A Requesting Data...3642008644</v>
        <stp/>
        <stp>BDP|1691751982088639451</stp>
        <tr r="AR815" s="1"/>
      </tp>
      <tp t="s">
        <v>#N/A Requesting Data...2188543184</v>
        <stp/>
        <stp>BDP|6724031324920336614</stp>
        <tr r="J2101" s="1"/>
      </tp>
      <tp t="s">
        <v>#N/A Requesting Data...1463085845</v>
        <stp/>
        <stp>BDP|4924429753455899229</stp>
        <tr r="AU690" s="1"/>
      </tp>
      <tp t="s">
        <v>#N/A Requesting Data...2155815121</v>
        <stp/>
        <stp>BDP|6739227173815480405</stp>
        <tr r="J2070" s="1"/>
      </tp>
      <tp t="s">
        <v>#N/A Requesting Data...2915271808</v>
        <stp/>
        <stp>BDP|6044732367686689308</stp>
        <tr r="J1026" s="1"/>
        <tr r="J1567" s="1"/>
        <tr r="J56" s="1"/>
      </tp>
      <tp t="s">
        <v>#N/A Requesting Data...1229698539</v>
        <stp/>
        <stp>BDP|7746431303516592709</stp>
        <tr r="J559" s="1"/>
      </tp>
      <tp t="s">
        <v>#N/A Requesting Data...1657802725</v>
        <stp/>
        <stp>BDP|5575101763087046742</stp>
        <tr r="H727" s="1"/>
      </tp>
      <tp t="s">
        <v>#N/A Requesting Data...2901731843</v>
        <stp/>
        <stp>BDP|7419489880990774996</stp>
        <tr r="E558" s="1"/>
      </tp>
      <tp t="s">
        <v>#N/A Requesting Data...1280931140</v>
        <stp/>
        <stp>BDP|2877095177965208268</stp>
        <tr r="AU411" s="1"/>
      </tp>
      <tp t="s">
        <v>#N/A Requesting Data...3761290955</v>
        <stp/>
        <stp>BDP|2323885392585951424</stp>
        <tr r="AT365" s="1"/>
      </tp>
      <tp t="s">
        <v>#N/A Requesting Data...3290928214</v>
        <stp/>
        <stp>BDP|6052257411152451523</stp>
        <tr r="H1751" s="1"/>
      </tp>
      <tp t="s">
        <v>#N/A Requesting Data...3534252421</v>
        <stp/>
        <stp>BDP|3186733050043368039</stp>
        <tr r="AV307" s="1"/>
      </tp>
      <tp t="s">
        <v>#N/A Requesting Data...2227176852</v>
        <stp/>
        <stp>BDP|4113624362373611550</stp>
        <tr r="AV370" s="1"/>
      </tp>
      <tp t="s">
        <v>#N/A Requesting Data...1800107797</v>
        <stp/>
        <stp>BDP|6526783207632109190</stp>
        <tr r="E69" s="1"/>
      </tp>
      <tp t="s">
        <v>#N/A Requesting Data...3056600679</v>
        <stp/>
        <stp>BDP|6534576940914134118</stp>
        <tr r="E1762" s="1"/>
      </tp>
      <tp t="s">
        <v>#N/A Requesting Data...3081981008</v>
        <stp/>
        <stp>BDP|2058408646590083058</stp>
        <tr r="H1320" s="1"/>
        <tr r="H47" s="1"/>
        <tr r="H998" s="1"/>
      </tp>
      <tp t="s">
        <v>#N/A Requesting Data...3821100467</v>
        <stp/>
        <stp>BDP|7970412722000128388</stp>
        <tr r="AV878" s="1"/>
      </tp>
      <tp t="s">
        <v>#N/A Requesting Data...1434618430</v>
        <stp/>
        <stp>BDP|8953971367296229387</stp>
        <tr r="AV525" s="1"/>
      </tp>
      <tp t="s">
        <v>#N/A Requesting Data...3854107692</v>
        <stp/>
        <stp>BDP|8366829251936636157</stp>
        <tr r="H656" s="1"/>
      </tp>
      <tp t="s">
        <v>#N/A Requesting Data...2972921794</v>
        <stp/>
        <stp>BDP|9175711647650045841</stp>
        <tr r="J361" s="1"/>
      </tp>
      <tp t="s">
        <v>#N/A Requesting Data...3217750899</v>
        <stp/>
        <stp>BDP|1402661250598004811</stp>
        <tr r="H1746" s="1"/>
      </tp>
      <tp t="s">
        <v>#N/A Requesting Data...3325590304</v>
        <stp/>
        <stp>BDP|8454102166835420864</stp>
        <tr r="H1130" s="1"/>
      </tp>
      <tp t="s">
        <v>#N/A Requesting Data...3735337131</v>
        <stp/>
        <stp>BDP|4881075214450291799</stp>
        <tr r="J648" s="1"/>
      </tp>
      <tp t="s">
        <v>#N/A Requesting Data...3208416715</v>
        <stp/>
        <stp>BDP|2982285413794667745</stp>
        <tr r="AV565" s="1"/>
      </tp>
      <tp t="s">
        <v>#N/A Requesting Data...3665219173</v>
        <stp/>
        <stp>BDP|5030397025152980456</stp>
        <tr r="J755" s="1"/>
      </tp>
      <tp t="s">
        <v>#N/A Requesting Data...3372320614</v>
        <stp/>
        <stp>BDP|1035365405874600455</stp>
        <tr r="AV328" s="1"/>
      </tp>
      <tp t="s">
        <v>#N/A Requesting Data...4054398640</v>
        <stp/>
        <stp>BDP|6824948336049339792</stp>
        <tr r="AT658" s="1"/>
      </tp>
      <tp t="s">
        <v>#N/A Requesting Data...1406619519</v>
        <stp/>
        <stp>BDP|7994130079810642358</stp>
        <tr r="E610" s="1"/>
      </tp>
      <tp t="s">
        <v>#N/A Requesting Data...1768168532</v>
        <stp/>
        <stp>BDP|2963649319110588717</stp>
        <tr r="AV889" s="1"/>
      </tp>
      <tp t="s">
        <v>#N/A Requesting Data...4103406807</v>
        <stp/>
        <stp>BDP|8768152963974998984</stp>
        <tr r="J1130" s="1"/>
      </tp>
      <tp t="s">
        <v>#N/A Requesting Data...1932271923</v>
        <stp/>
        <stp>BDP|3408167711665555467</stp>
        <tr r="H1866" s="1"/>
      </tp>
      <tp t="s">
        <v>#N/A Requesting Data...1999129086</v>
        <stp/>
        <stp>BDP|5092309625683303565</stp>
        <tr r="AV845" s="1"/>
      </tp>
      <tp t="s">
        <v>#N/A Requesting Data...2757071680</v>
        <stp/>
        <stp>BDP|3958189153534730159</stp>
        <tr r="J1167" s="1"/>
      </tp>
      <tp t="s">
        <v>#N/A Requesting Data...2582929235</v>
        <stp/>
        <stp>BDP|4669804981763405537</stp>
        <tr r="AV672" s="1"/>
      </tp>
      <tp t="s">
        <v>#N/A Requesting Data...4207124609</v>
        <stp/>
        <stp>BDP|4834674539137502433</stp>
        <tr r="E1409" s="1"/>
      </tp>
      <tp t="s">
        <v>#N/A Requesting Data...2162870837</v>
        <stp/>
        <stp>BDP|9645280938458349251</stp>
        <tr r="AT259" s="1"/>
      </tp>
      <tp t="s">
        <v>#N/A Requesting Data...2371379317</v>
        <stp/>
        <stp>BDP|2771614316480571755</stp>
        <tr r="H1348" s="1"/>
      </tp>
      <tp t="s">
        <v>#N/A Requesting Data...2838830193</v>
        <stp/>
        <stp>BDP|8563236592755038443</stp>
        <tr r="H672" s="1"/>
      </tp>
      <tp t="s">
        <v>#N/A Requesting Data...2221930124</v>
        <stp/>
        <stp>BDP|2171656365166138618</stp>
        <tr r="J1097" s="1"/>
      </tp>
      <tp t="s">
        <v>#N/A Requesting Data...2296821547</v>
        <stp/>
        <stp>BDP|5059608177292477422</stp>
        <tr r="J393" s="1"/>
      </tp>
      <tp t="s">
        <v>#N/A Requesting Data...1869760943</v>
        <stp/>
        <stp>BDP|1433040258536125088</stp>
        <tr r="E131" s="1"/>
      </tp>
      <tp t="s">
        <v>#N/A Requesting Data...4083114704</v>
        <stp/>
        <stp>BDP|6632188569961543238</stp>
        <tr r="AV367" s="1"/>
      </tp>
      <tp t="s">
        <v>#N/A Requesting Data...2928479522</v>
        <stp/>
        <stp>BDP|9961441104638865707</stp>
        <tr r="AU523" s="1"/>
      </tp>
      <tp t="s">
        <v>#N/A Requesting Data...1876530616</v>
        <stp/>
        <stp>BDP|7512049742222314318</stp>
        <tr r="E1765" s="1"/>
      </tp>
      <tp t="s">
        <v>#N/A Requesting Data...2216171342</v>
        <stp/>
        <stp>BDP|3831109991880837905</stp>
        <tr r="J2090" s="1"/>
      </tp>
      <tp t="s">
        <v>#N/A Requesting Data...1300139749</v>
        <stp/>
        <stp>BDP|9525293619830287865</stp>
        <tr r="J1753" s="1"/>
      </tp>
      <tp t="s">
        <v>#N/A Requesting Data...3963736446</v>
        <stp/>
        <stp>BDP|3946786416605268246</stp>
        <tr r="J1085" s="1"/>
      </tp>
      <tp t="s">
        <v>#N/A Requesting Data...2530866618</v>
        <stp/>
        <stp>BDP|5033525514271174265</stp>
        <tr r="AP773" s="1"/>
      </tp>
      <tp t="s">
        <v>#N/A Requesting Data...2075528979</v>
        <stp/>
        <stp>BDP|8750755552658361059</stp>
        <tr r="H160" s="1"/>
      </tp>
      <tp t="s">
        <v>#N/A Requesting Data...1586903661</v>
        <stp/>
        <stp>BDP|5286950684712716426</stp>
        <tr r="E1387" s="1"/>
      </tp>
      <tp t="s">
        <v>#N/A Requesting Data...2741998742</v>
        <stp/>
        <stp>BDP|9694870515481044321</stp>
        <tr r="J1264" s="1"/>
      </tp>
      <tp t="s">
        <v>#N/A Requesting Data...3730773152</v>
        <stp/>
        <stp>BDP|9490260897635021537</stp>
        <tr r="AV849" s="1"/>
      </tp>
      <tp t="s">
        <v>#N/A Requesting Data...3640668417</v>
        <stp/>
        <stp>BDP|6023318773232555210</stp>
        <tr r="J1172" s="1"/>
      </tp>
      <tp t="s">
        <v>#N/A Requesting Data...2856005650</v>
        <stp/>
        <stp>BDP|7338255597989095779</stp>
        <tr r="J303" s="1"/>
      </tp>
      <tp t="s">
        <v>#N/A Requesting Data...3331270129</v>
        <stp/>
        <stp>BDP|7768498365857504089</stp>
        <tr r="H1626" s="1"/>
        <tr r="H1874" s="1"/>
      </tp>
      <tp t="s">
        <v>#N/A Requesting Data...3075430743</v>
        <stp/>
        <stp>BDP|5996376542256847627</stp>
        <tr r="H123" s="1"/>
      </tp>
      <tp t="s">
        <v>#N/A Requesting Data...3441822509</v>
        <stp/>
        <stp>BDP|7062421454250000404</stp>
        <tr r="AR2042" s="1"/>
      </tp>
      <tp t="s">
        <v>#N/A Requesting Data...2108698191</v>
        <stp/>
        <stp>BDP|2719270137367939683</stp>
        <tr r="AT838" s="1"/>
      </tp>
      <tp t="s">
        <v>#N/A Requesting Data...2524543024</v>
        <stp/>
        <stp>BDP|8821742588130077524</stp>
        <tr r="E1673" s="1"/>
      </tp>
      <tp t="s">
        <v>#N/A Requesting Data...3566970960</v>
        <stp/>
        <stp>BDP|6267107850794572414</stp>
        <tr r="J760" s="1"/>
      </tp>
      <tp t="s">
        <v>#N/A Requesting Data...3270090268</v>
        <stp/>
        <stp>BDP|6385410080090083845</stp>
        <tr r="J835" s="1"/>
      </tp>
      <tp t="s">
        <v>#N/A Requesting Data...4268018420</v>
        <stp/>
        <stp>BDP|4506739951307576348</stp>
        <tr r="J1583" s="1"/>
      </tp>
      <tp t="s">
        <v>#N/A Requesting Data...1966950432</v>
        <stp/>
        <stp>BDP|4440255520310500626</stp>
        <tr r="E498" s="1"/>
      </tp>
      <tp t="s">
        <v>#N/A Requesting Data...4242036863</v>
        <stp/>
        <stp>BDP|3257505318625543096</stp>
        <tr r="E351" s="1"/>
      </tp>
      <tp t="s">
        <v>#N/A Requesting Data...2852964820</v>
        <stp/>
        <stp>BDP|4430546233525084541</stp>
        <tr r="AS2051" s="1"/>
      </tp>
      <tp t="s">
        <v>#N/A Requesting Data...1866694824</v>
        <stp/>
        <stp>BDP|9538655566392249939</stp>
        <tr r="AU543" s="1"/>
      </tp>
      <tp t="s">
        <v>#N/A Requesting Data...3180672327</v>
        <stp/>
        <stp>BDP|9759461601758119769</stp>
        <tr r="AU708" s="1"/>
      </tp>
      <tp t="s">
        <v>#N/A Requesting Data...4036078570</v>
        <stp/>
        <stp>BDP|3803674827511754489</stp>
        <tr r="H1163" s="1"/>
      </tp>
      <tp t="s">
        <v>#N/A Requesting Data...1373647812</v>
        <stp/>
        <stp>BDP|1780942682054335655</stp>
        <tr r="E668" s="1"/>
      </tp>
      <tp t="s">
        <v>#N/A Requesting Data...1156834791</v>
        <stp/>
        <stp>BDP|3498005490690036835</stp>
        <tr r="J1352" s="1"/>
      </tp>
      <tp t="s">
        <v>#N/A Requesting Data...3247046486</v>
        <stp/>
        <stp>BDP|3763462618016930279</stp>
        <tr r="H1373" s="1"/>
        <tr r="H1434" s="1"/>
        <tr r="H54" s="1"/>
      </tp>
      <tp t="s">
        <v>#N/A Requesting Data...1567948830</v>
        <stp/>
        <stp>BDP|3767678214170505661</stp>
        <tr r="E1881" s="1"/>
        <tr r="E39" s="1"/>
      </tp>
      <tp t="s">
        <v>#N/A Requesting Data...2014637894</v>
        <stp/>
        <stp>BDP|6271488247752304696</stp>
        <tr r="H1549" s="1"/>
        <tr r="H1872" s="1"/>
      </tp>
      <tp t="s">
        <v>#N/A Requesting Data...1865748512</v>
        <stp/>
        <stp>BDP|2247260267731432501</stp>
        <tr r="J528" s="1"/>
      </tp>
      <tp t="s">
        <v>#N/A Requesting Data...1757752097</v>
        <stp/>
        <stp>BDP|3573672165739927891</stp>
        <tr r="AR1988" s="1"/>
      </tp>
      <tp t="s">
        <v>#N/A Requesting Data...1514985429</v>
        <stp/>
        <stp>BDP|3573383839625461475</stp>
        <tr r="J1409" s="1"/>
      </tp>
      <tp t="s">
        <v>#N/A Requesting Data...3193226056</v>
        <stp/>
        <stp>BDP|5231462523273878285</stp>
        <tr r="J524" s="1"/>
      </tp>
      <tp t="s">
        <v>#N/A Requesting Data...3341584016</v>
        <stp/>
        <stp>BDP|7300819181033089640</stp>
        <tr r="J1479" s="1"/>
        <tr r="J1846" s="1"/>
      </tp>
      <tp t="s">
        <v>#N/A Requesting Data...2477564208</v>
        <stp/>
        <stp>BDP|3022654033341741562</stp>
        <tr r="E130" s="1"/>
      </tp>
      <tp t="s">
        <v>#N/A Requesting Data...4084002275</v>
        <stp/>
        <stp>BDP|1367636236971287733</stp>
        <tr r="AT899" s="1"/>
      </tp>
      <tp t="s">
        <v>#N/A Requesting Data...2226635553</v>
        <stp/>
        <stp>BDP|6165638576824764142</stp>
        <tr r="J453" s="1"/>
      </tp>
      <tp t="s">
        <v>#N/A Requesting Data...1895208816</v>
        <stp/>
        <stp>BDP|7810215915771969722</stp>
        <tr r="E311" s="1"/>
      </tp>
      <tp t="s">
        <v>#N/A Requesting Data...2786593381</v>
        <stp/>
        <stp>BDP|9043725595746483349</stp>
        <tr r="E444" s="1"/>
      </tp>
      <tp t="s">
        <v>#N/A Requesting Data...3523948392</v>
        <stp/>
        <stp>BDP|7568038721894827382</stp>
        <tr r="H729" s="1"/>
      </tp>
      <tp t="s">
        <v>#N/A Requesting Data...4174327708</v>
        <stp/>
        <stp>BDP|1626623264952173156</stp>
        <tr r="AT616" s="1"/>
      </tp>
      <tp t="s">
        <v>#N/A Requesting Data...1113574793</v>
        <stp/>
        <stp>BDP|8291409380054505239</stp>
        <tr r="H992" s="1"/>
      </tp>
      <tp t="s">
        <v>#N/A Requesting Data...1587582544</v>
        <stp/>
        <stp>BDP|9930818155323091598</stp>
        <tr r="AV573" s="1"/>
      </tp>
      <tp t="s">
        <v>#N/A Requesting Data...2008943170</v>
        <stp/>
        <stp>BDP|9960987715895470647</stp>
        <tr r="H1955" s="1"/>
      </tp>
      <tp t="s">
        <v>#N/A Requesting Data...2288411768</v>
        <stp/>
        <stp>BDP|3346855296969694929</stp>
        <tr r="H1377" s="1"/>
      </tp>
      <tp t="s">
        <v>#N/A Requesting Data...1714505505</v>
        <stp/>
        <stp>BDP|9922075699364560668</stp>
        <tr r="H959" s="1"/>
      </tp>
      <tp t="s">
        <v>#N/A Requesting Data...4053614196</v>
        <stp/>
        <stp>BDP|3597987575287401882</stp>
        <tr r="E924" s="1"/>
      </tp>
      <tp t="s">
        <v>#N/A Requesting Data...1532293769</v>
        <stp/>
        <stp>BDP|7088745640805953393</stp>
        <tr r="H979" s="1"/>
      </tp>
      <tp t="s">
        <v>#N/A Requesting Data...1967580112</v>
        <stp/>
        <stp>BDP|6550159382269344458</stp>
        <tr r="E12" s="1"/>
        <tr r="E1843" s="1"/>
      </tp>
      <tp t="s">
        <v>#N/A Requesting Data...1500726512</v>
        <stp/>
        <stp>BDP|5583411608534104799</stp>
        <tr r="H680" s="1"/>
      </tp>
      <tp t="s">
        <v>#N/A Requesting Data...3561255438</v>
        <stp/>
        <stp>BDP|2104723568076792793</stp>
        <tr r="J152" s="1"/>
      </tp>
      <tp t="s">
        <v>#N/A Requesting Data...398695690</v>
        <stp/>
        <stp>BDP|3964469054635902570</stp>
        <tr r="AT710" s="1"/>
      </tp>
      <tp t="s">
        <v>#N/A Requesting Data...1709830519</v>
        <stp/>
        <stp>BDP|8703180684823600080</stp>
        <tr r="J599" s="1"/>
      </tp>
      <tp t="s">
        <v>#N/A Requesting Data...3221692117</v>
        <stp/>
        <stp>BDP|5348500518361997276</stp>
        <tr r="E1424" s="1"/>
        <tr r="E1453" s="1"/>
      </tp>
      <tp t="s">
        <v>#N/A Requesting Data...2035910043</v>
        <stp/>
        <stp>BDP|4211569946057118062</stp>
        <tr r="J878" s="1"/>
      </tp>
      <tp t="s">
        <v>#N/A Requesting Data...3832790796</v>
        <stp/>
        <stp>BDP|9882990534436138714</stp>
        <tr r="J1815" s="1"/>
      </tp>
      <tp t="s">
        <v>#N/A Requesting Data...3429033434</v>
        <stp/>
        <stp>BDP|2544979327789254224</stp>
        <tr r="H644" s="1"/>
      </tp>
      <tp t="s">
        <v>#N/A Requesting Data...1127034056</v>
        <stp/>
        <stp>BDP|3407403096515758909</stp>
        <tr r="H591" s="1"/>
      </tp>
      <tp t="s">
        <v>#N/A Requesting Data...3902185506</v>
        <stp/>
        <stp>BDP|1509366674676394114</stp>
        <tr r="H696" s="1"/>
      </tp>
      <tp t="s">
        <v>#N/A Requesting Data...3827948309</v>
        <stp/>
        <stp>BDP|4597528767113397668</stp>
        <tr r="J360" s="1"/>
      </tp>
      <tp t="s">
        <v>#N/A Requesting Data...1676348134</v>
        <stp/>
        <stp>BDP|3142265521258249916</stp>
        <tr r="AT571" s="1"/>
      </tp>
      <tp t="s">
        <v>#N/A Requesting Data...3531164984</v>
        <stp/>
        <stp>BDP|7082730260906755217</stp>
        <tr r="J76" s="1"/>
      </tp>
      <tp t="s">
        <v>#N/A Requesting Data...1417337478</v>
        <stp/>
        <stp>BDP|4661527576220330443</stp>
        <tr r="J913" s="1"/>
      </tp>
      <tp t="s">
        <v>#N/A Requesting Data...2745957593</v>
        <stp/>
        <stp>BDP|3524127235583464033</stp>
        <tr r="AT318" s="1"/>
      </tp>
      <tp t="s">
        <v>#N/A Requesting Data...2056041445</v>
        <stp/>
        <stp>BDP|4528325724423136476</stp>
        <tr r="AU666" s="1"/>
      </tp>
      <tp t="s">
        <v>#N/A Requesting Data...3044501530</v>
        <stp/>
        <stp>BDP|6797458303920290198</stp>
        <tr r="E526" s="1"/>
      </tp>
      <tp t="s">
        <v>#N/A Requesting Data...1735114044</v>
        <stp/>
        <stp>BDP|6571985718208681593</stp>
        <tr r="J1508" s="1"/>
      </tp>
      <tp t="s">
        <v>#N/A Requesting Data...2119468597</v>
        <stp/>
        <stp>BDP|4562628860380821752</stp>
        <tr r="H667" s="1"/>
      </tp>
      <tp t="s">
        <v>#N/A Requesting Data...3985072473</v>
        <stp/>
        <stp>BDP|3041367574561097583</stp>
        <tr r="H701" s="1"/>
      </tp>
      <tp t="s">
        <v>#N/A Requesting Data...4245125161</v>
        <stp/>
        <stp>BDP|8012783162912237826</stp>
        <tr r="E2061" s="1"/>
      </tp>
      <tp t="s">
        <v>#N/A Requesting Data...2237402598</v>
        <stp/>
        <stp>BDP|3717719057633866139</stp>
        <tr r="H1446" s="1"/>
      </tp>
      <tp t="s">
        <v>#N/A Requesting Data...3659368295</v>
        <stp/>
        <stp>BDP|2058580552326910794</stp>
        <tr r="E497" s="1"/>
      </tp>
      <tp t="s">
        <v>#N/A Requesting Data...1957998214</v>
        <stp/>
        <stp>BDP|3673908180813972254</stp>
        <tr r="AV658" s="1"/>
      </tp>
      <tp t="s">
        <v>#N/A Requesting Data...2935451259</v>
        <stp/>
        <stp>BDP|4639342695555837850</stp>
        <tr r="E760" s="1"/>
      </tp>
      <tp t="s">
        <v>#N/A Requesting Data...4174904373</v>
        <stp/>
        <stp>BDP|5975639713943234212</stp>
        <tr r="H638" s="1"/>
      </tp>
      <tp t="s">
        <v>#N/A Requesting Data...937774365</v>
        <stp/>
        <stp>BDP|1098445201386841060</stp>
        <tr r="AT917" s="1"/>
      </tp>
      <tp t="s">
        <v>#N/A Requesting Data...4269329220</v>
        <stp/>
        <stp>BDP|7854789570843287796</stp>
        <tr r="E742" s="1"/>
      </tp>
      <tp t="s">
        <v>#N/A Requesting Data...4256372418</v>
        <stp/>
        <stp>BDP|3013362273976770291</stp>
        <tr r="H1820" s="1"/>
      </tp>
      <tp t="s">
        <v>#N/A Requesting Data...3481476992</v>
        <stp/>
        <stp>BDP|2824500333251495645</stp>
        <tr r="E620" s="1"/>
      </tp>
      <tp t="s">
        <v>#N/A Requesting Data...2833325512</v>
        <stp/>
        <stp>BDP|1415753870662207088</stp>
        <tr r="AV397" s="1"/>
      </tp>
      <tp t="s">
        <v>#N/A Requesting Data...2931661386</v>
        <stp/>
        <stp>BDP|1172602882218989410</stp>
        <tr r="H217" s="1"/>
        <tr r="H275" s="1"/>
      </tp>
      <tp t="s">
        <v>#N/A Requesting Data...4234814119</v>
        <stp/>
        <stp>BDP|9397318861439100695</stp>
        <tr r="E1592" s="1"/>
      </tp>
      <tp t="s">
        <v>#N/A Requesting Data...2786802236</v>
        <stp/>
        <stp>BDP|1609694620414491209</stp>
        <tr r="J888" s="1"/>
      </tp>
      <tp t="s">
        <v>#N/A Requesting Data...3590406916</v>
        <stp/>
        <stp>BDP|4641687970796639035</stp>
        <tr r="AT398" s="1"/>
      </tp>
      <tp t="s">
        <v>#N/A Requesting Data...1770246925</v>
        <stp/>
        <stp>BDP|1084148570266646293</stp>
        <tr r="H2085" s="1"/>
      </tp>
      <tp t="s">
        <v>#N/A Requesting Data...2674952760</v>
        <stp/>
        <stp>BDP|4161527418583656064</stp>
        <tr r="E689" s="1"/>
      </tp>
      <tp t="s">
        <v>#N/A Requesting Data...1232472661</v>
        <stp/>
        <stp>BDP|7384020003825963102</stp>
        <tr r="AT673" s="1"/>
      </tp>
      <tp t="s">
        <v>#N/A Requesting Data...2919334616</v>
        <stp/>
        <stp>BDP|8970286491614350484</stp>
        <tr r="AV301" s="1"/>
      </tp>
      <tp t="s">
        <v>#N/A Requesting Data...4274456046</v>
        <stp/>
        <stp>BDP|3482440165475822755</stp>
        <tr r="J603" s="1"/>
      </tp>
      <tp t="s">
        <v>#N/A Requesting Data...4099965905</v>
        <stp/>
        <stp>BDP|5708339769074558707</stp>
        <tr r="AT354" s="1"/>
      </tp>
      <tp t="s">
        <v>#N/A Requesting Data...1758100252</v>
        <stp/>
        <stp>BDP|4418342856949707891</stp>
        <tr r="H355" s="1"/>
      </tp>
      <tp t="s">
        <v>#N/A Requesting Data...1362245420</v>
        <stp/>
        <stp>BDP|9073206289966069615</stp>
        <tr r="E1041" s="1"/>
      </tp>
      <tp t="s">
        <v>#N/A Requesting Data...2103474166</v>
        <stp/>
        <stp>BDP|6669117751813624286</stp>
        <tr r="H1374" s="1"/>
      </tp>
      <tp t="s">
        <v>#N/A Requesting Data...2303372670</v>
        <stp/>
        <stp>BDP|2432906337172803935</stp>
        <tr r="J1790" s="1"/>
      </tp>
      <tp t="s">
        <v>#N/A Requesting Data...2074140209</v>
        <stp/>
        <stp>BDP|6218589479832322583</stp>
        <tr r="J725" s="1"/>
      </tp>
      <tp t="s">
        <v>#N/A Requesting Data...1806002084</v>
        <stp/>
        <stp>BDP|8219948461201987562</stp>
        <tr r="E1446" s="1"/>
      </tp>
      <tp t="s">
        <v>#N/A Requesting Data...3267174683</v>
        <stp/>
        <stp>BDP|2951076804368459966</stp>
        <tr r="J1866" s="1"/>
      </tp>
      <tp t="s">
        <v>#N/A Requesting Data...3929507915</v>
        <stp/>
        <stp>BDP|2839468705957693258</stp>
        <tr r="J865" s="1"/>
      </tp>
      <tp t="s">
        <v>#N/A Requesting Data...2262597363</v>
        <stp/>
        <stp>BDP|8935793968653776973</stp>
        <tr r="AV267" s="1"/>
      </tp>
      <tp t="s">
        <v>#N/A Requesting Data...1540000354</v>
        <stp/>
        <stp>BDP|9923679823899293763</stp>
        <tr r="H1863" s="1"/>
        <tr r="H2071" s="1"/>
      </tp>
      <tp t="s">
        <v>#N/A Requesting Data...2475288879</v>
        <stp/>
        <stp>BDP|5213883598630891736</stp>
        <tr r="H531" s="1"/>
      </tp>
      <tp t="s">
        <v>#N/A Requesting Data...3381727766</v>
        <stp/>
        <stp>BDP|2361364027255238598</stp>
        <tr r="E1023" s="1"/>
      </tp>
      <tp t="s">
        <v>#N/A Requesting Data...3098304724</v>
        <stp/>
        <stp>BDP|6982381779738378922</stp>
        <tr r="J1640" s="1"/>
      </tp>
      <tp t="s">
        <v>#N/A Requesting Data...1511141496</v>
        <stp/>
        <stp>BDP|9871604310319736469</stp>
        <tr r="J397" s="1"/>
      </tp>
      <tp t="s">
        <v>#N/A Requesting Data...3410590300</v>
        <stp/>
        <stp>BDP|7811958115589542544</stp>
        <tr r="H1773" s="1"/>
      </tp>
      <tp t="s">
        <v>#N/A Requesting Data...3167735908</v>
        <stp/>
        <stp>BDP|8237490273139228131</stp>
        <tr r="H1683" s="1"/>
      </tp>
      <tp t="s">
        <v>#N/A Requesting Data...4019441736</v>
        <stp/>
        <stp>BDP|5657884066089780168</stp>
        <tr r="J215" s="1"/>
      </tp>
      <tp t="s">
        <v>#N/A Requesting Data...3628047630</v>
        <stp/>
        <stp>BDP|2688073190200838809</stp>
        <tr r="J376" s="1"/>
      </tp>
      <tp t="s">
        <v>#N/A Requesting Data...585151343</v>
        <stp/>
        <stp>BDP|3295628512540805731</stp>
        <tr r="AT302" s="1"/>
      </tp>
      <tp t="s">
        <v>#N/A Requesting Data...3514649636</v>
        <stp/>
        <stp>BDP|7283408377940897745</stp>
        <tr r="AU433" s="1"/>
      </tp>
      <tp t="s">
        <v>#N/A Requesting Data...4217829316</v>
        <stp/>
        <stp>BDP|3024005660806888012</stp>
        <tr r="J678" s="1"/>
      </tp>
      <tp t="s">
        <v>#N/A Requesting Data...1759156249</v>
        <stp/>
        <stp>BDP|2006164574775830234</stp>
        <tr r="E629" s="1"/>
      </tp>
      <tp t="s">
        <v>#N/A Requesting Data...2709367831</v>
        <stp/>
        <stp>BDP|7024950229737140845</stp>
        <tr r="AV442" s="1"/>
      </tp>
      <tp t="s">
        <v>#N/A Requesting Data...3175759152</v>
        <stp/>
        <stp>BDP|7210226038323559645</stp>
        <tr r="H1026" s="1"/>
        <tr r="H1567" s="1"/>
        <tr r="H56" s="1"/>
      </tp>
      <tp t="s">
        <v>#N/A Requesting Data...1319899231</v>
        <stp/>
        <stp>BDP|8300916469162062626</stp>
        <tr r="AU341" s="1"/>
      </tp>
      <tp t="s">
        <v>#N/A Requesting Data...1339345745</v>
        <stp/>
        <stp>BDP|6126600046193872463</stp>
        <tr r="AT482" s="1"/>
      </tp>
      <tp t="s">
        <v>#N/A Requesting Data...2009309237</v>
        <stp/>
        <stp>BDP|3361488920984787259</stp>
        <tr r="H76" s="1"/>
      </tp>
      <tp t="s">
        <v>#N/A Requesting Data...3274514377</v>
        <stp/>
        <stp>BDP|3566857240885086997</stp>
        <tr r="J1666" s="1"/>
      </tp>
      <tp t="s">
        <v>#N/A Requesting Data...3153588184</v>
        <stp/>
        <stp>BDP|2346175546491995554</stp>
        <tr r="E1047" s="1"/>
      </tp>
      <tp t="s">
        <v>#N/A Requesting Data...1480612735</v>
        <stp/>
        <stp>BDP|3039104869415282251</stp>
        <tr r="AU667" s="1"/>
      </tp>
      <tp t="s">
        <v>#N/A Requesting Data...2084991326</v>
        <stp/>
        <stp>BDP|5625654137523290084</stp>
        <tr r="J1043" s="1"/>
        <tr r="J79" s="1"/>
      </tp>
      <tp t="s">
        <v>#N/A Requesting Data...3140016474</v>
        <stp/>
        <stp>BDP|1058502678232608204</stp>
        <tr r="E1515" s="1"/>
      </tp>
      <tp t="s">
        <v>#N/A Requesting Data...3246302713</v>
        <stp/>
        <stp>BDP|1304894281521081358</stp>
        <tr r="H526" s="1"/>
      </tp>
      <tp t="s">
        <v>#N/A Requesting Data...1011381003</v>
        <stp/>
        <stp>BDP|4131613420227759496</stp>
        <tr r="AT719" s="1"/>
      </tp>
      <tp t="s">
        <v>#N/A Requesting Data...1561325946</v>
        <stp/>
        <stp>BDP|6877359736913640633</stp>
        <tr r="H718" s="1"/>
      </tp>
      <tp t="s">
        <v>#N/A Requesting Data...1878747881</v>
        <stp/>
        <stp>BDP|4126371179902172108</stp>
        <tr r="H1393" s="1"/>
      </tp>
      <tp t="s">
        <v>#N/A Requesting Data...2290200374</v>
        <stp/>
        <stp>BDP|6971115143598074856</stp>
        <tr r="AV874" s="1"/>
      </tp>
      <tp t="s">
        <v>#N/A Requesting Data...3257274905</v>
        <stp/>
        <stp>BDP|3400789569960829134</stp>
        <tr r="AT632" s="1"/>
      </tp>
      <tp t="s">
        <v>#N/A Requesting Data...3069361219</v>
        <stp/>
        <stp>BDP|7276625518610184365</stp>
        <tr r="J132" s="1"/>
      </tp>
      <tp t="s">
        <v>#N/A Requesting Data...2241431625</v>
        <stp/>
        <stp>BDP|4181197507566575055</stp>
        <tr r="E60" s="1"/>
      </tp>
      <tp t="s">
        <v>#N/A Requesting Data...2212093655</v>
        <stp/>
        <stp>BDP|5329847728395945999</stp>
        <tr r="AV323" s="1"/>
      </tp>
      <tp t="s">
        <v>#N/A Requesting Data...3520814698</v>
        <stp/>
        <stp>BDP|2273135377790967708</stp>
        <tr r="J955" s="1"/>
      </tp>
      <tp t="s">
        <v>#N/A Requesting Data...2220421001</v>
        <stp/>
        <stp>BDP|9790865633337924641</stp>
        <tr r="J464" s="1"/>
      </tp>
      <tp t="s">
        <v>#N/A Requesting Data...2165760777</v>
        <stp/>
        <stp>BDP|1648652088615440908</stp>
        <tr r="H1480" s="1"/>
      </tp>
      <tp t="s">
        <v>#N/A Requesting Data...4026608468</v>
        <stp/>
        <stp>BDP|6426245111876620082</stp>
        <tr r="AT1464" s="1"/>
        <tr r="AT1723" s="1"/>
        <tr r="AT793" s="1"/>
      </tp>
      <tp t="s">
        <v>#N/A Requesting Data...1861788291</v>
        <stp/>
        <stp>BDP|2489265918584753623</stp>
        <tr r="E1910" s="1"/>
      </tp>
      <tp t="s">
        <v>#N/A Requesting Data...3461865184</v>
        <stp/>
        <stp>BDP|9922840001551363301</stp>
        <tr r="E1651" s="1"/>
        <tr r="E98" s="1"/>
      </tp>
      <tp t="s">
        <v>#N/A Requesting Data...3669374323</v>
        <stp/>
        <stp>BDP|2417598071875499678</stp>
        <tr r="H802" s="1"/>
      </tp>
      <tp t="s">
        <v>#N/A Requesting Data...2322237970</v>
        <stp/>
        <stp>BDP|3177707301617945061</stp>
        <tr r="J610" s="1"/>
      </tp>
      <tp t="s">
        <v>#N/A Requesting Data...3623905196</v>
        <stp/>
        <stp>BDP|4150742489648019035</stp>
        <tr r="AO2021" s="1"/>
      </tp>
      <tp t="s">
        <v>#N/A Requesting Data...1311225943</v>
        <stp/>
        <stp>BDP|7424169905291846409</stp>
        <tr r="AS3" s="1"/>
      </tp>
      <tp t="s">
        <v>#N/A Requesting Data...4013194914</v>
        <stp/>
        <stp>BDP|4904970990495517242</stp>
        <tr r="E420" s="1"/>
      </tp>
      <tp t="s">
        <v>#N/A Requesting Data...2944965923</v>
        <stp/>
        <stp>BDP|6830783265036838224</stp>
        <tr r="AT306" s="1"/>
      </tp>
      <tp t="s">
        <v>#N/A Requesting Data...2712378881</v>
        <stp/>
        <stp>BDP|8639291877439739702</stp>
        <tr r="J1506" s="1"/>
      </tp>
      <tp t="s">
        <v>#N/A Requesting Data...3069880703</v>
        <stp/>
        <stp>BDP|4145135253261527288</stp>
        <tr r="E307" s="1"/>
      </tp>
      <tp t="s">
        <v>#N/A Requesting Data...3361625003</v>
        <stp/>
        <stp>BDP|3891708808317898042</stp>
        <tr r="J293" s="1"/>
      </tp>
      <tp t="s">
        <v>#N/A Requesting Data...1654310550</v>
        <stp/>
        <stp>BDP|2687890835053148973</stp>
        <tr r="E1251" s="1"/>
      </tp>
      <tp t="s">
        <v>#N/A Requesting Data...3102542760</v>
        <stp/>
        <stp>BDP|4603580742412019405</stp>
        <tr r="H1687" s="1"/>
      </tp>
      <tp t="s">
        <v>#N/A Requesting Data...2249618209</v>
        <stp/>
        <stp>BDP|7373266562120965025</stp>
        <tr r="E1681" s="1"/>
      </tp>
      <tp t="s">
        <v>#N/A Requesting Data...3089939678</v>
        <stp/>
        <stp>BDP|6354585854345697059</stp>
        <tr r="H1167" s="1"/>
      </tp>
      <tp t="s">
        <v>#N/A Requesting Data...1274808416</v>
        <stp/>
        <stp>BDP|7152789216560041238</stp>
        <tr r="H736" s="1"/>
      </tp>
      <tp t="s">
        <v>#N/A Requesting Data...4255134632</v>
        <stp/>
        <stp>BDP|3555818452108281581</stp>
        <tr r="H668" s="1"/>
      </tp>
      <tp t="s">
        <v>#N/A Requesting Data...2682797650</v>
        <stp/>
        <stp>BDP|9751508860249383082</stp>
        <tr r="H413" s="1"/>
      </tp>
      <tp t="s">
        <v>#N/A Requesting Data...1419996072</v>
        <stp/>
        <stp>BDP|1728646330140903762</stp>
        <tr r="J624" s="1"/>
      </tp>
      <tp t="s">
        <v>#N/A Requesting Data...1794892301</v>
        <stp/>
        <stp>BDP|4140156835446556384</stp>
        <tr r="AP778" s="1"/>
      </tp>
      <tp t="s">
        <v>#N/A Requesting Data...2556708159</v>
        <stp/>
        <stp>BDP|6476463649371290458</stp>
        <tr r="J976" s="1"/>
      </tp>
      <tp t="s">
        <v>#N/A Requesting Data...1508644692</v>
        <stp/>
        <stp>BDP|4110754513919252880</stp>
        <tr r="J1091" s="1"/>
        <tr r="J1418" s="1"/>
      </tp>
      <tp t="s">
        <v>#N/A Requesting Data...2925226852</v>
        <stp/>
        <stp>BDP|4894330740967496721</stp>
        <tr r="E1389" s="1"/>
        <tr r="E1858" s="1"/>
      </tp>
      <tp t="s">
        <v>#N/A Requesting Data...1504131266</v>
        <stp/>
        <stp>BDP|5459314915860939440</stp>
        <tr r="J887" s="1"/>
      </tp>
      <tp t="s">
        <v>#N/A Requesting Data...3313088551</v>
        <stp/>
        <stp>BDP|8645841743077499080</stp>
        <tr r="AV689" s="1"/>
      </tp>
      <tp t="s">
        <v>#N/A Requesting Data...4287216616</v>
        <stp/>
        <stp>BDP|2986533453493765236</stp>
        <tr r="J218" s="1"/>
      </tp>
      <tp t="s">
        <v>#N/A Requesting Data...3760461617</v>
        <stp/>
        <stp>BDP|5473284566470306246</stp>
        <tr r="H122" s="1"/>
      </tp>
      <tp t="s">
        <v>#N/A Requesting Data...1713840048</v>
        <stp/>
        <stp>BDP|8128945223348816834</stp>
        <tr r="J69" s="1"/>
      </tp>
      <tp t="s">
        <v>#N/A Requesting Data...3784156804</v>
        <stp/>
        <stp>BDP|2878509152941619016</stp>
        <tr r="AT502" s="1"/>
      </tp>
      <tp t="s">
        <v>#N/A Requesting Data...4034699815</v>
        <stp/>
        <stp>BDP|7263223560617873750</stp>
        <tr r="E1049" s="1"/>
        <tr r="E240" s="1"/>
      </tp>
      <tp t="s">
        <v>#N/A Requesting Data...2253955242</v>
        <stp/>
        <stp>BDP|7629329914300484697</stp>
        <tr r="H341" s="1"/>
      </tp>
      <tp t="s">
        <v>#N/A Requesting Data...2561061084</v>
        <stp/>
        <stp>BDP|4670956386035583320</stp>
        <tr r="AT652" s="1"/>
      </tp>
      <tp t="s">
        <v>#N/A Requesting Data...3536519827</v>
        <stp/>
        <stp>BDP|2331359745136226031</stp>
        <tr r="E1757" s="1"/>
      </tp>
      <tp t="s">
        <v>#N/A Requesting Data...3964700380</v>
        <stp/>
        <stp>BDP|3493028831221680230</stp>
        <tr r="H1555" s="1"/>
      </tp>
      <tp t="s">
        <v>#N/A Requesting Data...2819598144</v>
        <stp/>
        <stp>BDP|1373527465976158771</stp>
        <tr r="J1393" s="1"/>
      </tp>
      <tp t="s">
        <v>#N/A Requesting Data...1388585280</v>
        <stp/>
        <stp>BDP|1059395410754897431</stp>
        <tr r="AV407" s="1"/>
      </tp>
      <tp t="s">
        <v>#N/A Requesting Data...3647066040</v>
        <stp/>
        <stp>BDP|2893296866684717129</stp>
        <tr r="AU568" s="1"/>
      </tp>
      <tp t="s">
        <v>#N/A Requesting Data...3016543121</v>
        <stp/>
        <stp>BDP|2720973963468966682</stp>
        <tr r="E154" s="1"/>
        <tr r="E1621" s="1"/>
      </tp>
      <tp t="s">
        <v>#N/A Requesting Data...3804393604</v>
        <stp/>
        <stp>BDP|5450154313073830582</stp>
        <tr r="J848" s="1"/>
      </tp>
      <tp t="s">
        <v>#N/A Requesting Data...3010942635</v>
        <stp/>
        <stp>BDP|8073047496570315234</stp>
        <tr r="AS196" s="1"/>
      </tp>
      <tp t="s">
        <v>#N/A Requesting Data...758109633</v>
        <stp/>
        <stp>BDP|6946145048643343343</stp>
        <tr r="AT702" s="1"/>
      </tp>
      <tp t="s">
        <v>#N/A Requesting Data...3175491062</v>
        <stp/>
        <stp>BDP|6353646429218471984</stp>
        <tr r="E607" s="1"/>
      </tp>
      <tp t="s">
        <v>#N/A Requesting Data...3114669745</v>
        <stp/>
        <stp>BDP|7851424118720779176</stp>
        <tr r="AV346" s="1"/>
      </tp>
      <tp t="s">
        <v>#N/A Requesting Data...2068048839</v>
        <stp/>
        <stp>BDP|8787657447841036872</stp>
        <tr r="E1029" s="1"/>
      </tp>
      <tp t="s">
        <v>#N/A Requesting Data...1884431971</v>
        <stp/>
        <stp>BDP|8537176488712839007</stp>
        <tr r="E390" s="1"/>
      </tp>
      <tp t="s">
        <v>#N/A Requesting Data...2939328037</v>
        <stp/>
        <stp>BDP|4480355985509342545</stp>
        <tr r="J631" s="1"/>
      </tp>
      <tp t="s">
        <v>#N/A Requesting Data...4186530550</v>
        <stp/>
        <stp>BDP|9621635364313473968</stp>
        <tr r="AV455" s="1"/>
      </tp>
      <tp t="s">
        <v>#N/A Requesting Data...2634490210</v>
        <stp/>
        <stp>BDP|3590704230096529234</stp>
        <tr r="E1160" s="1"/>
        <tr r="E1584" s="1"/>
        <tr r="E231" s="1"/>
      </tp>
      <tp t="s">
        <v>#N/A Requesting Data...2461213181</v>
        <stp/>
        <stp>BDP|3376326746177185053</stp>
        <tr r="E1747" s="1"/>
      </tp>
      <tp t="s">
        <v>#N/A Requesting Data...2521145008</v>
        <stp/>
        <stp>BDP|8000398684008724890</stp>
        <tr r="E955" s="1"/>
      </tp>
      <tp t="s">
        <v>#N/A Requesting Data...2243264045</v>
        <stp/>
        <stp>BDP|7407620911331710238</stp>
        <tr r="AV209" s="1"/>
      </tp>
      <tp t="s">
        <v>#N/A Requesting Data...3750566016</v>
        <stp/>
        <stp>BDP|7392035934632420532</stp>
        <tr r="H589" s="1"/>
      </tp>
      <tp t="s">
        <v>#N/A Requesting Data...3957637237</v>
        <stp/>
        <stp>BDP|2308362642816736033</stp>
        <tr r="H316" s="1"/>
      </tp>
      <tp t="s">
        <v>#N/A Requesting Data...3489913036</v>
        <stp/>
        <stp>BDP|6100022845442494311</stp>
        <tr r="H976" s="1"/>
      </tp>
      <tp t="s">
        <v>#N/A Requesting Data...2195807059</v>
        <stp/>
        <stp>BDP|1333115351150870681</stp>
        <tr r="E1111" s="1"/>
        <tr r="E1482" s="1"/>
        <tr r="E1580" s="1"/>
      </tp>
      <tp t="s">
        <v>#N/A Requesting Data...3443715162</v>
        <stp/>
        <stp>BDP|9355505463081575867</stp>
        <tr r="J1395" s="1"/>
      </tp>
      <tp t="s">
        <v>#N/A Requesting Data...3923485767</v>
        <stp/>
        <stp>BDP|9664834840666649003</stp>
        <tr r="J1749" s="1"/>
      </tp>
      <tp t="s">
        <v>#N/A Requesting Data...3408846327</v>
        <stp/>
        <stp>BDP|3071295600071298389</stp>
        <tr r="AT533" s="1"/>
      </tp>
      <tp t="s">
        <v>#N/A Requesting Data...3446882042</v>
        <stp/>
        <stp>BDP|8392915286293439938</stp>
        <tr r="J1793" s="1"/>
      </tp>
      <tp t="s">
        <v>#N/A Requesting Data...3354155165</v>
        <stp/>
        <stp>BDP|6388849113668273469</stp>
        <tr r="E354" s="1"/>
      </tp>
      <tp t="s">
        <v>#N/A Requesting Data...3732362106</v>
        <stp/>
        <stp>BDP|8013303016321039869</stp>
        <tr r="H630" s="1"/>
      </tp>
      <tp t="s">
        <v>#N/A Requesting Data...2005714427</v>
        <stp/>
        <stp>BDP|3740520206285649058</stp>
        <tr r="E1517" s="1"/>
      </tp>
      <tp t="s">
        <v>#N/A Requesting Data...3994555484</v>
        <stp/>
        <stp>BDP|1369864973854129972</stp>
        <tr r="J994" s="1"/>
      </tp>
      <tp t="s">
        <v>#N/A Requesting Data...3805029966</v>
        <stp/>
        <stp>BDP|9427732760259473238</stp>
        <tr r="AU329" s="1"/>
      </tp>
      <tp t="s">
        <v>#N/A Requesting Data...3179989872</v>
        <stp/>
        <stp>BDP|7220470199051922851</stp>
        <tr r="AT342" s="1"/>
      </tp>
      <tp t="s">
        <v>#N/A Requesting Data...4212546782</v>
        <stp/>
        <stp>BDP|4663235132432629414</stp>
        <tr r="H17" s="1"/>
      </tp>
      <tp t="s">
        <v>#N/A Requesting Data...3869614826</v>
        <stp/>
        <stp>BDP|3770927210241753925</stp>
        <tr r="AV738" s="1"/>
      </tp>
      <tp t="s">
        <v>#N/A Requesting Data...3787596272</v>
        <stp/>
        <stp>BDP|5748375459691942106</stp>
        <tr r="AU861" s="1"/>
      </tp>
      <tp t="s">
        <v>#N/A Requesting Data...3285963290</v>
        <stp/>
        <stp>BDP|1980806240749069799</stp>
        <tr r="E210" s="1"/>
      </tp>
      <tp t="s">
        <v>#N/A Requesting Data...580245456</v>
        <stp/>
        <stp>BDP|3515025892888778130</stp>
        <tr r="AT637" s="1"/>
      </tp>
      <tp t="s">
        <v>#N/A Requesting Data...3122212966</v>
        <stp/>
        <stp>BDP|1426871246796418808</stp>
        <tr r="E1086" s="1"/>
      </tp>
      <tp t="s">
        <v>#N/A Requesting Data...2903859517</v>
        <stp/>
        <stp>BDP|4497288834283088596</stp>
        <tr r="H851" s="1"/>
      </tp>
      <tp t="s">
        <v>#N/A Requesting Data...1610532538</v>
        <stp/>
        <stp>BDP|7558578527980202368</stp>
        <tr r="E613" s="1"/>
      </tp>
      <tp t="s">
        <v>#N/A Requesting Data...3965582632</v>
        <stp/>
        <stp>BDP|9348948424596678742</stp>
        <tr r="J534" s="1"/>
      </tp>
      <tp t="s">
        <v>#N/A Requesting Data...1809586001</v>
        <stp/>
        <stp>BDP|9298781355361726995</stp>
        <tr r="J578" s="1"/>
      </tp>
      <tp t="s">
        <v>#N/A Requesting Data...2293512806</v>
        <stp/>
        <stp>BDP|2441911676779694644</stp>
        <tr r="E1002" s="1"/>
        <tr r="E1321" s="1"/>
      </tp>
      <tp t="s">
        <v>#N/A Requesting Data...1835501463</v>
        <stp/>
        <stp>BDP|6350228514424634225</stp>
        <tr r="E876" s="1"/>
      </tp>
      <tp t="s">
        <v>#N/A Requesting Data...3072022849</v>
        <stp/>
        <stp>BDP|2018544945178720878</stp>
        <tr r="H1609" s="1"/>
        <tr r="H936" s="1"/>
      </tp>
      <tp t="s">
        <v>#N/A Requesting Data...3542842022</v>
        <stp/>
        <stp>BDP|9591392789155140450</stp>
        <tr r="J1579" s="1"/>
      </tp>
      <tp t="s">
        <v>#N/A Requesting Data...3616488273</v>
        <stp/>
        <stp>BDP|7072838680355679145</stp>
        <tr r="E192" s="1"/>
      </tp>
      <tp t="s">
        <v>#N/A Requesting Data...2584450733</v>
        <stp/>
        <stp>BDP|7087741363531381454</stp>
        <tr r="J1058" s="1"/>
      </tp>
      <tp t="s">
        <v>#N/A Requesting Data...3762446652</v>
        <stp/>
        <stp>BDP|6666908237836838980</stp>
        <tr r="H372" s="1"/>
      </tp>
      <tp t="s">
        <v>#N/A Requesting Data...3891509282</v>
        <stp/>
        <stp>BDP|6201412934227344550</stp>
        <tr r="E709" s="1"/>
      </tp>
      <tp t="s">
        <v>#N/A Requesting Data...1891944677</v>
        <stp/>
        <stp>BDP|4673210870460379253</stp>
        <tr r="AT414" s="1"/>
      </tp>
      <tp t="s">
        <v>#N/A Requesting Data...3034144975</v>
        <stp/>
        <stp>BDP|2823097372935038328</stp>
        <tr r="H1581" s="1"/>
      </tp>
      <tp t="s">
        <v>#N/A Requesting Data...1893250159</v>
        <stp/>
        <stp>BDP|9283632896400462551</stp>
        <tr r="J711" s="1"/>
      </tp>
      <tp t="s">
        <v>#N/A Requesting Data...1568625004</v>
        <stp/>
        <stp>BDP|3471413620504129229</stp>
        <tr r="E447" s="1"/>
      </tp>
      <tp t="s">
        <v>#N/A Requesting Data...2527901296</v>
        <stp/>
        <stp>BDP|7273614838164863559</stp>
        <tr r="E1074" s="1"/>
      </tp>
      <tp t="s">
        <v>#N/A Requesting Data...2485124280</v>
        <stp/>
        <stp>BDP|8855321193151708088</stp>
        <tr r="E1641" s="1"/>
      </tp>
      <tp t="s">
        <v>#N/A Requesting Data...2529963678</v>
        <stp/>
        <stp>BDP|8852928969462102645</stp>
        <tr r="H1642" s="1"/>
        <tr r="H1885" s="1"/>
        <tr r="H2091" s="1"/>
      </tp>
      <tp t="s">
        <v>#N/A Requesting Data...2847096131</v>
        <stp/>
        <stp>BDP|6753467717988700874</stp>
        <tr r="H650" s="1"/>
      </tp>
      <tp t="s">
        <v>#N/A Requesting Data...2252382320</v>
        <stp/>
        <stp>BDP|3050715866906658772</stp>
        <tr r="AU893" s="1"/>
      </tp>
      <tp t="s">
        <v>#N/A Requesting Data...1838922017</v>
        <stp/>
        <stp>BDP|5072335454084116402</stp>
        <tr r="J846" s="1"/>
      </tp>
      <tp t="s">
        <v>#N/A Requesting Data...2068977469</v>
        <stp/>
        <stp>BDP|1847045068504681048</stp>
        <tr r="J1612" s="1"/>
      </tp>
      <tp t="s">
        <v>#N/A Requesting Data...1411530056</v>
        <stp/>
        <stp>BDP|4622327686468715434</stp>
        <tr r="E387" s="1"/>
      </tp>
      <tp t="s">
        <v>#N/A Requesting Data...3516211807</v>
        <stp/>
        <stp>BDP|2671505636493352454</stp>
        <tr r="AT672" s="1"/>
      </tp>
      <tp t="s">
        <v>#N/A Requesting Data...2795486339</v>
        <stp/>
        <stp>BDP|2654976218530698998</stp>
        <tr r="J572" s="1"/>
      </tp>
      <tp t="s">
        <v>#N/A Requesting Data...2321485277</v>
        <stp/>
        <stp>BDP|1595246335195687641</stp>
        <tr r="J753" s="1"/>
      </tp>
      <tp t="s">
        <v>#N/A Requesting Data...1452127496</v>
        <stp/>
        <stp>BDP|8469737095415449019</stp>
        <tr r="J1908" s="1"/>
      </tp>
      <tp t="s">
        <v>#N/A Requesting Data...3391867275</v>
        <stp/>
        <stp>BDP|9180868165280522408</stp>
        <tr r="H1191" s="1"/>
      </tp>
      <tp t="s">
        <v>#N/A Requesting Data...4269538616</v>
        <stp/>
        <stp>BDP|5280465446191708720</stp>
        <tr r="J1952" s="1"/>
      </tp>
      <tp t="s">
        <v>#N/A Requesting Data...4195868255</v>
        <stp/>
        <stp>BDP|8721599178078460152</stp>
        <tr r="AU898" s="1"/>
      </tp>
      <tp t="s">
        <v>#N/A Requesting Data...1408195878</v>
        <stp/>
        <stp>BDP|5231564924253368242</stp>
        <tr r="AV285" s="1"/>
      </tp>
      <tp t="s">
        <v>#N/A Requesting Data...3099036853</v>
        <stp/>
        <stp>BDP|5319042142344299608</stp>
        <tr r="J349" s="1"/>
      </tp>
      <tp t="s">
        <v>#N/A Requesting Data...1614868021</v>
        <stp/>
        <stp>BDP|9416856747333405554</stp>
        <tr r="AU583" s="1"/>
      </tp>
      <tp t="s">
        <v>#N/A Requesting Data...2968570739</v>
        <stp/>
        <stp>BDP|5707242695304259934</stp>
        <tr r="E1373" s="1"/>
        <tr r="E1434" s="1"/>
        <tr r="E54" s="1"/>
      </tp>
      <tp t="s">
        <v>#N/A Requesting Data...4193589549</v>
        <stp/>
        <stp>BDP|2751236121986505778</stp>
        <tr r="J107" s="1"/>
        <tr r="J1151" s="1"/>
        <tr r="J1429" s="1"/>
        <tr r="J144" s="1"/>
        <tr r="J1455" s="1"/>
        <tr r="J1664" s="1"/>
      </tp>
      <tp t="s">
        <v>#N/A Requesting Data...2316621766</v>
        <stp/>
        <stp>BDP|7714958127697635849</stp>
        <tr r="H373" s="1"/>
      </tp>
      <tp t="s">
        <v>#N/A Requesting Data...2546015677</v>
        <stp/>
        <stp>BDP|3775919530563252938</stp>
        <tr r="E1581" s="1"/>
      </tp>
      <tp t="s">
        <v>#N/A Requesting Data...4101753272</v>
        <stp/>
        <stp>BDP|5316441984152569811</stp>
        <tr r="AU635" s="1"/>
      </tp>
      <tp t="s">
        <v>#N/A Requesting Data...3277513010</v>
        <stp/>
        <stp>BDP|6043971686880534438</stp>
        <tr r="E1056" s="1"/>
        <tr r="E1095" s="1"/>
        <tr r="E189" s="1"/>
      </tp>
      <tp t="s">
        <v>#N/A Requesting Data...3790233381</v>
        <stp/>
        <stp>BDP|7009216524903002717</stp>
        <tr r="H760" s="1"/>
      </tp>
      <tp t="s">
        <v>#N/A Requesting Data...1831147114</v>
        <stp/>
        <stp>BDP|5430195747666894562</stp>
        <tr r="J299" s="1"/>
      </tp>
      <tp t="s">
        <v>#N/A Requesting Data...1044779233</v>
        <stp/>
        <stp>BDP|5880508106841903233</stp>
        <tr r="AT747" s="1"/>
      </tp>
      <tp t="s">
        <v>#N/A Requesting Data...3663554230</v>
        <stp/>
        <stp>BDP|3177073725963342144</stp>
        <tr r="AT599" s="1"/>
      </tp>
      <tp t="s">
        <v>#N/A Requesting Data...1557810080</v>
        <stp/>
        <stp>BDP|6818099955363793373</stp>
        <tr r="AS2024" s="1"/>
      </tp>
      <tp t="s">
        <v>#N/A Requesting Data...3549132073</v>
        <stp/>
        <stp>BDP|6475888159729702168</stp>
        <tr r="AT699" s="1"/>
      </tp>
      <tp t="s">
        <v>#N/A Requesting Data...3978148484</v>
        <stp/>
        <stp>BDP|5307010858700827365</stp>
        <tr r="E746" s="1"/>
      </tp>
      <tp t="s">
        <v>#N/A Requesting Data...4254382640</v>
        <stp/>
        <stp>BDP|5030515521798528911</stp>
        <tr r="H1611" s="1"/>
      </tp>
      <tp t="s">
        <v>#N/A Requesting Data...2929027781</v>
        <stp/>
        <stp>BDP|7212345960374104535</stp>
        <tr r="AU720" s="1"/>
      </tp>
      <tp t="s">
        <v>#N/A Requesting Data...1696418964</v>
        <stp/>
        <stp>BDP|8942793504028642466</stp>
        <tr r="AP2030" s="1"/>
      </tp>
      <tp t="s">
        <v>#N/A Requesting Data...3419146954</v>
        <stp/>
        <stp>BDP|5945087854722310121</stp>
        <tr r="E297" s="1"/>
      </tp>
      <tp t="s">
        <v>#N/A Requesting Data...1841067118</v>
        <stp/>
        <stp>BDP|5674864600058024646</stp>
        <tr r="H634" s="1"/>
      </tp>
      <tp t="s">
        <v>#N/A Requesting Data...4162854748</v>
        <stp/>
        <stp>BDP|7162030439622643592</stp>
        <tr r="E571" s="1"/>
      </tp>
      <tp t="s">
        <v>#N/A Requesting Data...2043506235</v>
        <stp/>
        <stp>BDP|7756040164431443373</stp>
        <tr r="AT459" s="1"/>
      </tp>
      <tp t="s">
        <v>#N/A Requesting Data...1579903199</v>
        <stp/>
        <stp>BDP|1811456500867142193</stp>
        <tr r="E1045" s="1"/>
      </tp>
      <tp t="s">
        <v>#N/A Requesting Data...1744419150</v>
        <stp/>
        <stp>BDP|2575775262713791327</stp>
        <tr r="AV303" s="1"/>
      </tp>
      <tp t="s">
        <v>#N/A Requesting Data...2536998879</v>
        <stp/>
        <stp>BDP|1398540212200935692</stp>
        <tr r="AU756" s="1"/>
      </tp>
      <tp t="s">
        <v>#N/A Requesting Data...3143701636</v>
        <stp/>
        <stp>BDP|9790870348542447494</stp>
        <tr r="H1002" s="1"/>
        <tr r="H1321" s="1"/>
      </tp>
      <tp t="s">
        <v>#N/A Requesting Data...3825551951</v>
        <stp/>
        <stp>BDP|5762622257491183464</stp>
        <tr r="E306" s="1"/>
      </tp>
      <tp t="s">
        <v>#N/A Requesting Data...2690598416</v>
        <stp/>
        <stp>BDP|2527217724401271078</stp>
        <tr r="H538" s="1"/>
      </tp>
      <tp t="s">
        <v>#N/A Requesting Data...3778167950</v>
        <stp/>
        <stp>BDP|1576796747875905477</stp>
        <tr r="AV203" s="1"/>
      </tp>
      <tp t="s">
        <v>#N/A Requesting Data...2762646007</v>
        <stp/>
        <stp>BDP|3872185973295077367</stp>
        <tr r="AV571" s="1"/>
      </tp>
      <tp t="s">
        <v>#N/A Requesting Data...1492040088</v>
        <stp/>
        <stp>BDP|4317411476155067117</stp>
        <tr r="AT653" s="1"/>
      </tp>
      <tp t="s">
        <v>#N/A Requesting Data...2104232082</v>
        <stp/>
        <stp>BDP|2702342373984425119</stp>
        <tr r="E448" s="1"/>
      </tp>
      <tp t="s">
        <v>#N/A Requesting Data...3964851425</v>
        <stp/>
        <stp>BDP|2834059358825802181</stp>
        <tr r="E1167" s="1"/>
      </tp>
      <tp t="s">
        <v>#N/A Requesting Data...2735899532</v>
        <stp/>
        <stp>BDP|5355168156902039064</stp>
        <tr r="J907" s="1"/>
      </tp>
      <tp t="s">
        <v>#N/A Requesting Data...3749416186</v>
        <stp/>
        <stp>BDP|4615506421472792258</stp>
        <tr r="H1089" s="1"/>
        <tr r="H944" s="1"/>
      </tp>
      <tp t="s">
        <v>#N/A Requesting Data...1845570160</v>
        <stp/>
        <stp>BDP|1168314647331274403</stp>
        <tr r="J1539" s="1"/>
      </tp>
      <tp t="s">
        <v>#N/A Requesting Data...2161292573</v>
        <stp/>
        <stp>BDP|3169901105411973881</stp>
        <tr r="E1862" s="1"/>
      </tp>
      <tp t="s">
        <v>#N/A Requesting Data...2368602781</v>
        <stp/>
        <stp>BDP|8754655896417676377</stp>
        <tr r="AV912" s="1"/>
      </tp>
      <tp t="s">
        <v>#N/A Requesting Data...3907426004</v>
        <stp/>
        <stp>BDP|8635672373728307241</stp>
        <tr r="AU280" s="1"/>
      </tp>
      <tp t="s">
        <v>#N/A Requesting Data...3646736299</v>
        <stp/>
        <stp>BDP|2795336457920784718</stp>
        <tr r="E260" s="1"/>
      </tp>
      <tp t="s">
        <v>#N/A Requesting Data...1896880170</v>
        <stp/>
        <stp>BDP|85898682458838170</stp>
        <tr r="AO1726" s="1"/>
      </tp>
      <tp t="s">
        <v>#N/A Requesting Data...1412429035</v>
        <stp/>
        <stp>BDP|76548825209304627</stp>
        <tr r="AU429" s="1"/>
      </tp>
      <tp t="s">
        <v>#N/A Requesting Data...2894485655</v>
        <stp/>
        <stp>BDP|22870153946962326</stp>
        <tr r="J655" s="1"/>
      </tp>
      <tp t="s">
        <v>#N/A Requesting Data...4205144074</v>
        <stp/>
        <stp>BDP|82934958291658577</stp>
        <tr r="AO1366" s="1"/>
      </tp>
      <tp t="s">
        <v>#N/A Requesting Data...2732305767</v>
        <stp/>
        <stp>BDP|62520411599871518</stp>
        <tr r="H358" s="1"/>
      </tp>
      <tp t="s">
        <v>#N/A Requesting Data...3030689067</v>
        <stp/>
        <stp>BDP|44620162322703985</stp>
        <tr r="AS2012" s="1"/>
      </tp>
      <tp t="s">
        <v>#N/A Requesting Data...2237116601</v>
        <stp/>
        <stp>BDP|34813621425650530</stp>
        <tr r="AU722" s="1"/>
      </tp>
      <tp t="s">
        <v>#N/A Requesting Data...1450296427</v>
        <stp/>
        <stp>BDP|19773921608050063</stp>
        <tr r="E1696" s="1"/>
      </tp>
      <tp t="s">
        <v>#N/A Requesting Data...2516035594</v>
        <stp/>
        <stp>BDP|39200465728905138</stp>
        <tr r="H658" s="1"/>
      </tp>
      <tp t="s">
        <v>#N/A Requesting Data...4017144435</v>
        <stp/>
        <stp>BDP|22025055010606928</stp>
        <tr r="E187" s="1"/>
        <tr r="E1945" s="1"/>
        <tr r="E40" s="1"/>
      </tp>
      <tp t="s">
        <v>#N/A Requesting Data...2169315068</v>
        <stp/>
        <stp>BDP|11920517813128753</stp>
        <tr r="AU732" s="1"/>
      </tp>
      <tp t="s">
        <v>#N/A Requesting Data...1502328618</v>
        <stp/>
        <stp>BDP|28891151137008667</stp>
        <tr r="AT458" s="1"/>
      </tp>
      <tp t="s">
        <v>#N/A Requesting Data...3384160854</v>
        <stp/>
        <stp>BDP|43735198266739430</stp>
        <tr r="H1539" s="1"/>
      </tp>
      <tp t="s">
        <v>#N/A Requesting Data...2651953865</v>
        <stp/>
        <stp>BDP|97335374160434898</stp>
        <tr r="AT686" s="1"/>
      </tp>
      <tp t="s">
        <v>#N/A Requesting Data...2988400038</v>
        <stp/>
        <stp>BDP|21126053438490241</stp>
        <tr r="E250" s="1"/>
      </tp>
      <tp t="s">
        <v>#N/A Requesting Data...2995136842</v>
        <stp/>
        <stp>BDP|57483797622294158</stp>
        <tr r="AV356" s="1"/>
      </tp>
      <tp t="s">
        <v>#N/A Requesting Data...3398773560</v>
        <stp/>
        <stp>BDP|60322522502681398</stp>
        <tr r="H138" s="1"/>
      </tp>
      <tp t="s">
        <v>#N/A Requesting Data...3391606509</v>
        <stp/>
        <stp>BDP|69521200327160187</stp>
        <tr r="AV608" s="1"/>
      </tp>
      <tp t="s">
        <v>#N/A Requesting Data...955414441</v>
        <stp/>
        <stp>BDP|43413961631405100</stp>
        <tr r="AT567" s="1"/>
      </tp>
      <tp t="s">
        <v>#N/A Requesting Data...3723805048</v>
        <stp/>
        <stp>BDP|62474318455123203</stp>
        <tr r="AU315" s="1"/>
      </tp>
      <tp t="s">
        <v>#N/A Requesting Data...1966804956</v>
        <stp/>
        <stp>BDP|21311322046423296</stp>
        <tr r="AU646" s="1"/>
      </tp>
      <tp t="s">
        <v>#N/A Requesting Data...2683694985</v>
        <stp/>
        <stp>BDP|92511987328204109</stp>
        <tr r="J451" s="1"/>
      </tp>
      <tp t="s">
        <v>#N/A Requesting Data...2155688557</v>
        <stp/>
        <stp>BDP|39559397981377919</stp>
        <tr r="AV636" s="1"/>
      </tp>
      <tp t="s">
        <v>#N/A Requesting Data...3007000840</v>
        <stp/>
        <stp>BDP|12422291708165128</stp>
        <tr r="E256" s="1"/>
      </tp>
      <tp t="s">
        <v>#N/A Requesting Data...4075838935</v>
        <stp/>
        <stp>BDP|30959087056636032</stp>
        <tr r="H675" s="1"/>
      </tp>
      <tp t="s">
        <v>#N/A Requesting Data...3371046010</v>
        <stp/>
        <stp>BDP|15605124166884588</stp>
        <tr r="E116" s="1"/>
      </tp>
      <tp t="s">
        <v>#N/A Requesting Data...2444868634</v>
        <stp/>
        <stp>BDP|99427245001056666</stp>
        <tr r="H1301" s="1"/>
        <tr r="H975" s="1"/>
      </tp>
      <tp t="s">
        <v>#N/A Requesting Data...3749128161</v>
        <stp/>
        <stp>BDP|71517848004584217</stp>
        <tr r="E982" s="1"/>
      </tp>
      <tp t="s">
        <v>#N/A Requesting Data...1667397563</v>
        <stp/>
        <stp>BDP|70463326977965630</stp>
        <tr r="H555" s="1"/>
      </tp>
      <tp t="s">
        <v>#N/A Requesting Data...3151048931</v>
        <stp/>
        <stp>BDP|54045179628261878</stp>
        <tr r="AT428" s="1"/>
      </tp>
      <tp t="s">
        <v>#N/A Requesting Data...3741631609</v>
        <stp/>
        <stp>BDP|66728620733190030</stp>
        <tr r="AU655" s="1"/>
      </tp>
      <tp t="s">
        <v>#N/A Requesting Data...1629119952</v>
        <stp/>
        <stp>BDP|18836764441301989</stp>
        <tr r="H1510" s="1"/>
      </tp>
      <tp t="s">
        <v>#N/A Requesting Data...1880745958</v>
        <stp/>
        <stp>BDP|454758791132962972</stp>
        <tr r="E1873" s="1"/>
      </tp>
      <tp t="s">
        <v>#N/A Requesting Data...1556879130</v>
        <stp/>
        <stp>BDP|572908525748653680</stp>
        <tr r="E156" s="1"/>
      </tp>
      <tp t="s">
        <v>#N/A Requesting Data...2026448342</v>
        <stp/>
        <stp>BDP|457108365237740586</stp>
        <tr r="H877" s="1"/>
      </tp>
      <tp t="s">
        <v>#N/A Requesting Data...3920204173</v>
        <stp/>
        <stp>BDP|799831463663991805</stp>
        <tr r="AU420" s="1"/>
      </tp>
      <tp t="s">
        <v>#N/A Requesting Data...3669226283</v>
        <stp/>
        <stp>BDP|479011310785812131</stp>
        <tr r="AV920" s="1"/>
      </tp>
      <tp t="s">
        <v>#N/A Requesting Data...3651900865</v>
        <stp/>
        <stp>BDP|169484557544174072</stp>
        <tr r="AV485" s="1"/>
      </tp>
      <tp t="s">
        <v>#N/A Requesting Data...1734126198</v>
        <stp/>
        <stp>BDP|849573012369722831</stp>
        <tr r="AV473" s="1"/>
      </tp>
      <tp t="s">
        <v>#N/A Requesting Data...2783319301</v>
        <stp/>
        <stp>BDP|963229543957851494</stp>
        <tr r="J1066" s="1"/>
      </tp>
      <tp t="s">
        <v>#N/A Requesting Data...2059915412</v>
        <stp/>
        <stp>BDP|320324899527909887</stp>
        <tr r="E1556" s="1"/>
      </tp>
      <tp t="s">
        <v>#N/A Requesting Data...2023423902</v>
        <stp/>
        <stp>BDP|618602432613952363</stp>
        <tr r="E135" s="1"/>
      </tp>
      <tp t="s">
        <v>#N/A Requesting Data...3212886401</v>
        <stp/>
        <stp>BDP|733771071356191345</stp>
        <tr r="J1356" s="1"/>
      </tp>
      <tp t="s">
        <v>#N/A Requesting Data...3361799197</v>
        <stp/>
        <stp>BDP|566027021725319215</stp>
        <tr r="E239" s="1"/>
      </tp>
      <tp t="s">
        <v>#N/A Requesting Data...2439991096</v>
        <stp/>
        <stp>BDP|833164774022913176</stp>
        <tr r="H125" s="1"/>
      </tp>
      <tp t="s">
        <v>#N/A Requesting Data...1853203107</v>
        <stp/>
        <stp>BDP|766586561467385182</stp>
        <tr r="E1793" s="1"/>
      </tp>
      <tp t="s">
        <v>#N/A Requesting Data...2890147295</v>
        <stp/>
        <stp>BDP|345061429275820213</stp>
        <tr r="J1250" s="1"/>
      </tp>
      <tp t="s">
        <v>#N/A Requesting Data...1462252521</v>
        <stp/>
        <stp>BDP|308229013076202060</stp>
        <tr r="J901" s="1"/>
      </tp>
      <tp t="s">
        <v>#N/A Requesting Data...3814892360</v>
        <stp/>
        <stp>BDP|736680532691826156</stp>
        <tr r="AV627" s="1"/>
      </tp>
      <tp t="s">
        <v>#N/A Requesting Data...1834014698</v>
        <stp/>
        <stp>BDP|419552460777347126</stp>
        <tr r="AV340" s="1"/>
      </tp>
      <tp t="s">
        <v>#N/A Requesting Data...3167336554</v>
        <stp/>
        <stp>BDP|978258990667829950</stp>
        <tr r="E1576" s="1"/>
        <tr r="E59" s="1"/>
      </tp>
      <tp t="s">
        <v>#N/A Requesting Data...3798093151</v>
        <stp/>
        <stp>BDP|630846446981373868</stp>
        <tr r="J1424" s="1"/>
        <tr r="J1453" s="1"/>
      </tp>
      <tp t="s">
        <v>#N/A Requesting Data...1977910214</v>
        <stp/>
        <stp>BDP|258285989849058629</stp>
        <tr r="AT435" s="1"/>
      </tp>
      <tp t="s">
        <v>#N/A Requesting Data...3276218968</v>
        <stp/>
        <stp>BDP|154451076990957694</stp>
        <tr r="E874" s="1"/>
      </tp>
      <tp t="s">
        <v>#N/A Requesting Data...2467553526</v>
        <stp/>
        <stp>BDP|263446045393997688</stp>
        <tr r="E1217" s="1"/>
      </tp>
      <tp t="s">
        <v>#N/A Requesting Data...3036463631</v>
        <stp/>
        <stp>BDP|323655858206541095</stp>
        <tr r="H454" s="1"/>
      </tp>
      <tp t="s">
        <v>#N/A Requesting Data...3021901903</v>
        <stp/>
        <stp>BDP|559097661786856575</stp>
        <tr r="E28" s="1"/>
      </tp>
      <tp t="s">
        <v>#N/A Requesting Data...1601736976</v>
        <stp/>
        <stp>BDP|331000959008901808</stp>
        <tr r="H1185" s="1"/>
      </tp>
      <tp t="s">
        <v>#N/A Requesting Data...3126131104</v>
        <stp/>
        <stp>BDP|428583831457880593</stp>
        <tr r="H1209" s="1"/>
      </tp>
      <tp t="s">
        <v>#N/A Requesting Data...4225197771</v>
        <stp/>
        <stp>BDP|596188856625385548</stp>
        <tr r="H716" s="1"/>
      </tp>
      <tp t="s">
        <v>#N/A Requesting Data...2554596589</v>
        <stp/>
        <stp>BDP|357946218844272806</stp>
        <tr r="AT362" s="1"/>
      </tp>
      <tp t="s">
        <v>#N/A Requesting Data...2913686230</v>
        <stp/>
        <stp>BDP|335388028121733496</stp>
        <tr r="AV834" s="1"/>
      </tp>
      <tp t="s">
        <v>#N/A Requesting Data...3261023301</v>
        <stp/>
        <stp>BDP|826669107131629328</stp>
        <tr r="AT223" s="1"/>
      </tp>
      <tp t="s">
        <v>#N/A Requesting Data...2141927170</v>
        <stp/>
        <stp>BDP|315773549643133417</stp>
        <tr r="J836" s="1"/>
      </tp>
      <tp t="s">
        <v>#N/A Requesting Data...3616810408</v>
        <stp/>
        <stp>BDP|516187447008089978</stp>
        <tr r="AR775" s="1"/>
      </tp>
      <tp t="s">
        <v>#N/A Requesting Data...3182762325</v>
        <stp/>
        <stp>BDP|937130730210407618</stp>
        <tr r="J1145" s="1"/>
        <tr r="J1650" s="1"/>
      </tp>
      <tp t="s">
        <v>#N/A Requesting Data...1587412105</v>
        <stp/>
        <stp>BDP|758598496530473838</stp>
        <tr r="H53" s="1"/>
      </tp>
      <tp t="s">
        <v>#N/A Requesting Data...2849824776</v>
        <stp/>
        <stp>BDP|249974802994434995</stp>
        <tr r="AT636" s="1"/>
      </tp>
      <tp t="s">
        <v>#N/A Requesting Data...4221229262</v>
        <stp/>
        <stp>BDP|147527018498760872</stp>
        <tr r="E1931" s="1"/>
      </tp>
      <tp t="s">
        <v>#N/A Requesting Data...3562556493</v>
        <stp/>
        <stp>BDP|313799927831371050</stp>
        <tr r="AV210" s="1"/>
      </tp>
      <tp t="s">
        <v>#N/A Requesting Data...3969515315</v>
        <stp/>
        <stp>BDP|233814438906942961</stp>
        <tr r="E1283" s="1"/>
      </tp>
      <tp t="s">
        <v>#N/A Requesting Data...2900024280</v>
        <stp/>
        <stp>BDP|220688072770521590</stp>
        <tr r="E554" s="1"/>
      </tp>
      <tp t="s">
        <v>#N/A Requesting Data...4230990090</v>
        <stp/>
        <stp>BDP|769740337260658067</stp>
        <tr r="AU653" s="1"/>
      </tp>
      <tp t="s">
        <v>#N/A Requesting Data...3211996218</v>
        <stp/>
        <stp>BDP|470274355363107023</stp>
        <tr r="AU547" s="1"/>
      </tp>
      <tp t="s">
        <v>#N/A Requesting Data...1457660823</v>
        <stp/>
        <stp>BDP|370595183598941154</stp>
        <tr r="E1513" s="1"/>
      </tp>
      <tp t="s">
        <v>#N/A Requesting Data...4234365474</v>
        <stp/>
        <stp>BDP|129427280209679104</stp>
        <tr r="E691" s="1"/>
      </tp>
      <tp t="s">
        <v>#N/A Requesting Data...2988830677</v>
        <stp/>
        <stp>BDP|631125943998664976</stp>
        <tr r="J683" s="1"/>
      </tp>
      <tp t="s">
        <v>#N/A Requesting Data...2559031912</v>
        <stp/>
        <stp>BDP|964534233673737198</stp>
        <tr r="E849" s="1"/>
      </tp>
      <tp t="s">
        <v>#N/A Requesting Data...2627493303</v>
        <stp/>
        <stp>BDP|168270315576796137</stp>
        <tr r="H1822" s="1"/>
      </tp>
      <tp t="s">
        <v>#N/A Requesting Data...1819337886</v>
        <stp/>
        <stp>BDP|789482038565242650</stp>
        <tr r="J732" s="1"/>
      </tp>
      <tp t="s">
        <v>#N/A Requesting Data...2824590718</v>
        <stp/>
        <stp>BDP|732901680997668205</stp>
        <tr r="J233" s="1"/>
      </tp>
      <tp t="s">
        <v>#N/A Requesting Data...789055311</v>
        <stp/>
        <stp>BDP|860127663177875407</stp>
        <tr r="AT324" s="1"/>
      </tp>
      <tp t="s">
        <v>#N/A Requesting Data...1659989624</v>
        <stp/>
        <stp>BDP|111559774770412665</stp>
        <tr r="J1069" s="1"/>
        <tr r="J1903" s="1"/>
      </tp>
      <tp t="s">
        <v>#N/A Requesting Data...2377869057</v>
        <stp/>
        <stp>BDP|391700454504725235</stp>
        <tr r="H1792" s="1"/>
      </tp>
      <tp t="s">
        <v>#N/A Requesting Data...2084573191</v>
        <stp/>
        <stp>BDP|569725280398201369</stp>
        <tr r="H1972" s="1"/>
      </tp>
      <tp t="s">
        <v>#N/A Requesting Data...3679275146</v>
        <stp/>
        <stp>BDP|842113540439264884</stp>
        <tr r="E1983" s="1"/>
      </tp>
      <tp t="s">
        <v>#N/A Requesting Data...3672382831</v>
        <stp/>
        <stp>BDP|482094977095085573</stp>
        <tr r="E157" s="1"/>
      </tp>
      <tp t="s">
        <v>#N/A Requesting Data...2340017632</v>
        <stp/>
        <stp>BDP|839693046226921305</stp>
        <tr r="J684" s="1"/>
      </tp>
      <tp t="s">
        <v>#N/A Requesting Data...2102185836</v>
        <stp/>
        <stp>BDP|744418997909856316</stp>
        <tr r="AV882" s="1"/>
      </tp>
      <tp t="s">
        <v>#N/A Requesting Data...3161321164</v>
        <stp/>
        <stp>BDP|221111932195049092</stp>
        <tr r="J980" s="1"/>
      </tp>
      <tp t="s">
        <v>#N/A Requesting Data...1995970333</v>
        <stp/>
        <stp>BDP|526029354687275540</stp>
        <tr r="H607" s="1"/>
      </tp>
      <tp t="s">
        <v>#N/A Requesting Data...3369290294</v>
        <stp/>
        <stp>BDP|752327073131040231</stp>
        <tr r="J1168" s="1"/>
      </tp>
      <tp t="s">
        <v>#N/A Requesting Data...2462397552</v>
        <stp/>
        <stp>BDP|196657274991552738</stp>
        <tr r="AU911" s="1"/>
      </tp>
      <tp t="s">
        <v>#N/A Requesting Data...2260724667</v>
        <stp/>
        <stp>BDP|591429379183900708</stp>
        <tr r="J1690" s="1"/>
      </tp>
      <tp t="s">
        <v>#N/A Requesting Data...3498760329</v>
        <stp/>
        <stp>BDP|956642725691639290</stp>
        <tr r="E1397" s="1"/>
      </tp>
      <tp t="s">
        <v>#N/A Requesting Data...3466774369</v>
        <stp/>
        <stp>BDP|755131572735144401</stp>
        <tr r="AT348" s="1"/>
      </tp>
      <tp t="s">
        <v>#N/A Requesting Data...2436722432</v>
        <stp/>
        <stp>BDP|502983668249339168</stp>
        <tr r="H428" s="1"/>
      </tp>
      <tp t="s">
        <v>#N/A Requesting Data...1545416672</v>
        <stp/>
        <stp>BDP|424810363411433827</stp>
        <tr r="AV420" s="1"/>
      </tp>
      <tp t="s">
        <v>#N/A Requesting Data...1967220988</v>
        <stp/>
        <stp>BDP|462843042608304313</stp>
        <tr r="H280" s="1"/>
      </tp>
      <tp t="s">
        <v>#N/A Requesting Data...2708713226</v>
        <stp/>
        <stp>BDP|243704960214061220</stp>
        <tr r="E1305" s="1"/>
        <tr r="E978" s="1"/>
      </tp>
      <tp t="s">
        <v>#N/A Requesting Data...2336219819</v>
        <stp/>
        <stp>BDP|704366143344783591</stp>
        <tr r="AU542" s="1"/>
      </tp>
      <tp t="s">
        <v>#N/A Requesting Data...3983150073</v>
        <stp/>
        <stp>BDP|885113011866447004</stp>
        <tr r="AU409" s="1"/>
      </tp>
      <tp t="s">
        <v>#N/A Requesting Data...3073421854</v>
        <stp/>
        <stp>BDP|584620404997966762</stp>
        <tr r="H180" s="1"/>
        <tr r="H1924" s="1"/>
      </tp>
      <tp t="s">
        <v>#N/A Requesting Data...3080730128</v>
        <stp/>
        <stp>BDP|773090721097280308</stp>
        <tr r="E1835" s="1"/>
      </tp>
      <tp t="s">
        <v>#N/A Requesting Data...2829599893</v>
        <stp/>
        <stp>BDP|196539535540308092</stp>
        <tr r="AR1457" s="1"/>
      </tp>
      <tp t="s">
        <v>#N/A Requesting Data...4051786531</v>
        <stp/>
        <stp>BDP|388665644220597492</stp>
        <tr r="E521" s="1"/>
      </tp>
      <tp t="s">
        <v>#N/A Requesting Data...3137897050</v>
        <stp/>
        <stp>BDP|464801771890847940</stp>
        <tr r="E850" s="1"/>
      </tp>
      <tp t="s">
        <v>#N/A Requesting Data...1986632342</v>
        <stp/>
        <stp>BDP|489743374402502480</stp>
        <tr r="E556" s="1"/>
      </tp>
      <tp t="s">
        <v>#N/A Requesting Data...3996782129</v>
        <stp/>
        <stp>BDP|992985489702936552</stp>
        <tr r="J681" s="1"/>
      </tp>
      <tp t="s">
        <v>#N/A Requesting Data...2020317995</v>
        <stp/>
        <stp>BDP|697211535442651506</stp>
        <tr r="AO2030" s="1"/>
      </tp>
      <tp t="s">
        <v>#N/A Requesting Data...3015727801</v>
        <stp/>
        <stp>BDP|282338364671835297</stp>
        <tr r="E132" s="1"/>
      </tp>
      <tp t="s">
        <v>#N/A Requesting Data...545299840</v>
        <stp/>
        <stp>BDP|728308913051097503</stp>
        <tr r="AT341" s="1"/>
      </tp>
      <tp t="s">
        <v>#N/A Requesting Data...2472918254</v>
        <stp/>
        <stp>BDP|795392232012894405</stp>
        <tr r="AO2024" s="1"/>
      </tp>
      <tp t="s">
        <v>#N/A Requesting Data...3206832320</v>
        <stp/>
        <stp>BDP|625635174487179056</stp>
        <tr r="E1175" s="1"/>
        <tr r="E1928" s="1"/>
      </tp>
      <tp t="s">
        <v>#N/A Requesting Data...2392519271</v>
        <stp/>
        <stp>BDP|952312189419455403</stp>
        <tr r="AV216" s="1"/>
      </tp>
      <tp t="s">
        <v>#N/A Requesting Data...2510326777</v>
        <stp/>
        <stp>BDP|528135478547845701</stp>
        <tr r="AO1467" s="1"/>
      </tp>
      <tp t="s">
        <v>#N/A Requesting Data...2945621937</v>
        <stp/>
        <stp>BDP|646041504472828484</stp>
        <tr r="AU307" s="1"/>
      </tp>
      <tp t="s">
        <v>#N/A Requesting Data...4105240948</v>
        <stp/>
        <stp>BDP|722786012373959325</stp>
        <tr r="E972" s="1"/>
      </tp>
      <tp t="s">
        <v>#N/A Requesting Data...3771846355</v>
        <stp/>
        <stp>BDP|576599965682994764</stp>
        <tr r="J1585" s="1"/>
        <tr r="J1849" s="1"/>
        <tr r="J2062" s="1"/>
      </tp>
      <tp t="s">
        <v>#N/A Requesting Data...1964411489</v>
        <stp/>
        <stp>BDP|593938899180178699</stp>
        <tr r="H1096" s="1"/>
        <tr r="H190" s="1"/>
        <tr r="H952" s="1"/>
      </tp>
      <tp t="s">
        <v>#N/A Requesting Data...2858026668</v>
        <stp/>
        <stp>BDP|189130966376633756</stp>
        <tr r="H237" s="1"/>
        <tr r="H78" s="1"/>
      </tp>
      <tp t="s">
        <v>#N/A Requesting Data...4232211000</v>
        <stp/>
        <stp>BDP|701042965371159104</stp>
        <tr r="E1214" s="1"/>
      </tp>
      <tp t="s">
        <v>#N/A Requesting Data...3296708770</v>
        <stp/>
        <stp>BDP|581865901109242707</stp>
        <tr r="AP2009" s="1"/>
      </tp>
      <tp t="s">
        <v>#N/A Requesting Data...3402052857</v>
        <stp/>
        <stp>BDP|332457261755681133</stp>
        <tr r="AU551" s="1"/>
      </tp>
      <tp t="s">
        <v>#N/A Requesting Data...1991567887</v>
        <stp/>
        <stp>BDP|758908982680497733</stp>
        <tr r="AT611" s="1"/>
      </tp>
      <tp t="s">
        <v>#N/A Requesting Data...2170542386</v>
        <stp/>
        <stp>BDP|451493140497988176</stp>
        <tr r="J341" s="1"/>
      </tp>
      <tp t="s">
        <v>#N/A Requesting Data...1626596313</v>
        <stp/>
        <stp>BDP|366419121356383634</stp>
        <tr r="AT850" s="1"/>
      </tp>
      <tp t="s">
        <v>#N/A Requesting Data...2675099746</v>
        <stp/>
        <stp>BDP|663015263000513026</stp>
        <tr r="H1873" s="1"/>
      </tp>
      <tp t="s">
        <v>#N/A Requesting Data...3266678203</v>
        <stp/>
        <stp>BDP|307039459412160642</stp>
        <tr r="H1694" s="1"/>
      </tp>
      <tp t="s">
        <v>#N/A Requesting Data...3863421871</v>
        <stp/>
        <stp>BDP|155833882977895647</stp>
        <tr r="E1100" s="1"/>
      </tp>
      <tp t="s">
        <v>#N/A Requesting Data...3173629300</v>
        <stp/>
        <stp>BDP|962620702630647733</stp>
        <tr r="J1009" s="1"/>
        <tr r="J1271" s="1"/>
        <tr r="J1328" s="1"/>
        <tr r="J1363" s="1"/>
        <tr r="J1702" s="1"/>
        <tr r="J1716" s="1"/>
        <tr r="J1733" s="1"/>
        <tr r="J770" s="1"/>
        <tr r="J822" s="1"/>
        <tr r="J842" s="1"/>
      </tp>
      <tp t="s">
        <v>#N/A Requesting Data...3691030549</v>
        <stp/>
        <stp>BDP|273719041521684391</stp>
        <tr r="H420" s="1"/>
      </tp>
      <tp t="s">
        <v>#N/A Requesting Data...3985412157</v>
        <stp/>
        <stp>BDP|362135182169645196</stp>
        <tr r="J1544" s="1"/>
      </tp>
      <tp t="s">
        <v>#N/A Requesting Data...2166488239</v>
        <stp/>
        <stp>BDP|389733587386839814</stp>
        <tr r="E445" s="1"/>
      </tp>
      <tp t="s">
        <v>#N/A Requesting Data...3471818276</v>
        <stp/>
        <stp>BDP|397494908736904338</stp>
        <tr r="E1544" s="1"/>
      </tp>
      <tp t="s">
        <v>#N/A Requesting Data...4104381967</v>
        <stp/>
        <stp>BDP|438228532687353730</stp>
        <tr r="E1686" s="1"/>
      </tp>
      <tp t="s">
        <v>#N/A Requesting Data...3407804381</v>
        <stp/>
        <stp>BDP|440481908601426441</stp>
        <tr r="AO1369" s="1"/>
        <tr r="AO1370" s="1"/>
      </tp>
      <tp t="s">
        <v>#N/A Requesting Data...2830723469</v>
        <stp/>
        <stp>BDP|911003667867995037</stp>
        <tr r="J536" s="1"/>
      </tp>
      <tp t="s">
        <v>#N/A Requesting Data...3019049197</v>
        <stp/>
        <stp>BDP|782316233736942797</stp>
        <tr r="J735" s="1"/>
      </tp>
      <tp t="s">
        <v>#N/A Requesting Data...1688940356</v>
        <stp/>
        <stp>BDP|526471178675863776</stp>
        <tr r="AV617" s="1"/>
      </tp>
      <tp t="s">
        <v>#N/A Requesting Data...3775457640</v>
        <stp/>
        <stp>BDP|291437477520039200</stp>
        <tr r="AP2042" s="1"/>
      </tp>
      <tp t="s">
        <v>#N/A Requesting Data...2521354246</v>
        <stp/>
        <stp>BDP|713077573372383464</stp>
        <tr r="E1913" s="1"/>
      </tp>
      <tp t="s">
        <v>#N/A Requesting Data...4167132668</v>
        <stp/>
        <stp>BDP|544327795522554912</stp>
        <tr r="E867" s="1"/>
      </tp>
      <tp t="s">
        <v>#N/A Requesting Data...4014764973</v>
        <stp/>
        <stp>BDP|135936383507060765</stp>
        <tr r="E846" s="1"/>
      </tp>
      <tp t="s">
        <v>#N/A Requesting Data...1923911629</v>
        <stp/>
        <stp>BDP|386369518076547585</stp>
        <tr r="H306" s="1"/>
      </tp>
      <tp t="s">
        <v>#N/A Requesting Data...3851127029</v>
        <stp/>
        <stp>BDP|730438608614801156</stp>
        <tr r="AT663" s="1"/>
      </tp>
      <tp t="s">
        <v>#N/A Requesting Data...2594727821</v>
        <stp/>
        <stp>BDP|591189477451342682</stp>
        <tr r="AU908" s="1"/>
      </tp>
      <tp t="s">
        <v>#N/A Requesting Data...3896944287</v>
        <stp/>
        <stp>BDP|206062941454606105</stp>
        <tr r="H859" s="1"/>
      </tp>
      <tp t="s">
        <v>#N/A Requesting Data...2277601561</v>
        <stp/>
        <stp>BDP|720935966859489756</stp>
        <tr r="E302" s="1"/>
      </tp>
      <tp t="s">
        <v>#N/A Requesting Data...1846783045</v>
        <stp/>
        <stp>BDP|604757606037317150</stp>
        <tr r="H2070" s="1"/>
      </tp>
      <tp t="s">
        <v>#N/A Requesting Data...2690278817</v>
        <stp/>
        <stp>BDP|765612508100715659</stp>
        <tr r="J564" s="1"/>
      </tp>
      <tp t="s">
        <v>#N/A Requesting Data...3089910192</v>
        <stp/>
        <stp>BDP|554002408738727861</stp>
        <tr r="J762" s="1"/>
      </tp>
      <tp t="s">
        <v>#N/A Requesting Data...3786562565</v>
        <stp/>
        <stp>BDP|873760453372792074</stp>
        <tr r="J1495" s="1"/>
      </tp>
      <tp t="s">
        <v>#N/A Requesting Data...3676856291</v>
        <stp/>
        <stp>BDP|421195007945442410</stp>
        <tr r="J168" s="1"/>
      </tp>
      <tp t="s">
        <v>#N/A Requesting Data...3763952617</v>
        <stp/>
        <stp>BDP|285044059155770073</stp>
        <tr r="H1210" s="1"/>
      </tp>
      <tp t="s">
        <v>#N/A Requesting Data...2218259031</v>
        <stp/>
        <stp>BDP|979624562507484720</stp>
        <tr r="AV450" s="1"/>
      </tp>
      <tp t="s">
        <v>#N/A Requesting Data...3973027997</v>
        <stp/>
        <stp>BDP|782038794851465800</stp>
        <tr r="H1165" s="1"/>
        <tr r="H1344" s="1"/>
      </tp>
      <tp t="s">
        <v>#N/A Requesting Data...1542015041</v>
        <stp/>
        <stp>BDP|234054726792758027</stp>
        <tr r="AU569" s="1"/>
      </tp>
      <tp t="s">
        <v>#N/A Requesting Data...2949548531</v>
        <stp/>
        <stp>BDP|503839487950264069</stp>
        <tr r="AU485" s="1"/>
      </tp>
      <tp t="s">
        <v>#N/A Requesting Data...3392925618</v>
        <stp/>
        <stp>BDP|994623337262836725</stp>
        <tr r="J1578" s="1"/>
      </tp>
      <tp t="s">
        <v>#N/A Requesting Data...2506661740</v>
        <stp/>
        <stp>BDP|286843520883701972</stp>
        <tr r="H1412" s="1"/>
        <tr r="H1554" s="1"/>
      </tp>
      <tp t="s">
        <v>#N/A Requesting Data...2345491673</v>
        <stp/>
        <stp>BDP|612718833372258615</stp>
        <tr r="H1243" s="1"/>
      </tp>
      <tp t="s">
        <v>#N/A Requesting Data...2609043407</v>
        <stp/>
        <stp>BDP|561310931586008620</stp>
        <tr r="H945" s="1"/>
      </tp>
      <tp t="s">
        <v>#N/A Requesting Data...2221898174</v>
        <stp/>
        <stp>BDP|565713856524472616</stp>
        <tr r="J806" s="1"/>
      </tp>
      <tp t="s">
        <v>#N/A Requesting Data...1278128895</v>
        <stp/>
        <stp>BDP|692144097140765821</stp>
        <tr r="AT670" s="1"/>
      </tp>
      <tp t="s">
        <v>#N/A Requesting Data...3510746351</v>
        <stp/>
        <stp>BDP|119545579844855649</stp>
        <tr r="E343" s="1"/>
      </tp>
      <tp t="s">
        <v>#N/A Requesting Data...3036898616</v>
        <stp/>
        <stp>BDP|934169503885906449</stp>
        <tr r="E1929" s="1"/>
        <tr r="E35" s="1"/>
      </tp>
      <tp t="s">
        <v>#N/A Requesting Data...3514214521</v>
        <stp/>
        <stp>BDP|361433571962918194</stp>
        <tr r="AR1431" s="1"/>
      </tp>
      <tp t="s">
        <v>#N/A Requesting Data...2660591059</v>
        <stp/>
        <stp>BDP|264462276454250721</stp>
        <tr r="AT691" s="1"/>
      </tp>
      <tp t="s">
        <v>#N/A Requesting Data...2392259896</v>
        <stp/>
        <stp>BDP|625664433647520255</stp>
        <tr r="AT424" s="1"/>
      </tp>
      <tp t="s">
        <v>#N/A Requesting Data...3721881538</v>
        <stp/>
        <stp>BDP|199306722532716095</stp>
        <tr r="E119" s="1"/>
      </tp>
      <tp t="s">
        <v>#N/A Requesting Data...3720335082</v>
        <stp/>
        <stp>BDP|486503767725675587</stp>
        <tr r="J235" s="1"/>
      </tp>
      <tp t="s">
        <v>#N/A Requesting Data...2689880558</v>
        <stp/>
        <stp>BDP|159424755171820331</stp>
        <tr r="H541" s="1"/>
      </tp>
      <tp t="s">
        <v>#N/A Requesting Data...3950096247</v>
        <stp/>
        <stp>BDP|969803126171132801</stp>
        <tr r="H116" s="1"/>
      </tp>
      <tp t="s">
        <v>#N/A Requesting Data...3537090472</v>
        <stp/>
        <stp>BDP|222560329005046131</stp>
        <tr r="AT729" s="1"/>
      </tp>
      <tp t="s">
        <v>#N/A Requesting Data...2175402510</v>
        <stp/>
        <stp>BDP|360366927933909141</stp>
        <tr r="E1753" s="1"/>
      </tp>
      <tp t="s">
        <v>#N/A Requesting Data...2900521134</v>
        <stp/>
        <stp>BDP|914955937038795133</stp>
        <tr r="E603" s="1"/>
      </tp>
      <tp t="s">
        <v>#N/A Requesting Data...2565086535</v>
        <stp/>
        <stp>BDP|117332047037925348</stp>
        <tr r="H478" s="1"/>
      </tp>
      <tp t="s">
        <v>#N/A Requesting Data...2210794252</v>
        <stp/>
        <stp>BDP|202557304595331387</stp>
        <tr r="J375" s="1"/>
      </tp>
      <tp t="s">
        <v>#N/A Requesting Data...2818149156</v>
        <stp/>
        <stp>BDP|303199202980764267</stp>
        <tr r="AV642" s="1"/>
      </tp>
      <tp t="s">
        <v>#N/A Requesting Data...3653976281</v>
        <stp/>
        <stp>BDP|970714570851244209</stp>
        <tr r="AU279" s="1"/>
      </tp>
      <tp t="s">
        <v>#N/A Requesting Data...3710454620</v>
        <stp/>
        <stp>BDP|293348466086379088</stp>
        <tr r="J606" s="1"/>
      </tp>
      <tp t="s">
        <v>#N/A Requesting Data...3204668868</v>
        <stp/>
        <stp>BDP|755281967755433272</stp>
        <tr r="AV753" s="1"/>
      </tp>
      <tp t="s">
        <v>#N/A Requesting Data...1813417434</v>
        <stp/>
        <stp>BDP|946294683140927911</stp>
        <tr r="H1882" s="1"/>
      </tp>
      <tp t="s">
        <v>#N/A Requesting Data...4267729145</v>
        <stp/>
        <stp>BDP|708900371125497898</stp>
        <tr r="H1681" s="1"/>
      </tp>
      <tp t="s">
        <v>#N/A Requesting Data...2637380511</v>
        <stp/>
        <stp>BDP|575395412401902035</stp>
        <tr r="E282" s="1"/>
      </tp>
      <tp t="s">
        <v>#N/A Requesting Data...1906020470</v>
        <stp/>
        <stp>BDP|263549749666827420</stp>
        <tr r="H1962" s="1"/>
        <tr r="H796" s="1"/>
      </tp>
      <tp t="s">
        <v>#N/A Requesting Data...2319521203</v>
        <stp/>
        <stp>BDP|898450629546223304</stp>
        <tr r="J2068" s="1"/>
      </tp>
      <tp t="s">
        <v>#N/A Requesting Data...4227201491</v>
        <stp/>
        <stp>BDP|709572064361178132</stp>
        <tr r="AS815" s="1"/>
      </tp>
      <tp t="s">
        <v>#N/A Requesting Data...4036177221</v>
        <stp/>
        <stp>BDP|656518848261169392</stp>
        <tr r="J1422" s="1"/>
      </tp>
      <tp t="s">
        <v>#N/A Requesting Data...1620761548</v>
        <stp/>
        <stp>BDP|702323536376490579</stp>
        <tr r="E1240" s="1"/>
      </tp>
      <tp t="s">
        <v>#N/A Requesting Data...3481308510</v>
        <stp/>
        <stp>BDP|863152656797976021</stp>
        <tr r="AV329" s="1"/>
      </tp>
      <tp t="s">
        <v>#N/A Requesting Data...3711168998</v>
        <stp/>
        <stp>BDP|349539017293007452</stp>
        <tr r="E1557" s="1"/>
      </tp>
      <tp t="s">
        <v>#N/A Requesting Data...2260172303</v>
        <stp/>
        <stp>BDP|239550247676786443</stp>
        <tr r="E1119" s="1"/>
      </tp>
      <tp t="s">
        <v>#N/A Requesting Data...700190690</v>
        <stp/>
        <stp>BDP|723567980096730852</stp>
        <tr r="AT898" s="1"/>
      </tp>
      <tp t="s">
        <v>#N/A Requesting Data...2075736925</v>
        <stp/>
        <stp>BDP|899556053382076004</stp>
        <tr r="H704" s="1"/>
      </tp>
      <tp t="s">
        <v>#N/A Requesting Data...3328427347</v>
        <stp/>
        <stp>BDP|404407958667702430</stp>
        <tr r="J324" s="1"/>
      </tp>
      <tp t="s">
        <v>#N/A Requesting Data...2374030834</v>
        <stp/>
        <stp>BDP|674240940761333592</stp>
        <tr r="E706" s="1"/>
      </tp>
      <tp t="s">
        <v>#N/A Requesting Data...4171033698</v>
        <stp/>
        <stp>BDP|324271971812786583</stp>
        <tr r="J1913" s="1"/>
      </tp>
      <tp t="s">
        <v>#N/A Requesting Data...3289040044</v>
        <stp/>
        <stp>BDP|689985509572819958</stp>
        <tr r="E1886" s="1"/>
      </tp>
      <tp t="s">
        <v>#N/A Requesting Data...2479716339</v>
        <stp/>
        <stp>BDP|696598054575926782</stp>
        <tr r="J886" s="1"/>
      </tp>
      <tp t="s">
        <v>#N/A Requesting Data...1725370787</v>
        <stp/>
        <stp>BDP|203184078684193080</stp>
        <tr r="E959" s="1"/>
      </tp>
      <tp t="s">
        <v>#N/A Requesting Data...3444477755</v>
        <stp/>
        <stp>BDP|765249172496704126</stp>
        <tr r="AT896" s="1"/>
      </tp>
      <tp t="s">
        <v>#N/A Requesting Data...2471771357</v>
        <stp/>
        <stp>BDP|816513779542636233</stp>
        <tr r="H414" s="1"/>
      </tp>
      <tp t="s">
        <v>#N/A Requesting Data...4236257920</v>
        <stp/>
        <stp>BDP|988320504675138487</stp>
        <tr r="J248" s="1"/>
      </tp>
      <tp t="s">
        <v>#N/A Requesting Data...3110867672</v>
        <stp/>
        <stp>BDP|991508055682392092</stp>
        <tr r="AS2003" s="1"/>
      </tp>
      <tp t="s">
        <v>#N/A Requesting Data...2605955844</v>
        <stp/>
        <stp>BDP|603553947957122439</stp>
        <tr r="H1068" s="1"/>
        <tr r="H1109" s="1"/>
        <tr r="H1577" s="1"/>
        <tr r="H171" s="1"/>
      </tp>
      <tp t="s">
        <v>#N/A Requesting Data...1995346909</v>
        <stp/>
        <stp>BDP|850971461034045996</stp>
        <tr r="H411" s="1"/>
      </tp>
      <tp t="s">
        <v>#N/A Requesting Data...3261896477</v>
        <stp/>
        <stp>BDP|186314513980191058</stp>
        <tr r="J1307" s="1"/>
      </tp>
      <tp t="s">
        <v>#N/A Requesting Data...1022259431</v>
        <stp/>
        <stp>BDP|712737165024184701</stp>
        <tr r="AT301" s="1"/>
      </tp>
      <tp t="s">
        <v>#N/A Requesting Data...2505260619</v>
        <stp/>
        <stp>BDP|663377376553175561</stp>
        <tr r="H614" s="1"/>
      </tp>
      <tp t="s">
        <v>#N/A Requesting Data...1998493754</v>
        <stp/>
        <stp>BDP|934799774395061760</stp>
        <tr r="E2099" s="1"/>
      </tp>
      <tp t="s">
        <v>#N/A Requesting Data...3256555333</v>
        <stp/>
        <stp>BDP|252923497602072057</stp>
        <tr r="H14" s="1"/>
        <tr r="H1845" s="1"/>
      </tp>
      <tp t="s">
        <v>#N/A Requesting Data...4272502311</v>
        <stp/>
        <stp>BDP|806613743734019482</stp>
        <tr r="H592" s="1"/>
      </tp>
      <tp t="s">
        <v>#N/A Requesting Data...4050700298</v>
        <stp/>
        <stp>BDP|209067486968068219</stp>
        <tr r="H1253" s="1"/>
      </tp>
      <tp t="s">
        <v>#N/A Requesting Data...2615449391</v>
        <stp/>
        <stp>BDP|970611397982613041</stp>
        <tr r="E434" s="1"/>
      </tp>
      <tp t="s">
        <v>#N/A Requesting Data...1639392488</v>
        <stp/>
        <stp>BDP|590216709357143817</stp>
        <tr r="AU426" s="1"/>
      </tp>
      <tp t="s">
        <v>#N/A Requesting Data...2007458374</v>
        <stp/>
        <stp>BDP|783604434071686987</stp>
        <tr r="E1975" s="1"/>
        <tr r="E87" s="1"/>
      </tp>
      <tp t="s">
        <v>#N/A Requesting Data...3256694229</v>
        <stp/>
        <stp>BDP|991598801408175089</stp>
        <tr r="E103" s="1"/>
        <tr r="E1150" s="1"/>
        <tr r="E1662" s="1"/>
      </tp>
      <tp t="s">
        <v>#N/A Requesting Data...2483403560</v>
        <stp/>
        <stp>BDP|473780192026761513</stp>
        <tr r="AT545" s="1"/>
      </tp>
      <tp t="s">
        <v>#N/A Requesting Data...2997321934</v>
        <stp/>
        <stp>BDP|944884608486300317</stp>
        <tr r="AR2021" s="1"/>
      </tp>
      <tp t="s">
        <v>#N/A Requesting Data...2870671316</v>
        <stp/>
        <stp>BDP|567954414960404515</stp>
        <tr r="J1233" s="1"/>
      </tp>
      <tp t="s">
        <v>#N/A Requesting Data...1653605008</v>
        <stp/>
        <stp>BDP|199169614984536949</stp>
        <tr r="J894" s="1"/>
      </tp>
      <tp t="s">
        <v>#N/A Requesting Data...4064173123</v>
        <stp/>
        <stp>BDP|857868182388706473</stp>
        <tr r="AO1807" s="1"/>
      </tp>
      <tp t="s">
        <v>#N/A Requesting Data...2320330157</v>
        <stp/>
        <stp>BDP|434336740728904326</stp>
        <tr r="E653" s="1"/>
      </tp>
      <tp t="s">
        <v>#N/A Requesting Data...2836714711</v>
        <stp/>
        <stp>BDP|131792332671390974</stp>
        <tr r="J855" s="1"/>
      </tp>
      <tp t="s">
        <v>#N/A Requesting Data...2991294707</v>
        <stp/>
        <stp>BDP|164397974271284905</stp>
        <tr r="E520" s="1"/>
      </tp>
      <tp t="s">
        <v>#N/A Requesting Data...1690482562</v>
        <stp/>
        <stp>BDP|233001589442352676</stp>
        <tr r="E381" s="1"/>
      </tp>
      <tp t="s">
        <v>#N/A Requesting Data...4237325618</v>
        <stp/>
        <stp>BDP|787406590098996959</stp>
        <tr r="J531" s="1"/>
      </tp>
      <tp t="s">
        <v>#N/A Requesting Data...4257355610</v>
        <stp/>
        <stp>BDP|269796651226862897</stp>
        <tr r="J1607" s="1"/>
        <tr r="J1916" s="1"/>
        <tr r="J27" s="1"/>
      </tp>
      <tp t="s">
        <v>#N/A Requesting Data...2732174194</v>
        <stp/>
        <stp>BDP|699850459322752398</stp>
        <tr r="J1143" s="1"/>
        <tr r="J95" s="1"/>
      </tp>
      <tp t="s">
        <v>#N/A Requesting Data...3328920428</v>
        <stp/>
        <stp>BDP|549680408503535946</stp>
        <tr r="AT288" s="1"/>
      </tp>
      <tp t="s">
        <v>#N/A Requesting Data...3753335917</v>
        <stp/>
        <stp>BDP|232952185939042442</stp>
        <tr r="AV265" s="1"/>
      </tp>
      <tp t="s">
        <v>#N/A Requesting Data...2773814394</v>
        <stp/>
        <stp>BDP|893874148992240236</stp>
        <tr r="E980" s="1"/>
      </tp>
      <tp t="s">
        <v>#N/A Requesting Data...1629002501</v>
        <stp/>
        <stp>BDP|477365918357854941</stp>
        <tr r="E726" s="1"/>
      </tp>
      <tp t="s">
        <v>#N/A Requesting Data...2288758557</v>
        <stp/>
        <stp>BDP|276609387045227719</stp>
        <tr r="AU575" s="1"/>
      </tp>
      <tp t="s">
        <v>#N/A Requesting Data...3128798958</v>
        <stp/>
        <stp>BDP|285242990242653573</stp>
        <tr r="AT540" s="1"/>
      </tp>
      <tp t="s">
        <v>#N/A Requesting Data...4237314640</v>
        <stp/>
        <stp>BDP|356903291288040455</stp>
        <tr r="J219" s="1"/>
      </tp>
      <tp t="s">
        <v>#N/A Requesting Data...3149705607</v>
        <stp/>
        <stp>BDP|330047460139568332</stp>
        <tr r="AT866" s="1"/>
      </tp>
      <tp t="s">
        <v>#N/A Requesting Data...3392317382</v>
        <stp/>
        <stp>BDP|149554085874080507</stp>
        <tr r="E860" s="1"/>
      </tp>
      <tp t="s">
        <v>#N/A Requesting Data...3723351357</v>
        <stp/>
        <stp>BDP|484708266288131513</stp>
        <tr r="J532" s="1"/>
      </tp>
      <tp t="s">
        <v>#N/A Requesting Data...3384320985</v>
        <stp/>
        <stp>BDP|561836974951261234</stp>
        <tr r="AV501" s="1"/>
      </tp>
      <tp t="s">
        <v>#N/A Requesting Data...3532579945</v>
        <stp/>
        <stp>BDP|436734636433815849</stp>
        <tr r="H68" s="1"/>
      </tp>
      <tp t="s">
        <v>#N/A Requesting Data...3826095901</v>
        <stp/>
        <stp>BDP|891795397436957721</stp>
        <tr r="E464" s="1"/>
      </tp>
      <tp t="s">
        <v>#N/A Requesting Data...4194834018</v>
        <stp/>
        <stp>BDP|623682182457649642</stp>
        <tr r="E389" s="1"/>
      </tp>
      <tp t="s">
        <v>#N/A Requesting Data...2006529395</v>
        <stp/>
        <stp>BDP|976986702436517098</stp>
        <tr r="AS2015" s="1"/>
      </tp>
      <tp t="s">
        <v>#N/A Requesting Data...2749905293</v>
        <stp/>
        <stp>BDP|820374975688541309</stp>
        <tr r="AV728" s="1"/>
      </tp>
      <tp t="s">
        <v>#N/A Requesting Data...1954883637</v>
        <stp/>
        <stp>BDP|270208529168501764</stp>
        <tr r="AR1369" s="1"/>
        <tr r="AR1370" s="1"/>
      </tp>
      <tp t="s">
        <v>#N/A Requesting Data...2866736180</v>
        <stp/>
        <stp>BDP|363890746537356476</stp>
        <tr r="AT714" s="1"/>
      </tp>
      <tp t="s">
        <v>#N/A Requesting Data...2768186926</v>
        <stp/>
        <stp>BDP|307752029009637339</stp>
        <tr r="H293" s="1"/>
      </tp>
      <tp t="s">
        <v>#N/A Requesting Data...3347066815</v>
        <stp/>
        <stp>BDP|105247279948793215</stp>
        <tr r="J1510" s="1"/>
      </tp>
      <tp t="s">
        <v>#N/A Requesting Data...1884090024</v>
        <stp/>
        <stp>BDP|359160689622205440</stp>
        <tr r="E1070" s="1"/>
      </tp>
      <tp t="s">
        <v>#N/A Requesting Data...1935598130</v>
        <stp/>
        <stp>BDP|989078821415501804</stp>
        <tr r="H13" s="1"/>
        <tr r="H1844" s="1"/>
      </tp>
      <tp t="s">
        <v>#N/A Requesting Data...2215395869</v>
        <stp/>
        <stp>BDP|713421684037958431</stp>
        <tr r="AO2048" s="1"/>
      </tp>
      <tp t="s">
        <v>#N/A Requesting Data...3298279249</v>
        <stp/>
        <stp>BDP|620353922618500614</stp>
        <tr r="AT262" s="1"/>
      </tp>
      <tp t="s">
        <v>#N/A Requesting Data...2911473780</v>
        <stp/>
        <stp>BDP|137455289965826657</stp>
        <tr r="J1290" s="1"/>
      </tp>
      <tp t="s">
        <v>#N/A Requesting Data...2626494799</v>
        <stp/>
        <stp>BDP|768462821841405840</stp>
        <tr r="E1963" s="1"/>
      </tp>
      <tp t="s">
        <v>#N/A Requesting Data...2682594830</v>
        <stp/>
        <stp>BDP|664344604394756816</stp>
        <tr r="J702" s="1"/>
      </tp>
      <tp t="s">
        <v>#N/A Requesting Data...2086806856</v>
        <stp/>
        <stp>BDP|538141414118722722</stp>
        <tr r="AU401" s="1"/>
      </tp>
      <tp t="s">
        <v>#N/A Requesting Data...4185467369</v>
        <stp/>
        <stp>BDP|123272524037719850</stp>
        <tr r="AV401" s="1"/>
      </tp>
      <tp t="s">
        <v>#N/A Requesting Data...2409516459</v>
        <stp/>
        <stp>BDP|583712032608790302</stp>
        <tr r="H1483" s="1"/>
      </tp>
      <tp t="s">
        <v>#N/A Requesting Data...2900414721</v>
        <stp/>
        <stp>BDP|644821436457692360</stp>
        <tr r="E475" s="1"/>
      </tp>
      <tp t="s">
        <v>#N/A Requesting Data...2409139530</v>
        <stp/>
        <stp>BDP|833737836212610993</stp>
        <tr r="AT584" s="1"/>
      </tp>
      <tp t="s">
        <v>#N/A Requesting Data...4269376516</v>
        <stp/>
        <stp>BDP|171664584721988165</stp>
        <tr r="J1106" s="1"/>
        <tr r="J1574" s="1"/>
        <tr r="J58" s="1"/>
      </tp>
      <tp t="s">
        <v>#N/A Requesting Data...3860895900</v>
        <stp/>
        <stp>BDP|399956469905026404</stp>
        <tr r="J381" s="1"/>
      </tp>
      <tp t="s">
        <v>#N/A Requesting Data...3557027103</v>
        <stp/>
        <stp>BDP|372507323330162981</stp>
        <tr r="E347" s="1"/>
      </tp>
      <tp t="s">
        <v>#N/A Requesting Data...3655084367</v>
        <stp/>
        <stp>BDP|106881924121443533</stp>
        <tr r="J1878" s="1"/>
      </tp>
      <tp t="s">
        <v>#N/A Requesting Data...3734438956</v>
        <stp/>
        <stp>BDP|124930938795733162</stp>
        <tr r="E15" s="1"/>
        <tr r="E1901" s="1"/>
      </tp>
      <tp t="s">
        <v>#N/A Requesting Data...3354108575</v>
        <stp/>
        <stp>BDP|849816367703908332</stp>
        <tr r="AU374" s="1"/>
      </tp>
      <tp t="s">
        <v>#N/A Requesting Data...2140466061</v>
        <stp/>
        <stp>BDP|320222882014499024</stp>
        <tr r="AT596" s="1"/>
      </tp>
      <tp t="s">
        <v>#N/A Requesting Data...4244597760</v>
        <stp/>
        <stp>BDP|313333164173422851</stp>
        <tr r="AV411" s="1"/>
      </tp>
      <tp t="s">
        <v>#N/A Requesting Data...1721262036</v>
        <stp/>
        <stp>BDP|581537695460674220</stp>
        <tr r="J1841" s="1"/>
        <tr r="J9" s="1"/>
      </tp>
      <tp t="s">
        <v>#N/A Requesting Data...2007789335</v>
        <stp/>
        <stp>BDP|737611561227726909</stp>
        <tr r="H886" s="1"/>
      </tp>
      <tp t="s">
        <v>#N/A Requesting Data...4182244450</v>
        <stp/>
        <stp>BDP|127642092477485634</stp>
        <tr r="E941" s="1"/>
      </tp>
      <tp t="s">
        <v>#N/A Requesting Data...2088432808</v>
        <stp/>
        <stp>BDP|569440367769193562</stp>
        <tr r="J318" s="1"/>
      </tp>
      <tp t="s">
        <v>#N/A Requesting Data...2051616599</v>
        <stp/>
        <stp>BDP|256005832849690479</stp>
        <tr r="AU503" s="1"/>
      </tp>
      <tp t="s">
        <v>#N/A Requesting Data...2274131362</v>
        <stp/>
        <stp>BDP|816905406176353629</stp>
        <tr r="H433" s="1"/>
      </tp>
      <tp t="s">
        <v>#N/A Requesting Data...2908408240</v>
        <stp/>
        <stp>BDP|572964849045162141</stp>
        <tr r="J668" s="1"/>
      </tp>
      <tp t="s">
        <v>#N/A Requesting Data...2007895173</v>
        <stp/>
        <stp>BDP|676074802459293090</stp>
        <tr r="J435" s="1"/>
      </tp>
      <tp t="s">
        <v>#N/A Requesting Data...2986255413</v>
        <stp/>
        <stp>BDP|783286292531192341</stp>
        <tr r="AT378" s="1"/>
      </tp>
      <tp t="s">
        <v>#N/A Requesting Data...1858944345</v>
        <stp/>
        <stp>BDP|210575723146636882</stp>
        <tr r="AV858" s="1"/>
      </tp>
      <tp t="s">
        <v>#N/A Requesting Data...2103754671</v>
        <stp/>
        <stp>BDP|993139601511741968</stp>
        <tr r="AV324" s="1"/>
      </tp>
      <tp t="s">
        <v>#N/A Requesting Data...1690105234</v>
        <stp/>
        <stp>BDP|903757066719893178</stp>
        <tr r="H755" s="1"/>
      </tp>
      <tp t="s">
        <v>#N/A Requesting Data...3275336571</v>
        <stp/>
        <stp>BDP|511361182273384143</stp>
        <tr r="J223" s="1"/>
      </tp>
      <tp t="s">
        <v>#N/A Requesting Data...2096129257</v>
        <stp/>
        <stp>BDP|271951233126529578</stp>
        <tr r="AV572" s="1"/>
      </tp>
      <tp t="s">
        <v>#N/A Requesting Data...3587443878</v>
        <stp/>
        <stp>BDP|196336382854236646</stp>
        <tr r="AT359" s="1"/>
      </tp>
      <tp t="s">
        <v>#N/A Requesting Data...2286114992</v>
        <stp/>
        <stp>BDP|405917151437507272</stp>
        <tr r="AU682" s="1"/>
      </tp>
      <tp t="s">
        <v>#N/A Requesting Data...3433085381</v>
        <stp/>
        <stp>BDP|198113795865272411</stp>
        <tr r="AU748" s="1"/>
      </tp>
      <tp t="s">
        <v>#N/A Requesting Data...1692666656</v>
        <stp/>
        <stp>BDP|242063566178036753</stp>
        <tr r="E395" s="1"/>
      </tp>
      <tp t="s">
        <v>#N/A Requesting Data...3363926346</v>
        <stp/>
        <stp>BDP|651074473079622745</stp>
        <tr r="AO1795" s="1"/>
      </tp>
      <tp t="s">
        <v>#N/A Requesting Data...3410547976</v>
        <stp/>
        <stp>BDP|765527484662356625</stp>
        <tr r="AU691" s="1"/>
      </tp>
      <tp t="s">
        <v>#N/A Requesting Data...4014790484</v>
        <stp/>
        <stp>BDP|332583581576891235</stp>
        <tr r="J2066" s="1"/>
      </tp>
      <tp t="s">
        <v>#N/A Requesting Data...2815417004</v>
        <stp/>
        <stp>BDP|697878866325480226</stp>
        <tr r="E1082" s="1"/>
        <tr r="E1926" s="1"/>
      </tp>
      <tp t="s">
        <v>#N/A Requesting Data...2520924471</v>
        <stp/>
        <stp>BDP|644966310804205508</stp>
        <tr r="AV717" s="1"/>
      </tp>
      <tp t="s">
        <v>#N/A Requesting Data...3139876202</v>
        <stp/>
        <stp>BDP|233366105232011835</stp>
        <tr r="AR777" s="1"/>
      </tp>
      <tp t="s">
        <v>#N/A Requesting Data...3121328150</v>
        <stp/>
        <stp>BDP|404551598595212089</stp>
        <tr r="E138" s="1"/>
      </tp>
      <tp t="s">
        <v>#N/A Requesting Data...3301487340</v>
        <stp/>
        <stp>BDP|511495948740162960</stp>
        <tr r="E415" s="1"/>
      </tp>
      <tp t="s">
        <v>#N/A Requesting Data...2875588519</v>
        <stp/>
        <stp>BDP|521540268012290940</stp>
        <tr r="H346" s="1"/>
      </tp>
      <tp t="s">
        <v>#N/A Requesting Data...3501428337</v>
        <stp/>
        <stp>BDP|893918190591431924</stp>
        <tr r="AV552" s="1"/>
      </tp>
      <tp t="s">
        <v>#N/A Requesting Data...3411269756</v>
        <stp/>
        <stp>BDP|119915421645839660</stp>
        <tr r="AV272" s="1"/>
      </tp>
      <tp t="s">
        <v>#N/A Requesting Data...2387383957</v>
        <stp/>
        <stp>BDP|936642486291240761</stp>
        <tr r="H152" s="1"/>
      </tp>
      <tp t="s">
        <v>#N/A Requesting Data...1857566550</v>
        <stp/>
        <stp>BDP|773207441286959802</stp>
        <tr r="H1595" s="1"/>
        <tr r="H1909" s="1"/>
      </tp>
      <tp t="s">
        <v>#N/A Requesting Data...2031463835</v>
        <stp/>
        <stp>BDP|479408998922309773</stp>
        <tr r="AV748" s="1"/>
      </tp>
      <tp t="s">
        <v>#N/A Requesting Data...1925071455</v>
        <stp/>
        <stp>BDP|172181177986371870</stp>
        <tr r="H269" s="1"/>
      </tp>
      <tp t="s">
        <v>#N/A Requesting Data...3434985104</v>
        <stp/>
        <stp>BDP|138826231041207248</stp>
        <tr r="J1513" s="1"/>
      </tp>
      <tp t="s">
        <v>#N/A Requesting Data...3827008431</v>
        <stp/>
        <stp>BDP|655762524284811980</stp>
        <tr r="AT674" s="1"/>
      </tp>
      <tp t="s">
        <v>#N/A Requesting Data...3849931398</v>
        <stp/>
        <stp>BDP|105310331890387865</stp>
        <tr r="J407" s="1"/>
      </tp>
      <tp t="s">
        <v>#N/A Requesting Data...3654494989</v>
        <stp/>
        <stp>BDP|615132247744729939</stp>
        <tr r="E704" s="1"/>
      </tp>
      <tp t="s">
        <v>#N/A Requesting Data...3911887369</v>
        <stp/>
        <stp>BDP|669836874815530244</stp>
        <tr r="AU588" s="1"/>
      </tp>
      <tp t="s">
        <v>#N/A Requesting Data...3159427953</v>
        <stp/>
        <stp>BDP|792251776805472806</stp>
        <tr r="E2060" s="1"/>
      </tp>
      <tp t="s">
        <v>#N/A Requesting Data...1665025074</v>
        <stp/>
        <stp>BDP|132949784418268107</stp>
        <tr r="H371" s="1"/>
      </tp>
      <tp t="s">
        <v>#N/A Requesting Data...3977359177</v>
        <stp/>
        <stp>BDP|952873974290315457</stp>
        <tr r="E687" s="1"/>
      </tp>
      <tp t="s">
        <v>#N/A Requesting Data...3675759943</v>
        <stp/>
        <stp>BDP|348145081125275799</stp>
        <tr r="E553" s="1"/>
      </tp>
      <tp t="s">
        <v>#N/A Requesting Data...3118395215</v>
        <stp/>
        <stp>BDP|279900973125945053</stp>
        <tr r="E396" s="1"/>
      </tp>
      <tp t="s">
        <v>#N/A Requesting Data...3162547839</v>
        <stp/>
        <stp>BDP|957916772883552615</stp>
        <tr r="AV436" s="1"/>
      </tp>
      <tp t="s">
        <v>#N/A Requesting Data...3870271083</v>
        <stp/>
        <stp>BDP|711717476808851363</stp>
        <tr r="E1668" s="1"/>
      </tp>
      <tp t="s">
        <v>#N/A Requesting Data...2437044768</v>
        <stp/>
        <stp>BDP|422398295313791217</stp>
        <tr r="E598" s="1"/>
      </tp>
      <tp t="s">
        <v>#N/A Requesting Data...2733622413</v>
        <stp/>
        <stp>BDP|425726183385916130</stp>
        <tr r="H432" s="1"/>
      </tp>
      <tp t="s">
        <v>#N/A Requesting Data...4195879908</v>
        <stp/>
        <stp>BDP|944308623122638840</stp>
        <tr r="H616" s="1"/>
      </tp>
      <tp t="s">
        <v>#N/A Requesting Data...1735892748</v>
        <stp/>
        <stp>BDP|277761676032329993</stp>
        <tr r="H1913" s="1"/>
      </tp>
      <tp t="s">
        <v>#N/A Requesting Data...3285010621</v>
        <stp/>
        <stp>BDP|309733428427829990</stp>
        <tr r="AR778" s="1"/>
      </tp>
      <tp t="s">
        <v>#N/A Requesting Data...1733530303</v>
        <stp/>
        <stp>BDP|900028596012452036</stp>
        <tr r="AT352" s="1"/>
      </tp>
      <tp t="s">
        <v>#N/A Requesting Data...2993534893</v>
        <stp/>
        <stp>BDP|839864736580478077</stp>
        <tr r="AT559" s="1"/>
      </tp>
      <tp t="s">
        <v>#N/A Requesting Data...4189000031</v>
        <stp/>
        <stp>BDP|454198270609061485</stp>
        <tr r="H232" s="1"/>
      </tp>
      <tp t="s">
        <v>#N/A Requesting Data...1882260787</v>
        <stp/>
        <stp>BDP|903988280659301370</stp>
        <tr r="AU544" s="1"/>
      </tp>
      <tp t="s">
        <v>#N/A Requesting Data...3355830310</v>
        <stp/>
        <stp>BDP|477837290503257903</stp>
        <tr r="E1297" s="1"/>
      </tp>
      <tp t="s">
        <v>#N/A Requesting Data...4150726151</v>
        <stp/>
        <stp>BDP|744103584633521135</stp>
        <tr r="J1503" s="1"/>
      </tp>
      <tp t="s">
        <v>#N/A Requesting Data...3639725466</v>
        <stp/>
        <stp>BDP|836976059855807296</stp>
        <tr r="AP2051" s="1"/>
      </tp>
      <tp t="s">
        <v>#N/A Requesting Data...1795272989</v>
        <stp/>
        <stp>BDP|999647370388862226</stp>
        <tr r="E1105" s="1"/>
        <tr r="E1478" s="1"/>
        <tr r="E1573" s="1"/>
      </tp>
      <tp t="s">
        <v>#N/A Requesting Data...3446602583</v>
        <stp/>
        <stp>BDP|467932504467065525</stp>
        <tr r="AV706" s="1"/>
      </tp>
      <tp t="s">
        <v>#N/A Requesting Data...2219896273</v>
        <stp/>
        <stp>BDP|669930238305875445</stp>
        <tr r="AU412" s="1"/>
      </tp>
      <tp t="s">
        <v>#N/A Requesting Data...2910895905</v>
        <stp/>
        <stp>BDP|608136280602073078</stp>
        <tr r="AT499" s="1"/>
      </tp>
      <tp t="s">
        <v>#N/A Requesting Data...3190793921</v>
        <stp/>
        <stp>BDP|177718208754814839</stp>
        <tr r="E411" s="1"/>
      </tp>
      <tp t="s">
        <v>#N/A Requesting Data...3081273525</v>
        <stp/>
        <stp>BDP|593302074777493999</stp>
        <tr r="H170" s="1"/>
        <tr r="H1902" s="1"/>
        <tr r="H230" s="1"/>
      </tp>
      <tp t="s">
        <v>#N/A Requesting Data...3744859435</v>
        <stp/>
        <stp>BDP|797877690452793992</stp>
        <tr r="AV517" s="1"/>
      </tp>
      <tp t="s">
        <v>#N/A Requesting Data...3052559594</v>
        <stp/>
        <stp>BDP|186504007487108886</stp>
        <tr r="E1791" s="1"/>
      </tp>
      <tp t="s">
        <v>#N/A Requesting Data...2470202784</v>
        <stp/>
        <stp>BDP|388364748558620546</stp>
        <tr r="E1414" s="1"/>
      </tp>
      <tp t="s">
        <v>#N/A Requesting Data...2672021919</v>
        <stp/>
        <stp>BDP|120266592568940932</stp>
        <tr r="J658" s="1"/>
      </tp>
      <tp t="s">
        <v>#N/A Requesting Data...3117290949</v>
        <stp/>
        <stp>BDP|880954245282796576</stp>
        <tr r="E1579" s="1"/>
      </tp>
      <tp t="s">
        <v>#N/A Requesting Data...4126056698</v>
        <stp/>
        <stp>BDP|196519698136811081</stp>
        <tr r="E948" s="1"/>
      </tp>
      <tp t="s">
        <v>#N/A Requesting Data...2498787032</v>
        <stp/>
        <stp>BDP|862367946078517546</stp>
        <tr r="E1183" s="1"/>
      </tp>
      <tp t="s">
        <v>#N/A Requesting Data...2735489005</v>
        <stp/>
        <stp>BDP|104587786630104775</stp>
        <tr r="E909" s="1"/>
      </tp>
      <tp t="s">
        <v>#N/A Requesting Data...1634387893</v>
        <stp/>
        <stp>BDP|211789107268670504</stp>
        <tr r="AT382" s="1"/>
      </tp>
      <tp t="s">
        <v>#N/A Requesting Data...2014532708</v>
        <stp/>
        <stp>BDP|470984637381420140</stp>
        <tr r="AS2030" s="1"/>
      </tp>
      <tp t="s">
        <v>#N/A Requesting Data...3078397379</v>
        <stp/>
        <stp>BDP|778875649303126537</stp>
        <tr r="AU737" s="1"/>
      </tp>
      <tp t="s">
        <v>#N/A Requesting Data...2623623151</v>
        <stp/>
        <stp>BDP|412480228474154813</stp>
        <tr r="AV560" s="1"/>
      </tp>
      <tp t="s">
        <v>#N/A Requesting Data...1985629054</v>
        <stp/>
        <stp>BDP|367664065653279975</stp>
        <tr r="H398" s="1"/>
      </tp>
      <tp t="s">
        <v>#N/A Requesting Data...3150796680</v>
        <stp/>
        <stp>BDP|158112034469423168</stp>
        <tr r="J1219" s="1"/>
      </tp>
      <tp t="s">
        <v>#N/A Requesting Data...2338078249</v>
        <stp/>
        <stp>BDP|524604455298794114</stp>
        <tr r="AV747" s="1"/>
      </tp>
      <tp t="s">
        <v>#N/A Requesting Data...2456003049</v>
        <stp/>
        <stp>BDP|805914318457294559</stp>
        <tr r="AV459" s="1"/>
      </tp>
      <tp t="s">
        <v>#N/A Requesting Data...3706372452</v>
        <stp/>
        <stp>BDP|195467073938092137</stp>
        <tr r="AT585" s="1"/>
      </tp>
      <tp t="s">
        <v>#N/A Requesting Data...2248390830</v>
        <stp/>
        <stp>BDP|114845280539187372</stp>
        <tr r="AU42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102"/>
  <sheetViews>
    <sheetView tabSelected="1" workbookViewId="0"/>
  </sheetViews>
  <sheetFormatPr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t="s">
        <v>51</v>
      </c>
      <c r="C2" s="1" t="s">
        <v>52</v>
      </c>
      <c r="E2" s="1"/>
      <c r="G2" t="str">
        <f>custodian!D2</f>
        <v>Cash&amp;Other</v>
      </c>
      <c r="H2" s="1"/>
      <c r="I2" s="1"/>
      <c r="O2" s="1"/>
      <c r="AQ2" s="1"/>
      <c r="AR2" s="1"/>
      <c r="AS2" s="1"/>
    </row>
    <row r="3" spans="1:51" x14ac:dyDescent="0.25">
      <c r="A3" t="s">
        <v>53</v>
      </c>
      <c r="B3" t="s">
        <v>54</v>
      </c>
      <c r="C3" s="1" t="s">
        <v>55</v>
      </c>
      <c r="D3" t="s">
        <v>56</v>
      </c>
      <c r="E3" s="1" t="s">
        <v>56</v>
      </c>
      <c r="F3" t="s">
        <v>57</v>
      </c>
      <c r="G3" t="str">
        <f>custodian!D3</f>
        <v>054540208-TRS-12/01/27-L-CANT</v>
      </c>
      <c r="H3" s="1"/>
      <c r="I3" s="1" t="s">
        <v>55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s="1" t="s">
        <v>63</v>
      </c>
      <c r="V3" t="s">
        <v>64</v>
      </c>
      <c r="Y3" t="s">
        <v>65</v>
      </c>
      <c r="Z3" t="s">
        <v>66</v>
      </c>
      <c r="AA3" t="s">
        <v>67</v>
      </c>
      <c r="AB3" t="s">
        <v>68</v>
      </c>
      <c r="AD3" t="s">
        <v>67</v>
      </c>
      <c r="AE3" t="s">
        <v>69</v>
      </c>
      <c r="AF3" t="s">
        <v>70</v>
      </c>
      <c r="AG3" t="s">
        <v>71</v>
      </c>
      <c r="AH3" t="s">
        <v>72</v>
      </c>
      <c r="AI3" t="s">
        <v>73</v>
      </c>
      <c r="AK3" t="s">
        <v>67</v>
      </c>
      <c r="AL3" t="s">
        <v>68</v>
      </c>
      <c r="AM3" t="s">
        <v>74</v>
      </c>
      <c r="AN3" t="s">
        <v>75</v>
      </c>
      <c r="AO3" t="str">
        <f>_xll.BDP($B3,"ISSUER")</f>
        <v>Axcelis Technologies Inc</v>
      </c>
      <c r="AP3" t="str">
        <f>_xll.BDP($B3,"NAME")</f>
        <v>AXCELIS TECHNOLOGIES INC</v>
      </c>
      <c r="AQ3" s="1" t="s">
        <v>76</v>
      </c>
      <c r="AR3" t="str">
        <f>_xll.BDP($B3,"ID_ISIN")</f>
        <v>US0545402085</v>
      </c>
      <c r="AS3" t="str">
        <f>_xll.BDP($B3,"TICKER")</f>
        <v>ACLS</v>
      </c>
    </row>
    <row r="4" spans="1:51" x14ac:dyDescent="0.25">
      <c r="A4" t="s">
        <v>53</v>
      </c>
      <c r="B4" t="s">
        <v>77</v>
      </c>
      <c r="C4" s="1" t="s">
        <v>78</v>
      </c>
      <c r="D4" t="s">
        <v>79</v>
      </c>
      <c r="E4" t="str">
        <f>_xll.BDP($B4,"LEGAL_ENTITY_IDENTIFIER")</f>
        <v>549300R5MYM6VZF1RM44</v>
      </c>
      <c r="F4" t="s">
        <v>80</v>
      </c>
      <c r="G4" t="str">
        <f>custodian!D4</f>
        <v>31846V336</v>
      </c>
      <c r="H4" t="str">
        <f>_xll.BDP($B4,"ID_ISIN")</f>
        <v>US31846V3362</v>
      </c>
      <c r="I4" s="1" t="s">
        <v>78</v>
      </c>
      <c r="J4" t="str">
        <f>_xll.BDP($B4,"CNTRY_OF_DOMICILE")</f>
        <v>US</v>
      </c>
      <c r="K4" t="s">
        <v>81</v>
      </c>
      <c r="L4" t="s">
        <v>82</v>
      </c>
      <c r="O4" s="1"/>
      <c r="AQ4" s="1"/>
      <c r="AR4" s="1"/>
      <c r="AS4" s="1"/>
    </row>
    <row r="5" spans="1:51" x14ac:dyDescent="0.25">
      <c r="A5" t="s">
        <v>53</v>
      </c>
      <c r="C5" s="1" t="s">
        <v>52</v>
      </c>
      <c r="E5" s="1"/>
      <c r="G5" t="str">
        <f>custodian!D5</f>
        <v>Cash&amp;Other</v>
      </c>
      <c r="H5" s="1"/>
      <c r="I5" s="1"/>
      <c r="O5" s="1"/>
      <c r="AQ5" s="1"/>
      <c r="AR5" s="1"/>
      <c r="AS5" s="1"/>
    </row>
    <row r="6" spans="1:51" x14ac:dyDescent="0.25">
      <c r="A6" t="s">
        <v>83</v>
      </c>
      <c r="B6" t="s">
        <v>84</v>
      </c>
      <c r="C6" s="1" t="s">
        <v>85</v>
      </c>
      <c r="D6" t="s">
        <v>56</v>
      </c>
      <c r="E6" s="1" t="s">
        <v>56</v>
      </c>
      <c r="F6" t="s">
        <v>86</v>
      </c>
      <c r="G6" t="str">
        <f>custodian!D6</f>
        <v>00108J109-TRS-07/26/27-L-MREX</v>
      </c>
      <c r="H6" s="1"/>
      <c r="I6" s="1" t="s">
        <v>85</v>
      </c>
      <c r="J6" t="s">
        <v>58</v>
      </c>
      <c r="K6" t="s">
        <v>59</v>
      </c>
      <c r="L6" t="s">
        <v>60</v>
      </c>
      <c r="M6" t="s">
        <v>61</v>
      </c>
      <c r="N6" t="s">
        <v>87</v>
      </c>
      <c r="O6" s="1" t="s">
        <v>88</v>
      </c>
      <c r="V6" t="s">
        <v>64</v>
      </c>
      <c r="Y6" t="s">
        <v>65</v>
      </c>
      <c r="Z6" t="s">
        <v>89</v>
      </c>
      <c r="AA6" t="s">
        <v>90</v>
      </c>
      <c r="AB6" t="s">
        <v>68</v>
      </c>
      <c r="AD6" t="s">
        <v>90</v>
      </c>
      <c r="AE6" t="s">
        <v>91</v>
      </c>
      <c r="AF6" t="s">
        <v>70</v>
      </c>
      <c r="AG6" t="s">
        <v>92</v>
      </c>
      <c r="AH6" t="s">
        <v>72</v>
      </c>
      <c r="AI6" t="s">
        <v>73</v>
      </c>
      <c r="AK6" t="s">
        <v>90</v>
      </c>
      <c r="AL6" t="s">
        <v>68</v>
      </c>
      <c r="AM6" t="s">
        <v>74</v>
      </c>
      <c r="AN6" t="s">
        <v>75</v>
      </c>
      <c r="AO6" t="str">
        <f>_xll.BDP($B6,"ISSUER")</f>
        <v>ACM Research Inc</v>
      </c>
      <c r="AP6" t="str">
        <f>_xll.BDP($B6,"NAME")</f>
        <v>ACM RESEARCH INC-CLASS A</v>
      </c>
      <c r="AQ6" s="1" t="s">
        <v>93</v>
      </c>
      <c r="AR6" t="str">
        <f>_xll.BDP($B6,"ID_ISIN")</f>
        <v>US00108J1097</v>
      </c>
      <c r="AS6" t="str">
        <f>_xll.BDP($B6,"TICKER")</f>
        <v>ACMR</v>
      </c>
    </row>
    <row r="7" spans="1:51" x14ac:dyDescent="0.25">
      <c r="A7" t="s">
        <v>83</v>
      </c>
      <c r="B7" t="s">
        <v>77</v>
      </c>
      <c r="C7" s="1" t="s">
        <v>78</v>
      </c>
      <c r="D7" t="s">
        <v>79</v>
      </c>
      <c r="E7" t="str">
        <f>_xll.BDP($B7,"LEGAL_ENTITY_IDENTIFIER")</f>
        <v>549300R5MYM6VZF1RM44</v>
      </c>
      <c r="F7" t="s">
        <v>80</v>
      </c>
      <c r="G7" t="str">
        <f>custodian!D7</f>
        <v>31846V336</v>
      </c>
      <c r="H7" t="str">
        <f>_xll.BDP($B7,"ID_ISIN")</f>
        <v>US31846V3362</v>
      </c>
      <c r="I7" s="1" t="s">
        <v>78</v>
      </c>
      <c r="J7" t="str">
        <f>_xll.BDP($B7,"CNTRY_OF_DOMICILE")</f>
        <v>US</v>
      </c>
      <c r="K7" t="s">
        <v>81</v>
      </c>
      <c r="L7" t="s">
        <v>82</v>
      </c>
      <c r="O7" s="1"/>
      <c r="AQ7" s="1"/>
      <c r="AR7" s="1"/>
      <c r="AS7" s="1"/>
    </row>
    <row r="8" spans="1:51" x14ac:dyDescent="0.25">
      <c r="A8" t="s">
        <v>83</v>
      </c>
      <c r="C8" s="1" t="s">
        <v>52</v>
      </c>
      <c r="E8" s="1"/>
      <c r="G8" t="str">
        <f>custodian!D8</f>
        <v>Cash&amp;Other</v>
      </c>
      <c r="H8" s="1"/>
      <c r="I8" s="1"/>
      <c r="O8" s="1"/>
      <c r="AQ8" s="1"/>
      <c r="AR8" s="1"/>
      <c r="AS8" s="1"/>
    </row>
    <row r="9" spans="1:51" x14ac:dyDescent="0.25">
      <c r="A9" t="s">
        <v>94</v>
      </c>
      <c r="B9" t="s">
        <v>95</v>
      </c>
      <c r="C9" s="1" t="s">
        <v>96</v>
      </c>
      <c r="D9" t="s">
        <v>97</v>
      </c>
      <c r="E9" t="str">
        <f>_xll.BDP($B9,"LEGAL_ENTITY_IDENTIFIER")</f>
        <v>IWUQB36BXD6OWD6X4T14</v>
      </c>
      <c r="F9" t="s">
        <v>97</v>
      </c>
      <c r="G9" t="str">
        <f>custodian!D9</f>
        <v>02376R102</v>
      </c>
      <c r="H9" t="str">
        <f>_xll.BDP($B9,"ID_ISIN")</f>
        <v>US02376R1023</v>
      </c>
      <c r="I9" s="1" t="s">
        <v>96</v>
      </c>
      <c r="J9" t="str">
        <f>_xll.BDP($B9,"CNTRY_OF_DOMICILE")</f>
        <v>US</v>
      </c>
      <c r="K9" t="s">
        <v>98</v>
      </c>
      <c r="L9" t="s">
        <v>99</v>
      </c>
      <c r="O9" s="1"/>
      <c r="AQ9" s="1"/>
      <c r="AR9" s="1"/>
      <c r="AS9" s="1"/>
    </row>
    <row r="10" spans="1:51" x14ac:dyDescent="0.25">
      <c r="A10" t="s">
        <v>94</v>
      </c>
      <c r="B10" t="s">
        <v>100</v>
      </c>
      <c r="C10" s="1" t="s">
        <v>101</v>
      </c>
      <c r="D10" t="s">
        <v>102</v>
      </c>
      <c r="E10" t="str">
        <f>_xll.BDP($B10,"LEGAL_ENTITY_IDENTIFIER")</f>
        <v>549300SZYINBBLJQU475</v>
      </c>
      <c r="F10" t="s">
        <v>102</v>
      </c>
      <c r="G10" t="str">
        <f>custodian!D10</f>
        <v>N00985106</v>
      </c>
      <c r="H10" t="str">
        <f>_xll.BDP($B10,"ID_ISIN")</f>
        <v>NL0000687663</v>
      </c>
      <c r="I10" s="1" t="s">
        <v>101</v>
      </c>
      <c r="J10" t="str">
        <f>_xll.BDP($B10,"CNTRY_OF_DOMICILE")</f>
        <v>IE</v>
      </c>
      <c r="K10" t="s">
        <v>98</v>
      </c>
      <c r="L10" t="s">
        <v>99</v>
      </c>
      <c r="O10" s="1"/>
      <c r="AQ10" s="1"/>
      <c r="AR10" s="1"/>
      <c r="AS10" s="1"/>
    </row>
    <row r="11" spans="1:51" x14ac:dyDescent="0.25">
      <c r="A11" t="s">
        <v>94</v>
      </c>
      <c r="B11" t="s">
        <v>103</v>
      </c>
      <c r="C11" s="1" t="s">
        <v>104</v>
      </c>
      <c r="D11" t="s">
        <v>105</v>
      </c>
      <c r="E11" t="str">
        <f>_xll.BDP($B11,"LEGAL_ENTITY_IDENTIFIER")</f>
        <v>MP76T5YQX3YK5VVAQ802</v>
      </c>
      <c r="F11" t="s">
        <v>105</v>
      </c>
      <c r="G11" t="str">
        <f>custodian!D11</f>
        <v>000361105</v>
      </c>
      <c r="H11" t="str">
        <f>_xll.BDP($B11,"ID_ISIN")</f>
        <v>US0003611052</v>
      </c>
      <c r="I11" s="1" t="s">
        <v>104</v>
      </c>
      <c r="J11" t="str">
        <f>_xll.BDP($B11,"CNTRY_OF_DOMICILE")</f>
        <v>US</v>
      </c>
      <c r="K11" t="s">
        <v>98</v>
      </c>
      <c r="L11" t="s">
        <v>99</v>
      </c>
      <c r="O11" s="1"/>
      <c r="AQ11" s="1"/>
      <c r="AR11" s="1"/>
      <c r="AS11" s="1"/>
    </row>
    <row r="12" spans="1:51" x14ac:dyDescent="0.25">
      <c r="A12" t="s">
        <v>94</v>
      </c>
      <c r="B12" t="s">
        <v>106</v>
      </c>
      <c r="C12" s="1" t="s">
        <v>107</v>
      </c>
      <c r="D12" t="s">
        <v>108</v>
      </c>
      <c r="E12" t="str">
        <f>_xll.BDP($B12,"LEGAL_ENTITY_IDENTIFIER")</f>
        <v>549300JM9OZXOHWL2K18</v>
      </c>
      <c r="F12" t="s">
        <v>108</v>
      </c>
      <c r="G12" t="str">
        <f>custodian!D12</f>
        <v>01748X102</v>
      </c>
      <c r="H12" t="str">
        <f>_xll.BDP($B12,"ID_ISIN")</f>
        <v>US01748X1028</v>
      </c>
      <c r="I12" s="1" t="s">
        <v>107</v>
      </c>
      <c r="J12" t="str">
        <f>_xll.BDP($B12,"CNTRY_OF_DOMICILE")</f>
        <v>US</v>
      </c>
      <c r="K12" t="s">
        <v>98</v>
      </c>
      <c r="L12" t="s">
        <v>99</v>
      </c>
      <c r="O12" s="1"/>
      <c r="AQ12" s="1"/>
      <c r="AR12" s="1"/>
      <c r="AS12" s="1"/>
    </row>
    <row r="13" spans="1:51" x14ac:dyDescent="0.25">
      <c r="A13" t="s">
        <v>94</v>
      </c>
      <c r="B13" t="s">
        <v>109</v>
      </c>
      <c r="C13" s="1" t="s">
        <v>110</v>
      </c>
      <c r="D13" t="s">
        <v>111</v>
      </c>
      <c r="E13" t="str">
        <f>_xll.BDP($B13,"LEGAL_ENTITY_IDENTIFIER")</f>
        <v>529900G48RT4KWLC6C27</v>
      </c>
      <c r="F13" t="s">
        <v>111</v>
      </c>
      <c r="G13" t="str">
        <f>custodian!D13</f>
        <v>011659109</v>
      </c>
      <c r="H13" t="str">
        <f>_xll.BDP($B13,"ID_ISIN")</f>
        <v>US0116591092</v>
      </c>
      <c r="I13" s="1" t="s">
        <v>110</v>
      </c>
      <c r="J13" t="str">
        <f>_xll.BDP($B13,"CNTRY_OF_DOMICILE")</f>
        <v>US</v>
      </c>
      <c r="K13" t="s">
        <v>98</v>
      </c>
      <c r="L13" t="s">
        <v>99</v>
      </c>
      <c r="O13" s="1"/>
      <c r="AQ13" s="1"/>
      <c r="AR13" s="1"/>
      <c r="AS13" s="1"/>
    </row>
    <row r="14" spans="1:51" x14ac:dyDescent="0.25">
      <c r="A14" t="s">
        <v>94</v>
      </c>
      <c r="B14" t="s">
        <v>112</v>
      </c>
      <c r="C14" s="1" t="s">
        <v>113</v>
      </c>
      <c r="D14" t="s">
        <v>114</v>
      </c>
      <c r="E14" t="str">
        <f>_xll.BDP($B14,"LEGAL_ENTITY_IDENTIFIER")</f>
        <v>5299001W7JIDXCUOUC82</v>
      </c>
      <c r="F14" t="s">
        <v>115</v>
      </c>
      <c r="G14" t="str">
        <f>custodian!D14</f>
        <v>40051E202</v>
      </c>
      <c r="H14" t="str">
        <f>_xll.BDP($B14,"ID_ISIN")</f>
        <v>US40051E2028</v>
      </c>
      <c r="I14" s="1" t="s">
        <v>113</v>
      </c>
      <c r="J14" t="str">
        <f>_xll.BDP($B14,"CNTRY_OF_DOMICILE")</f>
        <v>MX</v>
      </c>
      <c r="K14" t="s">
        <v>98</v>
      </c>
      <c r="L14" t="s">
        <v>99</v>
      </c>
      <c r="O14" s="1"/>
      <c r="AQ14" s="1"/>
      <c r="AR14" s="1"/>
      <c r="AS14" s="1"/>
    </row>
    <row r="15" spans="1:51" x14ac:dyDescent="0.25">
      <c r="A15" t="s">
        <v>94</v>
      </c>
      <c r="B15" t="s">
        <v>116</v>
      </c>
      <c r="C15" s="1" t="s">
        <v>117</v>
      </c>
      <c r="D15" t="s">
        <v>118</v>
      </c>
      <c r="E15" t="str">
        <f>_xll.BDP($B15,"LEGAL_ENTITY_IDENTIFIER")</f>
        <v>ZW1LRE7C3H17O2ZN9B45</v>
      </c>
      <c r="F15" t="s">
        <v>118</v>
      </c>
      <c r="G15" t="str">
        <f>custodian!D15</f>
        <v>01741R102</v>
      </c>
      <c r="H15" t="str">
        <f>_xll.BDP($B15,"ID_ISIN")</f>
        <v>US01741R1023</v>
      </c>
      <c r="I15" s="1" t="s">
        <v>117</v>
      </c>
      <c r="J15" t="str">
        <f>_xll.BDP($B15,"CNTRY_OF_DOMICILE")</f>
        <v>US</v>
      </c>
      <c r="K15" t="s">
        <v>98</v>
      </c>
      <c r="L15" t="s">
        <v>99</v>
      </c>
      <c r="O15" s="1"/>
      <c r="AQ15" s="1"/>
      <c r="AR15" s="1"/>
      <c r="AS15" s="1"/>
    </row>
    <row r="16" spans="1:51" x14ac:dyDescent="0.25">
      <c r="A16" t="s">
        <v>94</v>
      </c>
      <c r="B16" t="s">
        <v>119</v>
      </c>
      <c r="C16" s="1" t="s">
        <v>120</v>
      </c>
      <c r="D16" t="s">
        <v>121</v>
      </c>
      <c r="E16" t="str">
        <f>_xll.BDP($B16,"LEGAL_ENTITY_IDENTIFIER")</f>
        <v>RVHJWBXLJ1RFUBSY1F30</v>
      </c>
      <c r="F16" t="s">
        <v>121</v>
      </c>
      <c r="G16" t="str">
        <f>custodian!D16</f>
        <v>097023105</v>
      </c>
      <c r="H16" t="str">
        <f>_xll.BDP($B16,"ID_ISIN")</f>
        <v>US0970231058</v>
      </c>
      <c r="I16" s="1" t="s">
        <v>120</v>
      </c>
      <c r="J16" t="str">
        <f>_xll.BDP($B16,"CNTRY_OF_DOMICILE")</f>
        <v>US</v>
      </c>
      <c r="K16" t="s">
        <v>98</v>
      </c>
      <c r="L16" t="s">
        <v>99</v>
      </c>
      <c r="O16" s="1"/>
      <c r="AQ16" s="1"/>
      <c r="AR16" s="1"/>
      <c r="AS16" s="1"/>
    </row>
    <row r="17" spans="1:45" x14ac:dyDescent="0.25">
      <c r="A17" t="s">
        <v>94</v>
      </c>
      <c r="B17" t="s">
        <v>122</v>
      </c>
      <c r="C17" s="1" t="s">
        <v>123</v>
      </c>
      <c r="D17" t="s">
        <v>124</v>
      </c>
      <c r="E17" t="str">
        <f>_xll.BDP($B17,"LEGAL_ENTITY_IDENTIFIER")</f>
        <v>549300FFM2BEH2GF1E44</v>
      </c>
      <c r="F17" t="s">
        <v>124</v>
      </c>
      <c r="G17" t="str">
        <f>custodian!D17</f>
        <v>124765108</v>
      </c>
      <c r="H17" t="str">
        <f>_xll.BDP($B17,"ID_ISIN")</f>
        <v>CA1247651088</v>
      </c>
      <c r="I17" s="1" t="s">
        <v>123</v>
      </c>
      <c r="J17" t="str">
        <f>_xll.BDP($B17,"CNTRY_OF_DOMICILE")</f>
        <v>CA</v>
      </c>
      <c r="K17" t="s">
        <v>98</v>
      </c>
      <c r="L17" t="s">
        <v>99</v>
      </c>
      <c r="O17" s="1"/>
      <c r="AQ17" s="1"/>
      <c r="AR17" s="1"/>
      <c r="AS17" s="1"/>
    </row>
    <row r="18" spans="1:45" x14ac:dyDescent="0.25">
      <c r="A18" t="s">
        <v>94</v>
      </c>
      <c r="B18" t="s">
        <v>125</v>
      </c>
      <c r="C18" s="1" t="s">
        <v>126</v>
      </c>
      <c r="D18" t="s">
        <v>127</v>
      </c>
      <c r="E18" t="str">
        <f>_xll.BDP($B18,"LEGAL_ENTITY_IDENTIFIER")</f>
        <v>529900BB9UQJV6QQHA59</v>
      </c>
      <c r="F18" t="s">
        <v>127</v>
      </c>
      <c r="G18" t="str">
        <f>custodian!D18</f>
        <v>P31076105</v>
      </c>
      <c r="H18" t="str">
        <f>_xll.BDP($B18,"ID_ISIN")</f>
        <v>PAP310761054</v>
      </c>
      <c r="I18" s="1" t="s">
        <v>126</v>
      </c>
      <c r="J18" t="str">
        <f>_xll.BDP($B18,"CNTRY_OF_DOMICILE")</f>
        <v>PA</v>
      </c>
      <c r="K18" t="s">
        <v>98</v>
      </c>
      <c r="L18" t="s">
        <v>99</v>
      </c>
      <c r="O18" s="1"/>
      <c r="AQ18" s="1"/>
      <c r="AR18" s="1"/>
      <c r="AS18" s="1"/>
    </row>
    <row r="19" spans="1:45" x14ac:dyDescent="0.25">
      <c r="A19" t="s">
        <v>94</v>
      </c>
      <c r="B19" t="s">
        <v>128</v>
      </c>
      <c r="C19" s="1" t="s">
        <v>129</v>
      </c>
      <c r="D19" t="s">
        <v>130</v>
      </c>
      <c r="E19" t="str">
        <f>_xll.BDP($B19,"LEGAL_ENTITY_IDENTIFIER")</f>
        <v>DX6I6ZD3X5WNNCDJKP85</v>
      </c>
      <c r="F19" t="s">
        <v>130</v>
      </c>
      <c r="G19" t="str">
        <f>custodian!D19</f>
        <v>144285103</v>
      </c>
      <c r="H19" t="str">
        <f>_xll.BDP($B19,"ID_ISIN")</f>
        <v>US1442851036</v>
      </c>
      <c r="I19" s="1" t="s">
        <v>129</v>
      </c>
      <c r="J19" t="str">
        <f>_xll.BDP($B19,"CNTRY_OF_DOMICILE")</f>
        <v>US</v>
      </c>
      <c r="K19" t="s">
        <v>98</v>
      </c>
      <c r="L19" t="s">
        <v>99</v>
      </c>
      <c r="O19" s="1"/>
      <c r="AQ19" s="1"/>
      <c r="AR19" s="1"/>
      <c r="AS19" s="1"/>
    </row>
    <row r="20" spans="1:45" x14ac:dyDescent="0.25">
      <c r="A20" t="s">
        <v>94</v>
      </c>
      <c r="B20" t="s">
        <v>131</v>
      </c>
      <c r="C20" s="1" t="s">
        <v>132</v>
      </c>
      <c r="D20" t="s">
        <v>133</v>
      </c>
      <c r="E20" t="str">
        <f>_xll.BDP($B20,"LEGAL_ENTITY_IDENTIFIER")</f>
        <v>Q2CCMS6R0AS67HJMBN42</v>
      </c>
      <c r="F20" t="s">
        <v>133</v>
      </c>
      <c r="G20" t="str">
        <f>custodian!D20</f>
        <v>247361702</v>
      </c>
      <c r="H20" t="str">
        <f>_xll.BDP($B20,"ID_ISIN")</f>
        <v>US2473617023</v>
      </c>
      <c r="I20" s="1" t="s">
        <v>132</v>
      </c>
      <c r="J20" t="str">
        <f>_xll.BDP($B20,"CNTRY_OF_DOMICILE")</f>
        <v>US</v>
      </c>
      <c r="K20" t="s">
        <v>98</v>
      </c>
      <c r="L20" t="s">
        <v>99</v>
      </c>
      <c r="O20" s="1"/>
      <c r="AQ20" s="1"/>
      <c r="AR20" s="1"/>
      <c r="AS20" s="1"/>
    </row>
    <row r="21" spans="1:45" x14ac:dyDescent="0.25">
      <c r="A21" t="s">
        <v>94</v>
      </c>
      <c r="B21" t="s">
        <v>134</v>
      </c>
      <c r="C21" s="1" t="s">
        <v>135</v>
      </c>
      <c r="D21" t="s">
        <v>136</v>
      </c>
      <c r="E21" t="str">
        <f>_xll.BDP($B21,"LEGAL_ENTITY_IDENTIFIER")</f>
        <v>549300Z71HMWF90S2214</v>
      </c>
      <c r="F21" t="s">
        <v>136</v>
      </c>
      <c r="G21" t="str">
        <f>custodian!D21</f>
        <v>264147109</v>
      </c>
      <c r="H21" t="str">
        <f>_xll.BDP($B21,"ID_ISIN")</f>
        <v>US2641471097</v>
      </c>
      <c r="I21" s="1" t="s">
        <v>135</v>
      </c>
      <c r="J21" t="str">
        <f>_xll.BDP($B21,"CNTRY_OF_DOMICILE")</f>
        <v>US</v>
      </c>
      <c r="K21" t="s">
        <v>98</v>
      </c>
      <c r="L21" t="s">
        <v>99</v>
      </c>
      <c r="O21" s="1"/>
      <c r="AQ21" s="1"/>
      <c r="AR21" s="1"/>
      <c r="AS21" s="1"/>
    </row>
    <row r="22" spans="1:45" x14ac:dyDescent="0.25">
      <c r="A22" t="s">
        <v>94</v>
      </c>
      <c r="B22" t="s">
        <v>137</v>
      </c>
      <c r="C22" s="1" t="s">
        <v>138</v>
      </c>
      <c r="D22" t="s">
        <v>139</v>
      </c>
      <c r="E22" t="str">
        <f>_xll.BDP($B22,"LEGAL_ENTITY_IDENTIFIER")</f>
        <v>549300EM51WYXFHUY333</v>
      </c>
      <c r="F22" t="s">
        <v>139</v>
      </c>
      <c r="G22" t="str">
        <f>custodian!D22</f>
        <v>29082A107</v>
      </c>
      <c r="H22" t="str">
        <f>_xll.BDP($B22,"ID_ISIN")</f>
        <v>US29082A1079</v>
      </c>
      <c r="I22" s="1" t="s">
        <v>138</v>
      </c>
      <c r="J22" t="str">
        <f>_xll.BDP($B22,"CNTRY_OF_DOMICILE")</f>
        <v>BR</v>
      </c>
      <c r="K22" t="s">
        <v>98</v>
      </c>
      <c r="L22" t="s">
        <v>99</v>
      </c>
      <c r="O22" s="1"/>
      <c r="AQ22" s="1"/>
      <c r="AR22" s="1"/>
      <c r="AS22" s="1"/>
    </row>
    <row r="23" spans="1:45" x14ac:dyDescent="0.25">
      <c r="A23" t="s">
        <v>94</v>
      </c>
      <c r="B23" t="s">
        <v>140</v>
      </c>
      <c r="C23" s="1" t="s">
        <v>141</v>
      </c>
      <c r="D23" t="s">
        <v>142</v>
      </c>
      <c r="E23" t="str">
        <f>_xll.BDP($B23,"LEGAL_ENTITY_IDENTIFIER")</f>
        <v>549300E707U7WNPZN687</v>
      </c>
      <c r="F23" t="s">
        <v>142</v>
      </c>
      <c r="G23" t="str">
        <f>custodian!D23</f>
        <v>31428X106</v>
      </c>
      <c r="H23" t="str">
        <f>_xll.BDP($B23,"ID_ISIN")</f>
        <v>US31428X1063</v>
      </c>
      <c r="I23" s="1" t="s">
        <v>141</v>
      </c>
      <c r="J23" t="str">
        <f>_xll.BDP($B23,"CNTRY_OF_DOMICILE")</f>
        <v>US</v>
      </c>
      <c r="K23" t="s">
        <v>98</v>
      </c>
      <c r="L23" t="s">
        <v>99</v>
      </c>
      <c r="O23" s="1"/>
      <c r="AQ23" s="1"/>
      <c r="AR23" s="1"/>
      <c r="AS23" s="1"/>
    </row>
    <row r="24" spans="1:45" x14ac:dyDescent="0.25">
      <c r="A24" t="s">
        <v>94</v>
      </c>
      <c r="B24" t="s">
        <v>143</v>
      </c>
      <c r="C24" s="1" t="s">
        <v>144</v>
      </c>
      <c r="D24" t="s">
        <v>145</v>
      </c>
      <c r="E24" t="str">
        <f>_xll.BDP($B24,"LEGAL_ENTITY_IDENTIFIER")</f>
        <v>984500Y1DA5A58ICE336</v>
      </c>
      <c r="F24" t="s">
        <v>145</v>
      </c>
      <c r="G24" t="str">
        <f>custodian!D24</f>
        <v>314352105</v>
      </c>
      <c r="H24" t="str">
        <f>_xll.BDP($B24,"ID_ISIN")</f>
        <v>US3143521058</v>
      </c>
      <c r="I24" s="1" t="s">
        <v>144</v>
      </c>
      <c r="J24" t="str">
        <f>_xll.BDP($B24,"CNTRY_OF_DOMICILE")</f>
        <v>US</v>
      </c>
      <c r="K24" t="s">
        <v>98</v>
      </c>
      <c r="L24" t="s">
        <v>99</v>
      </c>
      <c r="O24" s="1"/>
      <c r="AQ24" s="1"/>
      <c r="AR24" s="1"/>
      <c r="AS24" s="1"/>
    </row>
    <row r="25" spans="1:45" x14ac:dyDescent="0.25">
      <c r="A25" t="s">
        <v>94</v>
      </c>
      <c r="B25" t="s">
        <v>77</v>
      </c>
      <c r="C25" s="1" t="s">
        <v>78</v>
      </c>
      <c r="D25" t="s">
        <v>79</v>
      </c>
      <c r="E25" t="str">
        <f>_xll.BDP($B25,"LEGAL_ENTITY_IDENTIFIER")</f>
        <v>549300R5MYM6VZF1RM44</v>
      </c>
      <c r="F25" t="s">
        <v>80</v>
      </c>
      <c r="G25" t="str">
        <f>custodian!D25</f>
        <v>31846V336</v>
      </c>
      <c r="H25" t="str">
        <f>_xll.BDP($B25,"ID_ISIN")</f>
        <v>US31846V3362</v>
      </c>
      <c r="I25" s="1" t="s">
        <v>78</v>
      </c>
      <c r="J25" t="str">
        <f>_xll.BDP($B25,"CNTRY_OF_DOMICILE")</f>
        <v>US</v>
      </c>
      <c r="K25" t="s">
        <v>81</v>
      </c>
      <c r="L25" t="s">
        <v>82</v>
      </c>
      <c r="O25" s="1"/>
      <c r="AQ25" s="1"/>
      <c r="AR25" s="1"/>
      <c r="AS25" s="1"/>
    </row>
    <row r="26" spans="1:45" x14ac:dyDescent="0.25">
      <c r="A26" t="s">
        <v>94</v>
      </c>
      <c r="B26" t="s">
        <v>146</v>
      </c>
      <c r="C26" s="1" t="s">
        <v>147</v>
      </c>
      <c r="D26" t="s">
        <v>148</v>
      </c>
      <c r="E26" t="str">
        <f>_xll.BDP($B26,"LEGAL_ENTITY_IDENTIFIER")</f>
        <v>#N/A N/A</v>
      </c>
      <c r="F26" t="s">
        <v>148</v>
      </c>
      <c r="G26" t="str">
        <f>custodian!D26</f>
        <v>G3730V105</v>
      </c>
      <c r="H26" t="str">
        <f>_xll.BDP($B26,"ID_ISIN")</f>
        <v>KYG3730V1059</v>
      </c>
      <c r="I26" s="1" t="s">
        <v>147</v>
      </c>
      <c r="J26" t="str">
        <f>_xll.BDP($B26,"CNTRY_OF_DOMICILE")</f>
        <v>US</v>
      </c>
      <c r="K26" t="s">
        <v>98</v>
      </c>
      <c r="L26" t="s">
        <v>99</v>
      </c>
      <c r="O26" s="1"/>
      <c r="AQ26" s="1"/>
      <c r="AR26" s="1"/>
      <c r="AS26" s="1"/>
    </row>
    <row r="27" spans="1:45" x14ac:dyDescent="0.25">
      <c r="A27" t="s">
        <v>94</v>
      </c>
      <c r="B27" t="s">
        <v>149</v>
      </c>
      <c r="C27" s="1" t="s">
        <v>150</v>
      </c>
      <c r="D27" t="s">
        <v>151</v>
      </c>
      <c r="E27" t="str">
        <f>_xll.BDP($B27,"LEGAL_ENTITY_IDENTIFIER")</f>
        <v>9C1X8XOOTYY2FNYTVH06</v>
      </c>
      <c r="F27" t="s">
        <v>151</v>
      </c>
      <c r="G27" t="str">
        <f>custodian!D27</f>
        <v>369550108</v>
      </c>
      <c r="H27" t="str">
        <f>_xll.BDP($B27,"ID_ISIN")</f>
        <v>US3695501086</v>
      </c>
      <c r="I27" s="1" t="s">
        <v>150</v>
      </c>
      <c r="J27" t="str">
        <f>_xll.BDP($B27,"CNTRY_OF_DOMICILE")</f>
        <v>US</v>
      </c>
      <c r="K27" t="s">
        <v>98</v>
      </c>
      <c r="L27" t="s">
        <v>99</v>
      </c>
      <c r="O27" s="1"/>
      <c r="AQ27" s="1"/>
      <c r="AR27" s="1"/>
      <c r="AS27" s="1"/>
    </row>
    <row r="28" spans="1:45" x14ac:dyDescent="0.25">
      <c r="A28" t="s">
        <v>94</v>
      </c>
      <c r="B28" t="s">
        <v>152</v>
      </c>
      <c r="C28" s="1" t="s">
        <v>153</v>
      </c>
      <c r="D28" t="s">
        <v>154</v>
      </c>
      <c r="E28" t="str">
        <f>_xll.BDP($B28,"LEGAL_ENTITY_IDENTIFIER")</f>
        <v>3C7474T6CDKPR9K6YT90</v>
      </c>
      <c r="F28" t="s">
        <v>154</v>
      </c>
      <c r="G28" t="str">
        <f>custodian!D28</f>
        <v>369604301</v>
      </c>
      <c r="H28" t="str">
        <f>_xll.BDP($B28,"ID_ISIN")</f>
        <v>US3696043013</v>
      </c>
      <c r="I28" s="1" t="s">
        <v>153</v>
      </c>
      <c r="J28" t="str">
        <f>_xll.BDP($B28,"CNTRY_OF_DOMICILE")</f>
        <v>US</v>
      </c>
      <c r="K28" t="s">
        <v>98</v>
      </c>
      <c r="L28" t="s">
        <v>99</v>
      </c>
      <c r="O28" s="1"/>
      <c r="AQ28" s="1"/>
      <c r="AR28" s="1"/>
      <c r="AS28" s="1"/>
    </row>
    <row r="29" spans="1:45" x14ac:dyDescent="0.25">
      <c r="A29" t="s">
        <v>94</v>
      </c>
      <c r="B29" t="s">
        <v>155</v>
      </c>
      <c r="C29" s="1" t="s">
        <v>156</v>
      </c>
      <c r="D29" t="s">
        <v>157</v>
      </c>
      <c r="E29" t="str">
        <f>_xll.BDP($B29,"LEGAL_ENTITY_IDENTIFIER")</f>
        <v>529900O1DTDLCJ7L0I14</v>
      </c>
      <c r="F29" t="s">
        <v>157</v>
      </c>
      <c r="G29" t="str">
        <f>custodian!D29</f>
        <v>422806109</v>
      </c>
      <c r="H29" t="str">
        <f>_xll.BDP($B29,"ID_ISIN")</f>
        <v>US4228061093</v>
      </c>
      <c r="I29" s="1" t="s">
        <v>156</v>
      </c>
      <c r="J29" t="str">
        <f>_xll.BDP($B29,"CNTRY_OF_DOMICILE")</f>
        <v>US</v>
      </c>
      <c r="K29" t="s">
        <v>98</v>
      </c>
      <c r="L29" t="s">
        <v>99</v>
      </c>
      <c r="O29" s="1"/>
      <c r="AQ29" s="1"/>
      <c r="AR29" s="1"/>
      <c r="AS29" s="1"/>
    </row>
    <row r="30" spans="1:45" x14ac:dyDescent="0.25">
      <c r="A30" t="s">
        <v>94</v>
      </c>
      <c r="B30" t="s">
        <v>158</v>
      </c>
      <c r="C30" s="1" t="s">
        <v>159</v>
      </c>
      <c r="D30" t="s">
        <v>160</v>
      </c>
      <c r="E30" t="str">
        <f>_xll.BDP($B30,"LEGAL_ENTITY_IDENTIFIER")</f>
        <v>549300HO5WFZUT5N2T22</v>
      </c>
      <c r="F30" t="s">
        <v>160</v>
      </c>
      <c r="G30" t="str">
        <f>custodian!D30</f>
        <v>443201108</v>
      </c>
      <c r="H30" t="str">
        <f>_xll.BDP($B30,"ID_ISIN")</f>
        <v>US4432011082</v>
      </c>
      <c r="I30" s="1" t="s">
        <v>159</v>
      </c>
      <c r="J30" t="str">
        <f>_xll.BDP($B30,"CNTRY_OF_DOMICILE")</f>
        <v>US</v>
      </c>
      <c r="K30" t="s">
        <v>98</v>
      </c>
      <c r="L30" t="s">
        <v>99</v>
      </c>
      <c r="O30" s="1"/>
      <c r="AQ30" s="1"/>
      <c r="AR30" s="1"/>
      <c r="AS30" s="1"/>
    </row>
    <row r="31" spans="1:45" x14ac:dyDescent="0.25">
      <c r="A31" t="s">
        <v>94</v>
      </c>
      <c r="B31" t="s">
        <v>161</v>
      </c>
      <c r="C31" s="1" t="s">
        <v>162</v>
      </c>
      <c r="D31" t="s">
        <v>163</v>
      </c>
      <c r="E31" t="str">
        <f>_xll.BDP($B31,"LEGAL_ENTITY_IDENTIFIER")</f>
        <v>S6Q7LW43WUBUHXY2QP69</v>
      </c>
      <c r="F31" t="s">
        <v>163</v>
      </c>
      <c r="G31" t="str">
        <f>custodian!D31</f>
        <v>428291108</v>
      </c>
      <c r="H31" t="str">
        <f>_xll.BDP($B31,"ID_ISIN")</f>
        <v>US4282911084</v>
      </c>
      <c r="I31" s="1" t="s">
        <v>162</v>
      </c>
      <c r="J31" t="str">
        <f>_xll.BDP($B31,"CNTRY_OF_DOMICILE")</f>
        <v>US</v>
      </c>
      <c r="K31" t="s">
        <v>98</v>
      </c>
      <c r="L31" t="s">
        <v>99</v>
      </c>
      <c r="O31" s="1"/>
      <c r="AQ31" s="1"/>
      <c r="AR31" s="1"/>
      <c r="AS31" s="1"/>
    </row>
    <row r="32" spans="1:45" x14ac:dyDescent="0.25">
      <c r="A32" t="s">
        <v>94</v>
      </c>
      <c r="B32" t="s">
        <v>164</v>
      </c>
      <c r="C32" s="1" t="s">
        <v>165</v>
      </c>
      <c r="D32" t="s">
        <v>166</v>
      </c>
      <c r="E32" t="str">
        <f>_xll.BDP($B32,"LEGAL_ENTITY_IDENTIFIER")</f>
        <v>54930070J9H97ZO93T57</v>
      </c>
      <c r="F32" t="s">
        <v>166</v>
      </c>
      <c r="G32" t="str">
        <f>custodian!D32</f>
        <v>477143101</v>
      </c>
      <c r="H32" t="str">
        <f>_xll.BDP($B32,"ID_ISIN")</f>
        <v>US4771431016</v>
      </c>
      <c r="I32" s="1" t="s">
        <v>165</v>
      </c>
      <c r="J32" t="str">
        <f>_xll.BDP($B32,"CNTRY_OF_DOMICILE")</f>
        <v>US</v>
      </c>
      <c r="K32" t="s">
        <v>98</v>
      </c>
      <c r="L32" t="s">
        <v>99</v>
      </c>
      <c r="O32" s="1"/>
      <c r="AQ32" s="1"/>
      <c r="AR32" s="1"/>
      <c r="AS32" s="1"/>
    </row>
    <row r="33" spans="1:45" x14ac:dyDescent="0.25">
      <c r="A33" t="s">
        <v>94</v>
      </c>
      <c r="B33" t="s">
        <v>167</v>
      </c>
      <c r="C33" s="1" t="s">
        <v>168</v>
      </c>
      <c r="D33" t="s">
        <v>169</v>
      </c>
      <c r="E33" t="str">
        <f>_xll.BDP($B33,"LEGAL_ENTITY_IDENTIFIER")</f>
        <v>254900NMVFUM8FO88E56</v>
      </c>
      <c r="F33" t="s">
        <v>169</v>
      </c>
      <c r="G33" t="str">
        <f>custodian!D33</f>
        <v>G65163100</v>
      </c>
      <c r="H33" t="str">
        <f>_xll.BDP($B33,"ID_ISIN")</f>
        <v>KYG651631007</v>
      </c>
      <c r="I33" s="1" t="s">
        <v>168</v>
      </c>
      <c r="J33" t="str">
        <f>_xll.BDP($B33,"CNTRY_OF_DOMICILE")</f>
        <v>US</v>
      </c>
      <c r="K33" t="s">
        <v>98</v>
      </c>
      <c r="L33" t="s">
        <v>99</v>
      </c>
      <c r="O33" s="1"/>
      <c r="AQ33" s="1"/>
      <c r="AR33" s="1"/>
      <c r="AS33" s="1"/>
    </row>
    <row r="34" spans="1:45" x14ac:dyDescent="0.25">
      <c r="A34" t="s">
        <v>94</v>
      </c>
      <c r="B34" t="s">
        <v>170</v>
      </c>
      <c r="C34" s="1" t="s">
        <v>171</v>
      </c>
      <c r="D34" t="s">
        <v>172</v>
      </c>
      <c r="E34" t="str">
        <f>_xll.BDP($B34,"LEGAL_ENTITY_IDENTIFIER")</f>
        <v>DPRBOZP0K5RM2YE8UU08</v>
      </c>
      <c r="F34" t="s">
        <v>172</v>
      </c>
      <c r="G34" t="str">
        <f>custodian!D34</f>
        <v>539830109</v>
      </c>
      <c r="H34" t="str">
        <f>_xll.BDP($B34,"ID_ISIN")</f>
        <v>US5398301094</v>
      </c>
      <c r="I34" s="1" t="s">
        <v>171</v>
      </c>
      <c r="J34" t="str">
        <f>_xll.BDP($B34,"CNTRY_OF_DOMICILE")</f>
        <v>US</v>
      </c>
      <c r="K34" t="s">
        <v>98</v>
      </c>
      <c r="L34" t="s">
        <v>99</v>
      </c>
      <c r="O34" s="1"/>
      <c r="AQ34" s="1"/>
      <c r="AR34" s="1"/>
      <c r="AS34" s="1"/>
    </row>
    <row r="35" spans="1:45" x14ac:dyDescent="0.25">
      <c r="A35" t="s">
        <v>94</v>
      </c>
      <c r="B35" t="s">
        <v>173</v>
      </c>
      <c r="C35" s="1" t="s">
        <v>174</v>
      </c>
      <c r="D35" t="s">
        <v>175</v>
      </c>
      <c r="E35" t="str">
        <f>_xll.BDP($B35,"LEGAL_ENTITY_IDENTIFIER")</f>
        <v>#N/A N/A</v>
      </c>
      <c r="F35" t="s">
        <v>175</v>
      </c>
      <c r="G35" t="str">
        <f>custodian!D35</f>
        <v>53947R105</v>
      </c>
      <c r="H35" t="str">
        <f>_xll.BDP($B35,"ID_ISIN")</f>
        <v>US53947R1059</v>
      </c>
      <c r="I35" s="1" t="s">
        <v>174</v>
      </c>
      <c r="J35" t="str">
        <f>_xll.BDP($B35,"CNTRY_OF_DOMICILE")</f>
        <v>US</v>
      </c>
      <c r="K35" t="s">
        <v>98</v>
      </c>
      <c r="L35" t="s">
        <v>99</v>
      </c>
      <c r="O35" s="1"/>
      <c r="AQ35" s="1"/>
      <c r="AR35" s="1"/>
      <c r="AS35" s="1"/>
    </row>
    <row r="36" spans="1:45" x14ac:dyDescent="0.25">
      <c r="A36" t="s">
        <v>94</v>
      </c>
      <c r="B36" t="s">
        <v>176</v>
      </c>
      <c r="C36" s="1" t="s">
        <v>177</v>
      </c>
      <c r="D36" t="s">
        <v>178</v>
      </c>
      <c r="E36" t="str">
        <f>_xll.BDP($B36,"LEGAL_ENTITY_IDENTIFIER")</f>
        <v>UDTZ87G0STFETI6HGH41</v>
      </c>
      <c r="F36" t="s">
        <v>178</v>
      </c>
      <c r="G36" t="str">
        <f>custodian!D36</f>
        <v>844741108</v>
      </c>
      <c r="H36" t="str">
        <f>_xll.BDP($B36,"ID_ISIN")</f>
        <v>US8447411088</v>
      </c>
      <c r="I36" s="1" t="s">
        <v>177</v>
      </c>
      <c r="J36" t="str">
        <f>_xll.BDP($B36,"CNTRY_OF_DOMICILE")</f>
        <v>US</v>
      </c>
      <c r="K36" t="s">
        <v>98</v>
      </c>
      <c r="L36" t="s">
        <v>99</v>
      </c>
      <c r="O36" s="1"/>
      <c r="AQ36" s="1"/>
      <c r="AR36" s="1"/>
      <c r="AS36" s="1"/>
    </row>
    <row r="37" spans="1:45" x14ac:dyDescent="0.25">
      <c r="A37" t="s">
        <v>94</v>
      </c>
      <c r="B37" t="s">
        <v>179</v>
      </c>
      <c r="C37" s="1" t="s">
        <v>180</v>
      </c>
      <c r="D37" t="s">
        <v>181</v>
      </c>
      <c r="E37" t="str">
        <f>_xll.BDP($B37,"LEGAL_ENTITY_IDENTIFIER")</f>
        <v>549300WM2I4U7OBAHG07</v>
      </c>
      <c r="F37" t="s">
        <v>181</v>
      </c>
      <c r="G37" t="str">
        <f>custodian!D37</f>
        <v>615394202</v>
      </c>
      <c r="H37" t="str">
        <f>_xll.BDP($B37,"ID_ISIN")</f>
        <v>US6153942023</v>
      </c>
      <c r="I37" s="1" t="s">
        <v>180</v>
      </c>
      <c r="J37" t="str">
        <f>_xll.BDP($B37,"CNTRY_OF_DOMICILE")</f>
        <v>US</v>
      </c>
      <c r="K37" t="s">
        <v>98</v>
      </c>
      <c r="L37" t="s">
        <v>99</v>
      </c>
      <c r="O37" s="1"/>
      <c r="AQ37" s="1"/>
      <c r="AR37" s="1"/>
      <c r="AS37" s="1"/>
    </row>
    <row r="38" spans="1:45" x14ac:dyDescent="0.25">
      <c r="A38" t="s">
        <v>94</v>
      </c>
      <c r="B38" t="s">
        <v>182</v>
      </c>
      <c r="C38" s="1" t="s">
        <v>183</v>
      </c>
      <c r="D38" t="s">
        <v>184</v>
      </c>
      <c r="E38" t="str">
        <f>_xll.BDP($B38,"LEGAL_ENTITY_IDENTIFIER")</f>
        <v>RIMU48P07456QXSO0R61</v>
      </c>
      <c r="F38" t="s">
        <v>184</v>
      </c>
      <c r="G38" t="str">
        <f>custodian!D38</f>
        <v>666807102</v>
      </c>
      <c r="H38" t="str">
        <f>_xll.BDP($B38,"ID_ISIN")</f>
        <v>US6668071029</v>
      </c>
      <c r="I38" s="1" t="s">
        <v>183</v>
      </c>
      <c r="J38" t="str">
        <f>_xll.BDP($B38,"CNTRY_OF_DOMICILE")</f>
        <v>US</v>
      </c>
      <c r="K38" t="s">
        <v>98</v>
      </c>
      <c r="L38" t="s">
        <v>99</v>
      </c>
      <c r="O38" s="1"/>
      <c r="AQ38" s="1"/>
      <c r="AR38" s="1"/>
      <c r="AS38" s="1"/>
    </row>
    <row r="39" spans="1:45" x14ac:dyDescent="0.25">
      <c r="A39" t="s">
        <v>94</v>
      </c>
      <c r="B39" t="s">
        <v>185</v>
      </c>
      <c r="C39" s="1" t="s">
        <v>186</v>
      </c>
      <c r="D39" t="s">
        <v>187</v>
      </c>
      <c r="E39" t="str">
        <f>_xll.BDP($B39,"LEGAL_ENTITY_IDENTIFIER")</f>
        <v>4469000001BZ368XFI90</v>
      </c>
      <c r="F39" t="s">
        <v>188</v>
      </c>
      <c r="G39" t="str">
        <f>custodian!D39</f>
        <v>400506101</v>
      </c>
      <c r="H39" t="str">
        <f>_xll.BDP($B39,"ID_ISIN")</f>
        <v>US4005061019</v>
      </c>
      <c r="I39" s="1" t="s">
        <v>186</v>
      </c>
      <c r="J39" t="str">
        <f>_xll.BDP($B39,"CNTRY_OF_DOMICILE")</f>
        <v>MX</v>
      </c>
      <c r="K39" t="s">
        <v>98</v>
      </c>
      <c r="L39" t="s">
        <v>99</v>
      </c>
      <c r="O39" s="1"/>
      <c r="AQ39" s="1"/>
      <c r="AR39" s="1"/>
      <c r="AS39" s="1"/>
    </row>
    <row r="40" spans="1:45" x14ac:dyDescent="0.25">
      <c r="A40" t="s">
        <v>94</v>
      </c>
      <c r="B40" t="s">
        <v>189</v>
      </c>
      <c r="C40" s="1" t="s">
        <v>190</v>
      </c>
      <c r="D40" t="s">
        <v>191</v>
      </c>
      <c r="E40" t="str">
        <f>_xll.BDP($B40,"LEGAL_ENTITY_IDENTIFIER")</f>
        <v>I07WOS4YJ0N7YRFE7309</v>
      </c>
      <c r="F40" t="s">
        <v>191</v>
      </c>
      <c r="G40" t="str">
        <f>custodian!D40</f>
        <v>75513E101</v>
      </c>
      <c r="H40" t="str">
        <f>_xll.BDP($B40,"ID_ISIN")</f>
        <v>US75513E1010</v>
      </c>
      <c r="I40" s="1" t="s">
        <v>190</v>
      </c>
      <c r="J40" t="str">
        <f>_xll.BDP($B40,"CNTRY_OF_DOMICILE")</f>
        <v>US</v>
      </c>
      <c r="K40" t="s">
        <v>98</v>
      </c>
      <c r="L40" t="s">
        <v>99</v>
      </c>
      <c r="O40" s="1"/>
      <c r="AQ40" s="1"/>
      <c r="AR40" s="1"/>
      <c r="AS40" s="1"/>
    </row>
    <row r="41" spans="1:45" x14ac:dyDescent="0.25">
      <c r="A41" t="s">
        <v>94</v>
      </c>
      <c r="B41" t="s">
        <v>192</v>
      </c>
      <c r="C41" s="1" t="s">
        <v>193</v>
      </c>
      <c r="D41" t="s">
        <v>194</v>
      </c>
      <c r="E41" t="str">
        <f>_xll.BDP($B41,"LEGAL_ENTITY_IDENTIFIER")</f>
        <v>635400BR2ROC1FVEBQ56</v>
      </c>
      <c r="F41" t="s">
        <v>194</v>
      </c>
      <c r="G41" t="str">
        <f>custodian!D41</f>
        <v>783513203</v>
      </c>
      <c r="H41" t="str">
        <f>_xll.BDP($B41,"ID_ISIN")</f>
        <v>US7835132033</v>
      </c>
      <c r="I41" s="1" t="s">
        <v>193</v>
      </c>
      <c r="J41" t="str">
        <f>_xll.BDP($B41,"CNTRY_OF_DOMICILE")</f>
        <v>IE</v>
      </c>
      <c r="K41" t="s">
        <v>98</v>
      </c>
      <c r="L41" t="s">
        <v>99</v>
      </c>
      <c r="O41" s="1"/>
      <c r="AQ41" s="1"/>
      <c r="AR41" s="1"/>
      <c r="AS41" s="1"/>
    </row>
    <row r="42" spans="1:45" x14ac:dyDescent="0.25">
      <c r="A42" t="s">
        <v>94</v>
      </c>
      <c r="B42" t="s">
        <v>195</v>
      </c>
      <c r="C42" s="1" t="s">
        <v>196</v>
      </c>
      <c r="D42" t="s">
        <v>197</v>
      </c>
      <c r="E42" t="str">
        <f>_xll.BDP($B42,"LEGAL_ENTITY_IDENTIFIER")</f>
        <v>529900UYS2KGS6Z42P09</v>
      </c>
      <c r="F42" t="s">
        <v>197</v>
      </c>
      <c r="G42" t="str">
        <f>custodian!D42</f>
        <v>830879102</v>
      </c>
      <c r="H42" t="str">
        <f>_xll.BDP($B42,"ID_ISIN")</f>
        <v>US8308791024</v>
      </c>
      <c r="I42" s="1" t="s">
        <v>196</v>
      </c>
      <c r="J42" t="str">
        <f>_xll.BDP($B42,"CNTRY_OF_DOMICILE")</f>
        <v>US</v>
      </c>
      <c r="K42" t="s">
        <v>98</v>
      </c>
      <c r="L42" t="s">
        <v>99</v>
      </c>
      <c r="O42" s="1"/>
      <c r="AQ42" s="1"/>
      <c r="AR42" s="1"/>
      <c r="AS42" s="1"/>
    </row>
    <row r="43" spans="1:45" x14ac:dyDescent="0.25">
      <c r="A43" t="s">
        <v>94</v>
      </c>
      <c r="B43" t="s">
        <v>198</v>
      </c>
      <c r="C43" s="1" t="s">
        <v>199</v>
      </c>
      <c r="D43" t="s">
        <v>200</v>
      </c>
      <c r="E43" t="str">
        <f>_xll.BDP($B43,"LEGAL_ENTITY_IDENTIFIER")</f>
        <v>#N/A N/A</v>
      </c>
      <c r="F43" t="s">
        <v>200</v>
      </c>
      <c r="G43" t="str">
        <f>custodian!D43</f>
        <v>893641100</v>
      </c>
      <c r="H43" t="str">
        <f>_xll.BDP($B43,"ID_ISIN")</f>
        <v>US8936411003</v>
      </c>
      <c r="I43" s="1" t="s">
        <v>199</v>
      </c>
      <c r="J43" t="str">
        <f>_xll.BDP($B43,"CNTRY_OF_DOMICILE")</f>
        <v>US</v>
      </c>
      <c r="K43" t="s">
        <v>98</v>
      </c>
      <c r="L43" t="s">
        <v>99</v>
      </c>
      <c r="O43" s="1"/>
      <c r="AQ43" s="1"/>
      <c r="AR43" s="1"/>
      <c r="AS43" s="1"/>
    </row>
    <row r="44" spans="1:45" x14ac:dyDescent="0.25">
      <c r="A44" t="s">
        <v>94</v>
      </c>
      <c r="B44" t="s">
        <v>201</v>
      </c>
      <c r="C44" s="1" t="s">
        <v>202</v>
      </c>
      <c r="D44" t="s">
        <v>203</v>
      </c>
      <c r="E44" t="str">
        <f>_xll.BDP($B44,"LEGAL_ENTITY_IDENTIFIER")</f>
        <v>3PPKBHUG1HD6BO7RNR87</v>
      </c>
      <c r="F44" t="s">
        <v>203</v>
      </c>
      <c r="G44" t="str">
        <f>custodian!D44</f>
        <v>883203101</v>
      </c>
      <c r="H44" t="str">
        <f>_xll.BDP($B44,"ID_ISIN")</f>
        <v>US8832031012</v>
      </c>
      <c r="I44" s="1" t="s">
        <v>202</v>
      </c>
      <c r="J44" t="str">
        <f>_xll.BDP($B44,"CNTRY_OF_DOMICILE")</f>
        <v>US</v>
      </c>
      <c r="K44" t="s">
        <v>98</v>
      </c>
      <c r="L44" t="s">
        <v>99</v>
      </c>
      <c r="O44" s="1"/>
      <c r="AQ44" s="1"/>
      <c r="AR44" s="1"/>
      <c r="AS44" s="1"/>
    </row>
    <row r="45" spans="1:45" x14ac:dyDescent="0.25">
      <c r="A45" t="s">
        <v>94</v>
      </c>
      <c r="B45" t="s">
        <v>204</v>
      </c>
      <c r="C45" s="1" t="s">
        <v>205</v>
      </c>
      <c r="D45" t="s">
        <v>206</v>
      </c>
      <c r="E45" t="str">
        <f>_xll.BDP($B45,"LEGAL_ENTITY_IDENTIFIER")</f>
        <v>98450079DA0B78DD6764</v>
      </c>
      <c r="F45" t="s">
        <v>206</v>
      </c>
      <c r="G45" t="str">
        <f>custodian!D45</f>
        <v>910047109</v>
      </c>
      <c r="H45" t="str">
        <f>_xll.BDP($B45,"ID_ISIN")</f>
        <v>US9100471096</v>
      </c>
      <c r="I45" s="1" t="s">
        <v>205</v>
      </c>
      <c r="J45" t="str">
        <f>_xll.BDP($B45,"CNTRY_OF_DOMICILE")</f>
        <v>US</v>
      </c>
      <c r="K45" t="s">
        <v>98</v>
      </c>
      <c r="L45" t="s">
        <v>99</v>
      </c>
      <c r="O45" s="1"/>
      <c r="AQ45" s="1"/>
      <c r="AR45" s="1"/>
      <c r="AS45" s="1"/>
    </row>
    <row r="46" spans="1:45" x14ac:dyDescent="0.25">
      <c r="A46" t="s">
        <v>94</v>
      </c>
      <c r="B46" t="s">
        <v>207</v>
      </c>
      <c r="C46" s="1" t="s">
        <v>208</v>
      </c>
      <c r="D46" t="s">
        <v>209</v>
      </c>
      <c r="E46" t="str">
        <f>_xll.BDP($B46,"LEGAL_ENTITY_IDENTIFIER")</f>
        <v>549300DT3Y2BHO6G7T02</v>
      </c>
      <c r="F46" t="s">
        <v>209</v>
      </c>
      <c r="G46" t="str">
        <f>custodian!D46</f>
        <v>35909R108</v>
      </c>
      <c r="H46" t="str">
        <f>_xll.BDP($B46,"ID_ISIN")</f>
        <v>US35909R1086</v>
      </c>
      <c r="I46" s="1" t="s">
        <v>208</v>
      </c>
      <c r="J46" t="str">
        <f>_xll.BDP($B46,"CNTRY_OF_DOMICILE")</f>
        <v>US</v>
      </c>
      <c r="K46" t="s">
        <v>98</v>
      </c>
      <c r="L46" t="s">
        <v>99</v>
      </c>
      <c r="O46" s="1"/>
      <c r="AQ46" s="1"/>
      <c r="AR46" s="1"/>
      <c r="AS46" s="1"/>
    </row>
    <row r="47" spans="1:45" x14ac:dyDescent="0.25">
      <c r="A47" t="s">
        <v>94</v>
      </c>
      <c r="B47" t="s">
        <v>210</v>
      </c>
      <c r="C47" s="1" t="s">
        <v>211</v>
      </c>
      <c r="D47" t="s">
        <v>212</v>
      </c>
      <c r="E47" t="str">
        <f>_xll.BDP($B47,"LEGAL_ENTITY_IDENTIFIER")</f>
        <v>D01LMJZU09ULLNCY6Z23</v>
      </c>
      <c r="F47" t="s">
        <v>212</v>
      </c>
      <c r="G47" t="str">
        <f>custodian!D47</f>
        <v>911312106</v>
      </c>
      <c r="H47" t="str">
        <f>_xll.BDP($B47,"ID_ISIN")</f>
        <v>US9113121068</v>
      </c>
      <c r="I47" s="1" t="s">
        <v>211</v>
      </c>
      <c r="J47" t="str">
        <f>_xll.BDP($B47,"CNTRY_OF_DOMICILE")</f>
        <v>US</v>
      </c>
      <c r="K47" t="s">
        <v>98</v>
      </c>
      <c r="L47" t="s">
        <v>99</v>
      </c>
      <c r="O47" s="1"/>
      <c r="AQ47" s="1"/>
      <c r="AR47" s="1"/>
      <c r="AS47" s="1"/>
    </row>
    <row r="48" spans="1:45" x14ac:dyDescent="0.25">
      <c r="A48" t="s">
        <v>94</v>
      </c>
      <c r="B48" t="s">
        <v>213</v>
      </c>
      <c r="C48" s="1" t="s">
        <v>214</v>
      </c>
      <c r="D48" t="s">
        <v>215</v>
      </c>
      <c r="E48" t="str">
        <f>_xll.BDP($B48,"LEGAL_ENTITY_IDENTIFIER")</f>
        <v>YPYKXXTR8TFDH54ZMB45</v>
      </c>
      <c r="F48" t="s">
        <v>215</v>
      </c>
      <c r="G48" t="str">
        <f>custodian!D48</f>
        <v>980745103</v>
      </c>
      <c r="H48" t="str">
        <f>_xll.BDP($B48,"ID_ISIN")</f>
        <v>US9807451037</v>
      </c>
      <c r="I48" s="1" t="s">
        <v>214</v>
      </c>
      <c r="J48" t="str">
        <f>_xll.BDP($B48,"CNTRY_OF_DOMICILE")</f>
        <v>US</v>
      </c>
      <c r="K48" t="s">
        <v>98</v>
      </c>
      <c r="L48" t="s">
        <v>99</v>
      </c>
      <c r="O48" s="1"/>
      <c r="AQ48" s="1"/>
      <c r="AR48" s="1"/>
      <c r="AS48" s="1"/>
    </row>
    <row r="49" spans="1:45" x14ac:dyDescent="0.25">
      <c r="A49" t="s">
        <v>94</v>
      </c>
      <c r="C49" s="1" t="s">
        <v>52</v>
      </c>
      <c r="E49" s="1"/>
      <c r="G49" t="str">
        <f>custodian!D49</f>
        <v>Cash&amp;Other</v>
      </c>
      <c r="H49" s="1"/>
      <c r="I49" s="1"/>
      <c r="O49" s="1"/>
      <c r="AQ49" s="1"/>
      <c r="AR49" s="1"/>
      <c r="AS49" s="1"/>
    </row>
    <row r="50" spans="1:45" x14ac:dyDescent="0.25">
      <c r="A50" t="s">
        <v>216</v>
      </c>
      <c r="B50" t="s">
        <v>217</v>
      </c>
      <c r="C50" s="1" t="s">
        <v>218</v>
      </c>
      <c r="D50" t="s">
        <v>219</v>
      </c>
      <c r="E50" t="str">
        <f>_xll.BDP($B50,"LEGAL_ENTITY_IDENTIFIER")</f>
        <v>HWUPKR0MPOU8FGXBT394</v>
      </c>
      <c r="F50" t="s">
        <v>219</v>
      </c>
      <c r="G50" t="str">
        <f>custodian!D50</f>
        <v>037833100</v>
      </c>
      <c r="H50" t="str">
        <f>_xll.BDP($B50,"ID_ISIN")</f>
        <v>US0378331005</v>
      </c>
      <c r="I50" s="1" t="s">
        <v>218</v>
      </c>
      <c r="J50" t="str">
        <f>_xll.BDP($B50,"CNTRY_OF_DOMICILE")</f>
        <v>US</v>
      </c>
      <c r="K50" t="s">
        <v>98</v>
      </c>
      <c r="L50" t="s">
        <v>99</v>
      </c>
      <c r="O50" s="1"/>
      <c r="AQ50" s="1"/>
      <c r="AR50" s="1"/>
      <c r="AS50" s="1"/>
    </row>
    <row r="51" spans="1:45" x14ac:dyDescent="0.25">
      <c r="A51" t="s">
        <v>216</v>
      </c>
      <c r="B51" t="s">
        <v>220</v>
      </c>
      <c r="C51" s="1" t="s">
        <v>221</v>
      </c>
      <c r="D51" t="s">
        <v>222</v>
      </c>
      <c r="E51" t="str">
        <f>_xll.BDP($B51,"LEGAL_ENTITY_IDENTIFIER")</f>
        <v>549300HMUDNO0RY56D37</v>
      </c>
      <c r="F51" t="s">
        <v>222</v>
      </c>
      <c r="G51" t="str">
        <f>custodian!D51</f>
        <v>009066101</v>
      </c>
      <c r="H51" t="str">
        <f>_xll.BDP($B51,"ID_ISIN")</f>
        <v>US0090661010</v>
      </c>
      <c r="I51" s="1" t="s">
        <v>221</v>
      </c>
      <c r="J51" t="str">
        <f>_xll.BDP($B51,"CNTRY_OF_DOMICILE")</f>
        <v>US</v>
      </c>
      <c r="K51" t="s">
        <v>98</v>
      </c>
      <c r="L51" t="s">
        <v>99</v>
      </c>
      <c r="O51" s="1"/>
      <c r="AQ51" s="1"/>
      <c r="AR51" s="1"/>
      <c r="AS51" s="1"/>
    </row>
    <row r="52" spans="1:45" x14ac:dyDescent="0.25">
      <c r="A52" t="s">
        <v>216</v>
      </c>
      <c r="B52" t="s">
        <v>223</v>
      </c>
      <c r="C52" s="1" t="s">
        <v>224</v>
      </c>
      <c r="D52" t="s">
        <v>225</v>
      </c>
      <c r="E52" t="str">
        <f>_xll.BDP($B52,"LEGAL_ENTITY_IDENTIFIER")</f>
        <v>FU4LY2G4933NH2E1CP29</v>
      </c>
      <c r="F52" t="s">
        <v>225</v>
      </c>
      <c r="G52" t="str">
        <f>custodian!D52</f>
        <v>00724F101</v>
      </c>
      <c r="H52" t="str">
        <f>_xll.BDP($B52,"ID_ISIN")</f>
        <v>US00724F1012</v>
      </c>
      <c r="I52" s="1" t="s">
        <v>224</v>
      </c>
      <c r="J52" t="str">
        <f>_xll.BDP($B52,"CNTRY_OF_DOMICILE")</f>
        <v>US</v>
      </c>
      <c r="K52" t="s">
        <v>98</v>
      </c>
      <c r="L52" t="s">
        <v>99</v>
      </c>
      <c r="O52" s="1"/>
      <c r="AQ52" s="1"/>
      <c r="AR52" s="1"/>
      <c r="AS52" s="1"/>
    </row>
    <row r="53" spans="1:45" x14ac:dyDescent="0.25">
      <c r="A53" t="s">
        <v>216</v>
      </c>
      <c r="B53" t="s">
        <v>226</v>
      </c>
      <c r="C53" s="1" t="s">
        <v>227</v>
      </c>
      <c r="D53" t="s">
        <v>228</v>
      </c>
      <c r="E53" t="str">
        <f>_xll.BDP($B53,"LEGAL_ENTITY_IDENTIFIER")</f>
        <v>FRKKVKAIQEF3FCSTPG55</v>
      </c>
      <c r="F53" t="s">
        <v>228</v>
      </c>
      <c r="G53" t="str">
        <f>custodian!D53</f>
        <v>052769106</v>
      </c>
      <c r="H53" t="str">
        <f>_xll.BDP($B53,"ID_ISIN")</f>
        <v>US0527691069</v>
      </c>
      <c r="I53" s="1" t="s">
        <v>227</v>
      </c>
      <c r="J53" t="str">
        <f>_xll.BDP($B53,"CNTRY_OF_DOMICILE")</f>
        <v>US</v>
      </c>
      <c r="K53" t="s">
        <v>98</v>
      </c>
      <c r="L53" t="s">
        <v>99</v>
      </c>
      <c r="O53" s="1"/>
      <c r="AQ53" s="1"/>
      <c r="AR53" s="1"/>
      <c r="AS53" s="1"/>
    </row>
    <row r="54" spans="1:45" x14ac:dyDescent="0.25">
      <c r="A54" t="s">
        <v>216</v>
      </c>
      <c r="B54" t="s">
        <v>229</v>
      </c>
      <c r="C54" s="1" t="s">
        <v>230</v>
      </c>
      <c r="D54" t="s">
        <v>231</v>
      </c>
      <c r="E54" t="str">
        <f>_xll.BDP($B54,"LEGAL_ENTITY_IDENTIFIER")</f>
        <v>#N/A N/A</v>
      </c>
      <c r="F54" t="s">
        <v>231</v>
      </c>
      <c r="G54" t="str">
        <f>custodian!D54</f>
        <v>00827B106</v>
      </c>
      <c r="H54" t="str">
        <f>_xll.BDP($B54,"ID_ISIN")</f>
        <v>US00827B1061</v>
      </c>
      <c r="I54" s="1" t="s">
        <v>230</v>
      </c>
      <c r="J54" t="str">
        <f>_xll.BDP($B54,"CNTRY_OF_DOMICILE")</f>
        <v>US</v>
      </c>
      <c r="K54" t="s">
        <v>98</v>
      </c>
      <c r="L54" t="s">
        <v>99</v>
      </c>
      <c r="O54" s="1"/>
      <c r="AQ54" s="1"/>
      <c r="AR54" s="1"/>
      <c r="AS54" s="1"/>
    </row>
    <row r="55" spans="1:45" x14ac:dyDescent="0.25">
      <c r="A55" t="s">
        <v>216</v>
      </c>
      <c r="B55" t="s">
        <v>232</v>
      </c>
      <c r="C55" s="1" t="s">
        <v>233</v>
      </c>
      <c r="D55" t="s">
        <v>234</v>
      </c>
      <c r="E55" t="str">
        <f>_xll.BDP($B55,"LEGAL_ENTITY_IDENTIFIER")</f>
        <v>529900LJL8TUEGF7HG20</v>
      </c>
      <c r="F55" t="s">
        <v>234</v>
      </c>
      <c r="G55" t="str">
        <f>custodian!D55</f>
        <v>04626A103</v>
      </c>
      <c r="H55" t="str">
        <f>_xll.BDP($B55,"ID_ISIN")</f>
        <v>US04626A1034</v>
      </c>
      <c r="I55" s="1" t="s">
        <v>233</v>
      </c>
      <c r="J55" t="str">
        <f>_xll.BDP($B55,"CNTRY_OF_DOMICILE")</f>
        <v>US</v>
      </c>
      <c r="K55" t="s">
        <v>98</v>
      </c>
      <c r="L55" t="s">
        <v>99</v>
      </c>
      <c r="O55" s="1"/>
      <c r="AQ55" s="1"/>
      <c r="AR55" s="1"/>
      <c r="AS55" s="1"/>
    </row>
    <row r="56" spans="1:45" x14ac:dyDescent="0.25">
      <c r="A56" t="s">
        <v>216</v>
      </c>
      <c r="B56" t="s">
        <v>235</v>
      </c>
      <c r="C56" s="1" t="s">
        <v>236</v>
      </c>
      <c r="D56" t="s">
        <v>237</v>
      </c>
      <c r="E56" t="str">
        <f>_xll.BDP($B56,"LEGAL_ENTITY_IDENTIFIER")</f>
        <v>41BNNE1AFPNAZELZ6K07</v>
      </c>
      <c r="F56" t="s">
        <v>237</v>
      </c>
      <c r="G56" t="str">
        <f>custodian!D56</f>
        <v>038222105</v>
      </c>
      <c r="H56" t="str">
        <f>_xll.BDP($B56,"ID_ISIN")</f>
        <v>US0382221051</v>
      </c>
      <c r="I56" s="1" t="s">
        <v>236</v>
      </c>
      <c r="J56" t="str">
        <f>_xll.BDP($B56,"CNTRY_OF_DOMICILE")</f>
        <v>US</v>
      </c>
      <c r="K56" t="s">
        <v>98</v>
      </c>
      <c r="L56" t="s">
        <v>99</v>
      </c>
      <c r="O56" s="1"/>
      <c r="AQ56" s="1"/>
      <c r="AR56" s="1"/>
      <c r="AS56" s="1"/>
    </row>
    <row r="57" spans="1:45" x14ac:dyDescent="0.25">
      <c r="A57" t="s">
        <v>216</v>
      </c>
      <c r="B57" t="s">
        <v>238</v>
      </c>
      <c r="C57" s="1" t="s">
        <v>239</v>
      </c>
      <c r="D57" t="s">
        <v>240</v>
      </c>
      <c r="E57" t="str">
        <f>_xll.BDP($B57,"LEGAL_ENTITY_IDENTIFIER")</f>
        <v>R2I72C950HOYXII45366</v>
      </c>
      <c r="F57" t="s">
        <v>240</v>
      </c>
      <c r="G57" t="str">
        <f>custodian!D57</f>
        <v>007903107</v>
      </c>
      <c r="H57" t="str">
        <f>_xll.BDP($B57,"ID_ISIN")</f>
        <v>US0079031078</v>
      </c>
      <c r="I57" s="1" t="s">
        <v>239</v>
      </c>
      <c r="J57" t="str">
        <f>_xll.BDP($B57,"CNTRY_OF_DOMICILE")</f>
        <v>US</v>
      </c>
      <c r="K57" t="s">
        <v>98</v>
      </c>
      <c r="L57" t="s">
        <v>99</v>
      </c>
      <c r="O57" s="1"/>
      <c r="AQ57" s="1"/>
      <c r="AR57" s="1"/>
      <c r="AS57" s="1"/>
    </row>
    <row r="58" spans="1:45" x14ac:dyDescent="0.25">
      <c r="A58" t="s">
        <v>216</v>
      </c>
      <c r="B58" t="s">
        <v>241</v>
      </c>
      <c r="C58" s="1" t="s">
        <v>242</v>
      </c>
      <c r="D58" t="s">
        <v>243</v>
      </c>
      <c r="E58" t="str">
        <f>_xll.BDP($B58,"LEGAL_ENTITY_IDENTIFIER")</f>
        <v>549300LLVXMUAOL3SQ07</v>
      </c>
      <c r="F58" t="s">
        <v>243</v>
      </c>
      <c r="G58" t="str">
        <f>custodian!D58</f>
        <v>03831W108</v>
      </c>
      <c r="H58" t="str">
        <f>_xll.BDP($B58,"ID_ISIN")</f>
        <v>US03831W1080</v>
      </c>
      <c r="I58" s="1" t="s">
        <v>242</v>
      </c>
      <c r="J58" t="str">
        <f>_xll.BDP($B58,"CNTRY_OF_DOMICILE")</f>
        <v>US</v>
      </c>
      <c r="K58" t="s">
        <v>98</v>
      </c>
      <c r="L58" t="s">
        <v>99</v>
      </c>
      <c r="O58" s="1"/>
      <c r="AQ58" s="1"/>
      <c r="AR58" s="1"/>
      <c r="AS58" s="1"/>
    </row>
    <row r="59" spans="1:45" x14ac:dyDescent="0.25">
      <c r="A59" t="s">
        <v>216</v>
      </c>
      <c r="B59" t="s">
        <v>244</v>
      </c>
      <c r="C59" s="1" t="s">
        <v>245</v>
      </c>
      <c r="D59" t="s">
        <v>246</v>
      </c>
      <c r="E59" t="str">
        <f>_xll.BDP($B59,"LEGAL_ENTITY_IDENTIFIER")</f>
        <v>549300WV6GIDOZJTV909</v>
      </c>
      <c r="F59" t="s">
        <v>246</v>
      </c>
      <c r="G59" t="str">
        <f>custodian!D59</f>
        <v>11135F101</v>
      </c>
      <c r="H59" t="str">
        <f>_xll.BDP($B59,"ID_ISIN")</f>
        <v>US11135F1012</v>
      </c>
      <c r="I59" s="1" t="s">
        <v>245</v>
      </c>
      <c r="J59" t="str">
        <f>_xll.BDP($B59,"CNTRY_OF_DOMICILE")</f>
        <v>US</v>
      </c>
      <c r="K59" t="s">
        <v>98</v>
      </c>
      <c r="L59" t="s">
        <v>99</v>
      </c>
      <c r="O59" s="1"/>
      <c r="AQ59" s="1"/>
      <c r="AR59" s="1"/>
      <c r="AS59" s="1"/>
    </row>
    <row r="60" spans="1:45" x14ac:dyDescent="0.25">
      <c r="A60" t="s">
        <v>216</v>
      </c>
      <c r="B60" t="s">
        <v>247</v>
      </c>
      <c r="C60" s="1" t="s">
        <v>248</v>
      </c>
      <c r="D60" t="s">
        <v>249</v>
      </c>
      <c r="E60" t="str">
        <f>_xll.BDP($B60,"LEGAL_ENTITY_IDENTIFIER")</f>
        <v>54930028YG89VTY2J114</v>
      </c>
      <c r="F60" t="s">
        <v>249</v>
      </c>
      <c r="G60" t="str">
        <f>custodian!D60</f>
        <v>10806X102</v>
      </c>
      <c r="H60" t="str">
        <f>_xll.BDP($B60,"ID_ISIN")</f>
        <v>US10806X1028</v>
      </c>
      <c r="I60" s="1" t="s">
        <v>248</v>
      </c>
      <c r="J60" t="str">
        <f>_xll.BDP($B60,"CNTRY_OF_DOMICILE")</f>
        <v>US</v>
      </c>
      <c r="K60" t="s">
        <v>98</v>
      </c>
      <c r="L60" t="s">
        <v>99</v>
      </c>
      <c r="O60" s="1"/>
      <c r="AQ60" s="1"/>
      <c r="AR60" s="1"/>
      <c r="AS60" s="1"/>
    </row>
    <row r="61" spans="1:45" x14ac:dyDescent="0.25">
      <c r="A61" t="s">
        <v>216</v>
      </c>
      <c r="B61" t="s">
        <v>250</v>
      </c>
      <c r="C61" s="1" t="s">
        <v>251</v>
      </c>
      <c r="D61" t="s">
        <v>252</v>
      </c>
      <c r="E61" t="str">
        <f>_xll.BDP($B61,"LEGAL_ENTITY_IDENTIFIER")</f>
        <v>549300XB5J9BFW5JXV97</v>
      </c>
      <c r="F61" t="s">
        <v>252</v>
      </c>
      <c r="G61" t="str">
        <f>custodian!D61</f>
        <v>093712107</v>
      </c>
      <c r="H61" t="str">
        <f>_xll.BDP($B61,"ID_ISIN")</f>
        <v>US0937121079</v>
      </c>
      <c r="I61" s="1" t="s">
        <v>251</v>
      </c>
      <c r="J61" t="str">
        <f>_xll.BDP($B61,"CNTRY_OF_DOMICILE")</f>
        <v>US</v>
      </c>
      <c r="K61" t="s">
        <v>98</v>
      </c>
      <c r="L61" t="s">
        <v>99</v>
      </c>
      <c r="O61" s="1"/>
      <c r="AQ61" s="1"/>
      <c r="AR61" s="1"/>
      <c r="AS61" s="1"/>
    </row>
    <row r="62" spans="1:45" x14ac:dyDescent="0.25">
      <c r="A62" t="s">
        <v>216</v>
      </c>
      <c r="B62" t="s">
        <v>253</v>
      </c>
      <c r="C62" s="1" t="s">
        <v>254</v>
      </c>
      <c r="D62" t="s">
        <v>255</v>
      </c>
      <c r="E62" t="str">
        <f>_xll.BDP($B62,"LEGAL_ENTITY_IDENTIFIER")</f>
        <v>54930044KVSC06Z79I06</v>
      </c>
      <c r="F62" t="s">
        <v>255</v>
      </c>
      <c r="G62" t="str">
        <f>custodian!D62</f>
        <v>189054109</v>
      </c>
      <c r="H62" t="str">
        <f>_xll.BDP($B62,"ID_ISIN")</f>
        <v>US1890541097</v>
      </c>
      <c r="I62" s="1" t="s">
        <v>254</v>
      </c>
      <c r="J62" t="str">
        <f>_xll.BDP($B62,"CNTRY_OF_DOMICILE")</f>
        <v>US</v>
      </c>
      <c r="K62" t="s">
        <v>98</v>
      </c>
      <c r="L62" t="s">
        <v>99</v>
      </c>
      <c r="O62" s="1"/>
      <c r="AQ62" s="1"/>
      <c r="AR62" s="1"/>
      <c r="AS62" s="1"/>
    </row>
    <row r="63" spans="1:45" x14ac:dyDescent="0.25">
      <c r="A63" t="s">
        <v>216</v>
      </c>
      <c r="B63" t="s">
        <v>256</v>
      </c>
      <c r="C63" s="1" t="s">
        <v>257</v>
      </c>
      <c r="D63" t="s">
        <v>258</v>
      </c>
      <c r="E63" t="str">
        <f>_xll.BDP($B63,"LEGAL_ENTITY_IDENTIFIER")</f>
        <v>5493004G3J2SC154DU06</v>
      </c>
      <c r="F63" t="s">
        <v>258</v>
      </c>
      <c r="G63" t="str">
        <f>custodian!D63</f>
        <v>19260Q107</v>
      </c>
      <c r="H63" t="str">
        <f>_xll.BDP($B63,"ID_ISIN")</f>
        <v>US19260Q1076</v>
      </c>
      <c r="I63" s="1" t="s">
        <v>257</v>
      </c>
      <c r="J63" t="str">
        <f>_xll.BDP($B63,"CNTRY_OF_DOMICILE")</f>
        <v>US</v>
      </c>
      <c r="K63" t="s">
        <v>98</v>
      </c>
      <c r="L63" t="s">
        <v>99</v>
      </c>
      <c r="O63" s="1"/>
      <c r="AQ63" s="1"/>
      <c r="AR63" s="1"/>
      <c r="AS63" s="1"/>
    </row>
    <row r="64" spans="1:45" x14ac:dyDescent="0.25">
      <c r="A64" t="s">
        <v>216</v>
      </c>
      <c r="B64" t="s">
        <v>259</v>
      </c>
      <c r="C64" s="1" t="s">
        <v>260</v>
      </c>
      <c r="D64" t="s">
        <v>261</v>
      </c>
      <c r="E64" t="str">
        <f>_xll.BDP($B64,"LEGAL_ENTITY_IDENTIFIER")</f>
        <v>QJKMVPIGLH7530PCUE20</v>
      </c>
      <c r="F64" t="s">
        <v>261</v>
      </c>
      <c r="G64" t="str">
        <f>custodian!D64</f>
        <v>216648501</v>
      </c>
      <c r="H64" t="str">
        <f>_xll.BDP($B64,"ID_ISIN")</f>
        <v>US2166485019</v>
      </c>
      <c r="I64" s="1" t="s">
        <v>260</v>
      </c>
      <c r="J64" t="str">
        <f>_xll.BDP($B64,"CNTRY_OF_DOMICILE")</f>
        <v>US</v>
      </c>
      <c r="K64" t="s">
        <v>98</v>
      </c>
      <c r="L64" t="s">
        <v>99</v>
      </c>
      <c r="O64" s="1"/>
      <c r="AQ64" s="1"/>
      <c r="AR64" s="1"/>
      <c r="AS64" s="1"/>
    </row>
    <row r="65" spans="1:45" x14ac:dyDescent="0.25">
      <c r="A65" t="s">
        <v>216</v>
      </c>
      <c r="B65" t="s">
        <v>262</v>
      </c>
      <c r="C65" s="1" t="s">
        <v>263</v>
      </c>
      <c r="D65" t="s">
        <v>264</v>
      </c>
      <c r="E65" t="str">
        <f>_xll.BDP($B65,"LEGAL_ENTITY_IDENTIFIER")</f>
        <v>RCGZFPDMRW58VJ54VR07</v>
      </c>
      <c r="F65" t="s">
        <v>264</v>
      </c>
      <c r="G65" t="str">
        <f>custodian!D65</f>
        <v>79466L302</v>
      </c>
      <c r="H65" t="str">
        <f>_xll.BDP($B65,"ID_ISIN")</f>
        <v>US79466L3024</v>
      </c>
      <c r="I65" s="1" t="s">
        <v>263</v>
      </c>
      <c r="J65" t="str">
        <f>_xll.BDP($B65,"CNTRY_OF_DOMICILE")</f>
        <v>US</v>
      </c>
      <c r="K65" t="s">
        <v>98</v>
      </c>
      <c r="L65" t="s">
        <v>99</v>
      </c>
      <c r="O65" s="1"/>
      <c r="AQ65" s="1"/>
      <c r="AR65" s="1"/>
      <c r="AS65" s="1"/>
    </row>
    <row r="66" spans="1:45" x14ac:dyDescent="0.25">
      <c r="A66" t="s">
        <v>216</v>
      </c>
      <c r="B66" t="s">
        <v>265</v>
      </c>
      <c r="C66" s="1" t="s">
        <v>266</v>
      </c>
      <c r="D66" t="s">
        <v>267</v>
      </c>
      <c r="E66" t="str">
        <f>_xll.BDP($B66,"LEGAL_ENTITY_IDENTIFIER")</f>
        <v>549300LKFJ962MZ46593</v>
      </c>
      <c r="F66" t="s">
        <v>267</v>
      </c>
      <c r="G66" t="str">
        <f>custodian!D66</f>
        <v>17275R102</v>
      </c>
      <c r="H66" t="str">
        <f>_xll.BDP($B66,"ID_ISIN")</f>
        <v>US17275R1023</v>
      </c>
      <c r="I66" s="1" t="s">
        <v>266</v>
      </c>
      <c r="J66" t="str">
        <f>_xll.BDP($B66,"CNTRY_OF_DOMICILE")</f>
        <v>US</v>
      </c>
      <c r="K66" t="s">
        <v>98</v>
      </c>
      <c r="L66" t="s">
        <v>99</v>
      </c>
      <c r="O66" s="1"/>
      <c r="AQ66" s="1"/>
      <c r="AR66" s="1"/>
      <c r="AS66" s="1"/>
    </row>
    <row r="67" spans="1:45" x14ac:dyDescent="0.25">
      <c r="A67" t="s">
        <v>216</v>
      </c>
      <c r="B67" t="s">
        <v>268</v>
      </c>
      <c r="C67" s="1" t="s">
        <v>269</v>
      </c>
      <c r="D67" t="s">
        <v>270</v>
      </c>
      <c r="E67" t="str">
        <f>_xll.BDP($B67,"LEGAL_ENTITY_IDENTIFIER")</f>
        <v>549300NUQ43FGGSK5051</v>
      </c>
      <c r="F67" t="s">
        <v>270</v>
      </c>
      <c r="G67" t="str">
        <f>custodian!D67</f>
        <v>25809K105</v>
      </c>
      <c r="H67" t="str">
        <f>_xll.BDP($B67,"ID_ISIN")</f>
        <v>US25809K1051</v>
      </c>
      <c r="I67" s="1" t="s">
        <v>269</v>
      </c>
      <c r="J67" t="str">
        <f>_xll.BDP($B67,"CNTRY_OF_DOMICILE")</f>
        <v>US</v>
      </c>
      <c r="K67" t="s">
        <v>98</v>
      </c>
      <c r="L67" t="s">
        <v>99</v>
      </c>
      <c r="O67" s="1"/>
      <c r="AQ67" s="1"/>
      <c r="AR67" s="1"/>
      <c r="AS67" s="1"/>
    </row>
    <row r="68" spans="1:45" x14ac:dyDescent="0.25">
      <c r="A68" t="s">
        <v>216</v>
      </c>
      <c r="B68" t="s">
        <v>271</v>
      </c>
      <c r="C68" s="1" t="s">
        <v>272</v>
      </c>
      <c r="D68" t="s">
        <v>273</v>
      </c>
      <c r="E68" t="str">
        <f>_xll.BDP($B68,"LEGAL_ENTITY_IDENTIFIER")</f>
        <v>OML71K8X303XQONU6T67</v>
      </c>
      <c r="F68" t="s">
        <v>273</v>
      </c>
      <c r="G68" t="str">
        <f>custodian!D68</f>
        <v>278642103</v>
      </c>
      <c r="H68" t="str">
        <f>_xll.BDP($B68,"ID_ISIN")</f>
        <v>US2786421030</v>
      </c>
      <c r="I68" s="1" t="s">
        <v>272</v>
      </c>
      <c r="J68" t="str">
        <f>_xll.BDP($B68,"CNTRY_OF_DOMICILE")</f>
        <v>US</v>
      </c>
      <c r="K68" t="s">
        <v>98</v>
      </c>
      <c r="L68" t="s">
        <v>99</v>
      </c>
      <c r="O68" s="1"/>
      <c r="AQ68" s="1"/>
      <c r="AR68" s="1"/>
      <c r="AS68" s="1"/>
    </row>
    <row r="69" spans="1:45" x14ac:dyDescent="0.25">
      <c r="A69" t="s">
        <v>216</v>
      </c>
      <c r="B69" t="s">
        <v>274</v>
      </c>
      <c r="C69" s="1" t="s">
        <v>275</v>
      </c>
      <c r="D69" t="s">
        <v>276</v>
      </c>
      <c r="E69" t="str">
        <f>_xll.BDP($B69,"LEGAL_ENTITY_IDENTIFIER")</f>
        <v>549300TR2H2VEFX0NC60</v>
      </c>
      <c r="F69" t="s">
        <v>276</v>
      </c>
      <c r="G69" t="str">
        <f>custodian!D69</f>
        <v>297178105</v>
      </c>
      <c r="H69" t="str">
        <f>_xll.BDP($B69,"ID_ISIN")</f>
        <v>US2971781057</v>
      </c>
      <c r="I69" s="1" t="s">
        <v>275</v>
      </c>
      <c r="J69" t="str">
        <f>_xll.BDP($B69,"CNTRY_OF_DOMICILE")</f>
        <v>US</v>
      </c>
      <c r="K69" t="s">
        <v>98</v>
      </c>
      <c r="L69" t="s">
        <v>99</v>
      </c>
      <c r="O69" s="1"/>
      <c r="AQ69" s="1"/>
      <c r="AR69" s="1"/>
      <c r="AS69" s="1"/>
    </row>
    <row r="70" spans="1:45" x14ac:dyDescent="0.25">
      <c r="A70" t="s">
        <v>216</v>
      </c>
      <c r="B70" t="s">
        <v>77</v>
      </c>
      <c r="C70" s="1" t="s">
        <v>78</v>
      </c>
      <c r="D70" t="s">
        <v>79</v>
      </c>
      <c r="E70" t="str">
        <f>_xll.BDP($B70,"LEGAL_ENTITY_IDENTIFIER")</f>
        <v>549300R5MYM6VZF1RM44</v>
      </c>
      <c r="F70" t="s">
        <v>80</v>
      </c>
      <c r="G70" t="str">
        <f>custodian!D70</f>
        <v>31846V336</v>
      </c>
      <c r="H70" t="str">
        <f>_xll.BDP($B70,"ID_ISIN")</f>
        <v>US31846V3362</v>
      </c>
      <c r="I70" s="1" t="s">
        <v>78</v>
      </c>
      <c r="J70" t="str">
        <f>_xll.BDP($B70,"CNTRY_OF_DOMICILE")</f>
        <v>US</v>
      </c>
      <c r="K70" t="s">
        <v>81</v>
      </c>
      <c r="L70" t="s">
        <v>82</v>
      </c>
      <c r="O70" s="1"/>
      <c r="AQ70" s="1"/>
      <c r="AR70" s="1"/>
      <c r="AS70" s="1"/>
    </row>
    <row r="71" spans="1:45" x14ac:dyDescent="0.25">
      <c r="A71" t="s">
        <v>216</v>
      </c>
      <c r="B71" t="s">
        <v>277</v>
      </c>
      <c r="C71" s="1" t="s">
        <v>278</v>
      </c>
      <c r="D71" t="s">
        <v>279</v>
      </c>
      <c r="E71" t="str">
        <f>_xll.BDP($B71,"LEGAL_ENTITY_IDENTIFIER")</f>
        <v>549300O0QJWDBAS0QX03</v>
      </c>
      <c r="F71" t="s">
        <v>279</v>
      </c>
      <c r="G71" t="str">
        <f>custodian!D71</f>
        <v>34959E109</v>
      </c>
      <c r="H71" t="str">
        <f>_xll.BDP($B71,"ID_ISIN")</f>
        <v>US34959E1091</v>
      </c>
      <c r="I71" s="1" t="s">
        <v>278</v>
      </c>
      <c r="J71" t="str">
        <f>_xll.BDP($B71,"CNTRY_OF_DOMICILE")</f>
        <v>US</v>
      </c>
      <c r="K71" t="s">
        <v>98</v>
      </c>
      <c r="L71" t="s">
        <v>99</v>
      </c>
      <c r="O71" s="1"/>
      <c r="AQ71" s="1"/>
      <c r="AR71" s="1"/>
      <c r="AS71" s="1"/>
    </row>
    <row r="72" spans="1:45" x14ac:dyDescent="0.25">
      <c r="A72" t="s">
        <v>216</v>
      </c>
      <c r="B72" t="s">
        <v>280</v>
      </c>
      <c r="C72" s="1" t="s">
        <v>281</v>
      </c>
      <c r="D72" t="s">
        <v>282</v>
      </c>
      <c r="E72" t="str">
        <f>_xll.BDP($B72,"LEGAL_ENTITY_IDENTIFIER")</f>
        <v>549300WTZWR07K8MNV44</v>
      </c>
      <c r="F72" t="s">
        <v>282</v>
      </c>
      <c r="G72" t="str">
        <f>custodian!D72</f>
        <v>375558103</v>
      </c>
      <c r="H72" t="str">
        <f>_xll.BDP($B72,"ID_ISIN")</f>
        <v>US3755581036</v>
      </c>
      <c r="I72" s="1" t="s">
        <v>281</v>
      </c>
      <c r="J72" t="str">
        <f>_xll.BDP($B72,"CNTRY_OF_DOMICILE")</f>
        <v>US</v>
      </c>
      <c r="K72" t="s">
        <v>98</v>
      </c>
      <c r="L72" t="s">
        <v>99</v>
      </c>
      <c r="O72" s="1"/>
      <c r="AQ72" s="1"/>
      <c r="AR72" s="1"/>
      <c r="AS72" s="1"/>
    </row>
    <row r="73" spans="1:45" x14ac:dyDescent="0.25">
      <c r="A73" t="s">
        <v>216</v>
      </c>
      <c r="B73" t="s">
        <v>283</v>
      </c>
      <c r="C73" s="1" t="s">
        <v>284</v>
      </c>
      <c r="D73" t="s">
        <v>285</v>
      </c>
      <c r="E73" t="str">
        <f>_xll.BDP($B73,"LEGAL_ENTITY_IDENTIFIER")</f>
        <v>5493006MHB84DD0ZWV18</v>
      </c>
      <c r="F73" t="s">
        <v>285</v>
      </c>
      <c r="G73" t="str">
        <f>custodian!D73</f>
        <v>02079K305</v>
      </c>
      <c r="H73" t="str">
        <f>_xll.BDP($B73,"ID_ISIN")</f>
        <v>US02079K3059</v>
      </c>
      <c r="I73" s="1" t="s">
        <v>284</v>
      </c>
      <c r="J73" t="str">
        <f>_xll.BDP($B73,"CNTRY_OF_DOMICILE")</f>
        <v>US</v>
      </c>
      <c r="K73" t="s">
        <v>98</v>
      </c>
      <c r="L73" t="s">
        <v>99</v>
      </c>
      <c r="O73" s="1"/>
      <c r="AQ73" s="1"/>
      <c r="AR73" s="1"/>
      <c r="AS73" s="1"/>
    </row>
    <row r="74" spans="1:45" x14ac:dyDescent="0.25">
      <c r="A74" t="s">
        <v>216</v>
      </c>
      <c r="B74" t="s">
        <v>286</v>
      </c>
      <c r="C74" s="1" t="s">
        <v>287</v>
      </c>
      <c r="D74" t="s">
        <v>288</v>
      </c>
      <c r="E74" t="str">
        <f>_xll.BDP($B74,"LEGAL_ENTITY_IDENTIFIER")</f>
        <v>213800FS5AO3YWIE6F63</v>
      </c>
      <c r="F74" t="s">
        <v>288</v>
      </c>
      <c r="G74" t="str">
        <f>custodian!D74</f>
        <v>770700102</v>
      </c>
      <c r="H74" t="str">
        <f>_xll.BDP($B74,"ID_ISIN")</f>
        <v>US7707001027</v>
      </c>
      <c r="I74" s="1" t="s">
        <v>287</v>
      </c>
      <c r="J74" t="str">
        <f>_xll.BDP($B74,"CNTRY_OF_DOMICILE")</f>
        <v>US</v>
      </c>
      <c r="K74" t="s">
        <v>98</v>
      </c>
      <c r="L74" t="s">
        <v>99</v>
      </c>
      <c r="O74" s="1"/>
      <c r="AQ74" s="1"/>
      <c r="AR74" s="1"/>
      <c r="AS74" s="1"/>
    </row>
    <row r="75" spans="1:45" x14ac:dyDescent="0.25">
      <c r="A75" t="s">
        <v>216</v>
      </c>
      <c r="B75" t="s">
        <v>289</v>
      </c>
      <c r="C75" s="1" t="s">
        <v>290</v>
      </c>
      <c r="D75" t="s">
        <v>291</v>
      </c>
      <c r="E75" t="str">
        <f>_xll.BDP($B75,"LEGAL_ENTITY_IDENTIFIER")</f>
        <v>WHKXQACZ14C5XRO8LW03</v>
      </c>
      <c r="F75" t="s">
        <v>291</v>
      </c>
      <c r="G75" t="str">
        <f>custodian!D75</f>
        <v>40434L105</v>
      </c>
      <c r="H75" t="str">
        <f>_xll.BDP($B75,"ID_ISIN")</f>
        <v>US40434L1052</v>
      </c>
      <c r="I75" s="1" t="s">
        <v>290</v>
      </c>
      <c r="J75" t="str">
        <f>_xll.BDP($B75,"CNTRY_OF_DOMICILE")</f>
        <v>US</v>
      </c>
      <c r="K75" t="s">
        <v>98</v>
      </c>
      <c r="L75" t="s">
        <v>99</v>
      </c>
      <c r="O75" s="1"/>
      <c r="AQ75" s="1"/>
      <c r="AR75" s="1"/>
      <c r="AS75" s="1"/>
    </row>
    <row r="76" spans="1:45" x14ac:dyDescent="0.25">
      <c r="A76" t="s">
        <v>216</v>
      </c>
      <c r="B76" t="s">
        <v>292</v>
      </c>
      <c r="C76" s="1" t="s">
        <v>293</v>
      </c>
      <c r="D76" t="s">
        <v>294</v>
      </c>
      <c r="E76" t="str">
        <f>_xll.BDP($B76,"LEGAL_ENTITY_IDENTIFIER")</f>
        <v>KNX4USFCNGPY45LOCE31</v>
      </c>
      <c r="F76" t="s">
        <v>294</v>
      </c>
      <c r="G76" t="str">
        <f>custodian!D76</f>
        <v>458140100</v>
      </c>
      <c r="H76" t="str">
        <f>_xll.BDP($B76,"ID_ISIN")</f>
        <v>US4581401001</v>
      </c>
      <c r="I76" s="1" t="s">
        <v>293</v>
      </c>
      <c r="J76" t="str">
        <f>_xll.BDP($B76,"CNTRY_OF_DOMICILE")</f>
        <v>US</v>
      </c>
      <c r="K76" t="s">
        <v>98</v>
      </c>
      <c r="L76" t="s">
        <v>99</v>
      </c>
      <c r="O76" s="1"/>
      <c r="AQ76" s="1"/>
      <c r="AR76" s="1"/>
      <c r="AS76" s="1"/>
    </row>
    <row r="77" spans="1:45" x14ac:dyDescent="0.25">
      <c r="A77" t="s">
        <v>216</v>
      </c>
      <c r="B77" t="s">
        <v>295</v>
      </c>
      <c r="C77" s="1" t="s">
        <v>296</v>
      </c>
      <c r="D77" t="s">
        <v>297</v>
      </c>
      <c r="E77" t="str">
        <f>_xll.BDP($B77,"LEGAL_ENTITY_IDENTIFIER")</f>
        <v>529900IE80DQBIFK3M88</v>
      </c>
      <c r="F77" t="s">
        <v>297</v>
      </c>
      <c r="G77" t="str">
        <f>custodian!D77</f>
        <v>79589L106</v>
      </c>
      <c r="H77" t="str">
        <f>_xll.BDP($B77,"ID_ISIN")</f>
        <v>US79589L1061</v>
      </c>
      <c r="I77" s="1" t="s">
        <v>296</v>
      </c>
      <c r="J77" t="str">
        <f>_xll.BDP($B77,"CNTRY_OF_DOMICILE")</f>
        <v>US</v>
      </c>
      <c r="K77" t="s">
        <v>98</v>
      </c>
      <c r="L77" t="s">
        <v>99</v>
      </c>
      <c r="O77" s="1"/>
      <c r="AQ77" s="1"/>
      <c r="AR77" s="1"/>
      <c r="AS77" s="1"/>
    </row>
    <row r="78" spans="1:45" x14ac:dyDescent="0.25">
      <c r="A78" t="s">
        <v>216</v>
      </c>
      <c r="B78" t="s">
        <v>298</v>
      </c>
      <c r="C78" s="1" t="s">
        <v>299</v>
      </c>
      <c r="D78" t="s">
        <v>300</v>
      </c>
      <c r="E78" t="str">
        <f>_xll.BDP($B78,"LEGAL_ENTITY_IDENTIFIER")</f>
        <v>54930052SRG011710797</v>
      </c>
      <c r="F78" t="s">
        <v>300</v>
      </c>
      <c r="G78" t="str">
        <f>custodian!D78</f>
        <v>46120E602</v>
      </c>
      <c r="H78" t="str">
        <f>_xll.BDP($B78,"ID_ISIN")</f>
        <v>US46120E6023</v>
      </c>
      <c r="I78" s="1" t="s">
        <v>299</v>
      </c>
      <c r="J78" t="str">
        <f>_xll.BDP($B78,"CNTRY_OF_DOMICILE")</f>
        <v>US</v>
      </c>
      <c r="K78" t="s">
        <v>98</v>
      </c>
      <c r="L78" t="s">
        <v>99</v>
      </c>
      <c r="O78" s="1"/>
      <c r="AQ78" s="1"/>
      <c r="AR78" s="1"/>
      <c r="AS78" s="1"/>
    </row>
    <row r="79" spans="1:45" x14ac:dyDescent="0.25">
      <c r="A79" t="s">
        <v>216</v>
      </c>
      <c r="B79" t="s">
        <v>301</v>
      </c>
      <c r="C79" s="1" t="s">
        <v>302</v>
      </c>
      <c r="D79" t="s">
        <v>303</v>
      </c>
      <c r="E79" t="str">
        <f>_xll.BDP($B79,"LEGAL_ENTITY_IDENTIFIER")</f>
        <v>549300JLWRRC38DWEF52</v>
      </c>
      <c r="F79" t="s">
        <v>303</v>
      </c>
      <c r="G79" t="str">
        <f>custodian!D79</f>
        <v>55024U109</v>
      </c>
      <c r="H79" t="str">
        <f>_xll.BDP($B79,"ID_ISIN")</f>
        <v>US55024U1097</v>
      </c>
      <c r="I79" s="1" t="s">
        <v>302</v>
      </c>
      <c r="J79" t="str">
        <f>_xll.BDP($B79,"CNTRY_OF_DOMICILE")</f>
        <v>US</v>
      </c>
      <c r="K79" t="s">
        <v>98</v>
      </c>
      <c r="L79" t="s">
        <v>99</v>
      </c>
      <c r="O79" s="1"/>
      <c r="AQ79" s="1"/>
      <c r="AR79" s="1"/>
      <c r="AS79" s="1"/>
    </row>
    <row r="80" spans="1:45" x14ac:dyDescent="0.25">
      <c r="A80" t="s">
        <v>216</v>
      </c>
      <c r="B80" t="s">
        <v>304</v>
      </c>
      <c r="C80" s="1" t="s">
        <v>305</v>
      </c>
      <c r="D80" t="s">
        <v>306</v>
      </c>
      <c r="E80" t="str">
        <f>_xll.BDP($B80,"LEGAL_ENTITY_IDENTIFIER")</f>
        <v>549300I4GMO6D34U1T02</v>
      </c>
      <c r="F80" t="s">
        <v>306</v>
      </c>
      <c r="G80" t="str">
        <f>custodian!D80</f>
        <v>512807306</v>
      </c>
      <c r="H80" t="str">
        <f>_xll.BDP($B80,"ID_ISIN")</f>
        <v>US5128073062</v>
      </c>
      <c r="I80" s="1" t="s">
        <v>305</v>
      </c>
      <c r="J80" t="str">
        <f>_xll.BDP($B80,"CNTRY_OF_DOMICILE")</f>
        <v>US</v>
      </c>
      <c r="K80" t="s">
        <v>98</v>
      </c>
      <c r="L80" t="s">
        <v>99</v>
      </c>
      <c r="O80" s="1"/>
      <c r="AQ80" s="1"/>
      <c r="AR80" s="1"/>
      <c r="AS80" s="1"/>
    </row>
    <row r="81" spans="1:45" x14ac:dyDescent="0.25">
      <c r="A81" t="s">
        <v>216</v>
      </c>
      <c r="B81" t="s">
        <v>307</v>
      </c>
      <c r="C81" s="1" t="s">
        <v>308</v>
      </c>
      <c r="D81" t="s">
        <v>309</v>
      </c>
      <c r="E81" t="str">
        <f>_xll.BDP($B81,"LEGAL_ENTITY_IDENTIFIER")</f>
        <v>BQ4BKCS1HXDV9HN80Z93</v>
      </c>
      <c r="F81" t="s">
        <v>309</v>
      </c>
      <c r="G81" t="str">
        <f>custodian!D81</f>
        <v>30303M102</v>
      </c>
      <c r="H81" t="str">
        <f>_xll.BDP($B81,"ID_ISIN")</f>
        <v>US30303M1027</v>
      </c>
      <c r="I81" s="1" t="s">
        <v>308</v>
      </c>
      <c r="J81" t="str">
        <f>_xll.BDP($B81,"CNTRY_OF_DOMICILE")</f>
        <v>US</v>
      </c>
      <c r="K81" t="s">
        <v>98</v>
      </c>
      <c r="L81" t="s">
        <v>99</v>
      </c>
      <c r="O81" s="1"/>
      <c r="AQ81" s="1"/>
      <c r="AR81" s="1"/>
      <c r="AS81" s="1"/>
    </row>
    <row r="82" spans="1:45" x14ac:dyDescent="0.25">
      <c r="A82" t="s">
        <v>216</v>
      </c>
      <c r="B82" t="s">
        <v>310</v>
      </c>
      <c r="C82" s="1" t="s">
        <v>311</v>
      </c>
      <c r="D82" t="s">
        <v>312</v>
      </c>
      <c r="E82" t="str">
        <f>_xll.BDP($B82,"LEGAL_ENTITY_IDENTIFIER")</f>
        <v>254900WVU0BM7ZCJ9E93</v>
      </c>
      <c r="F82" t="s">
        <v>312</v>
      </c>
      <c r="G82" t="str">
        <f>custodian!D82</f>
        <v>573874104</v>
      </c>
      <c r="H82" t="str">
        <f>_xll.BDP($B82,"ID_ISIN")</f>
        <v>US5738741041</v>
      </c>
      <c r="I82" s="1" t="s">
        <v>311</v>
      </c>
      <c r="J82" t="str">
        <f>_xll.BDP($B82,"CNTRY_OF_DOMICILE")</f>
        <v>US</v>
      </c>
      <c r="K82" t="s">
        <v>98</v>
      </c>
      <c r="L82" t="s">
        <v>99</v>
      </c>
      <c r="O82" s="1"/>
      <c r="AQ82" s="1"/>
      <c r="AR82" s="1"/>
      <c r="AS82" s="1"/>
    </row>
    <row r="83" spans="1:45" x14ac:dyDescent="0.25">
      <c r="A83" t="s">
        <v>216</v>
      </c>
      <c r="B83" t="s">
        <v>313</v>
      </c>
      <c r="C83" s="1" t="s">
        <v>314</v>
      </c>
      <c r="D83" t="s">
        <v>315</v>
      </c>
      <c r="E83" t="str">
        <f>_xll.BDP($B83,"LEGAL_ENTITY_IDENTIFIER")</f>
        <v>5493007DY18BGNLDWU14</v>
      </c>
      <c r="F83" t="s">
        <v>315</v>
      </c>
      <c r="G83" t="str">
        <f>custodian!D83</f>
        <v>18915M107</v>
      </c>
      <c r="H83" t="str">
        <f>_xll.BDP($B83,"ID_ISIN")</f>
        <v>US18915M1071</v>
      </c>
      <c r="I83" s="1" t="s">
        <v>314</v>
      </c>
      <c r="J83" t="str">
        <f>_xll.BDP($B83,"CNTRY_OF_DOMICILE")</f>
        <v>US</v>
      </c>
      <c r="K83" t="s">
        <v>98</v>
      </c>
      <c r="L83" t="s">
        <v>99</v>
      </c>
      <c r="O83" s="1"/>
      <c r="AQ83" s="1"/>
      <c r="AR83" s="1"/>
      <c r="AS83" s="1"/>
    </row>
    <row r="84" spans="1:45" x14ac:dyDescent="0.25">
      <c r="A84" t="s">
        <v>216</v>
      </c>
      <c r="B84" t="s">
        <v>316</v>
      </c>
      <c r="C84" s="1" t="s">
        <v>317</v>
      </c>
      <c r="D84" t="s">
        <v>318</v>
      </c>
      <c r="E84" t="str">
        <f>_xll.BDP($B84,"LEGAL_ENTITY_IDENTIFIER")</f>
        <v>549300Y7VHGU0I7CE873</v>
      </c>
      <c r="F84" t="s">
        <v>318</v>
      </c>
      <c r="G84" t="str">
        <f>custodian!D84</f>
        <v>64110L106</v>
      </c>
      <c r="H84" t="str">
        <f>_xll.BDP($B84,"ID_ISIN")</f>
        <v>US64110L1061</v>
      </c>
      <c r="I84" s="1" t="s">
        <v>317</v>
      </c>
      <c r="J84" t="str">
        <f>_xll.BDP($B84,"CNTRY_OF_DOMICILE")</f>
        <v>US</v>
      </c>
      <c r="K84" t="s">
        <v>98</v>
      </c>
      <c r="L84" t="s">
        <v>99</v>
      </c>
      <c r="O84" s="1"/>
      <c r="AQ84" s="1"/>
      <c r="AR84" s="1"/>
      <c r="AS84" s="1"/>
    </row>
    <row r="85" spans="1:45" x14ac:dyDescent="0.25">
      <c r="A85" t="s">
        <v>216</v>
      </c>
      <c r="B85" t="s">
        <v>319</v>
      </c>
      <c r="C85" s="1" t="s">
        <v>320</v>
      </c>
      <c r="D85" t="s">
        <v>321</v>
      </c>
      <c r="E85" t="str">
        <f>_xll.BDP($B85,"LEGAL_ENTITY_IDENTIFIER")</f>
        <v>549300HJTQM36M0E1G39</v>
      </c>
      <c r="F85" t="s">
        <v>321</v>
      </c>
      <c r="G85" t="str">
        <f>custodian!D85</f>
        <v>81762P102</v>
      </c>
      <c r="H85" t="str">
        <f>_xll.BDP($B85,"ID_ISIN")</f>
        <v>US81762P1021</v>
      </c>
      <c r="I85" s="1" t="s">
        <v>320</v>
      </c>
      <c r="J85" t="str">
        <f>_xll.BDP($B85,"CNTRY_OF_DOMICILE")</f>
        <v>US</v>
      </c>
      <c r="K85" t="s">
        <v>98</v>
      </c>
      <c r="L85" t="s">
        <v>99</v>
      </c>
      <c r="O85" s="1"/>
      <c r="AQ85" s="1"/>
      <c r="AR85" s="1"/>
      <c r="AS85" s="1"/>
    </row>
    <row r="86" spans="1:45" x14ac:dyDescent="0.25">
      <c r="A86" t="s">
        <v>216</v>
      </c>
      <c r="B86" t="s">
        <v>322</v>
      </c>
      <c r="C86" s="1" t="s">
        <v>323</v>
      </c>
      <c r="D86" t="s">
        <v>324</v>
      </c>
      <c r="E86" t="str">
        <f>_xll.BDP($B86,"LEGAL_ENTITY_IDENTIFIER")</f>
        <v>549300S4KLFTLO7GSQ80</v>
      </c>
      <c r="F86" t="s">
        <v>324</v>
      </c>
      <c r="G86" t="str">
        <f>custodian!D86</f>
        <v>67066G104</v>
      </c>
      <c r="H86" t="str">
        <f>_xll.BDP($B86,"ID_ISIN")</f>
        <v>US67066G1040</v>
      </c>
      <c r="I86" s="1" t="s">
        <v>323</v>
      </c>
      <c r="J86" t="str">
        <f>_xll.BDP($B86,"CNTRY_OF_DOMICILE")</f>
        <v>US</v>
      </c>
      <c r="K86" t="s">
        <v>98</v>
      </c>
      <c r="L86" t="s">
        <v>99</v>
      </c>
      <c r="O86" s="1"/>
      <c r="AQ86" s="1"/>
      <c r="AR86" s="1"/>
      <c r="AS86" s="1"/>
    </row>
    <row r="87" spans="1:45" x14ac:dyDescent="0.25">
      <c r="A87" t="s">
        <v>216</v>
      </c>
      <c r="B87" t="s">
        <v>325</v>
      </c>
      <c r="C87" s="1" t="s">
        <v>326</v>
      </c>
      <c r="D87" t="s">
        <v>327</v>
      </c>
      <c r="E87" t="str">
        <f>_xll.BDP($B87,"LEGAL_ENTITY_IDENTIFIER")</f>
        <v>549300N8J06I8MRHU620</v>
      </c>
      <c r="F87" t="s">
        <v>327</v>
      </c>
      <c r="G87" t="str">
        <f>custodian!D87</f>
        <v>679295105</v>
      </c>
      <c r="H87" t="str">
        <f>_xll.BDP($B87,"ID_ISIN")</f>
        <v>US6792951054</v>
      </c>
      <c r="I87" s="1" t="s">
        <v>326</v>
      </c>
      <c r="J87" t="str">
        <f>_xll.BDP($B87,"CNTRY_OF_DOMICILE")</f>
        <v>US</v>
      </c>
      <c r="K87" t="s">
        <v>98</v>
      </c>
      <c r="L87" t="s">
        <v>99</v>
      </c>
      <c r="O87" s="1"/>
      <c r="AQ87" s="1"/>
      <c r="AR87" s="1"/>
      <c r="AS87" s="1"/>
    </row>
    <row r="88" spans="1:45" x14ac:dyDescent="0.25">
      <c r="A88" t="s">
        <v>216</v>
      </c>
      <c r="B88" t="s">
        <v>328</v>
      </c>
      <c r="C88" s="1" t="s">
        <v>329</v>
      </c>
      <c r="D88" t="s">
        <v>330</v>
      </c>
      <c r="E88" t="str">
        <f>_xll.BDP($B88,"LEGAL_ENTITY_IDENTIFIER")</f>
        <v>549300QXR2YVZV231H43</v>
      </c>
      <c r="F88" t="s">
        <v>330</v>
      </c>
      <c r="G88" t="str">
        <f>custodian!D88</f>
        <v>697435105</v>
      </c>
      <c r="H88" t="str">
        <f>_xll.BDP($B88,"ID_ISIN")</f>
        <v>US6974351057</v>
      </c>
      <c r="I88" s="1" t="s">
        <v>329</v>
      </c>
      <c r="J88" t="str">
        <f>_xll.BDP($B88,"CNTRY_OF_DOMICILE")</f>
        <v>US</v>
      </c>
      <c r="K88" t="s">
        <v>98</v>
      </c>
      <c r="L88" t="s">
        <v>99</v>
      </c>
      <c r="O88" s="1"/>
      <c r="AQ88" s="1"/>
      <c r="AR88" s="1"/>
      <c r="AS88" s="1"/>
    </row>
    <row r="89" spans="1:45" x14ac:dyDescent="0.25">
      <c r="A89" t="s">
        <v>216</v>
      </c>
      <c r="B89" t="s">
        <v>331</v>
      </c>
      <c r="C89" s="1" t="s">
        <v>332</v>
      </c>
      <c r="D89" t="s">
        <v>333</v>
      </c>
      <c r="E89" t="str">
        <f>_xll.BDP($B89,"LEGAL_ENTITY_IDENTIFIER")</f>
        <v>8YQ2GSDWYZXO2EDN3511</v>
      </c>
      <c r="F89" t="s">
        <v>333</v>
      </c>
      <c r="G89" t="str">
        <f>custodian!D89</f>
        <v>69331C108</v>
      </c>
      <c r="H89" t="str">
        <f>_xll.BDP($B89,"ID_ISIN")</f>
        <v>US69331C1080</v>
      </c>
      <c r="I89" s="1" t="s">
        <v>332</v>
      </c>
      <c r="J89" t="str">
        <f>_xll.BDP($B89,"CNTRY_OF_DOMICILE")</f>
        <v>US</v>
      </c>
      <c r="K89" t="s">
        <v>98</v>
      </c>
      <c r="L89" t="s">
        <v>99</v>
      </c>
      <c r="O89" s="1"/>
      <c r="AQ89" s="1"/>
      <c r="AR89" s="1"/>
      <c r="AS89" s="1"/>
    </row>
    <row r="90" spans="1:45" x14ac:dyDescent="0.25">
      <c r="A90" t="s">
        <v>216</v>
      </c>
      <c r="B90" t="s">
        <v>334</v>
      </c>
      <c r="C90" s="1" t="s">
        <v>335</v>
      </c>
      <c r="D90" t="s">
        <v>336</v>
      </c>
      <c r="E90" t="str">
        <f>_xll.BDP($B90,"LEGAL_ENTITY_IDENTIFIER")</f>
        <v>529900ANZDBDFU91SO19</v>
      </c>
      <c r="F90" t="s">
        <v>336</v>
      </c>
      <c r="G90" t="str">
        <f>custodian!D90</f>
        <v>771049103</v>
      </c>
      <c r="H90" t="str">
        <f>_xll.BDP($B90,"ID_ISIN")</f>
        <v>US7710491033</v>
      </c>
      <c r="I90" s="1" t="s">
        <v>335</v>
      </c>
      <c r="J90" t="str">
        <f>_xll.BDP($B90,"CNTRY_OF_DOMICILE")</f>
        <v>US</v>
      </c>
      <c r="K90" t="s">
        <v>98</v>
      </c>
      <c r="L90" t="s">
        <v>99</v>
      </c>
      <c r="O90" s="1"/>
      <c r="AQ90" s="1"/>
      <c r="AR90" s="1"/>
      <c r="AS90" s="1"/>
    </row>
    <row r="91" spans="1:45" x14ac:dyDescent="0.25">
      <c r="A91" t="s">
        <v>216</v>
      </c>
      <c r="B91" t="s">
        <v>337</v>
      </c>
      <c r="C91" s="1" t="s">
        <v>338</v>
      </c>
      <c r="D91" t="s">
        <v>339</v>
      </c>
      <c r="E91" t="str">
        <f>_xll.BDP($B91,"LEGAL_ENTITY_IDENTIFIER")</f>
        <v>529900APN1YHPBHPI679</v>
      </c>
      <c r="F91" t="s">
        <v>339</v>
      </c>
      <c r="G91" t="str">
        <f>custodian!D91</f>
        <v>75734B100</v>
      </c>
      <c r="H91" t="str">
        <f>_xll.BDP($B91,"ID_ISIN")</f>
        <v>US75734B1008</v>
      </c>
      <c r="I91" s="1" t="s">
        <v>338</v>
      </c>
      <c r="J91" t="str">
        <f>_xll.BDP($B91,"CNTRY_OF_DOMICILE")</f>
        <v>US</v>
      </c>
      <c r="K91" t="s">
        <v>98</v>
      </c>
      <c r="L91" t="s">
        <v>99</v>
      </c>
      <c r="O91" s="1"/>
      <c r="AQ91" s="1"/>
      <c r="AR91" s="1"/>
      <c r="AS91" s="1"/>
    </row>
    <row r="92" spans="1:45" x14ac:dyDescent="0.25">
      <c r="A92" t="s">
        <v>216</v>
      </c>
      <c r="B92" t="s">
        <v>340</v>
      </c>
      <c r="C92" s="1" t="s">
        <v>341</v>
      </c>
      <c r="D92" t="s">
        <v>342</v>
      </c>
      <c r="E92" t="str">
        <f>_xll.BDP($B92,"LEGAL_ENTITY_IDENTIFIER")</f>
        <v>25490004LNKJ84MFYY24</v>
      </c>
      <c r="F92" t="s">
        <v>342</v>
      </c>
      <c r="G92" t="str">
        <f>custodian!D92</f>
        <v>76954A103</v>
      </c>
      <c r="H92" t="str">
        <f>_xll.BDP($B92,"ID_ISIN")</f>
        <v>US76954A1034</v>
      </c>
      <c r="I92" s="1" t="s">
        <v>341</v>
      </c>
      <c r="J92" t="str">
        <f>_xll.BDP($B92,"CNTRY_OF_DOMICILE")</f>
        <v>US</v>
      </c>
      <c r="K92" t="s">
        <v>98</v>
      </c>
      <c r="L92" t="s">
        <v>99</v>
      </c>
      <c r="O92" s="1"/>
      <c r="AQ92" s="1"/>
      <c r="AR92" s="1"/>
      <c r="AS92" s="1"/>
    </row>
    <row r="93" spans="1:45" x14ac:dyDescent="0.25">
      <c r="A93" t="s">
        <v>216</v>
      </c>
      <c r="B93" t="s">
        <v>343</v>
      </c>
      <c r="C93" s="1" t="s">
        <v>344</v>
      </c>
      <c r="D93" t="s">
        <v>345</v>
      </c>
      <c r="E93" t="str">
        <f>_xll.BDP($B93,"LEGAL_ENTITY_IDENTIFIER")</f>
        <v>549300ENZFLPGRDFZQ60</v>
      </c>
      <c r="F93" t="s">
        <v>345</v>
      </c>
      <c r="G93" t="str">
        <f>custodian!D93</f>
        <v>778296103</v>
      </c>
      <c r="H93" t="str">
        <f>_xll.BDP($B93,"ID_ISIN")</f>
        <v>US7782961038</v>
      </c>
      <c r="I93" s="1" t="s">
        <v>344</v>
      </c>
      <c r="J93" t="str">
        <f>_xll.BDP($B93,"CNTRY_OF_DOMICILE")</f>
        <v>US</v>
      </c>
      <c r="K93" t="s">
        <v>98</v>
      </c>
      <c r="L93" t="s">
        <v>99</v>
      </c>
      <c r="O93" s="1"/>
      <c r="AQ93" s="1"/>
      <c r="AR93" s="1"/>
      <c r="AS93" s="1"/>
    </row>
    <row r="94" spans="1:45" x14ac:dyDescent="0.25">
      <c r="A94" t="s">
        <v>216</v>
      </c>
      <c r="B94" t="s">
        <v>346</v>
      </c>
      <c r="C94" s="1" t="s">
        <v>347</v>
      </c>
      <c r="D94" t="s">
        <v>348</v>
      </c>
      <c r="E94" t="str">
        <f>_xll.BDP($B94,"LEGAL_ENTITY_IDENTIFIER")</f>
        <v>54930022CZO1N2UGVW07</v>
      </c>
      <c r="F94" t="s">
        <v>348</v>
      </c>
      <c r="G94" t="str">
        <f>custodian!D94</f>
        <v>86800U302</v>
      </c>
      <c r="H94" t="str">
        <f>_xll.BDP($B94,"ID_ISIN")</f>
        <v>US86800U3023</v>
      </c>
      <c r="I94" s="1" t="s">
        <v>347</v>
      </c>
      <c r="J94" t="str">
        <f>_xll.BDP($B94,"CNTRY_OF_DOMICILE")</f>
        <v>US</v>
      </c>
      <c r="K94" t="s">
        <v>98</v>
      </c>
      <c r="L94" t="s">
        <v>99</v>
      </c>
      <c r="O94" s="1"/>
      <c r="AQ94" s="1"/>
      <c r="AR94" s="1"/>
      <c r="AS94" s="1"/>
    </row>
    <row r="95" spans="1:45" x14ac:dyDescent="0.25">
      <c r="A95" t="s">
        <v>216</v>
      </c>
      <c r="B95" t="s">
        <v>349</v>
      </c>
      <c r="C95" s="1" t="s">
        <v>350</v>
      </c>
      <c r="D95" t="s">
        <v>351</v>
      </c>
      <c r="E95" t="str">
        <f>_xll.BDP($B95,"LEGAL_ENTITY_IDENTIFIER")</f>
        <v>254900CJNSY1K7T53Z16</v>
      </c>
      <c r="F95" t="s">
        <v>351</v>
      </c>
      <c r="G95" t="str">
        <f>custodian!D95</f>
        <v>833445109</v>
      </c>
      <c r="H95" t="str">
        <f>_xll.BDP($B95,"ID_ISIN")</f>
        <v>US8334451098</v>
      </c>
      <c r="I95" s="1" t="s">
        <v>350</v>
      </c>
      <c r="J95" t="str">
        <f>_xll.BDP($B95,"CNTRY_OF_DOMICILE")</f>
        <v>US</v>
      </c>
      <c r="K95" t="s">
        <v>98</v>
      </c>
      <c r="L95" t="s">
        <v>99</v>
      </c>
      <c r="O95" s="1"/>
      <c r="AQ95" s="1"/>
      <c r="AR95" s="1"/>
      <c r="AS95" s="1"/>
    </row>
    <row r="96" spans="1:45" x14ac:dyDescent="0.25">
      <c r="A96" t="s">
        <v>216</v>
      </c>
      <c r="B96" t="s">
        <v>352</v>
      </c>
      <c r="C96" s="1" t="s">
        <v>353</v>
      </c>
      <c r="D96" t="s">
        <v>354</v>
      </c>
      <c r="E96" t="str">
        <f>_xll.BDP($B96,"LEGAL_ENTITY_IDENTIFIER")</f>
        <v>5493004HI6PFLF46NS53</v>
      </c>
      <c r="F96" t="s">
        <v>354</v>
      </c>
      <c r="G96" t="str">
        <f>custodian!D96</f>
        <v>87162W100</v>
      </c>
      <c r="H96" t="str">
        <f>_xll.BDP($B96,"ID_ISIN")</f>
        <v>US87162W1009</v>
      </c>
      <c r="I96" s="1" t="s">
        <v>353</v>
      </c>
      <c r="J96" t="str">
        <f>_xll.BDP($B96,"CNTRY_OF_DOMICILE")</f>
        <v>US</v>
      </c>
      <c r="K96" t="s">
        <v>98</v>
      </c>
      <c r="L96" t="s">
        <v>99</v>
      </c>
      <c r="O96" s="1"/>
      <c r="AQ96" s="1"/>
      <c r="AR96" s="1"/>
      <c r="AS96" s="1"/>
    </row>
    <row r="97" spans="1:45" x14ac:dyDescent="0.25">
      <c r="A97" t="s">
        <v>216</v>
      </c>
      <c r="B97" t="s">
        <v>355</v>
      </c>
      <c r="C97" s="1" t="s">
        <v>356</v>
      </c>
      <c r="D97" t="s">
        <v>357</v>
      </c>
      <c r="E97" t="str">
        <f>_xll.BDP($B97,"LEGAL_ENTITY_IDENTIFIER")</f>
        <v>549300SW81JCMVZDDY09</v>
      </c>
      <c r="F97" t="s">
        <v>357</v>
      </c>
      <c r="G97" t="str">
        <f>custodian!D97</f>
        <v>83406F102</v>
      </c>
      <c r="H97" t="str">
        <f>_xll.BDP($B97,"ID_ISIN")</f>
        <v>US83406F1021</v>
      </c>
      <c r="I97" s="1" t="s">
        <v>356</v>
      </c>
      <c r="J97" t="str">
        <f>_xll.BDP($B97,"CNTRY_OF_DOMICILE")</f>
        <v>US</v>
      </c>
      <c r="K97" t="s">
        <v>98</v>
      </c>
      <c r="L97" t="s">
        <v>99</v>
      </c>
      <c r="O97" s="1"/>
      <c r="AQ97" s="1"/>
      <c r="AR97" s="1"/>
      <c r="AS97" s="1"/>
    </row>
    <row r="98" spans="1:45" x14ac:dyDescent="0.25">
      <c r="A98" t="s">
        <v>216</v>
      </c>
      <c r="B98" t="s">
        <v>358</v>
      </c>
      <c r="C98" s="1" t="s">
        <v>359</v>
      </c>
      <c r="D98" t="s">
        <v>360</v>
      </c>
      <c r="E98" t="str">
        <f>_xll.BDP($B98,"LEGAL_ENTITY_IDENTIFIER")</f>
        <v>635400RUXIFEZSRU8X70</v>
      </c>
      <c r="F98" t="s">
        <v>361</v>
      </c>
      <c r="G98" t="str">
        <f>custodian!D98</f>
        <v>G7997R103</v>
      </c>
      <c r="H98" t="str">
        <f>_xll.BDP($B98,"ID_ISIN")</f>
        <v>IE00BKVD2N49</v>
      </c>
      <c r="I98" s="1" t="s">
        <v>359</v>
      </c>
      <c r="J98" t="str">
        <f>_xll.BDP($B98,"CNTRY_OF_DOMICILE")</f>
        <v>US</v>
      </c>
      <c r="K98" t="s">
        <v>98</v>
      </c>
      <c r="L98" t="s">
        <v>99</v>
      </c>
      <c r="O98" s="1"/>
      <c r="AQ98" s="1"/>
      <c r="AR98" s="1"/>
      <c r="AS98" s="1"/>
    </row>
    <row r="99" spans="1:45" x14ac:dyDescent="0.25">
      <c r="A99" t="s">
        <v>216</v>
      </c>
      <c r="B99" t="s">
        <v>362</v>
      </c>
      <c r="C99" s="1" t="s">
        <v>363</v>
      </c>
      <c r="D99" t="s">
        <v>364</v>
      </c>
      <c r="E99" t="str">
        <f>_xll.BDP($B99,"LEGAL_ENTITY_IDENTIFIER")</f>
        <v>5493004W8TRGD63APX93</v>
      </c>
      <c r="F99" t="s">
        <v>364</v>
      </c>
      <c r="G99" t="str">
        <f>custodian!D99</f>
        <v>90138F102</v>
      </c>
      <c r="H99" t="str">
        <f>_xll.BDP($B99,"ID_ISIN")</f>
        <v>US90138F1021</v>
      </c>
      <c r="I99" s="1" t="s">
        <v>363</v>
      </c>
      <c r="J99" t="str">
        <f>_xll.BDP($B99,"CNTRY_OF_DOMICILE")</f>
        <v>US</v>
      </c>
      <c r="K99" t="s">
        <v>98</v>
      </c>
      <c r="L99" t="s">
        <v>99</v>
      </c>
      <c r="O99" s="1"/>
      <c r="AQ99" s="1"/>
      <c r="AR99" s="1"/>
      <c r="AS99" s="1"/>
    </row>
    <row r="100" spans="1:45" x14ac:dyDescent="0.25">
      <c r="A100" t="s">
        <v>216</v>
      </c>
      <c r="B100" t="s">
        <v>365</v>
      </c>
      <c r="C100" s="1" t="s">
        <v>366</v>
      </c>
      <c r="D100" t="s">
        <v>367</v>
      </c>
      <c r="E100" t="str">
        <f>_xll.BDP($B100,"LEGAL_ENTITY_IDENTIFIER")</f>
        <v>549300B2FTG34FILDR98</v>
      </c>
      <c r="F100" t="s">
        <v>367</v>
      </c>
      <c r="G100" t="str">
        <f>custodian!D100</f>
        <v>90353T100</v>
      </c>
      <c r="H100" t="str">
        <f>_xll.BDP($B100,"ID_ISIN")</f>
        <v>US90353T1007</v>
      </c>
      <c r="I100" s="1" t="s">
        <v>366</v>
      </c>
      <c r="J100" t="str">
        <f>_xll.BDP($B100,"CNTRY_OF_DOMICILE")</f>
        <v>US</v>
      </c>
      <c r="K100" t="s">
        <v>98</v>
      </c>
      <c r="L100" t="s">
        <v>99</v>
      </c>
      <c r="O100" s="1"/>
      <c r="AQ100" s="1"/>
      <c r="AR100" s="1"/>
      <c r="AS100" s="1"/>
    </row>
    <row r="101" spans="1:45" x14ac:dyDescent="0.25">
      <c r="A101" t="s">
        <v>216</v>
      </c>
      <c r="B101" t="s">
        <v>368</v>
      </c>
      <c r="C101" s="1" t="s">
        <v>369</v>
      </c>
      <c r="D101" t="s">
        <v>370</v>
      </c>
      <c r="E101" t="str">
        <f>_xll.BDP($B101,"LEGAL_ENTITY_IDENTIFIER")</f>
        <v>549300JZ4OKEHW3DPJ59</v>
      </c>
      <c r="F101" t="s">
        <v>370</v>
      </c>
      <c r="G101" t="str">
        <f>custodian!D101</f>
        <v>92826C839</v>
      </c>
      <c r="H101" t="str">
        <f>_xll.BDP($B101,"ID_ISIN")</f>
        <v>US92826C8394</v>
      </c>
      <c r="I101" s="1" t="s">
        <v>369</v>
      </c>
      <c r="J101" t="str">
        <f>_xll.BDP($B101,"CNTRY_OF_DOMICILE")</f>
        <v>US</v>
      </c>
      <c r="K101" t="s">
        <v>98</v>
      </c>
      <c r="L101" t="s">
        <v>99</v>
      </c>
      <c r="O101" s="1"/>
      <c r="AQ101" s="1"/>
      <c r="AR101" s="1"/>
      <c r="AS101" s="1"/>
    </row>
    <row r="102" spans="1:45" x14ac:dyDescent="0.25">
      <c r="A102" t="s">
        <v>216</v>
      </c>
      <c r="B102" t="s">
        <v>371</v>
      </c>
      <c r="C102" s="1" t="s">
        <v>372</v>
      </c>
      <c r="D102" t="s">
        <v>373</v>
      </c>
      <c r="E102" t="str">
        <f>_xll.BDP($B102,"LEGAL_ENTITY_IDENTIFIER")</f>
        <v>549300YZEXPDB92M2F02</v>
      </c>
      <c r="F102" t="s">
        <v>373</v>
      </c>
      <c r="G102" t="str">
        <f>custodian!D102</f>
        <v>922475108</v>
      </c>
      <c r="H102" t="str">
        <f>_xll.BDP($B102,"ID_ISIN")</f>
        <v>US9224751084</v>
      </c>
      <c r="I102" s="1" t="s">
        <v>372</v>
      </c>
      <c r="J102" t="str">
        <f>_xll.BDP($B102,"CNTRY_OF_DOMICILE")</f>
        <v>US</v>
      </c>
      <c r="K102" t="s">
        <v>98</v>
      </c>
      <c r="L102" t="s">
        <v>99</v>
      </c>
      <c r="O102" s="1"/>
      <c r="AQ102" s="1"/>
      <c r="AR102" s="1"/>
      <c r="AS102" s="1"/>
    </row>
    <row r="103" spans="1:45" x14ac:dyDescent="0.25">
      <c r="A103" t="s">
        <v>216</v>
      </c>
      <c r="B103" t="s">
        <v>374</v>
      </c>
      <c r="C103" s="1" t="s">
        <v>375</v>
      </c>
      <c r="D103" t="s">
        <v>376</v>
      </c>
      <c r="E103" t="str">
        <f>_xll.BDP($B103,"LEGAL_ENTITY_IDENTIFIER")</f>
        <v>549300J0DYC0N31V7G13</v>
      </c>
      <c r="F103" t="s">
        <v>376</v>
      </c>
      <c r="G103" t="str">
        <f>custodian!D103</f>
        <v>98138H101</v>
      </c>
      <c r="H103" t="str">
        <f>_xll.BDP($B103,"ID_ISIN")</f>
        <v>US98138H1014</v>
      </c>
      <c r="I103" s="1" t="s">
        <v>375</v>
      </c>
      <c r="J103" t="str">
        <f>_xll.BDP($B103,"CNTRY_OF_DOMICILE")</f>
        <v>US</v>
      </c>
      <c r="K103" t="s">
        <v>98</v>
      </c>
      <c r="L103" t="s">
        <v>99</v>
      </c>
      <c r="O103" s="1"/>
      <c r="AQ103" s="1"/>
      <c r="AR103" s="1"/>
      <c r="AS103" s="1"/>
    </row>
    <row r="104" spans="1:45" x14ac:dyDescent="0.25">
      <c r="A104" t="s">
        <v>216</v>
      </c>
      <c r="B104" t="s">
        <v>377</v>
      </c>
      <c r="C104" s="1" t="s">
        <v>378</v>
      </c>
      <c r="D104" t="s">
        <v>379</v>
      </c>
      <c r="E104" t="str">
        <f>_xll.BDP($B104,"LEGAL_ENTITY_IDENTIFIER")</f>
        <v>549300QQXOOYEF89IC56</v>
      </c>
      <c r="F104" t="s">
        <v>379</v>
      </c>
      <c r="G104" t="str">
        <f>custodian!D104</f>
        <v>958102105</v>
      </c>
      <c r="H104" t="str">
        <f>_xll.BDP($B104,"ID_ISIN")</f>
        <v>US9581021055</v>
      </c>
      <c r="I104" s="1" t="s">
        <v>378</v>
      </c>
      <c r="J104" t="str">
        <f>_xll.BDP($B104,"CNTRY_OF_DOMICILE")</f>
        <v>US</v>
      </c>
      <c r="K104" t="s">
        <v>98</v>
      </c>
      <c r="L104" t="s">
        <v>99</v>
      </c>
      <c r="O104" s="1"/>
      <c r="AQ104" s="1"/>
      <c r="AR104" s="1"/>
      <c r="AS104" s="1"/>
    </row>
    <row r="105" spans="1:45" x14ac:dyDescent="0.25">
      <c r="A105" t="s">
        <v>216</v>
      </c>
      <c r="B105" t="s">
        <v>380</v>
      </c>
      <c r="C105" s="1" t="s">
        <v>381</v>
      </c>
      <c r="D105" t="s">
        <v>382</v>
      </c>
      <c r="E105" t="str">
        <f>_xll.BDP($B105,"LEGAL_ENTITY_IDENTIFIER")</f>
        <v>PBLD0EJDB5FWOLXP3B76</v>
      </c>
      <c r="F105" t="s">
        <v>382</v>
      </c>
      <c r="G105" t="str">
        <f>custodian!D105</f>
        <v>949746101</v>
      </c>
      <c r="H105" t="str">
        <f>_xll.BDP($B105,"ID_ISIN")</f>
        <v>US9497461015</v>
      </c>
      <c r="I105" s="1" t="s">
        <v>381</v>
      </c>
      <c r="J105" t="str">
        <f>_xll.BDP($B105,"CNTRY_OF_DOMICILE")</f>
        <v>US</v>
      </c>
      <c r="K105" t="s">
        <v>98</v>
      </c>
      <c r="L105" t="s">
        <v>99</v>
      </c>
      <c r="O105" s="1"/>
      <c r="AQ105" s="1"/>
      <c r="AR105" s="1"/>
      <c r="AS105" s="1"/>
    </row>
    <row r="106" spans="1:45" x14ac:dyDescent="0.25">
      <c r="A106" t="s">
        <v>216</v>
      </c>
      <c r="B106" t="s">
        <v>383</v>
      </c>
      <c r="C106" s="1" t="s">
        <v>384</v>
      </c>
      <c r="D106" t="s">
        <v>385</v>
      </c>
      <c r="E106" t="str">
        <f>_xll.BDP($B106,"LEGAL_ENTITY_IDENTIFIER")</f>
        <v>549300IARG6YWVTZ1I92</v>
      </c>
      <c r="F106" t="s">
        <v>385</v>
      </c>
      <c r="G106" t="str">
        <f>custodian!D106</f>
        <v>969904101</v>
      </c>
      <c r="H106" t="str">
        <f>_xll.BDP($B106,"ID_ISIN")</f>
        <v>US9699041011</v>
      </c>
      <c r="I106" s="1" t="s">
        <v>384</v>
      </c>
      <c r="J106" t="str">
        <f>_xll.BDP($B106,"CNTRY_OF_DOMICILE")</f>
        <v>US</v>
      </c>
      <c r="K106" t="s">
        <v>98</v>
      </c>
      <c r="L106" t="s">
        <v>99</v>
      </c>
      <c r="O106" s="1"/>
      <c r="AQ106" s="1"/>
      <c r="AR106" s="1"/>
      <c r="AS106" s="1"/>
    </row>
    <row r="107" spans="1:45" x14ac:dyDescent="0.25">
      <c r="A107" t="s">
        <v>216</v>
      </c>
      <c r="B107" t="s">
        <v>386</v>
      </c>
      <c r="C107" s="1" t="s">
        <v>387</v>
      </c>
      <c r="D107" t="s">
        <v>388</v>
      </c>
      <c r="E107" t="str">
        <f>_xll.BDP($B107,"LEGAL_ENTITY_IDENTIFIER")</f>
        <v>549300OHIIUWSTIZME52</v>
      </c>
      <c r="F107" t="s">
        <v>388</v>
      </c>
      <c r="G107" t="str">
        <f>custodian!D107</f>
        <v>852234103</v>
      </c>
      <c r="H107" t="str">
        <f>_xll.BDP($B107,"ID_ISIN")</f>
        <v>US8522341036</v>
      </c>
      <c r="I107" s="1" t="s">
        <v>387</v>
      </c>
      <c r="J107" t="str">
        <f>_xll.BDP($B107,"CNTRY_OF_DOMICILE")</f>
        <v>US</v>
      </c>
      <c r="K107" t="s">
        <v>98</v>
      </c>
      <c r="L107" t="s">
        <v>99</v>
      </c>
      <c r="O107" s="1"/>
      <c r="AQ107" s="1"/>
      <c r="AR107" s="1"/>
      <c r="AS107" s="1"/>
    </row>
    <row r="108" spans="1:45" x14ac:dyDescent="0.25">
      <c r="A108" t="s">
        <v>216</v>
      </c>
      <c r="B108" t="s">
        <v>389</v>
      </c>
      <c r="C108" s="1" t="s">
        <v>390</v>
      </c>
      <c r="D108" t="s">
        <v>391</v>
      </c>
      <c r="E108" t="str">
        <f>_xll.BDP($B108,"LEGAL_ENTITY_IDENTIFIER")</f>
        <v>549300T9GCHU0ODOM055</v>
      </c>
      <c r="F108" t="s">
        <v>391</v>
      </c>
      <c r="G108" t="str">
        <f>custodian!D108</f>
        <v>98980L101</v>
      </c>
      <c r="H108" t="str">
        <f>_xll.BDP($B108,"ID_ISIN")</f>
        <v>US98980L1017</v>
      </c>
      <c r="I108" s="1" t="s">
        <v>390</v>
      </c>
      <c r="J108" t="str">
        <f>_xll.BDP($B108,"CNTRY_OF_DOMICILE")</f>
        <v>US</v>
      </c>
      <c r="K108" t="s">
        <v>98</v>
      </c>
      <c r="L108" t="s">
        <v>99</v>
      </c>
      <c r="O108" s="1"/>
      <c r="AQ108" s="1"/>
      <c r="AR108" s="1"/>
      <c r="AS108" s="1"/>
    </row>
    <row r="109" spans="1:45" x14ac:dyDescent="0.25">
      <c r="A109" t="s">
        <v>216</v>
      </c>
      <c r="B109" t="s">
        <v>392</v>
      </c>
      <c r="C109" s="1" t="s">
        <v>393</v>
      </c>
      <c r="D109" t="s">
        <v>394</v>
      </c>
      <c r="E109" t="str">
        <f>_xll.BDP($B109,"LEGAL_ENTITY_IDENTIFIER")</f>
        <v>529900MZ0RTK1BWRNF46</v>
      </c>
      <c r="F109" t="s">
        <v>394</v>
      </c>
      <c r="G109" t="str">
        <f>custodian!D109</f>
        <v>98980G102</v>
      </c>
      <c r="H109" t="str">
        <f>_xll.BDP($B109,"ID_ISIN")</f>
        <v>US98980G1022</v>
      </c>
      <c r="I109" s="1" t="s">
        <v>393</v>
      </c>
      <c r="J109" t="str">
        <f>_xll.BDP($B109,"CNTRY_OF_DOMICILE")</f>
        <v>US</v>
      </c>
      <c r="K109" t="s">
        <v>98</v>
      </c>
      <c r="L109" t="s">
        <v>99</v>
      </c>
      <c r="O109" s="1"/>
      <c r="AQ109" s="1"/>
      <c r="AR109" s="1"/>
      <c r="AS109" s="1"/>
    </row>
    <row r="110" spans="1:45" x14ac:dyDescent="0.25">
      <c r="A110" t="s">
        <v>216</v>
      </c>
      <c r="C110" s="1" t="s">
        <v>52</v>
      </c>
      <c r="E110" s="1"/>
      <c r="G110" t="str">
        <f>custodian!D110</f>
        <v>Cash&amp;Other</v>
      </c>
      <c r="H110" s="1"/>
      <c r="I110" s="1"/>
      <c r="O110" s="1"/>
      <c r="AQ110" s="1"/>
      <c r="AR110" s="1"/>
      <c r="AS110" s="1"/>
    </row>
    <row r="111" spans="1:45" x14ac:dyDescent="0.25">
      <c r="A111" t="s">
        <v>395</v>
      </c>
      <c r="B111" t="s">
        <v>396</v>
      </c>
      <c r="C111" s="1" t="s">
        <v>397</v>
      </c>
      <c r="D111" t="s">
        <v>398</v>
      </c>
      <c r="E111" t="str">
        <f>_xll.BDP($B111,"LEGAL_ENTITY_IDENTIFIER")</f>
        <v>2549004NE2B6RYXINZ02</v>
      </c>
      <c r="F111" t="s">
        <v>398</v>
      </c>
      <c r="G111" t="str">
        <f>custodian!D111</f>
        <v>038169207</v>
      </c>
      <c r="H111" t="str">
        <f>_xll.BDP($B111,"ID_ISIN")</f>
        <v>US0381692070</v>
      </c>
      <c r="I111" s="1" t="s">
        <v>397</v>
      </c>
      <c r="J111" t="str">
        <f>_xll.BDP($B111,"CNTRY_OF_DOMICILE")</f>
        <v>US</v>
      </c>
      <c r="K111" t="s">
        <v>98</v>
      </c>
      <c r="L111" t="s">
        <v>99</v>
      </c>
      <c r="O111" s="1"/>
      <c r="AQ111" s="1"/>
      <c r="AR111" s="1"/>
      <c r="AS111" s="1"/>
    </row>
    <row r="112" spans="1:45" x14ac:dyDescent="0.25">
      <c r="A112" t="s">
        <v>395</v>
      </c>
      <c r="B112" t="s">
        <v>399</v>
      </c>
      <c r="C112" s="1" t="s">
        <v>400</v>
      </c>
      <c r="D112" t="s">
        <v>401</v>
      </c>
      <c r="E112" t="str">
        <f>_xll.BDP($B112,"LEGAL_ENTITY_IDENTIFIER")</f>
        <v>#N/A N/A</v>
      </c>
      <c r="F112" t="s">
        <v>401</v>
      </c>
      <c r="G112" t="str">
        <f>custodian!D112</f>
        <v>05759B305</v>
      </c>
      <c r="H112" t="str">
        <f>_xll.BDP($B112,"ID_ISIN")</f>
        <v>US05759B3050</v>
      </c>
      <c r="I112" s="1" t="s">
        <v>400</v>
      </c>
      <c r="J112" t="str">
        <f>_xll.BDP($B112,"CNTRY_OF_DOMICILE")</f>
        <v>US</v>
      </c>
      <c r="K112" t="s">
        <v>98</v>
      </c>
      <c r="L112" t="s">
        <v>99</v>
      </c>
      <c r="O112" s="1"/>
      <c r="AQ112" s="1"/>
      <c r="AR112" s="1"/>
      <c r="AS112" s="1"/>
    </row>
    <row r="113" spans="1:45" x14ac:dyDescent="0.25">
      <c r="A113" t="s">
        <v>395</v>
      </c>
      <c r="B113" t="s">
        <v>402</v>
      </c>
      <c r="C113" s="1" t="s">
        <v>403</v>
      </c>
      <c r="D113" t="s">
        <v>404</v>
      </c>
      <c r="E113" t="str">
        <f>_xll.BDP($B113,"LEGAL_ENTITY_IDENTIFIER")</f>
        <v>#N/A N/A</v>
      </c>
      <c r="F113" t="s">
        <v>404</v>
      </c>
      <c r="G113" t="str">
        <f>custodian!D113</f>
        <v>G16910120</v>
      </c>
      <c r="H113" t="str">
        <f>_xll.BDP($B113,"ID_ISIN")</f>
        <v>KYG169101204</v>
      </c>
      <c r="I113" s="1" t="s">
        <v>403</v>
      </c>
      <c r="J113" t="str">
        <f>_xll.BDP($B113,"CNTRY_OF_DOMICILE")</f>
        <v>KY</v>
      </c>
      <c r="K113" t="s">
        <v>98</v>
      </c>
      <c r="L113" t="s">
        <v>99</v>
      </c>
      <c r="O113" s="1"/>
      <c r="AQ113" s="1"/>
      <c r="AR113" s="1"/>
      <c r="AS113" s="1"/>
    </row>
    <row r="114" spans="1:45" x14ac:dyDescent="0.25">
      <c r="A114" t="s">
        <v>395</v>
      </c>
      <c r="B114" t="s">
        <v>405</v>
      </c>
      <c r="C114" s="1" t="s">
        <v>406</v>
      </c>
      <c r="D114" t="s">
        <v>407</v>
      </c>
      <c r="E114" t="str">
        <f>_xll.BDP($B114,"LEGAL_ENTITY_IDENTIFIER")</f>
        <v>254900TGJJ1D9JNAQT27</v>
      </c>
      <c r="F114" t="s">
        <v>408</v>
      </c>
      <c r="G114" t="str">
        <f>custodian!D114</f>
        <v>09175A206</v>
      </c>
      <c r="H114" t="str">
        <f>_xll.BDP($B114,"ID_ISIN")</f>
        <v>US09175A2069</v>
      </c>
      <c r="I114" s="1" t="s">
        <v>406</v>
      </c>
      <c r="J114" t="str">
        <f>_xll.BDP($B114,"CNTRY_OF_DOMICILE")</f>
        <v>US</v>
      </c>
      <c r="K114" t="s">
        <v>98</v>
      </c>
      <c r="L114" t="s">
        <v>99</v>
      </c>
      <c r="O114" s="1"/>
      <c r="AQ114" s="1"/>
      <c r="AR114" s="1"/>
      <c r="AS114" s="1"/>
    </row>
    <row r="115" spans="1:45" x14ac:dyDescent="0.25">
      <c r="A115" t="s">
        <v>395</v>
      </c>
      <c r="B115" t="s">
        <v>409</v>
      </c>
      <c r="C115" s="1" t="s">
        <v>410</v>
      </c>
      <c r="D115" t="s">
        <v>411</v>
      </c>
      <c r="E115" t="str">
        <f>_xll.BDP($B115,"LEGAL_ENTITY_IDENTIFIER")</f>
        <v>2549005XLPRWS7HWCM31</v>
      </c>
      <c r="F115" t="s">
        <v>411</v>
      </c>
      <c r="G115" t="str">
        <f>custodian!D115</f>
        <v>G1144A105</v>
      </c>
      <c r="H115" t="str">
        <f>_xll.BDP($B115,"ID_ISIN")</f>
        <v>KYG1144A1058</v>
      </c>
      <c r="I115" s="1" t="s">
        <v>410</v>
      </c>
      <c r="J115" t="str">
        <f>_xll.BDP($B115,"CNTRY_OF_DOMICILE")</f>
        <v>US</v>
      </c>
      <c r="K115" t="s">
        <v>98</v>
      </c>
      <c r="L115" t="s">
        <v>99</v>
      </c>
      <c r="O115" s="1"/>
      <c r="AQ115" s="1"/>
      <c r="AR115" s="1"/>
      <c r="AS115" s="1"/>
    </row>
    <row r="116" spans="1:45" x14ac:dyDescent="0.25">
      <c r="A116" t="s">
        <v>395</v>
      </c>
      <c r="B116" t="s">
        <v>412</v>
      </c>
      <c r="C116" s="1" t="s">
        <v>413</v>
      </c>
      <c r="D116" t="s">
        <v>414</v>
      </c>
      <c r="E116" t="str">
        <f>_xll.BDP($B116,"LEGAL_ENTITY_IDENTIFIER")</f>
        <v>2549007M2KGWVJ9XFP20</v>
      </c>
      <c r="F116" t="s">
        <v>414</v>
      </c>
      <c r="G116" t="str">
        <f>custodian!D116</f>
        <v>G11448100</v>
      </c>
      <c r="H116" t="str">
        <f>_xll.BDP($B116,"ID_ISIN")</f>
        <v>KYG114481008</v>
      </c>
      <c r="I116" s="1" t="s">
        <v>413</v>
      </c>
      <c r="J116" t="str">
        <f>_xll.BDP($B116,"CNTRY_OF_DOMICILE")</f>
        <v>SG</v>
      </c>
      <c r="K116" t="s">
        <v>98</v>
      </c>
      <c r="L116" t="s">
        <v>99</v>
      </c>
      <c r="O116" s="1"/>
      <c r="AQ116" s="1"/>
      <c r="AR116" s="1"/>
      <c r="AS116" s="1"/>
    </row>
    <row r="117" spans="1:45" x14ac:dyDescent="0.25">
      <c r="A117" t="s">
        <v>395</v>
      </c>
      <c r="B117" t="s">
        <v>415</v>
      </c>
      <c r="C117" s="1" t="s">
        <v>416</v>
      </c>
      <c r="D117" t="s">
        <v>417</v>
      </c>
      <c r="E117" t="str">
        <f>_xll.BDP($B117,"LEGAL_ENTITY_IDENTIFIER")</f>
        <v>254900UPX35JR22RH064</v>
      </c>
      <c r="F117" t="s">
        <v>417</v>
      </c>
      <c r="G117" t="str">
        <f>custodian!D117</f>
        <v>091947101</v>
      </c>
      <c r="H117" t="str">
        <f>_xll.BDP($B117,"ID_ISIN")</f>
        <v>US0919471013</v>
      </c>
      <c r="I117" s="1" t="s">
        <v>416</v>
      </c>
      <c r="J117" t="str">
        <f>_xll.BDP($B117,"CNTRY_OF_DOMICILE")</f>
        <v>US</v>
      </c>
      <c r="K117" t="s">
        <v>98</v>
      </c>
      <c r="L117" t="s">
        <v>99</v>
      </c>
      <c r="O117" s="1"/>
      <c r="AQ117" s="1"/>
      <c r="AR117" s="1"/>
      <c r="AS117" s="1"/>
    </row>
    <row r="118" spans="1:45" x14ac:dyDescent="0.25">
      <c r="A118" t="s">
        <v>395</v>
      </c>
      <c r="B118" t="s">
        <v>418</v>
      </c>
      <c r="C118" s="1" t="s">
        <v>419</v>
      </c>
      <c r="D118" t="s">
        <v>420</v>
      </c>
      <c r="E118" t="str">
        <f>_xll.BDP($B118,"LEGAL_ENTITY_IDENTIFIER")</f>
        <v>5299003TQHBB4QUSZB86</v>
      </c>
      <c r="F118" t="s">
        <v>420</v>
      </c>
      <c r="G118" t="str">
        <f>custodian!D118</f>
        <v>G1820C102</v>
      </c>
      <c r="H118" t="str">
        <f>_xll.BDP($B118,"ID_ISIN")</f>
        <v>KYG1820C1024</v>
      </c>
      <c r="I118" s="1" t="s">
        <v>419</v>
      </c>
      <c r="J118" t="str">
        <f>_xll.BDP($B118,"CNTRY_OF_DOMICILE")</f>
        <v>US</v>
      </c>
      <c r="K118" t="s">
        <v>98</v>
      </c>
      <c r="L118" t="s">
        <v>99</v>
      </c>
      <c r="O118" s="1"/>
      <c r="AQ118" s="1"/>
      <c r="AR118" s="1"/>
      <c r="AS118" s="1"/>
    </row>
    <row r="119" spans="1:45" x14ac:dyDescent="0.25">
      <c r="A119" t="s">
        <v>395</v>
      </c>
      <c r="B119" t="s">
        <v>421</v>
      </c>
      <c r="C119" s="1" t="s">
        <v>422</v>
      </c>
      <c r="D119" t="s">
        <v>423</v>
      </c>
      <c r="E119" t="str">
        <f>_xll.BDP($B119,"LEGAL_ENTITY_IDENTIFIER")</f>
        <v>529900RLNSGA90UPEH54</v>
      </c>
      <c r="F119" t="s">
        <v>423</v>
      </c>
      <c r="G119" t="str">
        <f>custodian!D119</f>
        <v>12503M108</v>
      </c>
      <c r="H119" t="str">
        <f>_xll.BDP($B119,"ID_ISIN")</f>
        <v>US12503M1080</v>
      </c>
      <c r="I119" s="1" t="s">
        <v>422</v>
      </c>
      <c r="J119" t="str">
        <f>_xll.BDP($B119,"CNTRY_OF_DOMICILE")</f>
        <v>US</v>
      </c>
      <c r="K119" t="s">
        <v>98</v>
      </c>
      <c r="L119" t="s">
        <v>99</v>
      </c>
      <c r="O119" s="1"/>
      <c r="AQ119" s="1"/>
      <c r="AR119" s="1"/>
      <c r="AS119" s="1"/>
    </row>
    <row r="120" spans="1:45" x14ac:dyDescent="0.25">
      <c r="A120" t="s">
        <v>395</v>
      </c>
      <c r="B120" t="s">
        <v>424</v>
      </c>
      <c r="C120" s="1" t="s">
        <v>425</v>
      </c>
      <c r="D120" t="s">
        <v>426</v>
      </c>
      <c r="E120" t="str">
        <f>_xll.BDP($B120,"LEGAL_ENTITY_IDENTIFIER")</f>
        <v>254900QABG5HCQZ28A17</v>
      </c>
      <c r="F120" t="s">
        <v>426</v>
      </c>
      <c r="G120" t="str">
        <f>custodian!D120</f>
        <v>17253J106</v>
      </c>
      <c r="H120" t="str">
        <f>_xll.BDP($B120,"ID_ISIN")</f>
        <v>US17253J1060</v>
      </c>
      <c r="I120" s="1" t="s">
        <v>425</v>
      </c>
      <c r="J120" t="str">
        <f>_xll.BDP($B120,"CNTRY_OF_DOMICILE")</f>
        <v>US</v>
      </c>
      <c r="K120" t="s">
        <v>98</v>
      </c>
      <c r="L120" t="s">
        <v>99</v>
      </c>
      <c r="O120" s="1"/>
      <c r="AQ120" s="1"/>
      <c r="AR120" s="1"/>
      <c r="AS120" s="1"/>
    </row>
    <row r="121" spans="1:45" x14ac:dyDescent="0.25">
      <c r="A121" t="s">
        <v>395</v>
      </c>
      <c r="B121" t="s">
        <v>427</v>
      </c>
      <c r="C121" s="1" t="s">
        <v>428</v>
      </c>
      <c r="D121" t="s">
        <v>429</v>
      </c>
      <c r="E121" t="str">
        <f>_xll.BDP($B121,"LEGAL_ENTITY_IDENTIFIER")</f>
        <v>254900VO7KBRJQDGY810</v>
      </c>
      <c r="F121" t="s">
        <v>429</v>
      </c>
      <c r="G121" t="str">
        <f>custodian!D121</f>
        <v>18452B209</v>
      </c>
      <c r="H121" t="str">
        <f>_xll.BDP($B121,"ID_ISIN")</f>
        <v>US18452B2097</v>
      </c>
      <c r="I121" s="1" t="s">
        <v>428</v>
      </c>
      <c r="J121" t="str">
        <f>_xll.BDP($B121,"CNTRY_OF_DOMICILE")</f>
        <v>US</v>
      </c>
      <c r="K121" t="s">
        <v>98</v>
      </c>
      <c r="L121" t="s">
        <v>99</v>
      </c>
      <c r="O121" s="1"/>
      <c r="AQ121" s="1"/>
      <c r="AR121" s="1"/>
      <c r="AS121" s="1"/>
    </row>
    <row r="122" spans="1:45" x14ac:dyDescent="0.25">
      <c r="A122" t="s">
        <v>395</v>
      </c>
      <c r="B122" t="s">
        <v>430</v>
      </c>
      <c r="C122" s="1" t="s">
        <v>431</v>
      </c>
      <c r="D122" t="s">
        <v>432</v>
      </c>
      <c r="E122" t="str">
        <f>_xll.BDP($B122,"LEGAL_ENTITY_IDENTIFIER")</f>
        <v>LCZ7XYGSLJUHFXXNXD88</v>
      </c>
      <c r="F122" t="s">
        <v>432</v>
      </c>
      <c r="G122" t="str">
        <f>custodian!D122</f>
        <v>12572Q105</v>
      </c>
      <c r="H122" t="str">
        <f>_xll.BDP($B122,"ID_ISIN")</f>
        <v>US12572Q1058</v>
      </c>
      <c r="I122" s="1" t="s">
        <v>431</v>
      </c>
      <c r="J122" t="str">
        <f>_xll.BDP($B122,"CNTRY_OF_DOMICILE")</f>
        <v>US</v>
      </c>
      <c r="K122" t="s">
        <v>98</v>
      </c>
      <c r="L122" t="s">
        <v>99</v>
      </c>
      <c r="O122" s="1"/>
      <c r="AQ122" s="1"/>
      <c r="AR122" s="1"/>
      <c r="AS122" s="1"/>
    </row>
    <row r="123" spans="1:45" x14ac:dyDescent="0.25">
      <c r="A123" t="s">
        <v>395</v>
      </c>
      <c r="B123" t="s">
        <v>433</v>
      </c>
      <c r="C123" s="1" t="s">
        <v>434</v>
      </c>
      <c r="D123" t="s">
        <v>435</v>
      </c>
      <c r="E123" t="str">
        <f>_xll.BDP($B123,"LEGAL_ENTITY_IDENTIFIER")</f>
        <v>5299004Z2A5SO6LXBB37</v>
      </c>
      <c r="F123" t="s">
        <v>435</v>
      </c>
      <c r="G123" t="str">
        <f>custodian!D123</f>
        <v>N20967118</v>
      </c>
      <c r="H123" t="str">
        <f>_xll.BDP($B123,"ID_ISIN")</f>
        <v>NL0015002BV9</v>
      </c>
      <c r="I123" s="1" t="s">
        <v>434</v>
      </c>
      <c r="J123" t="str">
        <f>_xll.BDP($B123,"CNTRY_OF_DOMICILE")</f>
        <v>NL</v>
      </c>
      <c r="K123" t="s">
        <v>98</v>
      </c>
      <c r="L123" t="s">
        <v>99</v>
      </c>
      <c r="O123" s="1"/>
      <c r="AQ123" s="1"/>
      <c r="AR123" s="1"/>
      <c r="AS123" s="1"/>
    </row>
    <row r="124" spans="1:45" x14ac:dyDescent="0.25">
      <c r="A124" t="s">
        <v>395</v>
      </c>
      <c r="B124" t="s">
        <v>256</v>
      </c>
      <c r="C124" s="1" t="s">
        <v>257</v>
      </c>
      <c r="D124" t="s">
        <v>258</v>
      </c>
      <c r="E124" t="str">
        <f>_xll.BDP($B124,"LEGAL_ENTITY_IDENTIFIER")</f>
        <v>5493004G3J2SC154DU06</v>
      </c>
      <c r="F124" t="s">
        <v>258</v>
      </c>
      <c r="G124" t="str">
        <f>custodian!D124</f>
        <v>19260Q107</v>
      </c>
      <c r="H124" t="str">
        <f>_xll.BDP($B124,"ID_ISIN")</f>
        <v>US19260Q1076</v>
      </c>
      <c r="I124" s="1" t="s">
        <v>257</v>
      </c>
      <c r="J124" t="str">
        <f>_xll.BDP($B124,"CNTRY_OF_DOMICILE")</f>
        <v>US</v>
      </c>
      <c r="K124" t="s">
        <v>98</v>
      </c>
      <c r="L124" t="s">
        <v>99</v>
      </c>
      <c r="O124" s="1"/>
      <c r="AQ124" s="1"/>
      <c r="AR124" s="1"/>
      <c r="AS124" s="1"/>
    </row>
    <row r="125" spans="1:45" x14ac:dyDescent="0.25">
      <c r="A125" t="s">
        <v>395</v>
      </c>
      <c r="B125" t="s">
        <v>436</v>
      </c>
      <c r="C125" s="1" t="s">
        <v>437</v>
      </c>
      <c r="D125" t="s">
        <v>438</v>
      </c>
      <c r="E125" t="str">
        <f>_xll.BDP($B125,"LEGAL_ENTITY_IDENTIFIER")</f>
        <v>5299003RGB2LAZ65RK73</v>
      </c>
      <c r="F125" t="s">
        <v>438</v>
      </c>
      <c r="G125" t="str">
        <f>custodian!D125</f>
        <v>21874A106</v>
      </c>
      <c r="H125" t="str">
        <f>_xll.BDP($B125,"ID_ISIN")</f>
        <v>US21874A1060</v>
      </c>
      <c r="I125" s="1" t="s">
        <v>437</v>
      </c>
      <c r="J125" t="str">
        <f>_xll.BDP($B125,"CNTRY_OF_DOMICILE")</f>
        <v>US</v>
      </c>
      <c r="K125" t="s">
        <v>98</v>
      </c>
      <c r="L125" t="s">
        <v>99</v>
      </c>
      <c r="O125" s="1"/>
      <c r="AQ125" s="1"/>
      <c r="AR125" s="1"/>
      <c r="AS125" s="1"/>
    </row>
    <row r="126" spans="1:45" x14ac:dyDescent="0.25">
      <c r="A126" t="s">
        <v>395</v>
      </c>
      <c r="B126" t="s">
        <v>439</v>
      </c>
      <c r="C126" s="1" t="s">
        <v>440</v>
      </c>
      <c r="D126" t="s">
        <v>441</v>
      </c>
      <c r="E126" t="str">
        <f>_xll.BDP($B126,"LEGAL_ENTITY_IDENTIFIER")</f>
        <v>254900HFVVR6NPMQVN93</v>
      </c>
      <c r="F126" t="s">
        <v>441</v>
      </c>
      <c r="G126" t="str">
        <f>custodian!D126</f>
        <v>172573107</v>
      </c>
      <c r="H126" t="str">
        <f>_xll.BDP($B126,"ID_ISIN")</f>
        <v>US1725731079</v>
      </c>
      <c r="I126" s="1" t="s">
        <v>440</v>
      </c>
      <c r="J126" t="str">
        <f>_xll.BDP($B126,"CNTRY_OF_DOMICILE")</f>
        <v>US</v>
      </c>
      <c r="K126" t="s">
        <v>98</v>
      </c>
      <c r="L126" t="s">
        <v>99</v>
      </c>
      <c r="O126" s="1"/>
      <c r="AQ126" s="1"/>
      <c r="AR126" s="1"/>
      <c r="AS126" s="1"/>
    </row>
    <row r="127" spans="1:45" x14ac:dyDescent="0.25">
      <c r="A127" t="s">
        <v>395</v>
      </c>
      <c r="B127" t="s">
        <v>442</v>
      </c>
      <c r="C127" s="1" t="s">
        <v>443</v>
      </c>
      <c r="D127" t="s">
        <v>444</v>
      </c>
      <c r="E127" t="str">
        <f>_xll.BDP($B127,"LEGAL_ENTITY_IDENTIFIER")</f>
        <v>213800XIX1ZHW9SWFW27</v>
      </c>
      <c r="F127" t="s">
        <v>444</v>
      </c>
      <c r="G127" t="str">
        <f>custodian!D127</f>
        <v>G670AQ104</v>
      </c>
      <c r="H127" t="str">
        <f>_xll.BDP($B127,"ID_ISIN")</f>
        <v>JE00BS6SC522</v>
      </c>
      <c r="I127" s="1" t="s">
        <v>443</v>
      </c>
      <c r="J127" t="str">
        <f>_xll.BDP($B127,"CNTRY_OF_DOMICILE")</f>
        <v>JE</v>
      </c>
      <c r="K127" t="s">
        <v>98</v>
      </c>
      <c r="L127" t="s">
        <v>99</v>
      </c>
      <c r="O127" s="1"/>
      <c r="AQ127" s="1"/>
      <c r="AR127" s="1"/>
      <c r="AS127" s="1"/>
    </row>
    <row r="128" spans="1:45" x14ac:dyDescent="0.25">
      <c r="A128" t="s">
        <v>395</v>
      </c>
      <c r="B128" t="s">
        <v>445</v>
      </c>
      <c r="C128" s="1" t="s">
        <v>446</v>
      </c>
      <c r="D128" t="s">
        <v>447</v>
      </c>
      <c r="E128" t="str">
        <f>_xll.BDP($B128,"LEGAL_ENTITY_IDENTIFIER")</f>
        <v>213800XPRPJK2X5QRG86</v>
      </c>
      <c r="F128" t="s">
        <v>447</v>
      </c>
      <c r="G128" t="str">
        <f>custodian!D128</f>
        <v>G32089107</v>
      </c>
      <c r="H128" t="str">
        <f>_xll.BDP($B128,"ID_ISIN")</f>
        <v>VGG320891077</v>
      </c>
      <c r="I128" s="1" t="s">
        <v>446</v>
      </c>
      <c r="J128" t="str">
        <f>_xll.BDP($B128,"CNTRY_OF_DOMICILE")</f>
        <v>IL</v>
      </c>
      <c r="K128" t="s">
        <v>98</v>
      </c>
      <c r="L128" t="s">
        <v>99</v>
      </c>
      <c r="O128" s="1"/>
      <c r="AQ128" s="1"/>
      <c r="AR128" s="1"/>
      <c r="AS128" s="1"/>
    </row>
    <row r="129" spans="1:45" x14ac:dyDescent="0.25">
      <c r="A129" t="s">
        <v>395</v>
      </c>
      <c r="B129" t="s">
        <v>77</v>
      </c>
      <c r="C129" s="1" t="s">
        <v>78</v>
      </c>
      <c r="D129" t="s">
        <v>79</v>
      </c>
      <c r="E129" t="str">
        <f>_xll.BDP($B129,"LEGAL_ENTITY_IDENTIFIER")</f>
        <v>549300R5MYM6VZF1RM44</v>
      </c>
      <c r="F129" t="s">
        <v>80</v>
      </c>
      <c r="G129" t="str">
        <f>custodian!D129</f>
        <v>31846V336</v>
      </c>
      <c r="H129" t="str">
        <f>_xll.BDP($B129,"ID_ISIN")</f>
        <v>US31846V3362</v>
      </c>
      <c r="I129" s="1" t="s">
        <v>78</v>
      </c>
      <c r="J129" t="str">
        <f>_xll.BDP($B129,"CNTRY_OF_DOMICILE")</f>
        <v>US</v>
      </c>
      <c r="K129" t="s">
        <v>81</v>
      </c>
      <c r="L129" t="s">
        <v>82</v>
      </c>
      <c r="O129" s="1"/>
      <c r="AQ129" s="1"/>
      <c r="AR129" s="1"/>
      <c r="AS129" s="1"/>
    </row>
    <row r="130" spans="1:45" x14ac:dyDescent="0.25">
      <c r="A130" t="s">
        <v>395</v>
      </c>
      <c r="B130" t="s">
        <v>448</v>
      </c>
      <c r="C130" s="1" t="s">
        <v>449</v>
      </c>
      <c r="D130" t="s">
        <v>450</v>
      </c>
      <c r="E130" t="str">
        <f>_xll.BDP($B130,"LEGAL_ENTITY_IDENTIFIER")</f>
        <v>#N/A N/A</v>
      </c>
      <c r="F130" t="s">
        <v>451</v>
      </c>
      <c r="G130" t="str">
        <f>custodian!D130</f>
        <v>349381103</v>
      </c>
      <c r="H130" t="str">
        <f>_xll.BDP($B130,"ID_ISIN")</f>
        <v>US3493811034</v>
      </c>
      <c r="I130" s="1" t="s">
        <v>449</v>
      </c>
      <c r="J130" t="str">
        <f>_xll.BDP($B130,"CNTRY_OF_DOMICILE")</f>
        <v>US</v>
      </c>
      <c r="K130" t="s">
        <v>98</v>
      </c>
      <c r="L130" t="s">
        <v>99</v>
      </c>
      <c r="O130" s="1"/>
      <c r="AQ130" s="1"/>
      <c r="AR130" s="1"/>
      <c r="AS130" s="1"/>
    </row>
    <row r="131" spans="1:45" x14ac:dyDescent="0.25">
      <c r="A131" t="s">
        <v>395</v>
      </c>
      <c r="B131" t="s">
        <v>452</v>
      </c>
      <c r="C131" s="1" t="s">
        <v>453</v>
      </c>
      <c r="D131" t="s">
        <v>454</v>
      </c>
      <c r="E131" t="str">
        <f>_xll.BDP($B131,"LEGAL_ENTITY_IDENTIFIER")</f>
        <v>#N/A N/A</v>
      </c>
      <c r="F131" t="s">
        <v>454</v>
      </c>
      <c r="G131" t="str">
        <f>custodian!D131</f>
        <v>G1152A104</v>
      </c>
      <c r="H131" t="str">
        <f>_xll.BDP($B131,"ID_ISIN")</f>
        <v>KYG1152A1040</v>
      </c>
      <c r="I131" s="1" t="s">
        <v>453</v>
      </c>
      <c r="J131" t="str">
        <f>_xll.BDP($B131,"CNTRY_OF_DOMICILE")</f>
        <v>SG</v>
      </c>
      <c r="K131" t="s">
        <v>98</v>
      </c>
      <c r="L131" t="s">
        <v>99</v>
      </c>
      <c r="O131" s="1"/>
      <c r="AQ131" s="1"/>
      <c r="AR131" s="1"/>
      <c r="AS131" s="1"/>
    </row>
    <row r="132" spans="1:45" x14ac:dyDescent="0.25">
      <c r="A132" t="s">
        <v>395</v>
      </c>
      <c r="B132" t="s">
        <v>455</v>
      </c>
      <c r="C132" s="1" t="s">
        <v>456</v>
      </c>
      <c r="D132" t="s">
        <v>457</v>
      </c>
      <c r="E132" t="str">
        <f>_xll.BDP($B132,"LEGAL_ENTITY_IDENTIFIER")</f>
        <v>#N/A N/A</v>
      </c>
      <c r="F132" t="s">
        <v>457</v>
      </c>
      <c r="G132" t="str">
        <f>custodian!D132</f>
        <v>36866J105</v>
      </c>
      <c r="H132" t="str">
        <f>_xll.BDP($B132,"ID_ISIN")</f>
        <v>US36866J1051</v>
      </c>
      <c r="I132" s="1" t="s">
        <v>456</v>
      </c>
      <c r="J132" t="str">
        <f>_xll.BDP($B132,"CNTRY_OF_DOMICILE")</f>
        <v>US</v>
      </c>
      <c r="K132" t="s">
        <v>98</v>
      </c>
      <c r="L132" t="s">
        <v>99</v>
      </c>
      <c r="O132" s="1"/>
      <c r="AQ132" s="1"/>
      <c r="AR132" s="1"/>
      <c r="AS132" s="1"/>
    </row>
    <row r="133" spans="1:45" x14ac:dyDescent="0.25">
      <c r="A133" t="s">
        <v>395</v>
      </c>
      <c r="B133" t="s">
        <v>458</v>
      </c>
      <c r="C133" s="1" t="s">
        <v>459</v>
      </c>
      <c r="D133" t="s">
        <v>460</v>
      </c>
      <c r="E133" t="str">
        <f>_xll.BDP($B133,"LEGAL_ENTITY_IDENTIFIER")</f>
        <v>9845001C4070E5N07806</v>
      </c>
      <c r="F133" t="s">
        <v>460</v>
      </c>
      <c r="G133" t="str">
        <f>custodian!D133</f>
        <v>36317J209</v>
      </c>
      <c r="H133" t="str">
        <f>_xll.BDP($B133,"ID_ISIN")</f>
        <v>US36317J2096</v>
      </c>
      <c r="I133" s="1" t="s">
        <v>459</v>
      </c>
      <c r="J133" t="str">
        <f>_xll.BDP($B133,"CNTRY_OF_DOMICILE")</f>
        <v>US</v>
      </c>
      <c r="K133" t="s">
        <v>98</v>
      </c>
      <c r="L133" t="s">
        <v>99</v>
      </c>
      <c r="O133" s="1"/>
      <c r="AQ133" s="1"/>
      <c r="AR133" s="1"/>
      <c r="AS133" s="1"/>
    </row>
    <row r="134" spans="1:45" x14ac:dyDescent="0.25">
      <c r="A134" t="s">
        <v>395</v>
      </c>
      <c r="B134" t="s">
        <v>461</v>
      </c>
      <c r="C134" s="1" t="s">
        <v>462</v>
      </c>
      <c r="D134" t="s">
        <v>463</v>
      </c>
      <c r="E134" t="str">
        <f>_xll.BDP($B134,"LEGAL_ENTITY_IDENTIFIER")</f>
        <v>#N/A N/A</v>
      </c>
      <c r="F134" t="s">
        <v>463</v>
      </c>
      <c r="G134" t="str">
        <f>custodian!D134</f>
        <v>20459V105</v>
      </c>
      <c r="H134" t="str">
        <f>_xll.BDP($B134,"ID_ISIN")</f>
        <v>US20459V1052</v>
      </c>
      <c r="I134" s="1" t="s">
        <v>462</v>
      </c>
      <c r="J134" t="str">
        <f>_xll.BDP($B134,"CNTRY_OF_DOMICILE")</f>
        <v>US</v>
      </c>
      <c r="K134" t="s">
        <v>98</v>
      </c>
      <c r="L134" t="s">
        <v>99</v>
      </c>
      <c r="O134" s="1"/>
      <c r="AQ134" s="1"/>
      <c r="AR134" s="1"/>
      <c r="AS134" s="1"/>
    </row>
    <row r="135" spans="1:45" x14ac:dyDescent="0.25">
      <c r="A135" t="s">
        <v>395</v>
      </c>
      <c r="B135" t="s">
        <v>464</v>
      </c>
      <c r="C135" s="1" t="s">
        <v>465</v>
      </c>
      <c r="D135" t="s">
        <v>466</v>
      </c>
      <c r="E135" t="str">
        <f>_xll.BDP($B135,"LEGAL_ENTITY_IDENTIFIER")</f>
        <v>5493004QCZ1QBI9FS784</v>
      </c>
      <c r="F135" t="s">
        <v>466</v>
      </c>
      <c r="G135" t="str">
        <f>custodian!D135</f>
        <v>433921103</v>
      </c>
      <c r="H135" t="str">
        <f>_xll.BDP($B135,"ID_ISIN")</f>
        <v>CA4339211035</v>
      </c>
      <c r="I135" s="1" t="s">
        <v>465</v>
      </c>
      <c r="J135" t="str">
        <f>_xll.BDP($B135,"CNTRY_OF_DOMICILE")</f>
        <v>CA</v>
      </c>
      <c r="K135" t="s">
        <v>98</v>
      </c>
      <c r="L135" t="s">
        <v>99</v>
      </c>
      <c r="O135" s="1"/>
      <c r="AQ135" s="1"/>
      <c r="AR135" s="1"/>
      <c r="AS135" s="1"/>
    </row>
    <row r="136" spans="1:45" x14ac:dyDescent="0.25">
      <c r="A136" t="s">
        <v>395</v>
      </c>
      <c r="B136" t="s">
        <v>286</v>
      </c>
      <c r="C136" s="1" t="s">
        <v>287</v>
      </c>
      <c r="D136" t="s">
        <v>288</v>
      </c>
      <c r="E136" t="str">
        <f>_xll.BDP($B136,"LEGAL_ENTITY_IDENTIFIER")</f>
        <v>213800FS5AO3YWIE6F63</v>
      </c>
      <c r="F136" t="s">
        <v>288</v>
      </c>
      <c r="G136" t="str">
        <f>custodian!D136</f>
        <v>770700102</v>
      </c>
      <c r="H136" t="str">
        <f>_xll.BDP($B136,"ID_ISIN")</f>
        <v>US7707001027</v>
      </c>
      <c r="I136" s="1" t="s">
        <v>287</v>
      </c>
      <c r="J136" t="str">
        <f>_xll.BDP($B136,"CNTRY_OF_DOMICILE")</f>
        <v>US</v>
      </c>
      <c r="K136" t="s">
        <v>98</v>
      </c>
      <c r="L136" t="s">
        <v>99</v>
      </c>
      <c r="O136" s="1"/>
      <c r="AQ136" s="1"/>
      <c r="AR136" s="1"/>
      <c r="AS136" s="1"/>
    </row>
    <row r="137" spans="1:45" x14ac:dyDescent="0.25">
      <c r="A137" t="s">
        <v>395</v>
      </c>
      <c r="B137" t="s">
        <v>467</v>
      </c>
      <c r="C137" s="1" t="s">
        <v>468</v>
      </c>
      <c r="D137" t="s">
        <v>469</v>
      </c>
      <c r="E137" t="str">
        <f>_xll.BDP($B137,"LEGAL_ENTITY_IDENTIFIER")</f>
        <v>98450066FEF9C1D3FC20</v>
      </c>
      <c r="F137" t="s">
        <v>469</v>
      </c>
      <c r="G137" t="str">
        <f>custodian!D137</f>
        <v>44812J104</v>
      </c>
      <c r="H137" t="str">
        <f>_xll.BDP($B137,"ID_ISIN")</f>
        <v>US44812J1043</v>
      </c>
      <c r="I137" s="1" t="s">
        <v>468</v>
      </c>
      <c r="J137" t="str">
        <f>_xll.BDP($B137,"CNTRY_OF_DOMICILE")</f>
        <v>US</v>
      </c>
      <c r="K137" t="s">
        <v>98</v>
      </c>
      <c r="L137" t="s">
        <v>99</v>
      </c>
      <c r="O137" s="1"/>
      <c r="AQ137" s="1"/>
      <c r="AR137" s="1"/>
      <c r="AS137" s="1"/>
    </row>
    <row r="138" spans="1:45" x14ac:dyDescent="0.25">
      <c r="A138" t="s">
        <v>395</v>
      </c>
      <c r="B138" t="s">
        <v>470</v>
      </c>
      <c r="C138" s="1" t="s">
        <v>471</v>
      </c>
      <c r="D138" t="s">
        <v>472</v>
      </c>
      <c r="E138" t="str">
        <f>_xll.BDP($B138,"LEGAL_ENTITY_IDENTIFIER")</f>
        <v>254900FZF02RB3NNGB71</v>
      </c>
      <c r="F138" t="s">
        <v>472</v>
      </c>
      <c r="G138" t="str">
        <f>custodian!D138</f>
        <v>Q4982L109</v>
      </c>
      <c r="H138" t="str">
        <f>_xll.BDP($B138,"ID_ISIN")</f>
        <v>AU0000185993</v>
      </c>
      <c r="I138" s="1" t="s">
        <v>471</v>
      </c>
      <c r="J138" t="str">
        <f>_xll.BDP($B138,"CNTRY_OF_DOMICILE")</f>
        <v>AU</v>
      </c>
      <c r="K138" t="s">
        <v>98</v>
      </c>
      <c r="L138" t="s">
        <v>99</v>
      </c>
      <c r="O138" s="1"/>
      <c r="AQ138" s="1"/>
      <c r="AR138" s="1"/>
      <c r="AS138" s="1"/>
    </row>
    <row r="139" spans="1:45" x14ac:dyDescent="0.25">
      <c r="A139" t="s">
        <v>395</v>
      </c>
      <c r="B139" t="s">
        <v>473</v>
      </c>
      <c r="C139" s="1" t="s">
        <v>474</v>
      </c>
      <c r="D139" t="s">
        <v>475</v>
      </c>
      <c r="E139" t="str">
        <f>_xll.BDP($B139,"LEGAL_ENTITY_IDENTIFIER")</f>
        <v>549300M8ISKPTX2W7F94</v>
      </c>
      <c r="F139" t="s">
        <v>475</v>
      </c>
      <c r="G139" t="str">
        <f>custodian!D139</f>
        <v>565788106</v>
      </c>
      <c r="H139" t="str">
        <f>_xll.BDP($B139,"ID_ISIN")</f>
        <v>US5657881067</v>
      </c>
      <c r="I139" s="1" t="s">
        <v>474</v>
      </c>
      <c r="J139" t="str">
        <f>_xll.BDP($B139,"CNTRY_OF_DOMICILE")</f>
        <v>US</v>
      </c>
      <c r="K139" t="s">
        <v>98</v>
      </c>
      <c r="L139" t="s">
        <v>99</v>
      </c>
      <c r="O139" s="1"/>
      <c r="AQ139" s="1"/>
      <c r="AR139" s="1"/>
      <c r="AS139" s="1"/>
    </row>
    <row r="140" spans="1:45" x14ac:dyDescent="0.25">
      <c r="A140" t="s">
        <v>395</v>
      </c>
      <c r="B140" t="s">
        <v>476</v>
      </c>
      <c r="C140" s="1" t="s">
        <v>477</v>
      </c>
      <c r="D140" t="s">
        <v>478</v>
      </c>
      <c r="E140" t="str">
        <f>_xll.BDP($B140,"LEGAL_ENTITY_IDENTIFIER")</f>
        <v>5493005X2GO78EFZ3E94</v>
      </c>
      <c r="F140" t="s">
        <v>478</v>
      </c>
      <c r="G140" t="str">
        <f>custodian!D140</f>
        <v>70450Y103</v>
      </c>
      <c r="H140" t="str">
        <f>_xll.BDP($B140,"ID_ISIN")</f>
        <v>US70450Y1038</v>
      </c>
      <c r="I140" s="1" t="s">
        <v>477</v>
      </c>
      <c r="J140" t="str">
        <f>_xll.BDP($B140,"CNTRY_OF_DOMICILE")</f>
        <v>US</v>
      </c>
      <c r="K140" t="s">
        <v>98</v>
      </c>
      <c r="L140" t="s">
        <v>99</v>
      </c>
      <c r="O140" s="1"/>
      <c r="AQ140" s="1"/>
      <c r="AR140" s="1"/>
      <c r="AS140" s="1"/>
    </row>
    <row r="141" spans="1:45" x14ac:dyDescent="0.25">
      <c r="A141" t="s">
        <v>395</v>
      </c>
      <c r="B141" t="s">
        <v>479</v>
      </c>
      <c r="C141" s="1" t="s">
        <v>480</v>
      </c>
      <c r="D141" t="s">
        <v>481</v>
      </c>
      <c r="E141" t="str">
        <f>_xll.BDP($B141,"LEGAL_ENTITY_IDENTIFIER")</f>
        <v>5299005LKZAJQDQZDF73</v>
      </c>
      <c r="F141" t="s">
        <v>481</v>
      </c>
      <c r="G141" t="str">
        <f>custodian!D141</f>
        <v>767292105</v>
      </c>
      <c r="H141" t="str">
        <f>_xll.BDP($B141,"ID_ISIN")</f>
        <v>US7672921050</v>
      </c>
      <c r="I141" s="1" t="s">
        <v>480</v>
      </c>
      <c r="J141" t="str">
        <f>_xll.BDP($B141,"CNTRY_OF_DOMICILE")</f>
        <v>US</v>
      </c>
      <c r="K141" t="s">
        <v>98</v>
      </c>
      <c r="L141" t="s">
        <v>99</v>
      </c>
      <c r="O141" s="1"/>
      <c r="AQ141" s="1"/>
      <c r="AR141" s="1"/>
      <c r="AS141" s="1"/>
    </row>
    <row r="142" spans="1:45" x14ac:dyDescent="0.25">
      <c r="A142" t="s">
        <v>395</v>
      </c>
      <c r="B142" t="s">
        <v>482</v>
      </c>
      <c r="C142" s="1" t="s">
        <v>483</v>
      </c>
      <c r="D142" t="s">
        <v>484</v>
      </c>
      <c r="E142" t="str">
        <f>_xll.BDP($B142,"LEGAL_ENTITY_IDENTIFIER")</f>
        <v>#N/A N/A</v>
      </c>
      <c r="F142" t="s">
        <v>484</v>
      </c>
      <c r="G142" t="str">
        <f>custodian!D142</f>
        <v>583543301</v>
      </c>
      <c r="H142" t="str">
        <f>_xll.BDP($B142,"ID_ISIN")</f>
        <v>US5835433013</v>
      </c>
      <c r="I142" s="1" t="s">
        <v>483</v>
      </c>
      <c r="J142" t="str">
        <f>_xll.BDP($B142,"CNTRY_OF_DOMICILE")</f>
        <v>US</v>
      </c>
      <c r="K142" t="s">
        <v>98</v>
      </c>
      <c r="L142" t="s">
        <v>99</v>
      </c>
      <c r="O142" s="1"/>
      <c r="AQ142" s="1"/>
      <c r="AR142" s="1"/>
      <c r="AS142" s="1"/>
    </row>
    <row r="143" spans="1:45" x14ac:dyDescent="0.25">
      <c r="A143" t="s">
        <v>395</v>
      </c>
      <c r="B143" t="s">
        <v>485</v>
      </c>
      <c r="C143" s="1" t="s">
        <v>486</v>
      </c>
      <c r="D143" t="s">
        <v>487</v>
      </c>
      <c r="E143" t="str">
        <f>_xll.BDP($B143,"LEGAL_ENTITY_IDENTIFIER")</f>
        <v>254900CVMW1SX2T78A64</v>
      </c>
      <c r="F143" t="s">
        <v>487</v>
      </c>
      <c r="G143" t="str">
        <f>custodian!D143</f>
        <v>88080T104</v>
      </c>
      <c r="H143" t="str">
        <f>_xll.BDP($B143,"ID_ISIN")</f>
        <v>US88080T1043</v>
      </c>
      <c r="I143" s="1" t="s">
        <v>486</v>
      </c>
      <c r="J143" t="str">
        <f>_xll.BDP($B143,"CNTRY_OF_DOMICILE")</f>
        <v>US</v>
      </c>
      <c r="K143" t="s">
        <v>98</v>
      </c>
      <c r="L143" t="s">
        <v>99</v>
      </c>
      <c r="O143" s="1"/>
      <c r="AQ143" s="1"/>
      <c r="AR143" s="1"/>
      <c r="AS143" s="1"/>
    </row>
    <row r="144" spans="1:45" x14ac:dyDescent="0.25">
      <c r="A144" t="s">
        <v>395</v>
      </c>
      <c r="B144" t="s">
        <v>386</v>
      </c>
      <c r="C144" s="1" t="s">
        <v>387</v>
      </c>
      <c r="D144" t="s">
        <v>388</v>
      </c>
      <c r="E144" t="str">
        <f>_xll.BDP($B144,"LEGAL_ENTITY_IDENTIFIER")</f>
        <v>549300OHIIUWSTIZME52</v>
      </c>
      <c r="F144" t="s">
        <v>388</v>
      </c>
      <c r="G144" t="str">
        <f>custodian!D144</f>
        <v>852234103</v>
      </c>
      <c r="H144" t="str">
        <f>_xll.BDP($B144,"ID_ISIN")</f>
        <v>US8522341036</v>
      </c>
      <c r="I144" s="1" t="s">
        <v>387</v>
      </c>
      <c r="J144" t="str">
        <f>_xll.BDP($B144,"CNTRY_OF_DOMICILE")</f>
        <v>US</v>
      </c>
      <c r="K144" t="s">
        <v>98</v>
      </c>
      <c r="L144" t="s">
        <v>99</v>
      </c>
      <c r="O144" s="1"/>
      <c r="AQ144" s="1"/>
      <c r="AR144" s="1"/>
      <c r="AS144" s="1"/>
    </row>
    <row r="145" spans="1:45" x14ac:dyDescent="0.25">
      <c r="A145" t="s">
        <v>395</v>
      </c>
      <c r="C145" s="1" t="s">
        <v>52</v>
      </c>
      <c r="E145" s="1"/>
      <c r="G145" t="str">
        <f>custodian!D145</f>
        <v>Cash&amp;Other</v>
      </c>
      <c r="H145" s="1"/>
      <c r="I145" s="1"/>
      <c r="O145" s="1"/>
      <c r="AQ145" s="1"/>
      <c r="AR145" s="1"/>
      <c r="AS145" s="1"/>
    </row>
    <row r="146" spans="1:45" x14ac:dyDescent="0.25">
      <c r="A146" t="s">
        <v>488</v>
      </c>
      <c r="B146" t="s">
        <v>489</v>
      </c>
      <c r="C146" s="1" t="s">
        <v>490</v>
      </c>
      <c r="D146" t="s">
        <v>491</v>
      </c>
      <c r="E146" t="str">
        <f>_xll.BDP($B146,"LEGAL_ENTITY_IDENTIFIER")</f>
        <v>#N/A N/A</v>
      </c>
      <c r="F146" t="s">
        <v>491</v>
      </c>
      <c r="G146" t="str">
        <f>custodian!D146</f>
        <v>05601U105</v>
      </c>
      <c r="H146" t="str">
        <f>_xll.BDP($B146,"ID_ISIN")</f>
        <v>US05601U1051</v>
      </c>
      <c r="I146" s="1" t="s">
        <v>490</v>
      </c>
      <c r="J146" t="str">
        <f>_xll.BDP($B146,"CNTRY_OF_DOMICILE")</f>
        <v>US</v>
      </c>
      <c r="K146" t="s">
        <v>98</v>
      </c>
      <c r="L146" t="s">
        <v>99</v>
      </c>
      <c r="O146" s="1"/>
      <c r="AQ146" s="1"/>
      <c r="AR146" s="1"/>
      <c r="AS146" s="1"/>
    </row>
    <row r="147" spans="1:45" x14ac:dyDescent="0.25">
      <c r="A147" t="s">
        <v>488</v>
      </c>
      <c r="B147" t="s">
        <v>492</v>
      </c>
      <c r="C147" s="1" t="s">
        <v>493</v>
      </c>
      <c r="D147" t="s">
        <v>494</v>
      </c>
      <c r="E147" t="str">
        <f>_xll.BDP($B147,"LEGAL_ENTITY_IDENTIFIER")</f>
        <v>#N/A N/A</v>
      </c>
      <c r="F147" t="s">
        <v>494</v>
      </c>
      <c r="G147" t="str">
        <f>custodian!D147</f>
        <v>26701L100</v>
      </c>
      <c r="H147" t="str">
        <f>_xll.BDP($B147,"ID_ISIN")</f>
        <v>US26701L1008</v>
      </c>
      <c r="I147" s="1" t="s">
        <v>493</v>
      </c>
      <c r="J147" t="str">
        <f>_xll.BDP($B147,"CNTRY_OF_DOMICILE")</f>
        <v>US</v>
      </c>
      <c r="K147" t="s">
        <v>98</v>
      </c>
      <c r="L147" t="s">
        <v>99</v>
      </c>
      <c r="O147" s="1"/>
      <c r="AQ147" s="1"/>
      <c r="AR147" s="1"/>
      <c r="AS147" s="1"/>
    </row>
    <row r="148" spans="1:45" x14ac:dyDescent="0.25">
      <c r="A148" t="s">
        <v>488</v>
      </c>
      <c r="B148" t="s">
        <v>495</v>
      </c>
      <c r="C148" s="1" t="s">
        <v>496</v>
      </c>
      <c r="D148" t="s">
        <v>497</v>
      </c>
      <c r="E148" t="str">
        <f>_xll.BDP($B148,"LEGAL_ENTITY_IDENTIFIER")</f>
        <v>#N/A N/A</v>
      </c>
      <c r="F148" t="s">
        <v>497</v>
      </c>
      <c r="G148" t="str">
        <f>custodian!D148</f>
        <v>15118V207</v>
      </c>
      <c r="H148" t="str">
        <f>_xll.BDP($B148,"ID_ISIN")</f>
        <v>US15118V2079</v>
      </c>
      <c r="I148" s="1" t="s">
        <v>496</v>
      </c>
      <c r="J148" t="str">
        <f>_xll.BDP($B148,"CNTRY_OF_DOMICILE")</f>
        <v>US</v>
      </c>
      <c r="K148" t="s">
        <v>98</v>
      </c>
      <c r="L148" t="s">
        <v>99</v>
      </c>
      <c r="O148" s="1"/>
      <c r="AQ148" s="1"/>
      <c r="AR148" s="1"/>
      <c r="AS148" s="1"/>
    </row>
    <row r="149" spans="1:45" x14ac:dyDescent="0.25">
      <c r="A149" t="s">
        <v>488</v>
      </c>
      <c r="B149" t="s">
        <v>498</v>
      </c>
      <c r="C149" s="1" t="s">
        <v>499</v>
      </c>
      <c r="D149" t="s">
        <v>500</v>
      </c>
      <c r="E149" t="str">
        <f>_xll.BDP($B149,"LEGAL_ENTITY_IDENTIFIER")</f>
        <v>#N/A N/A</v>
      </c>
      <c r="F149" t="s">
        <v>500</v>
      </c>
      <c r="G149" t="str">
        <f>custodian!D149</f>
        <v>50101L106</v>
      </c>
      <c r="H149" t="str">
        <f>_xll.BDP($B149,"ID_ISIN")</f>
        <v>US50101L1061</v>
      </c>
      <c r="I149" s="1" t="s">
        <v>499</v>
      </c>
      <c r="J149" t="str">
        <f>_xll.BDP($B149,"CNTRY_OF_DOMICILE")</f>
        <v>US</v>
      </c>
      <c r="K149" t="s">
        <v>98</v>
      </c>
      <c r="L149" t="s">
        <v>99</v>
      </c>
      <c r="O149" s="1"/>
      <c r="AQ149" s="1"/>
      <c r="AR149" s="1"/>
      <c r="AS149" s="1"/>
    </row>
    <row r="150" spans="1:45" x14ac:dyDescent="0.25">
      <c r="A150" t="s">
        <v>488</v>
      </c>
      <c r="B150" t="s">
        <v>77</v>
      </c>
      <c r="C150" s="1" t="s">
        <v>78</v>
      </c>
      <c r="D150" t="s">
        <v>79</v>
      </c>
      <c r="E150" t="str">
        <f>_xll.BDP($B150,"LEGAL_ENTITY_IDENTIFIER")</f>
        <v>549300R5MYM6VZF1RM44</v>
      </c>
      <c r="F150" t="s">
        <v>80</v>
      </c>
      <c r="G150" t="str">
        <f>custodian!D150</f>
        <v>31846V336</v>
      </c>
      <c r="H150" t="str">
        <f>_xll.BDP($B150,"ID_ISIN")</f>
        <v>US31846V3362</v>
      </c>
      <c r="I150" s="1" t="s">
        <v>78</v>
      </c>
      <c r="J150" t="str">
        <f>_xll.BDP($B150,"CNTRY_OF_DOMICILE")</f>
        <v>US</v>
      </c>
      <c r="K150" t="s">
        <v>81</v>
      </c>
      <c r="L150" t="s">
        <v>82</v>
      </c>
      <c r="O150" s="1"/>
      <c r="AQ150" s="1"/>
      <c r="AR150" s="1"/>
      <c r="AS150" s="1"/>
    </row>
    <row r="151" spans="1:45" x14ac:dyDescent="0.25">
      <c r="A151" t="s">
        <v>488</v>
      </c>
      <c r="B151" t="s">
        <v>501</v>
      </c>
      <c r="C151" s="1" t="s">
        <v>502</v>
      </c>
      <c r="D151" t="s">
        <v>503</v>
      </c>
      <c r="E151" t="str">
        <f>_xll.BDP($B151,"LEGAL_ENTITY_IDENTIFIER")</f>
        <v>BZLRL03D3GPGMOGFO832</v>
      </c>
      <c r="F151" t="s">
        <v>504</v>
      </c>
      <c r="G151" t="str">
        <f>custodian!D151</f>
        <v>459506101</v>
      </c>
      <c r="H151" t="str">
        <f>_xll.BDP($B151,"ID_ISIN")</f>
        <v>US4595061015</v>
      </c>
      <c r="I151" s="1" t="s">
        <v>502</v>
      </c>
      <c r="J151" t="str">
        <f>_xll.BDP($B151,"CNTRY_OF_DOMICILE")</f>
        <v>US</v>
      </c>
      <c r="K151" t="s">
        <v>98</v>
      </c>
      <c r="L151" t="s">
        <v>99</v>
      </c>
      <c r="O151" s="1"/>
      <c r="AQ151" s="1"/>
      <c r="AR151" s="1"/>
      <c r="AS151" s="1"/>
    </row>
    <row r="152" spans="1:45" x14ac:dyDescent="0.25">
      <c r="A152" t="s">
        <v>488</v>
      </c>
      <c r="B152" t="s">
        <v>505</v>
      </c>
      <c r="C152" s="1" t="s">
        <v>506</v>
      </c>
      <c r="D152" t="s">
        <v>507</v>
      </c>
      <c r="E152" t="str">
        <f>_xll.BDP($B152,"LEGAL_ENTITY_IDENTIFIER")</f>
        <v>PKSTQ48QDN0XSVS7YK88</v>
      </c>
      <c r="F152" t="s">
        <v>507</v>
      </c>
      <c r="G152" t="str">
        <f>custodian!D152</f>
        <v>457187102</v>
      </c>
      <c r="H152" t="str">
        <f>_xll.BDP($B152,"ID_ISIN")</f>
        <v>US4571871023</v>
      </c>
      <c r="I152" s="1" t="s">
        <v>506</v>
      </c>
      <c r="J152" t="str">
        <f>_xll.BDP($B152,"CNTRY_OF_DOMICILE")</f>
        <v>US</v>
      </c>
      <c r="K152" t="s">
        <v>98</v>
      </c>
      <c r="L152" t="s">
        <v>99</v>
      </c>
      <c r="O152" s="1"/>
      <c r="AQ152" s="1"/>
      <c r="AR152" s="1"/>
      <c r="AS152" s="1"/>
    </row>
    <row r="153" spans="1:45" x14ac:dyDescent="0.25">
      <c r="A153" t="s">
        <v>488</v>
      </c>
      <c r="B153" t="s">
        <v>508</v>
      </c>
      <c r="C153" s="1" t="s">
        <v>509</v>
      </c>
      <c r="D153" t="s">
        <v>510</v>
      </c>
      <c r="E153" t="str">
        <f>_xll.BDP($B153,"LEGAL_ENTITY_IDENTIFIER")</f>
        <v>DYTQ8KRTKO7Y2BVU5K74</v>
      </c>
      <c r="F153" t="s">
        <v>510</v>
      </c>
      <c r="G153" t="str">
        <f>custodian!D153</f>
        <v>49271V100</v>
      </c>
      <c r="H153" t="str">
        <f>_xll.BDP($B153,"ID_ISIN")</f>
        <v>US49271V1008</v>
      </c>
      <c r="I153" s="1" t="s">
        <v>509</v>
      </c>
      <c r="J153" t="str">
        <f>_xll.BDP($B153,"CNTRY_OF_DOMICILE")</f>
        <v>US</v>
      </c>
      <c r="K153" t="s">
        <v>98</v>
      </c>
      <c r="L153" t="s">
        <v>99</v>
      </c>
      <c r="O153" s="1"/>
      <c r="AQ153" s="1"/>
      <c r="AR153" s="1"/>
      <c r="AS153" s="1"/>
    </row>
    <row r="154" spans="1:45" x14ac:dyDescent="0.25">
      <c r="A154" t="s">
        <v>488</v>
      </c>
      <c r="B154" t="s">
        <v>511</v>
      </c>
      <c r="C154" s="1" t="s">
        <v>512</v>
      </c>
      <c r="D154" t="s">
        <v>513</v>
      </c>
      <c r="E154" t="str">
        <f>_xll.BDP($B154,"LEGAL_ENTITY_IDENTIFIER")</f>
        <v>UWJKFUJFZ02DKWI3RY53</v>
      </c>
      <c r="F154" t="s">
        <v>513</v>
      </c>
      <c r="G154" t="str">
        <f>custodian!D154</f>
        <v>191216100</v>
      </c>
      <c r="H154" t="str">
        <f>_xll.BDP($B154,"ID_ISIN")</f>
        <v>US1912161007</v>
      </c>
      <c r="I154" s="1" t="s">
        <v>512</v>
      </c>
      <c r="J154" t="str">
        <f>_xll.BDP($B154,"CNTRY_OF_DOMICILE")</f>
        <v>US</v>
      </c>
      <c r="K154" t="s">
        <v>98</v>
      </c>
      <c r="L154" t="s">
        <v>99</v>
      </c>
      <c r="O154" s="1"/>
      <c r="AQ154" s="1"/>
      <c r="AR154" s="1"/>
      <c r="AS154" s="1"/>
    </row>
    <row r="155" spans="1:45" x14ac:dyDescent="0.25">
      <c r="A155" t="s">
        <v>488</v>
      </c>
      <c r="B155" t="s">
        <v>514</v>
      </c>
      <c r="C155" s="1" t="s">
        <v>515</v>
      </c>
      <c r="D155" t="s">
        <v>516</v>
      </c>
      <c r="E155" t="str">
        <f>_xll.BDP($B155,"LEGAL_ENTITY_IDENTIFIER")</f>
        <v>52990090AP0E7HCB6F33</v>
      </c>
      <c r="F155" t="s">
        <v>516</v>
      </c>
      <c r="G155" t="str">
        <f>custodian!D155</f>
        <v>61174X109</v>
      </c>
      <c r="H155" t="str">
        <f>_xll.BDP($B155,"ID_ISIN")</f>
        <v>US61174X1090</v>
      </c>
      <c r="I155" s="1" t="s">
        <v>515</v>
      </c>
      <c r="J155" t="str">
        <f>_xll.BDP($B155,"CNTRY_OF_DOMICILE")</f>
        <v>US</v>
      </c>
      <c r="K155" t="s">
        <v>98</v>
      </c>
      <c r="L155" t="s">
        <v>99</v>
      </c>
      <c r="O155" s="1"/>
      <c r="AQ155" s="1"/>
      <c r="AR155" s="1"/>
      <c r="AS155" s="1"/>
    </row>
    <row r="156" spans="1:45" x14ac:dyDescent="0.25">
      <c r="A156" t="s">
        <v>488</v>
      </c>
      <c r="B156" t="s">
        <v>517</v>
      </c>
      <c r="C156" s="1" t="s">
        <v>518</v>
      </c>
      <c r="D156" t="s">
        <v>519</v>
      </c>
      <c r="E156" t="str">
        <f>_xll.BDP($B156,"LEGAL_ENTITY_IDENTIFIER")</f>
        <v>FJSUNZKFNQ5YPJ5OT455</v>
      </c>
      <c r="F156" t="s">
        <v>519</v>
      </c>
      <c r="G156" t="str">
        <f>custodian!D156</f>
        <v>713448108</v>
      </c>
      <c r="H156" t="str">
        <f>_xll.BDP($B156,"ID_ISIN")</f>
        <v>US7134481081</v>
      </c>
      <c r="I156" s="1" t="s">
        <v>518</v>
      </c>
      <c r="J156" t="str">
        <f>_xll.BDP($B156,"CNTRY_OF_DOMICILE")</f>
        <v>US</v>
      </c>
      <c r="K156" t="s">
        <v>98</v>
      </c>
      <c r="L156" t="s">
        <v>99</v>
      </c>
      <c r="O156" s="1"/>
      <c r="AQ156" s="1"/>
      <c r="AR156" s="1"/>
      <c r="AS156" s="1"/>
    </row>
    <row r="157" spans="1:45" x14ac:dyDescent="0.25">
      <c r="A157" t="s">
        <v>488</v>
      </c>
      <c r="B157" t="s">
        <v>520</v>
      </c>
      <c r="C157" s="1" t="s">
        <v>521</v>
      </c>
      <c r="D157" t="s">
        <v>522</v>
      </c>
      <c r="E157" t="str">
        <f>_xll.BDP($B157,"LEGAL_ENTITY_IDENTIFIER")</f>
        <v>5299009RXTX9DN9AKJ98</v>
      </c>
      <c r="F157" t="s">
        <v>523</v>
      </c>
      <c r="G157" t="str">
        <f>custodian!D157</f>
        <v>76131D103</v>
      </c>
      <c r="H157" t="str">
        <f>_xll.BDP($B157,"ID_ISIN")</f>
        <v>CA76131D1033</v>
      </c>
      <c r="I157" s="1" t="s">
        <v>521</v>
      </c>
      <c r="J157" t="str">
        <f>_xll.BDP($B157,"CNTRY_OF_DOMICILE")</f>
        <v>US</v>
      </c>
      <c r="K157" t="s">
        <v>98</v>
      </c>
      <c r="L157" t="s">
        <v>99</v>
      </c>
      <c r="O157" s="1"/>
      <c r="AQ157" s="1"/>
      <c r="AR157" s="1"/>
      <c r="AS157" s="1"/>
    </row>
    <row r="158" spans="1:45" x14ac:dyDescent="0.25">
      <c r="A158" t="s">
        <v>488</v>
      </c>
      <c r="B158" t="s">
        <v>524</v>
      </c>
      <c r="C158" s="1" t="s">
        <v>525</v>
      </c>
      <c r="D158" t="s">
        <v>526</v>
      </c>
      <c r="E158" t="str">
        <f>_xll.BDP($B158,"LEGAL_ENTITY_IDENTIFIER")</f>
        <v>OQSJ1DU9TAOC51A47K68</v>
      </c>
      <c r="F158" t="s">
        <v>526</v>
      </c>
      <c r="G158" t="str">
        <f>custodian!D158</f>
        <v>855244109</v>
      </c>
      <c r="H158" t="str">
        <f>_xll.BDP($B158,"ID_ISIN")</f>
        <v>US8552441094</v>
      </c>
      <c r="I158" s="1" t="s">
        <v>525</v>
      </c>
      <c r="J158" t="str">
        <f>_xll.BDP($B158,"CNTRY_OF_DOMICILE")</f>
        <v>US</v>
      </c>
      <c r="K158" t="s">
        <v>98</v>
      </c>
      <c r="L158" t="s">
        <v>99</v>
      </c>
      <c r="O158" s="1"/>
      <c r="AQ158" s="1"/>
      <c r="AR158" s="1"/>
      <c r="AS158" s="1"/>
    </row>
    <row r="159" spans="1:45" x14ac:dyDescent="0.25">
      <c r="A159" t="s">
        <v>488</v>
      </c>
      <c r="B159" t="s">
        <v>527</v>
      </c>
      <c r="C159" s="1" t="s">
        <v>528</v>
      </c>
      <c r="D159" t="s">
        <v>529</v>
      </c>
      <c r="E159" t="str">
        <f>_xll.BDP($B159,"LEGAL_ENTITY_IDENTIFIER")</f>
        <v>5493000WDH6A0LHDJD55</v>
      </c>
      <c r="F159" t="s">
        <v>529</v>
      </c>
      <c r="G159" t="str">
        <f>custodian!D159</f>
        <v>832696405</v>
      </c>
      <c r="H159" t="str">
        <f>_xll.BDP($B159,"ID_ISIN")</f>
        <v>US8326964058</v>
      </c>
      <c r="I159" s="1" t="s">
        <v>528</v>
      </c>
      <c r="J159" t="str">
        <f>_xll.BDP($B159,"CNTRY_OF_DOMICILE")</f>
        <v>US</v>
      </c>
      <c r="K159" t="s">
        <v>98</v>
      </c>
      <c r="L159" t="s">
        <v>99</v>
      </c>
      <c r="O159" s="1"/>
      <c r="AQ159" s="1"/>
      <c r="AR159" s="1"/>
      <c r="AS159" s="1"/>
    </row>
    <row r="160" spans="1:45" x14ac:dyDescent="0.25">
      <c r="A160" t="s">
        <v>488</v>
      </c>
      <c r="B160" t="s">
        <v>530</v>
      </c>
      <c r="C160" s="1" t="s">
        <v>531</v>
      </c>
      <c r="D160" t="s">
        <v>532</v>
      </c>
      <c r="E160" t="str">
        <f>_xll.BDP($B160,"LEGAL_ENTITY_IDENTIFIER")</f>
        <v>CMMZHMFZQG86EI7WZU92</v>
      </c>
      <c r="F160" t="s">
        <v>532</v>
      </c>
      <c r="G160" t="str">
        <f>custodian!D160</f>
        <v>81725T100</v>
      </c>
      <c r="H160" t="str">
        <f>_xll.BDP($B160,"ID_ISIN")</f>
        <v>US81725T1007</v>
      </c>
      <c r="I160" s="1" t="s">
        <v>531</v>
      </c>
      <c r="J160" t="str">
        <f>_xll.BDP($B160,"CNTRY_OF_DOMICILE")</f>
        <v>US</v>
      </c>
      <c r="K160" t="s">
        <v>98</v>
      </c>
      <c r="L160" t="s">
        <v>99</v>
      </c>
      <c r="O160" s="1"/>
      <c r="AQ160" s="1"/>
      <c r="AR160" s="1"/>
      <c r="AS160" s="1"/>
    </row>
    <row r="161" spans="1:45" x14ac:dyDescent="0.25">
      <c r="A161" t="s">
        <v>488</v>
      </c>
      <c r="B161" t="s">
        <v>533</v>
      </c>
      <c r="C161" s="1" t="s">
        <v>534</v>
      </c>
      <c r="D161" t="s">
        <v>535</v>
      </c>
      <c r="E161" t="str">
        <f>_xll.BDP($B161,"LEGAL_ENTITY_IDENTIFIER")</f>
        <v>#N/A N/A</v>
      </c>
      <c r="F161" t="s">
        <v>535</v>
      </c>
      <c r="G161" t="str">
        <f>custodian!D161</f>
        <v>96145W103</v>
      </c>
      <c r="H161" t="str">
        <f>_xll.BDP($B161,"ID_ISIN")</f>
        <v>US96145W1036</v>
      </c>
      <c r="I161" s="1" t="s">
        <v>534</v>
      </c>
      <c r="J161" t="str">
        <f>_xll.BDP($B161,"CNTRY_OF_DOMICILE")</f>
        <v>US</v>
      </c>
      <c r="K161" t="s">
        <v>98</v>
      </c>
      <c r="L161" t="s">
        <v>99</v>
      </c>
      <c r="O161" s="1"/>
      <c r="AQ161" s="1"/>
      <c r="AR161" s="1"/>
      <c r="AS161" s="1"/>
    </row>
    <row r="162" spans="1:45" x14ac:dyDescent="0.25">
      <c r="A162" t="s">
        <v>488</v>
      </c>
      <c r="B162" t="s">
        <v>536</v>
      </c>
      <c r="C162" s="1" t="s">
        <v>537</v>
      </c>
      <c r="D162" t="s">
        <v>538</v>
      </c>
      <c r="E162" t="str">
        <f>_xll.BDP($B162,"LEGAL_ENTITY_IDENTIFIER")</f>
        <v>#N/A N/A</v>
      </c>
      <c r="F162" t="s">
        <v>538</v>
      </c>
      <c r="G162" t="str">
        <f>custodian!D162</f>
        <v>98955K104</v>
      </c>
      <c r="H162" t="str">
        <f>_xll.BDP($B162,"ID_ISIN")</f>
        <v>US98955K1043</v>
      </c>
      <c r="I162" s="1" t="s">
        <v>537</v>
      </c>
      <c r="J162" t="str">
        <f>_xll.BDP($B162,"CNTRY_OF_DOMICILE")</f>
        <v>US</v>
      </c>
      <c r="K162" t="s">
        <v>98</v>
      </c>
      <c r="L162" t="s">
        <v>99</v>
      </c>
      <c r="O162" s="1"/>
      <c r="AQ162" s="1"/>
      <c r="AR162" s="1"/>
      <c r="AS162" s="1"/>
    </row>
    <row r="163" spans="1:45" x14ac:dyDescent="0.25">
      <c r="A163" t="s">
        <v>488</v>
      </c>
      <c r="C163" s="1" t="s">
        <v>52</v>
      </c>
      <c r="E163" s="1"/>
      <c r="G163" t="str">
        <f>custodian!D163</f>
        <v>Cash&amp;Other</v>
      </c>
      <c r="H163" s="1"/>
      <c r="I163" s="1"/>
      <c r="O163" s="1"/>
      <c r="AQ163" s="1"/>
      <c r="AR163" s="1"/>
      <c r="AS163" s="1"/>
    </row>
    <row r="164" spans="1:45" x14ac:dyDescent="0.25">
      <c r="A164" t="s">
        <v>539</v>
      </c>
      <c r="B164" t="s">
        <v>540</v>
      </c>
      <c r="C164" s="1" t="s">
        <v>541</v>
      </c>
      <c r="D164" t="s">
        <v>56</v>
      </c>
      <c r="E164" s="1" t="s">
        <v>56</v>
      </c>
      <c r="F164" t="s">
        <v>542</v>
      </c>
      <c r="G164" t="str">
        <f>custodian!D164</f>
        <v>464286400-TRS-12/01/27-L-CANT</v>
      </c>
      <c r="H164" s="1"/>
      <c r="I164" s="1" t="s">
        <v>541</v>
      </c>
      <c r="J164" t="s">
        <v>58</v>
      </c>
      <c r="K164" t="s">
        <v>59</v>
      </c>
      <c r="L164" t="s">
        <v>60</v>
      </c>
      <c r="M164" t="s">
        <v>61</v>
      </c>
      <c r="N164" t="s">
        <v>62</v>
      </c>
      <c r="O164" s="1" t="s">
        <v>63</v>
      </c>
      <c r="V164" t="s">
        <v>64</v>
      </c>
      <c r="Y164" t="s">
        <v>65</v>
      </c>
      <c r="Z164" t="s">
        <v>66</v>
      </c>
      <c r="AA164" t="s">
        <v>543</v>
      </c>
      <c r="AB164" t="s">
        <v>68</v>
      </c>
      <c r="AD164" t="s">
        <v>543</v>
      </c>
      <c r="AE164" t="s">
        <v>544</v>
      </c>
      <c r="AF164" t="s">
        <v>70</v>
      </c>
      <c r="AG164" t="s">
        <v>545</v>
      </c>
      <c r="AH164" t="s">
        <v>72</v>
      </c>
      <c r="AI164" t="s">
        <v>73</v>
      </c>
      <c r="AK164" t="s">
        <v>543</v>
      </c>
      <c r="AL164" t="s">
        <v>68</v>
      </c>
      <c r="AM164" t="s">
        <v>74</v>
      </c>
      <c r="AN164" t="s">
        <v>75</v>
      </c>
      <c r="AO164" t="str">
        <f>_xll.BDP($B164,"ISSUER")</f>
        <v>iShares MSCI Brazil ETF</v>
      </c>
      <c r="AP164" t="str">
        <f>_xll.BDP($B164,"NAME")</f>
        <v>ISHARES MSCI BRAZIL ETF</v>
      </c>
      <c r="AQ164" s="1" t="s">
        <v>546</v>
      </c>
      <c r="AR164" t="str">
        <f>_xll.BDP($B164,"ID_ISIN")</f>
        <v>US4642864007</v>
      </c>
      <c r="AS164" t="str">
        <f>_xll.BDP($B164,"TICKER")</f>
        <v>EWZ</v>
      </c>
    </row>
    <row r="165" spans="1:45" x14ac:dyDescent="0.25">
      <c r="A165" t="s">
        <v>539</v>
      </c>
      <c r="B165" t="s">
        <v>77</v>
      </c>
      <c r="C165" s="1" t="s">
        <v>78</v>
      </c>
      <c r="D165" t="s">
        <v>79</v>
      </c>
      <c r="E165" t="str">
        <f>_xll.BDP($B165,"LEGAL_ENTITY_IDENTIFIER")</f>
        <v>549300R5MYM6VZF1RM44</v>
      </c>
      <c r="F165" t="s">
        <v>80</v>
      </c>
      <c r="G165" t="str">
        <f>custodian!D165</f>
        <v>31846V336</v>
      </c>
      <c r="H165" t="str">
        <f>_xll.BDP($B165,"ID_ISIN")</f>
        <v>US31846V3362</v>
      </c>
      <c r="I165" s="1" t="s">
        <v>78</v>
      </c>
      <c r="J165" t="str">
        <f>_xll.BDP($B165,"CNTRY_OF_DOMICILE")</f>
        <v>US</v>
      </c>
      <c r="K165" t="s">
        <v>81</v>
      </c>
      <c r="L165" t="s">
        <v>82</v>
      </c>
      <c r="O165" s="1"/>
      <c r="AQ165" s="1"/>
      <c r="AR165" s="1"/>
      <c r="AS165" s="1"/>
    </row>
    <row r="166" spans="1:45" x14ac:dyDescent="0.25">
      <c r="A166" t="s">
        <v>539</v>
      </c>
      <c r="C166" s="1" t="s">
        <v>52</v>
      </c>
      <c r="E166" s="1"/>
      <c r="G166" t="str">
        <f>custodian!D166</f>
        <v>Cash&amp;Other</v>
      </c>
      <c r="H166" s="1"/>
      <c r="I166" s="1"/>
      <c r="O166" s="1"/>
      <c r="AQ166" s="1"/>
      <c r="AR166" s="1"/>
      <c r="AS166" s="1"/>
    </row>
    <row r="167" spans="1:45" x14ac:dyDescent="0.25">
      <c r="A167" t="s">
        <v>547</v>
      </c>
      <c r="B167" t="s">
        <v>548</v>
      </c>
      <c r="C167" s="1" t="s">
        <v>549</v>
      </c>
      <c r="D167" t="s">
        <v>550</v>
      </c>
      <c r="E167" t="str">
        <f>_xll.BDP($B167,"LEGAL_ENTITY_IDENTIFIER")</f>
        <v>529900UGYVU0KY2RLD83</v>
      </c>
      <c r="F167" t="s">
        <v>550</v>
      </c>
      <c r="G167" t="str">
        <f>custodian!D167</f>
        <v>03945R102</v>
      </c>
      <c r="H167" t="str">
        <f>_xll.BDP($B167,"ID_ISIN")</f>
        <v>US03945R1023</v>
      </c>
      <c r="I167" s="1" t="s">
        <v>549</v>
      </c>
      <c r="J167" t="str">
        <f>_xll.BDP($B167,"CNTRY_OF_DOMICILE")</f>
        <v>US</v>
      </c>
      <c r="K167" t="s">
        <v>98</v>
      </c>
      <c r="L167" t="s">
        <v>99</v>
      </c>
      <c r="O167" s="1"/>
      <c r="AQ167" s="1"/>
      <c r="AR167" s="1"/>
      <c r="AS167" s="1"/>
    </row>
    <row r="168" spans="1:45" x14ac:dyDescent="0.25">
      <c r="A168" t="s">
        <v>547</v>
      </c>
      <c r="B168" t="s">
        <v>551</v>
      </c>
      <c r="C168" s="1" t="s">
        <v>552</v>
      </c>
      <c r="D168" t="s">
        <v>553</v>
      </c>
      <c r="E168" t="str">
        <f>_xll.BDP($B168,"LEGAL_ENTITY_IDENTIFIER")</f>
        <v>529900EUD8XWJZVS2615</v>
      </c>
      <c r="F168" t="s">
        <v>553</v>
      </c>
      <c r="G168" t="str">
        <f>custodian!D168</f>
        <v>009422106</v>
      </c>
      <c r="H168" t="str">
        <f>_xll.BDP($B168,"ID_ISIN")</f>
        <v>US0094221068</v>
      </c>
      <c r="I168" s="1" t="s">
        <v>552</v>
      </c>
      <c r="J168" t="str">
        <f>_xll.BDP($B168,"CNTRY_OF_DOMICILE")</f>
        <v>US</v>
      </c>
      <c r="K168" t="s">
        <v>98</v>
      </c>
      <c r="L168" t="s">
        <v>99</v>
      </c>
      <c r="O168" s="1"/>
      <c r="AQ168" s="1"/>
      <c r="AR168" s="1"/>
      <c r="AS168" s="1"/>
    </row>
    <row r="169" spans="1:45" x14ac:dyDescent="0.25">
      <c r="A169" t="s">
        <v>547</v>
      </c>
      <c r="B169" t="s">
        <v>554</v>
      </c>
      <c r="C169" s="1" t="s">
        <v>555</v>
      </c>
      <c r="D169" t="s">
        <v>556</v>
      </c>
      <c r="E169" t="str">
        <f>_xll.BDP($B169,"LEGAL_ENTITY_IDENTIFIER")</f>
        <v>#N/A N/A</v>
      </c>
      <c r="F169" t="s">
        <v>556</v>
      </c>
      <c r="G169" t="str">
        <f>custodian!D169</f>
        <v>03214Q108</v>
      </c>
      <c r="H169" t="str">
        <f>_xll.BDP($B169,"ID_ISIN")</f>
        <v>US03214Q1085</v>
      </c>
      <c r="I169" s="1" t="s">
        <v>555</v>
      </c>
      <c r="J169" t="str">
        <f>_xll.BDP($B169,"CNTRY_OF_DOMICILE")</f>
        <v>US</v>
      </c>
      <c r="K169" t="s">
        <v>98</v>
      </c>
      <c r="L169" t="s">
        <v>99</v>
      </c>
      <c r="O169" s="1"/>
      <c r="AQ169" s="1"/>
      <c r="AR169" s="1"/>
      <c r="AS169" s="1"/>
    </row>
    <row r="170" spans="1:45" x14ac:dyDescent="0.25">
      <c r="A170" t="s">
        <v>547</v>
      </c>
      <c r="B170" t="s">
        <v>557</v>
      </c>
      <c r="C170" s="1" t="s">
        <v>558</v>
      </c>
      <c r="D170" t="s">
        <v>559</v>
      </c>
      <c r="E170" t="str">
        <f>_xll.BDP($B170,"LEGAL_ENTITY_IDENTIFIER")</f>
        <v>529900PGHVI29YLZ6221</v>
      </c>
      <c r="F170" t="s">
        <v>559</v>
      </c>
      <c r="G170" t="str">
        <f>custodian!D170</f>
        <v>008073108</v>
      </c>
      <c r="H170" t="str">
        <f>_xll.BDP($B170,"ID_ISIN")</f>
        <v>US0080731088</v>
      </c>
      <c r="I170" s="1" t="s">
        <v>558</v>
      </c>
      <c r="J170" t="str">
        <f>_xll.BDP($B170,"CNTRY_OF_DOMICILE")</f>
        <v>US</v>
      </c>
      <c r="K170" t="s">
        <v>98</v>
      </c>
      <c r="L170" t="s">
        <v>99</v>
      </c>
      <c r="O170" s="1"/>
      <c r="AQ170" s="1"/>
      <c r="AR170" s="1"/>
      <c r="AS170" s="1"/>
    </row>
    <row r="171" spans="1:45" x14ac:dyDescent="0.25">
      <c r="A171" t="s">
        <v>547</v>
      </c>
      <c r="B171" t="s">
        <v>560</v>
      </c>
      <c r="C171" s="1" t="s">
        <v>561</v>
      </c>
      <c r="D171" t="s">
        <v>562</v>
      </c>
      <c r="E171" t="str">
        <f>_xll.BDP($B171,"LEGAL_ENTITY_IDENTIFIER")</f>
        <v>549300QP2IEEGFE16681</v>
      </c>
      <c r="F171" t="s">
        <v>562</v>
      </c>
      <c r="G171" t="str">
        <f>custodian!D171</f>
        <v>05464C101</v>
      </c>
      <c r="H171" t="str">
        <f>_xll.BDP($B171,"ID_ISIN")</f>
        <v>US05464C1018</v>
      </c>
      <c r="I171" s="1" t="s">
        <v>561</v>
      </c>
      <c r="J171" t="str">
        <f>_xll.BDP($B171,"CNTRY_OF_DOMICILE")</f>
        <v>US</v>
      </c>
      <c r="K171" t="s">
        <v>98</v>
      </c>
      <c r="L171" t="s">
        <v>99</v>
      </c>
      <c r="O171" s="1"/>
      <c r="AQ171" s="1"/>
      <c r="AR171" s="1"/>
      <c r="AS171" s="1"/>
    </row>
    <row r="172" spans="1:45" x14ac:dyDescent="0.25">
      <c r="A172" t="s">
        <v>547</v>
      </c>
      <c r="B172" t="s">
        <v>119</v>
      </c>
      <c r="C172" s="1" t="s">
        <v>120</v>
      </c>
      <c r="D172" t="s">
        <v>121</v>
      </c>
      <c r="E172" t="str">
        <f>_xll.BDP($B172,"LEGAL_ENTITY_IDENTIFIER")</f>
        <v>RVHJWBXLJ1RFUBSY1F30</v>
      </c>
      <c r="F172" t="s">
        <v>121</v>
      </c>
      <c r="G172" t="str">
        <f>custodian!D172</f>
        <v>097023105</v>
      </c>
      <c r="H172" t="str">
        <f>_xll.BDP($B172,"ID_ISIN")</f>
        <v>US0970231058</v>
      </c>
      <c r="I172" s="1" t="s">
        <v>120</v>
      </c>
      <c r="J172" t="str">
        <f>_xll.BDP($B172,"CNTRY_OF_DOMICILE")</f>
        <v>US</v>
      </c>
      <c r="K172" t="s">
        <v>98</v>
      </c>
      <c r="L172" t="s">
        <v>99</v>
      </c>
      <c r="O172" s="1"/>
      <c r="AQ172" s="1"/>
      <c r="AR172" s="1"/>
      <c r="AS172" s="1"/>
    </row>
    <row r="173" spans="1:45" x14ac:dyDescent="0.25">
      <c r="A173" t="s">
        <v>547</v>
      </c>
      <c r="B173" t="s">
        <v>563</v>
      </c>
      <c r="C173" s="1" t="s">
        <v>564</v>
      </c>
      <c r="D173" t="s">
        <v>565</v>
      </c>
      <c r="E173" t="str">
        <f>_xll.BDP($B173,"LEGAL_ENTITY_IDENTIFIER")</f>
        <v>52990061LF435PLC7H73</v>
      </c>
      <c r="F173" t="s">
        <v>565</v>
      </c>
      <c r="G173" t="str">
        <f>custodian!D173</f>
        <v>086921103</v>
      </c>
      <c r="H173" t="str">
        <f>_xll.BDP($B173,"ID_ISIN")</f>
        <v>US0869211039</v>
      </c>
      <c r="I173" s="1" t="s">
        <v>564</v>
      </c>
      <c r="J173" t="str">
        <f>_xll.BDP($B173,"CNTRY_OF_DOMICILE")</f>
        <v>US</v>
      </c>
      <c r="K173" t="s">
        <v>98</v>
      </c>
      <c r="L173" t="s">
        <v>99</v>
      </c>
      <c r="O173" s="1"/>
      <c r="AQ173" s="1"/>
      <c r="AR173" s="1"/>
      <c r="AS173" s="1"/>
    </row>
    <row r="174" spans="1:45" x14ac:dyDescent="0.25">
      <c r="A174" t="s">
        <v>547</v>
      </c>
      <c r="B174" t="s">
        <v>566</v>
      </c>
      <c r="C174" s="1" t="s">
        <v>567</v>
      </c>
      <c r="D174" t="s">
        <v>568</v>
      </c>
      <c r="E174" t="str">
        <f>_xll.BDP($B174,"LEGAL_ENTITY_IDENTIFIER")</f>
        <v>894500SZMK5WX44WHE32</v>
      </c>
      <c r="F174" t="s">
        <v>568</v>
      </c>
      <c r="G174" t="str">
        <f>custodian!D174</f>
        <v>26142Q304</v>
      </c>
      <c r="H174" t="str">
        <f>_xll.BDP($B174,"ID_ISIN")</f>
        <v>CA26142Q3044</v>
      </c>
      <c r="I174" s="1" t="s">
        <v>567</v>
      </c>
      <c r="J174" t="str">
        <f>_xll.BDP($B174,"CNTRY_OF_DOMICILE")</f>
        <v>CA</v>
      </c>
      <c r="K174" t="s">
        <v>98</v>
      </c>
      <c r="L174" t="s">
        <v>99</v>
      </c>
      <c r="O174" s="1"/>
      <c r="AQ174" s="1"/>
      <c r="AR174" s="1"/>
      <c r="AS174" s="1"/>
    </row>
    <row r="175" spans="1:45" x14ac:dyDescent="0.25">
      <c r="A175" t="s">
        <v>547</v>
      </c>
      <c r="B175" t="s">
        <v>569</v>
      </c>
      <c r="C175" s="1" t="s">
        <v>570</v>
      </c>
      <c r="D175" t="s">
        <v>571</v>
      </c>
      <c r="E175" t="str">
        <f>_xll.BDP($B175,"LEGAL_ENTITY_IDENTIFIER")</f>
        <v>529900RPWTHQC2WF6O10</v>
      </c>
      <c r="F175" t="s">
        <v>571</v>
      </c>
      <c r="G175" t="str">
        <f>custodian!D175</f>
        <v>26853E102</v>
      </c>
      <c r="H175" t="str">
        <f>_xll.BDP($B175,"ID_ISIN")</f>
        <v>US26853E1029</v>
      </c>
      <c r="I175" s="1" t="s">
        <v>570</v>
      </c>
      <c r="J175" t="str">
        <f>_xll.BDP($B175,"CNTRY_OF_DOMICILE")</f>
        <v>CN</v>
      </c>
      <c r="K175" t="s">
        <v>98</v>
      </c>
      <c r="L175" t="s">
        <v>99</v>
      </c>
      <c r="O175" s="1"/>
      <c r="AQ175" s="1"/>
      <c r="AR175" s="1"/>
      <c r="AS175" s="1"/>
    </row>
    <row r="176" spans="1:45" x14ac:dyDescent="0.25">
      <c r="A176" t="s">
        <v>547</v>
      </c>
      <c r="B176" t="s">
        <v>572</v>
      </c>
      <c r="C176" s="1" t="s">
        <v>573</v>
      </c>
      <c r="D176" t="s">
        <v>574</v>
      </c>
      <c r="E176" t="str">
        <f>_xll.BDP($B176,"LEGAL_ENTITY_IDENTIFIER")</f>
        <v>#N/A N/A</v>
      </c>
      <c r="F176" t="s">
        <v>574</v>
      </c>
      <c r="G176" t="str">
        <f>custodian!D176</f>
        <v>29970N104</v>
      </c>
      <c r="H176" t="str">
        <f>_xll.BDP($B176,"ID_ISIN")</f>
        <v>US29970N1046</v>
      </c>
      <c r="I176" s="1" t="s">
        <v>573</v>
      </c>
      <c r="J176" t="str">
        <f>_xll.BDP($B176,"CNTRY_OF_DOMICILE")</f>
        <v>US</v>
      </c>
      <c r="K176" t="s">
        <v>98</v>
      </c>
      <c r="L176" t="s">
        <v>99</v>
      </c>
      <c r="O176" s="1"/>
      <c r="AQ176" s="1"/>
      <c r="AR176" s="1"/>
      <c r="AS176" s="1"/>
    </row>
    <row r="177" spans="1:45" x14ac:dyDescent="0.25">
      <c r="A177" t="s">
        <v>547</v>
      </c>
      <c r="B177" t="s">
        <v>77</v>
      </c>
      <c r="C177" s="1" t="s">
        <v>78</v>
      </c>
      <c r="D177" t="s">
        <v>79</v>
      </c>
      <c r="E177" t="str">
        <f>_xll.BDP($B177,"LEGAL_ENTITY_IDENTIFIER")</f>
        <v>549300R5MYM6VZF1RM44</v>
      </c>
      <c r="F177" t="s">
        <v>80</v>
      </c>
      <c r="G177" t="str">
        <f>custodian!D177</f>
        <v>31846V336</v>
      </c>
      <c r="H177" t="str">
        <f>_xll.BDP($B177,"ID_ISIN")</f>
        <v>US31846V3362</v>
      </c>
      <c r="I177" s="1" t="s">
        <v>78</v>
      </c>
      <c r="J177" t="str">
        <f>_xll.BDP($B177,"CNTRY_OF_DOMICILE")</f>
        <v>US</v>
      </c>
      <c r="K177" t="s">
        <v>81</v>
      </c>
      <c r="L177" t="s">
        <v>82</v>
      </c>
      <c r="O177" s="1"/>
      <c r="AQ177" s="1"/>
      <c r="AR177" s="1"/>
      <c r="AS177" s="1"/>
    </row>
    <row r="178" spans="1:45" x14ac:dyDescent="0.25">
      <c r="A178" t="s">
        <v>547</v>
      </c>
      <c r="B178" t="s">
        <v>161</v>
      </c>
      <c r="C178" s="1" t="s">
        <v>162</v>
      </c>
      <c r="D178" t="s">
        <v>163</v>
      </c>
      <c r="E178" t="str">
        <f>_xll.BDP($B178,"LEGAL_ENTITY_IDENTIFIER")</f>
        <v>S6Q7LW43WUBUHXY2QP69</v>
      </c>
      <c r="F178" t="s">
        <v>163</v>
      </c>
      <c r="G178" t="str">
        <f>custodian!D178</f>
        <v>428291108</v>
      </c>
      <c r="H178" t="str">
        <f>_xll.BDP($B178,"ID_ISIN")</f>
        <v>US4282911084</v>
      </c>
      <c r="I178" s="1" t="s">
        <v>162</v>
      </c>
      <c r="J178" t="str">
        <f>_xll.BDP($B178,"CNTRY_OF_DOMICILE")</f>
        <v>US</v>
      </c>
      <c r="K178" t="s">
        <v>98</v>
      </c>
      <c r="L178" t="s">
        <v>99</v>
      </c>
      <c r="O178" s="1"/>
      <c r="AQ178" s="1"/>
      <c r="AR178" s="1"/>
      <c r="AS178" s="1"/>
    </row>
    <row r="179" spans="1:45" x14ac:dyDescent="0.25">
      <c r="A179" t="s">
        <v>547</v>
      </c>
      <c r="B179" t="s">
        <v>167</v>
      </c>
      <c r="C179" s="1" t="s">
        <v>168</v>
      </c>
      <c r="D179" t="s">
        <v>169</v>
      </c>
      <c r="E179" t="str">
        <f>_xll.BDP($B179,"LEGAL_ENTITY_IDENTIFIER")</f>
        <v>254900NMVFUM8FO88E56</v>
      </c>
      <c r="F179" t="s">
        <v>169</v>
      </c>
      <c r="G179" t="str">
        <f>custodian!D179</f>
        <v>G65163100</v>
      </c>
      <c r="H179" t="str">
        <f>_xll.BDP($B179,"ID_ISIN")</f>
        <v>KYG651631007</v>
      </c>
      <c r="I179" s="1" t="s">
        <v>168</v>
      </c>
      <c r="J179" t="str">
        <f>_xll.BDP($B179,"CNTRY_OF_DOMICILE")</f>
        <v>US</v>
      </c>
      <c r="K179" t="s">
        <v>98</v>
      </c>
      <c r="L179" t="s">
        <v>99</v>
      </c>
      <c r="O179" s="1"/>
      <c r="AQ179" s="1"/>
      <c r="AR179" s="1"/>
      <c r="AS179" s="1"/>
    </row>
    <row r="180" spans="1:45" x14ac:dyDescent="0.25">
      <c r="A180" t="s">
        <v>547</v>
      </c>
      <c r="B180" t="s">
        <v>575</v>
      </c>
      <c r="C180" s="1" t="s">
        <v>576</v>
      </c>
      <c r="D180" t="s">
        <v>577</v>
      </c>
      <c r="E180" t="str">
        <f>_xll.BDP($B180,"LEGAL_ENTITY_IDENTIFIER")</f>
        <v>5493000EKBN0UY1F3F88</v>
      </c>
      <c r="F180" t="s">
        <v>578</v>
      </c>
      <c r="G180" t="str">
        <f>custodian!D180</f>
        <v>50077B207</v>
      </c>
      <c r="H180" t="str">
        <f>_xll.BDP($B180,"ID_ISIN")</f>
        <v>US50077B2079</v>
      </c>
      <c r="I180" s="1" t="s">
        <v>576</v>
      </c>
      <c r="J180" t="str">
        <f>_xll.BDP($B180,"CNTRY_OF_DOMICILE")</f>
        <v>US</v>
      </c>
      <c r="K180" t="s">
        <v>98</v>
      </c>
      <c r="L180" t="s">
        <v>99</v>
      </c>
      <c r="O180" s="1"/>
      <c r="AQ180" s="1"/>
      <c r="AR180" s="1"/>
      <c r="AS180" s="1"/>
    </row>
    <row r="181" spans="1:45" x14ac:dyDescent="0.25">
      <c r="A181" t="s">
        <v>547</v>
      </c>
      <c r="B181" t="s">
        <v>579</v>
      </c>
      <c r="C181" s="1" t="s">
        <v>580</v>
      </c>
      <c r="D181" t="s">
        <v>581</v>
      </c>
      <c r="E181" t="str">
        <f>_xll.BDP($B181,"LEGAL_ENTITY_IDENTIFIER")</f>
        <v>549300UTE50ZMDBG8A20</v>
      </c>
      <c r="F181" t="s">
        <v>581</v>
      </c>
      <c r="G181" t="str">
        <f>custodian!D181</f>
        <v>502431109</v>
      </c>
      <c r="H181" t="str">
        <f>_xll.BDP($B181,"ID_ISIN")</f>
        <v>US5024311095</v>
      </c>
      <c r="I181" s="1" t="s">
        <v>580</v>
      </c>
      <c r="J181" t="str">
        <f>_xll.BDP($B181,"CNTRY_OF_DOMICILE")</f>
        <v>US</v>
      </c>
      <c r="K181" t="s">
        <v>98</v>
      </c>
      <c r="L181" t="s">
        <v>99</v>
      </c>
      <c r="O181" s="1"/>
      <c r="AQ181" s="1"/>
      <c r="AR181" s="1"/>
      <c r="AS181" s="1"/>
    </row>
    <row r="182" spans="1:45" x14ac:dyDescent="0.25">
      <c r="A182" t="s">
        <v>547</v>
      </c>
      <c r="B182" t="s">
        <v>170</v>
      </c>
      <c r="C182" s="1" t="s">
        <v>171</v>
      </c>
      <c r="D182" t="s">
        <v>172</v>
      </c>
      <c r="E182" t="str">
        <f>_xll.BDP($B182,"LEGAL_ENTITY_IDENTIFIER")</f>
        <v>DPRBOZP0K5RM2YE8UU08</v>
      </c>
      <c r="F182" t="s">
        <v>172</v>
      </c>
      <c r="G182" t="str">
        <f>custodian!D182</f>
        <v>539830109</v>
      </c>
      <c r="H182" t="str">
        <f>_xll.BDP($B182,"ID_ISIN")</f>
        <v>US5398301094</v>
      </c>
      <c r="I182" s="1" t="s">
        <v>171</v>
      </c>
      <c r="J182" t="str">
        <f>_xll.BDP($B182,"CNTRY_OF_DOMICILE")</f>
        <v>US</v>
      </c>
      <c r="K182" t="s">
        <v>98</v>
      </c>
      <c r="L182" t="s">
        <v>99</v>
      </c>
      <c r="O182" s="1"/>
      <c r="AQ182" s="1"/>
      <c r="AR182" s="1"/>
      <c r="AS182" s="1"/>
    </row>
    <row r="183" spans="1:45" x14ac:dyDescent="0.25">
      <c r="A183" t="s">
        <v>547</v>
      </c>
      <c r="B183" t="s">
        <v>182</v>
      </c>
      <c r="C183" s="1" t="s">
        <v>183</v>
      </c>
      <c r="D183" t="s">
        <v>184</v>
      </c>
      <c r="E183" t="str">
        <f>_xll.BDP($B183,"LEGAL_ENTITY_IDENTIFIER")</f>
        <v>RIMU48P07456QXSO0R61</v>
      </c>
      <c r="F183" t="s">
        <v>184</v>
      </c>
      <c r="G183" t="str">
        <f>custodian!D183</f>
        <v>666807102</v>
      </c>
      <c r="H183" t="str">
        <f>_xll.BDP($B183,"ID_ISIN")</f>
        <v>US6668071029</v>
      </c>
      <c r="I183" s="1" t="s">
        <v>183</v>
      </c>
      <c r="J183" t="str">
        <f>_xll.BDP($B183,"CNTRY_OF_DOMICILE")</f>
        <v>US</v>
      </c>
      <c r="K183" t="s">
        <v>98</v>
      </c>
      <c r="L183" t="s">
        <v>99</v>
      </c>
      <c r="O183" s="1"/>
      <c r="AQ183" s="1"/>
      <c r="AR183" s="1"/>
      <c r="AS183" s="1"/>
    </row>
    <row r="184" spans="1:45" x14ac:dyDescent="0.25">
      <c r="A184" t="s">
        <v>547</v>
      </c>
      <c r="B184" t="s">
        <v>582</v>
      </c>
      <c r="C184" s="1" t="s">
        <v>583</v>
      </c>
      <c r="D184" t="s">
        <v>584</v>
      </c>
      <c r="E184" t="str">
        <f>_xll.BDP($B184,"LEGAL_ENTITY_IDENTIFIER")</f>
        <v>549300JWLHDUB82V8607</v>
      </c>
      <c r="F184" t="s">
        <v>584</v>
      </c>
      <c r="G184" t="str">
        <f>custodian!D184</f>
        <v>68236H204</v>
      </c>
      <c r="H184" t="str">
        <f>_xll.BDP($B184,"ID_ISIN")</f>
        <v>US68236H2040</v>
      </c>
      <c r="I184" s="1" t="s">
        <v>583</v>
      </c>
      <c r="J184" t="str">
        <f>_xll.BDP($B184,"CNTRY_OF_DOMICILE")</f>
        <v>US</v>
      </c>
      <c r="K184" t="s">
        <v>98</v>
      </c>
      <c r="L184" t="s">
        <v>99</v>
      </c>
      <c r="O184" s="1"/>
      <c r="AQ184" s="1"/>
      <c r="AR184" s="1"/>
      <c r="AS184" s="1"/>
    </row>
    <row r="185" spans="1:45" x14ac:dyDescent="0.25">
      <c r="A185" t="s">
        <v>547</v>
      </c>
      <c r="B185" t="s">
        <v>585</v>
      </c>
      <c r="C185" s="1" t="s">
        <v>586</v>
      </c>
      <c r="D185" t="s">
        <v>587</v>
      </c>
      <c r="E185" t="str">
        <f>_xll.BDP($B185,"LEGAL_ENTITY_IDENTIFIER")</f>
        <v>#N/A N/A</v>
      </c>
      <c r="F185" t="s">
        <v>587</v>
      </c>
      <c r="G185" t="str">
        <f>custodian!D185</f>
        <v>68989M202</v>
      </c>
      <c r="H185" t="str">
        <f>_xll.BDP($B185,"ID_ISIN")</f>
        <v>US68989M2026</v>
      </c>
      <c r="I185" s="1" t="s">
        <v>586</v>
      </c>
      <c r="J185" t="str">
        <f>_xll.BDP($B185,"CNTRY_OF_DOMICILE")</f>
        <v>US</v>
      </c>
      <c r="K185" t="s">
        <v>98</v>
      </c>
      <c r="L185" t="s">
        <v>99</v>
      </c>
      <c r="O185" s="1"/>
      <c r="AQ185" s="1"/>
      <c r="AR185" s="1"/>
      <c r="AS185" s="1"/>
    </row>
    <row r="186" spans="1:45" x14ac:dyDescent="0.25">
      <c r="A186" t="s">
        <v>547</v>
      </c>
      <c r="B186" t="s">
        <v>588</v>
      </c>
      <c r="C186" s="1" t="s">
        <v>589</v>
      </c>
      <c r="D186" t="s">
        <v>590</v>
      </c>
      <c r="E186" t="str">
        <f>_xll.BDP($B186,"LEGAL_ENTITY_IDENTIFIER")</f>
        <v>5493005OGSQW28V2PY05</v>
      </c>
      <c r="F186" t="s">
        <v>590</v>
      </c>
      <c r="G186" t="str">
        <f>custodian!D186</f>
        <v>75644T100</v>
      </c>
      <c r="H186" t="str">
        <f>_xll.BDP($B186,"ID_ISIN")</f>
        <v>US75644T1007</v>
      </c>
      <c r="I186" s="1" t="s">
        <v>589</v>
      </c>
      <c r="J186" t="str">
        <f>_xll.BDP($B186,"CNTRY_OF_DOMICILE")</f>
        <v>PR</v>
      </c>
      <c r="K186" t="s">
        <v>98</v>
      </c>
      <c r="L186" t="s">
        <v>99</v>
      </c>
      <c r="O186" s="1"/>
      <c r="AQ186" s="1"/>
      <c r="AR186" s="1"/>
      <c r="AS186" s="1"/>
    </row>
    <row r="187" spans="1:45" x14ac:dyDescent="0.25">
      <c r="A187" t="s">
        <v>547</v>
      </c>
      <c r="B187" t="s">
        <v>189</v>
      </c>
      <c r="C187" s="1" t="s">
        <v>190</v>
      </c>
      <c r="D187" t="s">
        <v>191</v>
      </c>
      <c r="E187" t="str">
        <f>_xll.BDP($B187,"LEGAL_ENTITY_IDENTIFIER")</f>
        <v>I07WOS4YJ0N7YRFE7309</v>
      </c>
      <c r="F187" t="s">
        <v>191</v>
      </c>
      <c r="G187" t="str">
        <f>custodian!D187</f>
        <v>75513E101</v>
      </c>
      <c r="H187" t="str">
        <f>_xll.BDP($B187,"ID_ISIN")</f>
        <v>US75513E1010</v>
      </c>
      <c r="I187" s="1" t="s">
        <v>190</v>
      </c>
      <c r="J187" t="str">
        <f>_xll.BDP($B187,"CNTRY_OF_DOMICILE")</f>
        <v>US</v>
      </c>
      <c r="K187" t="s">
        <v>98</v>
      </c>
      <c r="L187" t="s">
        <v>99</v>
      </c>
      <c r="O187" s="1"/>
      <c r="AQ187" s="1"/>
      <c r="AR187" s="1"/>
      <c r="AS187" s="1"/>
    </row>
    <row r="188" spans="1:45" x14ac:dyDescent="0.25">
      <c r="A188" t="s">
        <v>547</v>
      </c>
      <c r="B188" t="s">
        <v>591</v>
      </c>
      <c r="C188" s="1" t="s">
        <v>592</v>
      </c>
      <c r="D188" t="s">
        <v>593</v>
      </c>
      <c r="E188" t="str">
        <f>_xll.BDP($B188,"LEGAL_ENTITY_IDENTIFIER")</f>
        <v>52990026V7Z2CE1RXC85</v>
      </c>
      <c r="F188" t="s">
        <v>593</v>
      </c>
      <c r="G188" t="str">
        <f>custodian!D188</f>
        <v>86989Y109</v>
      </c>
      <c r="H188" t="str">
        <f>_xll.BDP($B188,"ID_ISIN")</f>
        <v>US86989Y1091</v>
      </c>
      <c r="I188" s="1" t="s">
        <v>592</v>
      </c>
      <c r="J188" t="str">
        <f>_xll.BDP($B188,"CNTRY_OF_DOMICILE")</f>
        <v>US</v>
      </c>
      <c r="K188" t="s">
        <v>98</v>
      </c>
      <c r="L188" t="s">
        <v>99</v>
      </c>
      <c r="O188" s="1"/>
      <c r="AQ188" s="1"/>
      <c r="AR188" s="1"/>
      <c r="AS188" s="1"/>
    </row>
    <row r="189" spans="1:45" x14ac:dyDescent="0.25">
      <c r="A189" t="s">
        <v>547</v>
      </c>
      <c r="B189" t="s">
        <v>594</v>
      </c>
      <c r="C189" s="1" t="s">
        <v>595</v>
      </c>
      <c r="D189" t="s">
        <v>596</v>
      </c>
      <c r="E189" t="str">
        <f>_xll.BDP($B189,"LEGAL_ENTITY_IDENTIFIER")</f>
        <v>549300VSMO9KYQWDND94</v>
      </c>
      <c r="F189" t="s">
        <v>596</v>
      </c>
      <c r="G189" t="str">
        <f>custodian!D189</f>
        <v>879360105</v>
      </c>
      <c r="H189" t="str">
        <f>_xll.BDP($B189,"ID_ISIN")</f>
        <v>US8793601050</v>
      </c>
      <c r="I189" s="1" t="s">
        <v>595</v>
      </c>
      <c r="J189" t="str">
        <f>_xll.BDP($B189,"CNTRY_OF_DOMICILE")</f>
        <v>US</v>
      </c>
      <c r="K189" t="s">
        <v>98</v>
      </c>
      <c r="L189" t="s">
        <v>99</v>
      </c>
      <c r="O189" s="1"/>
      <c r="AQ189" s="1"/>
      <c r="AR189" s="1"/>
      <c r="AS189" s="1"/>
    </row>
    <row r="190" spans="1:45" x14ac:dyDescent="0.25">
      <c r="A190" t="s">
        <v>547</v>
      </c>
      <c r="B190" t="s">
        <v>597</v>
      </c>
      <c r="C190" s="1" t="s">
        <v>598</v>
      </c>
      <c r="D190" t="s">
        <v>599</v>
      </c>
      <c r="E190" t="str">
        <f>_xll.BDP($B190,"LEGAL_ENTITY_IDENTIFIER")</f>
        <v>549300E2MI7NSZFQWS19</v>
      </c>
      <c r="F190" t="s">
        <v>599</v>
      </c>
      <c r="G190" t="str">
        <f>custodian!D190</f>
        <v>896239100</v>
      </c>
      <c r="H190" t="str">
        <f>_xll.BDP($B190,"ID_ISIN")</f>
        <v>US8962391004</v>
      </c>
      <c r="I190" s="1" t="s">
        <v>598</v>
      </c>
      <c r="J190" t="str">
        <f>_xll.BDP($B190,"CNTRY_OF_DOMICILE")</f>
        <v>US</v>
      </c>
      <c r="K190" t="s">
        <v>98</v>
      </c>
      <c r="L190" t="s">
        <v>99</v>
      </c>
      <c r="O190" s="1"/>
      <c r="AQ190" s="1"/>
      <c r="AR190" s="1"/>
      <c r="AS190" s="1"/>
    </row>
    <row r="191" spans="1:45" x14ac:dyDescent="0.25">
      <c r="A191" t="s">
        <v>547</v>
      </c>
      <c r="B191" t="s">
        <v>201</v>
      </c>
      <c r="C191" s="1" t="s">
        <v>202</v>
      </c>
      <c r="D191" t="s">
        <v>203</v>
      </c>
      <c r="E191" t="str">
        <f>_xll.BDP($B191,"LEGAL_ENTITY_IDENTIFIER")</f>
        <v>3PPKBHUG1HD6BO7RNR87</v>
      </c>
      <c r="F191" t="s">
        <v>203</v>
      </c>
      <c r="G191" t="str">
        <f>custodian!D191</f>
        <v>883203101</v>
      </c>
      <c r="H191" t="str">
        <f>_xll.BDP($B191,"ID_ISIN")</f>
        <v>US8832031012</v>
      </c>
      <c r="I191" s="1" t="s">
        <v>202</v>
      </c>
      <c r="J191" t="str">
        <f>_xll.BDP($B191,"CNTRY_OF_DOMICILE")</f>
        <v>US</v>
      </c>
      <c r="K191" t="s">
        <v>98</v>
      </c>
      <c r="L191" t="s">
        <v>99</v>
      </c>
      <c r="O191" s="1"/>
      <c r="AQ191" s="1"/>
      <c r="AR191" s="1"/>
      <c r="AS191" s="1"/>
    </row>
    <row r="192" spans="1:45" x14ac:dyDescent="0.25">
      <c r="A192" t="s">
        <v>547</v>
      </c>
      <c r="B192" t="s">
        <v>600</v>
      </c>
      <c r="C192" s="1" t="s">
        <v>601</v>
      </c>
      <c r="D192" t="s">
        <v>602</v>
      </c>
      <c r="E192" t="str">
        <f>_xll.BDP($B192,"LEGAL_ENTITY_IDENTIFIER")</f>
        <v>#N/A N/A</v>
      </c>
      <c r="F192" t="s">
        <v>602</v>
      </c>
      <c r="G192" t="str">
        <f>custodian!D192</f>
        <v>91532F102</v>
      </c>
      <c r="H192" t="str">
        <f>_xll.BDP($B192,"ID_ISIN")</f>
        <v>US91532F1021</v>
      </c>
      <c r="I192" s="1" t="s">
        <v>601</v>
      </c>
      <c r="J192" t="str">
        <f>_xll.BDP($B192,"CNTRY_OF_DOMICILE")</f>
        <v>US</v>
      </c>
      <c r="K192" t="s">
        <v>98</v>
      </c>
      <c r="L192" t="s">
        <v>99</v>
      </c>
      <c r="O192" s="1"/>
      <c r="AQ192" s="1"/>
      <c r="AR192" s="1"/>
      <c r="AS192" s="1"/>
    </row>
    <row r="193" spans="1:48" x14ac:dyDescent="0.25">
      <c r="A193" t="s">
        <v>547</v>
      </c>
      <c r="B193" t="s">
        <v>603</v>
      </c>
      <c r="C193" s="1" t="s">
        <v>604</v>
      </c>
      <c r="D193" t="s">
        <v>605</v>
      </c>
      <c r="E193" t="str">
        <f>_xll.BDP($B193,"LEGAL_ENTITY_IDENTIFIER")</f>
        <v>5493005Q24EN3UC1PV68</v>
      </c>
      <c r="F193" t="s">
        <v>605</v>
      </c>
      <c r="G193" t="str">
        <f>custodian!D193</f>
        <v>11040G103</v>
      </c>
      <c r="H193" t="str">
        <f>_xll.BDP($B193,"ID_ISIN")</f>
        <v>US11040G1031</v>
      </c>
      <c r="I193" s="1" t="s">
        <v>604</v>
      </c>
      <c r="J193" t="str">
        <f>_xll.BDP($B193,"CNTRY_OF_DOMICILE")</f>
        <v>US</v>
      </c>
      <c r="K193" t="s">
        <v>98</v>
      </c>
      <c r="L193" t="s">
        <v>99</v>
      </c>
      <c r="O193" s="1"/>
      <c r="AQ193" s="1"/>
      <c r="AR193" s="1"/>
      <c r="AS193" s="1"/>
    </row>
    <row r="194" spans="1:48" x14ac:dyDescent="0.25">
      <c r="A194" t="s">
        <v>547</v>
      </c>
      <c r="C194" s="1" t="s">
        <v>52</v>
      </c>
      <c r="E194" s="1"/>
      <c r="G194" t="str">
        <f>custodian!D194</f>
        <v>Cash&amp;Other</v>
      </c>
      <c r="H194" s="1"/>
      <c r="I194" s="1"/>
      <c r="O194" s="1"/>
      <c r="AQ194" s="1"/>
      <c r="AR194" s="1"/>
      <c r="AS194" s="1"/>
    </row>
    <row r="195" spans="1:48" x14ac:dyDescent="0.25">
      <c r="A195" t="s">
        <v>606</v>
      </c>
      <c r="B195" t="s">
        <v>77</v>
      </c>
      <c r="C195" s="1" t="s">
        <v>78</v>
      </c>
      <c r="D195" t="s">
        <v>79</v>
      </c>
      <c r="E195" t="str">
        <f>_xll.BDP($B195,"LEGAL_ENTITY_IDENTIFIER")</f>
        <v>549300R5MYM6VZF1RM44</v>
      </c>
      <c r="F195" t="s">
        <v>80</v>
      </c>
      <c r="G195" t="str">
        <f>custodian!D195</f>
        <v>31846V336</v>
      </c>
      <c r="H195" t="str">
        <f>_xll.BDP($B195,"ID_ISIN")</f>
        <v>US31846V3362</v>
      </c>
      <c r="I195" s="1" t="s">
        <v>78</v>
      </c>
      <c r="J195" t="str">
        <f>_xll.BDP($B195,"CNTRY_OF_DOMICILE")</f>
        <v>US</v>
      </c>
      <c r="K195" t="s">
        <v>81</v>
      </c>
      <c r="L195" t="s">
        <v>82</v>
      </c>
      <c r="O195" s="1"/>
      <c r="AQ195" s="1"/>
      <c r="AR195" s="1"/>
      <c r="AS195" s="1"/>
    </row>
    <row r="196" spans="1:48" x14ac:dyDescent="0.25">
      <c r="A196" t="s">
        <v>606</v>
      </c>
      <c r="B196" t="s">
        <v>607</v>
      </c>
      <c r="C196" s="1" t="s">
        <v>608</v>
      </c>
      <c r="D196" t="s">
        <v>56</v>
      </c>
      <c r="E196" s="1" t="s">
        <v>56</v>
      </c>
      <c r="F196" t="s">
        <v>609</v>
      </c>
      <c r="G196" t="str">
        <f>custodian!D196</f>
        <v>M20791105-TRS-12/01/27-L-CANT</v>
      </c>
      <c r="H196" s="1"/>
      <c r="I196" s="1" t="s">
        <v>608</v>
      </c>
      <c r="J196" t="s">
        <v>58</v>
      </c>
      <c r="K196" t="s">
        <v>59</v>
      </c>
      <c r="L196" t="s">
        <v>60</v>
      </c>
      <c r="M196" t="s">
        <v>61</v>
      </c>
      <c r="N196" t="s">
        <v>62</v>
      </c>
      <c r="O196" s="1" t="s">
        <v>63</v>
      </c>
      <c r="V196" t="s">
        <v>64</v>
      </c>
      <c r="Y196" t="s">
        <v>65</v>
      </c>
      <c r="Z196" t="s">
        <v>66</v>
      </c>
      <c r="AA196" t="s">
        <v>610</v>
      </c>
      <c r="AB196" t="s">
        <v>68</v>
      </c>
      <c r="AD196" t="s">
        <v>610</v>
      </c>
      <c r="AE196" t="s">
        <v>611</v>
      </c>
      <c r="AF196" t="s">
        <v>70</v>
      </c>
      <c r="AG196" t="s">
        <v>612</v>
      </c>
      <c r="AH196" t="s">
        <v>72</v>
      </c>
      <c r="AI196" t="s">
        <v>73</v>
      </c>
      <c r="AK196" t="s">
        <v>610</v>
      </c>
      <c r="AL196" t="s">
        <v>68</v>
      </c>
      <c r="AM196" t="s">
        <v>74</v>
      </c>
      <c r="AN196" t="s">
        <v>75</v>
      </c>
      <c r="AO196" t="str">
        <f>_xll.BDP($B196,"ISSUER")</f>
        <v>Camtek Ltd/Israel</v>
      </c>
      <c r="AP196" t="str">
        <f>_xll.BDP($B196,"NAME")</f>
        <v>CAMTEK LTD</v>
      </c>
      <c r="AQ196" s="1" t="s">
        <v>613</v>
      </c>
      <c r="AR196" t="str">
        <f>_xll.BDP($B196,"ID_ISIN")</f>
        <v>IL0010952641</v>
      </c>
      <c r="AS196" t="str">
        <f>_xll.BDP($B196,"TICKER")</f>
        <v>CAMT</v>
      </c>
    </row>
    <row r="197" spans="1:48" x14ac:dyDescent="0.25">
      <c r="A197" t="s">
        <v>606</v>
      </c>
      <c r="C197" s="1" t="s">
        <v>52</v>
      </c>
      <c r="E197" s="1"/>
      <c r="G197" t="str">
        <f>custodian!D197</f>
        <v>Cash&amp;Other</v>
      </c>
      <c r="H197" s="1"/>
      <c r="I197" s="1"/>
      <c r="O197" s="1"/>
      <c r="AQ197" s="1"/>
      <c r="AR197" s="1"/>
      <c r="AS197" s="1"/>
    </row>
    <row r="198" spans="1:48" x14ac:dyDescent="0.25">
      <c r="A198" t="s">
        <v>614</v>
      </c>
      <c r="B198" t="s">
        <v>615</v>
      </c>
      <c r="C198" s="1" t="s">
        <v>616</v>
      </c>
      <c r="D198" t="s">
        <v>56</v>
      </c>
      <c r="E198" s="1" t="s">
        <v>56</v>
      </c>
      <c r="F198" t="s">
        <v>617</v>
      </c>
      <c r="G198" t="str">
        <f>custodian!D198</f>
        <v>565394103-TRS-12/01/27-L-CANT</v>
      </c>
      <c r="H198" s="1"/>
      <c r="I198" s="1" t="s">
        <v>616</v>
      </c>
      <c r="J198" t="s">
        <v>58</v>
      </c>
      <c r="K198" t="s">
        <v>59</v>
      </c>
      <c r="L198" t="s">
        <v>60</v>
      </c>
      <c r="M198" t="s">
        <v>61</v>
      </c>
      <c r="N198" t="s">
        <v>62</v>
      </c>
      <c r="O198" s="1" t="s">
        <v>63</v>
      </c>
      <c r="V198" t="s">
        <v>64</v>
      </c>
      <c r="Y198" t="s">
        <v>65</v>
      </c>
      <c r="Z198" t="s">
        <v>66</v>
      </c>
      <c r="AA198" t="s">
        <v>618</v>
      </c>
      <c r="AB198" t="s">
        <v>68</v>
      </c>
      <c r="AD198" t="s">
        <v>618</v>
      </c>
      <c r="AE198" t="s">
        <v>611</v>
      </c>
      <c r="AF198" t="s">
        <v>70</v>
      </c>
      <c r="AG198" t="s">
        <v>619</v>
      </c>
      <c r="AH198" t="s">
        <v>72</v>
      </c>
      <c r="AI198" t="s">
        <v>73</v>
      </c>
      <c r="AK198" t="s">
        <v>618</v>
      </c>
      <c r="AL198" t="s">
        <v>68</v>
      </c>
      <c r="AM198" t="s">
        <v>74</v>
      </c>
      <c r="AN198" t="s">
        <v>75</v>
      </c>
      <c r="AO198" t="str">
        <f>_xll.BDP($B198,"ISSUER")</f>
        <v>Maplebear Inc</v>
      </c>
      <c r="AP198" t="str">
        <f>_xll.BDP($B198,"NAME")</f>
        <v>MAPLEBEAR INC</v>
      </c>
      <c r="AQ198" s="1" t="s">
        <v>620</v>
      </c>
      <c r="AR198" t="str">
        <f>_xll.BDP($B198,"ID_ISIN")</f>
        <v>US5653941030</v>
      </c>
      <c r="AS198" t="str">
        <f>_xll.BDP($B198,"TICKER")</f>
        <v>CART</v>
      </c>
    </row>
    <row r="199" spans="1:48" x14ac:dyDescent="0.25">
      <c r="A199" t="s">
        <v>614</v>
      </c>
      <c r="B199" t="s">
        <v>77</v>
      </c>
      <c r="C199" s="1" t="s">
        <v>78</v>
      </c>
      <c r="D199" t="s">
        <v>79</v>
      </c>
      <c r="E199" t="str">
        <f>_xll.BDP($B199,"LEGAL_ENTITY_IDENTIFIER")</f>
        <v>549300R5MYM6VZF1RM44</v>
      </c>
      <c r="F199" t="s">
        <v>80</v>
      </c>
      <c r="G199" t="str">
        <f>custodian!D199</f>
        <v>31846V336</v>
      </c>
      <c r="H199" t="str">
        <f>_xll.BDP($B199,"ID_ISIN")</f>
        <v>US31846V3362</v>
      </c>
      <c r="I199" s="1" t="s">
        <v>78</v>
      </c>
      <c r="J199" t="str">
        <f>_xll.BDP($B199,"CNTRY_OF_DOMICILE")</f>
        <v>US</v>
      </c>
      <c r="K199" t="s">
        <v>81</v>
      </c>
      <c r="L199" t="s">
        <v>82</v>
      </c>
      <c r="O199" s="1"/>
      <c r="AQ199" s="1"/>
      <c r="AR199" s="1"/>
      <c r="AS199" s="1"/>
    </row>
    <row r="200" spans="1:48" x14ac:dyDescent="0.25">
      <c r="A200" t="s">
        <v>614</v>
      </c>
      <c r="C200" s="1" t="s">
        <v>52</v>
      </c>
      <c r="E200" s="1"/>
      <c r="G200" t="str">
        <f>custodian!D200</f>
        <v>Cash&amp;Other</v>
      </c>
      <c r="H200" s="1"/>
      <c r="I200" s="1"/>
      <c r="O200" s="1"/>
      <c r="AQ200" s="1"/>
      <c r="AR200" s="1"/>
      <c r="AS200" s="1"/>
    </row>
    <row r="201" spans="1:48" x14ac:dyDescent="0.25">
      <c r="A201" t="s">
        <v>621</v>
      </c>
      <c r="B201" t="s">
        <v>622</v>
      </c>
      <c r="C201" s="1" t="s">
        <v>623</v>
      </c>
      <c r="D201" t="s">
        <v>624</v>
      </c>
      <c r="E201" t="str">
        <f>_xll.BDP($B201,"LEGAL_ENTITY_IDENTIFIER")</f>
        <v>254900HROIFWPRGM1V77</v>
      </c>
      <c r="F201" t="s">
        <v>625</v>
      </c>
      <c r="G201" t="str">
        <f>custodian!D201</f>
        <v>912797RS8</v>
      </c>
      <c r="H201" t="str">
        <f>_xll.BDP($B201,"ID_ISIN")</f>
        <v>US912797RS85</v>
      </c>
      <c r="I201" s="1"/>
      <c r="J201" t="str">
        <f>_xll.BDP($B201,"CNTRY_OF_DOMICILE")</f>
        <v>US</v>
      </c>
      <c r="K201" t="s">
        <v>626</v>
      </c>
      <c r="L201" t="s">
        <v>627</v>
      </c>
      <c r="O201" s="1"/>
      <c r="AQ201" s="1"/>
      <c r="AR201" s="1"/>
      <c r="AS201" s="1"/>
      <c r="AT201" t="str">
        <f>TEXT(_xll.BDP($B201,"MATURITY"),"yyyy-mm-dd")</f>
        <v>2026-09-03</v>
      </c>
      <c r="AU201" t="str">
        <f>_xll.BDP($B201,"CPN_TYP")</f>
        <v>ZERO</v>
      </c>
      <c r="AV201">
        <f>_xll.BDP($B201,"CPN")</f>
        <v>0</v>
      </c>
    </row>
    <row r="202" spans="1:48" x14ac:dyDescent="0.25">
      <c r="A202" t="s">
        <v>621</v>
      </c>
      <c r="B202" t="s">
        <v>628</v>
      </c>
      <c r="C202" s="1" t="s">
        <v>629</v>
      </c>
      <c r="D202" t="s">
        <v>630</v>
      </c>
      <c r="E202" t="str">
        <f>_xll.BDP($B202,"LEGAL_ENTITY_IDENTIFIER")</f>
        <v>254900HROIFWPRGM1V77</v>
      </c>
      <c r="F202" t="s">
        <v>631</v>
      </c>
      <c r="G202" t="str">
        <f>custodian!D202</f>
        <v>912797SA6</v>
      </c>
      <c r="H202" t="str">
        <f>_xll.BDP($B202,"ID_ISIN")</f>
        <v>US912797SA68</v>
      </c>
      <c r="I202" s="1"/>
      <c r="J202" t="str">
        <f>_xll.BDP($B202,"CNTRY_OF_DOMICILE")</f>
        <v>US</v>
      </c>
      <c r="K202" t="s">
        <v>626</v>
      </c>
      <c r="L202" t="s">
        <v>627</v>
      </c>
      <c r="O202" s="1"/>
      <c r="AQ202" s="1"/>
      <c r="AR202" s="1"/>
      <c r="AS202" s="1"/>
      <c r="AT202" t="str">
        <f>TEXT(_xll.BDP($B202,"MATURITY"),"yyyy-mm-dd")</f>
        <v>2026-10-01</v>
      </c>
      <c r="AU202" t="str">
        <f>_xll.BDP($B202,"CPN_TYP")</f>
        <v>ZERO</v>
      </c>
      <c r="AV202">
        <f>_xll.BDP($B202,"CPN")</f>
        <v>0</v>
      </c>
    </row>
    <row r="203" spans="1:48" x14ac:dyDescent="0.25">
      <c r="A203" t="s">
        <v>621</v>
      </c>
      <c r="B203" t="s">
        <v>632</v>
      </c>
      <c r="C203" s="1" t="s">
        <v>633</v>
      </c>
      <c r="D203" t="s">
        <v>630</v>
      </c>
      <c r="E203" t="str">
        <f>_xll.BDP($B203,"LEGAL_ENTITY_IDENTIFIER")</f>
        <v>254900HROIFWPRGM1V77</v>
      </c>
      <c r="F203" t="s">
        <v>634</v>
      </c>
      <c r="G203" t="str">
        <f>custodian!D203</f>
        <v>912797SK4</v>
      </c>
      <c r="H203" t="str">
        <f>_xll.BDP($B203,"ID_ISIN")</f>
        <v>US912797SK41</v>
      </c>
      <c r="I203" s="1"/>
      <c r="J203" t="str">
        <f>_xll.BDP($B203,"CNTRY_OF_DOMICILE")</f>
        <v>US</v>
      </c>
      <c r="K203" t="s">
        <v>626</v>
      </c>
      <c r="L203" t="s">
        <v>627</v>
      </c>
      <c r="O203" s="1"/>
      <c r="AQ203" s="1"/>
      <c r="AR203" s="1"/>
      <c r="AS203" s="1"/>
      <c r="AT203" t="str">
        <f>TEXT(_xll.BDP($B203,"MATURITY"),"yyyy-mm-dd")</f>
        <v>2026-10-29</v>
      </c>
      <c r="AU203" t="str">
        <f>_xll.BDP($B203,"CPN_TYP")</f>
        <v>ZERO</v>
      </c>
      <c r="AV203">
        <f>_xll.BDP($B203,"CPN")</f>
        <v>0</v>
      </c>
    </row>
    <row r="204" spans="1:48" x14ac:dyDescent="0.25">
      <c r="A204" t="s">
        <v>621</v>
      </c>
      <c r="B204" t="s">
        <v>635</v>
      </c>
      <c r="C204" s="1" t="s">
        <v>636</v>
      </c>
      <c r="D204" t="s">
        <v>637</v>
      </c>
      <c r="E204" t="str">
        <f>_xll.BDP($B204,"LEGAL_ENTITY_IDENTIFIER")</f>
        <v>254900HROIFWPRGM1V77</v>
      </c>
      <c r="F204" t="s">
        <v>638</v>
      </c>
      <c r="G204" t="str">
        <f>custodian!D204</f>
        <v>912797SU2</v>
      </c>
      <c r="H204" t="str">
        <f>_xll.BDP($B204,"ID_ISIN")</f>
        <v>US912797SU23</v>
      </c>
      <c r="I204" s="1"/>
      <c r="J204" t="str">
        <f>_xll.BDP($B204,"CNTRY_OF_DOMICILE")</f>
        <v>US</v>
      </c>
      <c r="K204" t="s">
        <v>626</v>
      </c>
      <c r="L204" t="s">
        <v>627</v>
      </c>
      <c r="O204" s="1"/>
      <c r="AQ204" s="1"/>
      <c r="AR204" s="1"/>
      <c r="AS204" s="1"/>
      <c r="AT204" t="str">
        <f>TEXT(_xll.BDP($B204,"MATURITY"),"yyyy-mm-dd")</f>
        <v>2026-11-27</v>
      </c>
      <c r="AU204" t="str">
        <f>_xll.BDP($B204,"CPN_TYP")</f>
        <v>ZERO</v>
      </c>
      <c r="AV204">
        <f>_xll.BDP($B204,"CPN")</f>
        <v>0</v>
      </c>
    </row>
    <row r="205" spans="1:48" x14ac:dyDescent="0.25">
      <c r="A205" t="s">
        <v>621</v>
      </c>
      <c r="B205" t="s">
        <v>639</v>
      </c>
      <c r="C205" s="1" t="s">
        <v>640</v>
      </c>
      <c r="D205" t="s">
        <v>641</v>
      </c>
      <c r="E205" t="str">
        <f>_xll.BDP($B205,"LEGAL_ENTITY_IDENTIFIER")</f>
        <v>254900HROIFWPRGM1V77</v>
      </c>
      <c r="F205" t="s">
        <v>642</v>
      </c>
      <c r="G205" t="str">
        <f>custodian!D205</f>
        <v>912797TC1</v>
      </c>
      <c r="H205" t="str">
        <f>_xll.BDP($B205,"ID_ISIN")</f>
        <v>US912797TC16</v>
      </c>
      <c r="I205" s="1"/>
      <c r="J205" t="str">
        <f>_xll.BDP($B205,"CNTRY_OF_DOMICILE")</f>
        <v>US</v>
      </c>
      <c r="K205" t="s">
        <v>626</v>
      </c>
      <c r="L205" t="s">
        <v>627</v>
      </c>
      <c r="O205" s="1"/>
      <c r="AQ205" s="1"/>
      <c r="AR205" s="1"/>
      <c r="AS205" s="1"/>
      <c r="AT205" t="str">
        <f>TEXT(_xll.BDP($B205,"MATURITY"),"yyyy-mm-dd")</f>
        <v>2026-12-24</v>
      </c>
      <c r="AU205" t="str">
        <f>_xll.BDP($B205,"CPN_TYP")</f>
        <v>ZERO</v>
      </c>
      <c r="AV205">
        <f>_xll.BDP($B205,"CPN")</f>
        <v>0</v>
      </c>
    </row>
    <row r="206" spans="1:48" x14ac:dyDescent="0.25">
      <c r="A206" t="s">
        <v>621</v>
      </c>
      <c r="B206" t="s">
        <v>643</v>
      </c>
      <c r="C206" s="1" t="s">
        <v>644</v>
      </c>
      <c r="D206" t="s">
        <v>645</v>
      </c>
      <c r="E206" t="str">
        <f>_xll.BDP($B206,"LEGAL_ENTITY_IDENTIFIER")</f>
        <v>254900HROIFWPRGM1V77</v>
      </c>
      <c r="F206" t="s">
        <v>646</v>
      </c>
      <c r="G206" t="str">
        <f>custodian!D206</f>
        <v>912797TM9</v>
      </c>
      <c r="H206" t="str">
        <f>_xll.BDP($B206,"ID_ISIN")</f>
        <v>US912797TM97</v>
      </c>
      <c r="I206" s="1"/>
      <c r="J206" t="str">
        <f>_xll.BDP($B206,"CNTRY_OF_DOMICILE")</f>
        <v>US</v>
      </c>
      <c r="K206" t="s">
        <v>626</v>
      </c>
      <c r="L206" t="s">
        <v>627</v>
      </c>
      <c r="O206" s="1"/>
      <c r="AQ206" s="1"/>
      <c r="AR206" s="1"/>
      <c r="AS206" s="1"/>
      <c r="AT206" t="str">
        <f>TEXT(_xll.BDP($B206,"MATURITY"),"yyyy-mm-dd")</f>
        <v>2027-01-21</v>
      </c>
      <c r="AU206" t="str">
        <f>_xll.BDP($B206,"CPN_TYP")</f>
        <v>ZERO</v>
      </c>
      <c r="AV206">
        <f>_xll.BDP($B206,"CPN")</f>
        <v>0</v>
      </c>
    </row>
    <row r="207" spans="1:48" x14ac:dyDescent="0.25">
      <c r="A207" t="s">
        <v>621</v>
      </c>
      <c r="B207" t="s">
        <v>647</v>
      </c>
      <c r="C207" s="1" t="s">
        <v>648</v>
      </c>
      <c r="D207" t="s">
        <v>649</v>
      </c>
      <c r="E207" t="str">
        <f>_xll.BDP($B207,"LEGAL_ENTITY_IDENTIFIER")</f>
        <v>254900HROIFWPRGM1V77</v>
      </c>
      <c r="F207" t="s">
        <v>650</v>
      </c>
      <c r="G207" t="str">
        <f>custodian!D207</f>
        <v>912797TV9</v>
      </c>
      <c r="H207" t="str">
        <f>_xll.BDP($B207,"ID_ISIN")</f>
        <v>US912797TV96</v>
      </c>
      <c r="I207" s="1"/>
      <c r="J207" t="str">
        <f>_xll.BDP($B207,"CNTRY_OF_DOMICILE")</f>
        <v>US</v>
      </c>
      <c r="K207" t="s">
        <v>626</v>
      </c>
      <c r="L207" t="s">
        <v>627</v>
      </c>
      <c r="O207" s="1"/>
      <c r="AQ207" s="1"/>
      <c r="AR207" s="1"/>
      <c r="AS207" s="1"/>
      <c r="AT207" t="str">
        <f>TEXT(_xll.BDP($B207,"MATURITY"),"yyyy-mm-dd")</f>
        <v>2027-02-18</v>
      </c>
      <c r="AU207" t="str">
        <f>_xll.BDP($B207,"CPN_TYP")</f>
        <v>ZERO</v>
      </c>
      <c r="AV207">
        <f>_xll.BDP($B207,"CPN")</f>
        <v>0</v>
      </c>
    </row>
    <row r="208" spans="1:48" x14ac:dyDescent="0.25">
      <c r="A208" t="s">
        <v>621</v>
      </c>
      <c r="B208" t="s">
        <v>651</v>
      </c>
      <c r="C208" s="1" t="s">
        <v>652</v>
      </c>
      <c r="D208" t="s">
        <v>653</v>
      </c>
      <c r="E208" t="str">
        <f>_xll.BDP($B208,"LEGAL_ENTITY_IDENTIFIER")</f>
        <v>254900HROIFWPRGM1V77</v>
      </c>
      <c r="F208" t="s">
        <v>654</v>
      </c>
      <c r="G208" t="str">
        <f>custodian!D208</f>
        <v>912797UD7</v>
      </c>
      <c r="H208" t="str">
        <f>_xll.BDP($B208,"ID_ISIN")</f>
        <v>US912797UD79</v>
      </c>
      <c r="I208" s="1"/>
      <c r="J208" t="str">
        <f>_xll.BDP($B208,"CNTRY_OF_DOMICILE")</f>
        <v>US</v>
      </c>
      <c r="K208" t="s">
        <v>626</v>
      </c>
      <c r="L208" t="s">
        <v>627</v>
      </c>
      <c r="O208" s="1"/>
      <c r="AQ208" s="1"/>
      <c r="AR208" s="1"/>
      <c r="AS208" s="1"/>
      <c r="AT208" t="str">
        <f>TEXT(_xll.BDP($B208,"MATURITY"),"yyyy-mm-dd")</f>
        <v>2027-03-18</v>
      </c>
      <c r="AU208" t="str">
        <f>_xll.BDP($B208,"CPN_TYP")</f>
        <v>ZERO</v>
      </c>
      <c r="AV208">
        <f>_xll.BDP($B208,"CPN")</f>
        <v>0</v>
      </c>
    </row>
    <row r="209" spans="1:48" x14ac:dyDescent="0.25">
      <c r="A209" t="s">
        <v>621</v>
      </c>
      <c r="B209" t="s">
        <v>655</v>
      </c>
      <c r="C209" s="1" t="s">
        <v>656</v>
      </c>
      <c r="D209" t="s">
        <v>657</v>
      </c>
      <c r="E209" t="str">
        <f>_xll.BDP($B209,"LEGAL_ENTITY_IDENTIFIER")</f>
        <v>254900HROIFWPRGM1V77</v>
      </c>
      <c r="F209" t="s">
        <v>658</v>
      </c>
      <c r="G209" t="str">
        <f>custodian!D209</f>
        <v>912797UE5</v>
      </c>
      <c r="H209" t="str">
        <f>_xll.BDP($B209,"ID_ISIN")</f>
        <v>US912797UE52</v>
      </c>
      <c r="I209" s="1"/>
      <c r="J209" t="str">
        <f>_xll.BDP($B209,"CNTRY_OF_DOMICILE")</f>
        <v>US</v>
      </c>
      <c r="K209" t="s">
        <v>626</v>
      </c>
      <c r="L209" t="s">
        <v>627</v>
      </c>
      <c r="O209" s="1"/>
      <c r="AQ209" s="1"/>
      <c r="AR209" s="1"/>
      <c r="AS209" s="1"/>
      <c r="AT209" t="str">
        <f>TEXT(_xll.BDP($B209,"MATURITY"),"yyyy-mm-dd")</f>
        <v>2027-04-15</v>
      </c>
      <c r="AU209" t="str">
        <f>_xll.BDP($B209,"CPN_TYP")</f>
        <v>ZERO</v>
      </c>
      <c r="AV209">
        <f>_xll.BDP($B209,"CPN")</f>
        <v>0</v>
      </c>
    </row>
    <row r="210" spans="1:48" x14ac:dyDescent="0.25">
      <c r="A210" t="s">
        <v>621</v>
      </c>
      <c r="B210" t="s">
        <v>659</v>
      </c>
      <c r="C210" s="1" t="s">
        <v>660</v>
      </c>
      <c r="D210" t="s">
        <v>624</v>
      </c>
      <c r="E210" t="str">
        <f>_xll.BDP($B210,"LEGAL_ENTITY_IDENTIFIER")</f>
        <v>254900HROIFWPRGM1V77</v>
      </c>
      <c r="F210" t="s">
        <v>661</v>
      </c>
      <c r="G210" t="str">
        <f>custodian!D210</f>
        <v>912797UF2</v>
      </c>
      <c r="H210" t="str">
        <f>_xll.BDP($B210,"ID_ISIN")</f>
        <v>US912797UF28</v>
      </c>
      <c r="I210" s="1"/>
      <c r="J210" t="str">
        <f>_xll.BDP($B210,"CNTRY_OF_DOMICILE")</f>
        <v>US</v>
      </c>
      <c r="K210" t="s">
        <v>626</v>
      </c>
      <c r="L210" t="s">
        <v>627</v>
      </c>
      <c r="O210" s="1"/>
      <c r="AQ210" s="1"/>
      <c r="AR210" s="1"/>
      <c r="AS210" s="1"/>
      <c r="AT210" t="str">
        <f>TEXT(_xll.BDP($B210,"MATURITY"),"yyyy-mm-dd")</f>
        <v>2026-09-10</v>
      </c>
      <c r="AU210" t="str">
        <f>_xll.BDP($B210,"CPN_TYP")</f>
        <v>ZERO</v>
      </c>
      <c r="AV210">
        <f>_xll.BDP($B210,"CPN")</f>
        <v>0</v>
      </c>
    </row>
    <row r="211" spans="1:48" x14ac:dyDescent="0.25">
      <c r="A211" t="s">
        <v>621</v>
      </c>
      <c r="B211" t="s">
        <v>662</v>
      </c>
      <c r="C211" s="1" t="s">
        <v>663</v>
      </c>
      <c r="D211" t="s">
        <v>624</v>
      </c>
      <c r="E211" t="str">
        <f>_xll.BDP($B211,"LEGAL_ENTITY_IDENTIFIER")</f>
        <v>254900HROIFWPRGM1V77</v>
      </c>
      <c r="F211" t="s">
        <v>664</v>
      </c>
      <c r="G211" t="str">
        <f>custodian!D211</f>
        <v>912797UG0</v>
      </c>
      <c r="H211" t="str">
        <f>_xll.BDP($B211,"ID_ISIN")</f>
        <v>US912797UG01</v>
      </c>
      <c r="I211" s="1"/>
      <c r="J211" t="str">
        <f>_xll.BDP($B211,"CNTRY_OF_DOMICILE")</f>
        <v>US</v>
      </c>
      <c r="K211" t="s">
        <v>626</v>
      </c>
      <c r="L211" t="s">
        <v>627</v>
      </c>
      <c r="O211" s="1"/>
      <c r="AQ211" s="1"/>
      <c r="AR211" s="1"/>
      <c r="AS211" s="1"/>
      <c r="AT211" t="str">
        <f>TEXT(_xll.BDP($B211,"MATURITY"),"yyyy-mm-dd")</f>
        <v>2026-09-17</v>
      </c>
      <c r="AU211" t="str">
        <f>_xll.BDP($B211,"CPN_TYP")</f>
        <v>ZERO</v>
      </c>
      <c r="AV211">
        <f>_xll.BDP($B211,"CPN")</f>
        <v>0</v>
      </c>
    </row>
    <row r="212" spans="1:48" x14ac:dyDescent="0.25">
      <c r="A212" t="s">
        <v>621</v>
      </c>
      <c r="B212" t="s">
        <v>665</v>
      </c>
      <c r="C212" s="1" t="s">
        <v>666</v>
      </c>
      <c r="D212" t="s">
        <v>624</v>
      </c>
      <c r="E212" t="str">
        <f>_xll.BDP($B212,"LEGAL_ENTITY_IDENTIFIER")</f>
        <v>254900HROIFWPRGM1V77</v>
      </c>
      <c r="F212" t="s">
        <v>667</v>
      </c>
      <c r="G212" t="str">
        <f>custodian!D212</f>
        <v>912797UH8</v>
      </c>
      <c r="H212" t="str">
        <f>_xll.BDP($B212,"ID_ISIN")</f>
        <v>US912797UH83</v>
      </c>
      <c r="I212" s="1"/>
      <c r="J212" t="str">
        <f>_xll.BDP($B212,"CNTRY_OF_DOMICILE")</f>
        <v>US</v>
      </c>
      <c r="K212" t="s">
        <v>626</v>
      </c>
      <c r="L212" t="s">
        <v>627</v>
      </c>
      <c r="O212" s="1"/>
      <c r="AQ212" s="1"/>
      <c r="AR212" s="1"/>
      <c r="AS212" s="1"/>
      <c r="AT212" t="str">
        <f>TEXT(_xll.BDP($B212,"MATURITY"),"yyyy-mm-dd")</f>
        <v>2026-09-24</v>
      </c>
      <c r="AU212" t="str">
        <f>_xll.BDP($B212,"CPN_TYP")</f>
        <v>ZERO</v>
      </c>
      <c r="AV212">
        <f>_xll.BDP($B212,"CPN")</f>
        <v>0</v>
      </c>
    </row>
    <row r="213" spans="1:48" x14ac:dyDescent="0.25">
      <c r="A213" t="s">
        <v>621</v>
      </c>
      <c r="B213" t="s">
        <v>668</v>
      </c>
      <c r="C213" s="1" t="s">
        <v>669</v>
      </c>
      <c r="D213" t="s">
        <v>630</v>
      </c>
      <c r="E213" t="str">
        <f>_xll.BDP($B213,"LEGAL_ENTITY_IDENTIFIER")</f>
        <v>254900HROIFWPRGM1V77</v>
      </c>
      <c r="F213" t="s">
        <v>670</v>
      </c>
      <c r="G213" t="str">
        <f>custodian!D213</f>
        <v>912797UJ4</v>
      </c>
      <c r="H213" t="str">
        <f>_xll.BDP($B213,"ID_ISIN")</f>
        <v>US912797UJ40</v>
      </c>
      <c r="I213" s="1"/>
      <c r="J213" t="str">
        <f>_xll.BDP($B213,"CNTRY_OF_DOMICILE")</f>
        <v>US</v>
      </c>
      <c r="K213" t="s">
        <v>626</v>
      </c>
      <c r="L213" t="s">
        <v>627</v>
      </c>
      <c r="O213" s="1"/>
      <c r="AQ213" s="1"/>
      <c r="AR213" s="1"/>
      <c r="AS213" s="1"/>
      <c r="AT213" t="str">
        <f>TEXT(_xll.BDP($B213,"MATURITY"),"yyyy-mm-dd")</f>
        <v>2026-10-08</v>
      </c>
      <c r="AU213" t="str">
        <f>_xll.BDP($B213,"CPN_TYP")</f>
        <v>ZERO</v>
      </c>
      <c r="AV213">
        <f>_xll.BDP($B213,"CPN")</f>
        <v>0</v>
      </c>
    </row>
    <row r="214" spans="1:48" x14ac:dyDescent="0.25">
      <c r="A214" t="s">
        <v>621</v>
      </c>
      <c r="B214" t="s">
        <v>671</v>
      </c>
      <c r="C214" s="1" t="s">
        <v>672</v>
      </c>
      <c r="D214" t="s">
        <v>630</v>
      </c>
      <c r="E214" t="str">
        <f>_xll.BDP($B214,"LEGAL_ENTITY_IDENTIFIER")</f>
        <v>254900HROIFWPRGM1V77</v>
      </c>
      <c r="F214" t="s">
        <v>673</v>
      </c>
      <c r="G214" t="str">
        <f>custodian!D214</f>
        <v>912797UK1</v>
      </c>
      <c r="H214" t="str">
        <f>_xll.BDP($B214,"ID_ISIN")</f>
        <v>US912797UK13</v>
      </c>
      <c r="I214" s="1"/>
      <c r="J214" t="str">
        <f>_xll.BDP($B214,"CNTRY_OF_DOMICILE")</f>
        <v>US</v>
      </c>
      <c r="K214" t="s">
        <v>626</v>
      </c>
      <c r="L214" t="s">
        <v>627</v>
      </c>
      <c r="O214" s="1"/>
      <c r="AQ214" s="1"/>
      <c r="AR214" s="1"/>
      <c r="AS214" s="1"/>
      <c r="AT214" t="str">
        <f>TEXT(_xll.BDP($B214,"MATURITY"),"yyyy-mm-dd")</f>
        <v>2026-10-15</v>
      </c>
      <c r="AU214" t="str">
        <f>_xll.BDP($B214,"CPN_TYP")</f>
        <v>ZERO</v>
      </c>
      <c r="AV214">
        <f>_xll.BDP($B214,"CPN")</f>
        <v>0</v>
      </c>
    </row>
    <row r="215" spans="1:48" x14ac:dyDescent="0.25">
      <c r="A215" t="s">
        <v>621</v>
      </c>
      <c r="B215" t="s">
        <v>674</v>
      </c>
      <c r="C215" s="1" t="s">
        <v>675</v>
      </c>
      <c r="D215" t="s">
        <v>630</v>
      </c>
      <c r="E215" t="str">
        <f>_xll.BDP($B215,"LEGAL_ENTITY_IDENTIFIER")</f>
        <v>254900HROIFWPRGM1V77</v>
      </c>
      <c r="F215" t="s">
        <v>676</v>
      </c>
      <c r="G215" t="str">
        <f>custodian!D215</f>
        <v>912797UL9</v>
      </c>
      <c r="H215" t="str">
        <f>_xll.BDP($B215,"ID_ISIN")</f>
        <v>US912797UL95</v>
      </c>
      <c r="I215" s="1"/>
      <c r="J215" t="str">
        <f>_xll.BDP($B215,"CNTRY_OF_DOMICILE")</f>
        <v>US</v>
      </c>
      <c r="K215" t="s">
        <v>626</v>
      </c>
      <c r="L215" t="s">
        <v>627</v>
      </c>
      <c r="O215" s="1"/>
      <c r="AQ215" s="1"/>
      <c r="AR215" s="1"/>
      <c r="AS215" s="1"/>
      <c r="AT215" t="str">
        <f>TEXT(_xll.BDP($B215,"MATURITY"),"yyyy-mm-dd")</f>
        <v>2026-10-22</v>
      </c>
      <c r="AU215" t="str">
        <f>_xll.BDP($B215,"CPN_TYP")</f>
        <v>ZERO</v>
      </c>
      <c r="AV215">
        <f>_xll.BDP($B215,"CPN")</f>
        <v>0</v>
      </c>
    </row>
    <row r="216" spans="1:48" x14ac:dyDescent="0.25">
      <c r="A216" t="s">
        <v>621</v>
      </c>
      <c r="B216" t="s">
        <v>677</v>
      </c>
      <c r="C216" s="1" t="s">
        <v>678</v>
      </c>
      <c r="D216" t="s">
        <v>637</v>
      </c>
      <c r="E216" t="str">
        <f>_xll.BDP($B216,"LEGAL_ENTITY_IDENTIFIER")</f>
        <v>254900HROIFWPRGM1V77</v>
      </c>
      <c r="F216" t="s">
        <v>679</v>
      </c>
      <c r="G216" t="str">
        <f>custodian!D216</f>
        <v>912797UM7</v>
      </c>
      <c r="H216" t="str">
        <f>_xll.BDP($B216,"ID_ISIN")</f>
        <v>US912797UM78</v>
      </c>
      <c r="I216" s="1"/>
      <c r="J216" t="str">
        <f>_xll.BDP($B216,"CNTRY_OF_DOMICILE")</f>
        <v>US</v>
      </c>
      <c r="K216" t="s">
        <v>626</v>
      </c>
      <c r="L216" t="s">
        <v>627</v>
      </c>
      <c r="O216" s="1"/>
      <c r="AQ216" s="1"/>
      <c r="AR216" s="1"/>
      <c r="AS216" s="1"/>
      <c r="AT216" t="str">
        <f>TEXT(_xll.BDP($B216,"MATURITY"),"yyyy-mm-dd")</f>
        <v>2026-11-05</v>
      </c>
      <c r="AU216" t="str">
        <f>_xll.BDP($B216,"CPN_TYP")</f>
        <v>ZERO</v>
      </c>
      <c r="AV216">
        <f>_xll.BDP($B216,"CPN")</f>
        <v>0</v>
      </c>
    </row>
    <row r="217" spans="1:48" x14ac:dyDescent="0.25">
      <c r="A217" t="s">
        <v>621</v>
      </c>
      <c r="B217" t="s">
        <v>680</v>
      </c>
      <c r="C217" s="1" t="s">
        <v>681</v>
      </c>
      <c r="D217" t="s">
        <v>624</v>
      </c>
      <c r="E217" t="str">
        <f>_xll.BDP($B217,"LEGAL_ENTITY_IDENTIFIER")</f>
        <v>254900HROIFWPRGM1V77</v>
      </c>
      <c r="F217" t="s">
        <v>682</v>
      </c>
      <c r="G217" t="str">
        <f>custodian!D217</f>
        <v>912797UW5</v>
      </c>
      <c r="H217" t="str">
        <f>_xll.BDP($B217,"ID_ISIN")</f>
        <v>US912797UW50</v>
      </c>
      <c r="I217" s="1"/>
      <c r="J217" t="str">
        <f>_xll.BDP($B217,"CNTRY_OF_DOMICILE")</f>
        <v>US</v>
      </c>
      <c r="K217" t="s">
        <v>626</v>
      </c>
      <c r="L217" t="s">
        <v>627</v>
      </c>
      <c r="O217" s="1"/>
      <c r="AQ217" s="1"/>
      <c r="AR217" s="1"/>
      <c r="AS217" s="1"/>
      <c r="AT217" t="str">
        <f>TEXT(_xll.BDP($B217,"MATURITY"),"yyyy-mm-dd")</f>
        <v>2026-09-01</v>
      </c>
      <c r="AU217" t="str">
        <f>_xll.BDP($B217,"CPN_TYP")</f>
        <v>ZERO</v>
      </c>
      <c r="AV217">
        <f>_xll.BDP($B217,"CPN")</f>
        <v>0</v>
      </c>
    </row>
    <row r="218" spans="1:48" x14ac:dyDescent="0.25">
      <c r="A218" t="s">
        <v>621</v>
      </c>
      <c r="B218" t="s">
        <v>683</v>
      </c>
      <c r="C218" s="1" t="s">
        <v>684</v>
      </c>
      <c r="D218" t="s">
        <v>685</v>
      </c>
      <c r="E218" t="str">
        <f>_xll.BDP($B218,"LEGAL_ENTITY_IDENTIFIER")</f>
        <v>254900HROIFWPRGM1V77</v>
      </c>
      <c r="F218" t="s">
        <v>686</v>
      </c>
      <c r="G218" t="str">
        <f>custodian!D218</f>
        <v>912797UX3</v>
      </c>
      <c r="H218" t="str">
        <f>_xll.BDP($B218,"ID_ISIN")</f>
        <v>US912797UX34</v>
      </c>
      <c r="I218" s="1"/>
      <c r="J218" t="str">
        <f>_xll.BDP($B218,"CNTRY_OF_DOMICILE")</f>
        <v>US</v>
      </c>
      <c r="K218" t="s">
        <v>626</v>
      </c>
      <c r="L218" t="s">
        <v>627</v>
      </c>
      <c r="O218" s="1"/>
      <c r="AQ218" s="1"/>
      <c r="AR218" s="1"/>
      <c r="AS218" s="1"/>
      <c r="AT218" t="str">
        <f>TEXT(_xll.BDP($B218,"MATURITY"),"yyyy-mm-dd")</f>
        <v>2027-05-13</v>
      </c>
      <c r="AU218" t="str">
        <f>_xll.BDP($B218,"CPN_TYP")</f>
        <v>ZERO</v>
      </c>
      <c r="AV218">
        <f>_xll.BDP($B218,"CPN")</f>
        <v>0</v>
      </c>
    </row>
    <row r="219" spans="1:48" x14ac:dyDescent="0.25">
      <c r="A219" t="s">
        <v>621</v>
      </c>
      <c r="B219" t="s">
        <v>687</v>
      </c>
      <c r="C219" s="1" t="s">
        <v>688</v>
      </c>
      <c r="D219" t="s">
        <v>637</v>
      </c>
      <c r="E219" t="str">
        <f>_xll.BDP($B219,"LEGAL_ENTITY_IDENTIFIER")</f>
        <v>254900HROIFWPRGM1V77</v>
      </c>
      <c r="F219" t="s">
        <v>689</v>
      </c>
      <c r="G219" t="str">
        <f>custodian!D219</f>
        <v>912797UY1</v>
      </c>
      <c r="H219" t="str">
        <f>_xll.BDP($B219,"ID_ISIN")</f>
        <v>US912797UY17</v>
      </c>
      <c r="I219" s="1"/>
      <c r="J219" t="str">
        <f>_xll.BDP($B219,"CNTRY_OF_DOMICILE")</f>
        <v>US</v>
      </c>
      <c r="K219" t="s">
        <v>626</v>
      </c>
      <c r="L219" t="s">
        <v>627</v>
      </c>
      <c r="O219" s="1"/>
      <c r="AQ219" s="1"/>
      <c r="AR219" s="1"/>
      <c r="AS219" s="1"/>
      <c r="AT219" t="str">
        <f>TEXT(_xll.BDP($B219,"MATURITY"),"yyyy-mm-dd")</f>
        <v>2026-11-12</v>
      </c>
      <c r="AU219" t="str">
        <f>_xll.BDP($B219,"CPN_TYP")</f>
        <v>ZERO</v>
      </c>
      <c r="AV219">
        <f>_xll.BDP($B219,"CPN")</f>
        <v>0</v>
      </c>
    </row>
    <row r="220" spans="1:48" x14ac:dyDescent="0.25">
      <c r="A220" t="s">
        <v>621</v>
      </c>
      <c r="B220" t="s">
        <v>690</v>
      </c>
      <c r="C220" s="1" t="s">
        <v>691</v>
      </c>
      <c r="D220" t="s">
        <v>637</v>
      </c>
      <c r="E220" t="str">
        <f>_xll.BDP($B220,"LEGAL_ENTITY_IDENTIFIER")</f>
        <v>254900HROIFWPRGM1V77</v>
      </c>
      <c r="F220" t="s">
        <v>692</v>
      </c>
      <c r="G220" t="str">
        <f>custodian!D220</f>
        <v>912797UZ8</v>
      </c>
      <c r="H220" t="str">
        <f>_xll.BDP($B220,"ID_ISIN")</f>
        <v>US912797UZ81</v>
      </c>
      <c r="I220" s="1"/>
      <c r="J220" t="str">
        <f>_xll.BDP($B220,"CNTRY_OF_DOMICILE")</f>
        <v>US</v>
      </c>
      <c r="K220" t="s">
        <v>626</v>
      </c>
      <c r="L220" t="s">
        <v>627</v>
      </c>
      <c r="O220" s="1"/>
      <c r="AQ220" s="1"/>
      <c r="AR220" s="1"/>
      <c r="AS220" s="1"/>
      <c r="AT220" t="str">
        <f>TEXT(_xll.BDP($B220,"MATURITY"),"yyyy-mm-dd")</f>
        <v>2026-11-19</v>
      </c>
      <c r="AU220" t="str">
        <f>_xll.BDP($B220,"CPN_TYP")</f>
        <v>ZERO</v>
      </c>
      <c r="AV220">
        <f>_xll.BDP($B220,"CPN")</f>
        <v>0</v>
      </c>
    </row>
    <row r="221" spans="1:48" x14ac:dyDescent="0.25">
      <c r="A221" t="s">
        <v>621</v>
      </c>
      <c r="B221" t="s">
        <v>693</v>
      </c>
      <c r="C221" s="1" t="s">
        <v>694</v>
      </c>
      <c r="D221" t="s">
        <v>624</v>
      </c>
      <c r="E221" t="str">
        <f>_xll.BDP($B221,"LEGAL_ENTITY_IDENTIFIER")</f>
        <v>254900HROIFWPRGM1V77</v>
      </c>
      <c r="F221" t="s">
        <v>695</v>
      </c>
      <c r="G221" t="str">
        <f>custodian!D221</f>
        <v>912797VB0</v>
      </c>
      <c r="H221" t="str">
        <f>_xll.BDP($B221,"ID_ISIN")</f>
        <v>US912797VB05</v>
      </c>
      <c r="I221" s="1"/>
      <c r="J221" t="str">
        <f>_xll.BDP($B221,"CNTRY_OF_DOMICILE")</f>
        <v>US</v>
      </c>
      <c r="K221" t="s">
        <v>626</v>
      </c>
      <c r="L221" t="s">
        <v>627</v>
      </c>
      <c r="O221" s="1"/>
      <c r="AQ221" s="1"/>
      <c r="AR221" s="1"/>
      <c r="AS221" s="1"/>
      <c r="AT221" t="str">
        <f>TEXT(_xll.BDP($B221,"MATURITY"),"yyyy-mm-dd")</f>
        <v>2026-09-08</v>
      </c>
      <c r="AU221" t="str">
        <f>_xll.BDP($B221,"CPN_TYP")</f>
        <v>ZERO</v>
      </c>
      <c r="AV221">
        <f>_xll.BDP($B221,"CPN")</f>
        <v>0</v>
      </c>
    </row>
    <row r="222" spans="1:48" x14ac:dyDescent="0.25">
      <c r="A222" t="s">
        <v>621</v>
      </c>
      <c r="B222" t="s">
        <v>696</v>
      </c>
      <c r="C222" s="1" t="s">
        <v>697</v>
      </c>
      <c r="D222" t="s">
        <v>624</v>
      </c>
      <c r="E222" t="str">
        <f>_xll.BDP($B222,"LEGAL_ENTITY_IDENTIFIER")</f>
        <v>254900HROIFWPRGM1V77</v>
      </c>
      <c r="F222" t="s">
        <v>698</v>
      </c>
      <c r="G222" t="str">
        <f>custodian!D222</f>
        <v>912797VC8</v>
      </c>
      <c r="H222" t="str">
        <f>_xll.BDP($B222,"ID_ISIN")</f>
        <v>US912797VC87</v>
      </c>
      <c r="I222" s="1"/>
      <c r="J222" t="str">
        <f>_xll.BDP($B222,"CNTRY_OF_DOMICILE")</f>
        <v>US</v>
      </c>
      <c r="K222" t="s">
        <v>626</v>
      </c>
      <c r="L222" t="s">
        <v>627</v>
      </c>
      <c r="O222" s="1"/>
      <c r="AQ222" s="1"/>
      <c r="AR222" s="1"/>
      <c r="AS222" s="1"/>
      <c r="AT222" t="str">
        <f>TEXT(_xll.BDP($B222,"MATURITY"),"yyyy-mm-dd")</f>
        <v>2026-09-15</v>
      </c>
      <c r="AU222" t="str">
        <f>_xll.BDP($B222,"CPN_TYP")</f>
        <v>ZERO</v>
      </c>
      <c r="AV222">
        <f>_xll.BDP($B222,"CPN")</f>
        <v>0</v>
      </c>
    </row>
    <row r="223" spans="1:48" x14ac:dyDescent="0.25">
      <c r="A223" t="s">
        <v>621</v>
      </c>
      <c r="B223" t="s">
        <v>699</v>
      </c>
      <c r="C223" s="1" t="s">
        <v>700</v>
      </c>
      <c r="D223" t="s">
        <v>624</v>
      </c>
      <c r="E223" t="str">
        <f>_xll.BDP($B223,"LEGAL_ENTITY_IDENTIFIER")</f>
        <v>254900HROIFWPRGM1V77</v>
      </c>
      <c r="F223" t="s">
        <v>701</v>
      </c>
      <c r="G223" t="str">
        <f>custodian!D223</f>
        <v>912797VD6</v>
      </c>
      <c r="H223" t="str">
        <f>_xll.BDP($B223,"ID_ISIN")</f>
        <v>US912797VD60</v>
      </c>
      <c r="I223" s="1"/>
      <c r="J223" t="str">
        <f>_xll.BDP($B223,"CNTRY_OF_DOMICILE")</f>
        <v>US</v>
      </c>
      <c r="K223" t="s">
        <v>626</v>
      </c>
      <c r="L223" t="s">
        <v>627</v>
      </c>
      <c r="O223" s="1"/>
      <c r="AQ223" s="1"/>
      <c r="AR223" s="1"/>
      <c r="AS223" s="1"/>
      <c r="AT223" t="str">
        <f>TEXT(_xll.BDP($B223,"MATURITY"),"yyyy-mm-dd")</f>
        <v>2026-09-22</v>
      </c>
      <c r="AU223" t="str">
        <f>_xll.BDP($B223,"CPN_TYP")</f>
        <v>ZERO</v>
      </c>
      <c r="AV223">
        <f>_xll.BDP($B223,"CPN")</f>
        <v>0</v>
      </c>
    </row>
    <row r="224" spans="1:48" x14ac:dyDescent="0.25">
      <c r="A224" t="s">
        <v>621</v>
      </c>
      <c r="B224" t="s">
        <v>77</v>
      </c>
      <c r="C224" s="1" t="s">
        <v>78</v>
      </c>
      <c r="D224" t="s">
        <v>79</v>
      </c>
      <c r="E224" t="str">
        <f>_xll.BDP($B224,"LEGAL_ENTITY_IDENTIFIER")</f>
        <v>549300R5MYM6VZF1RM44</v>
      </c>
      <c r="F224" t="s">
        <v>80</v>
      </c>
      <c r="G224" t="str">
        <f>custodian!D224</f>
        <v>31846V336</v>
      </c>
      <c r="H224" t="str">
        <f>_xll.BDP($B224,"ID_ISIN")</f>
        <v>US31846V3362</v>
      </c>
      <c r="I224" s="1" t="s">
        <v>78</v>
      </c>
      <c r="J224" t="str">
        <f>_xll.BDP($B224,"CNTRY_OF_DOMICILE")</f>
        <v>US</v>
      </c>
      <c r="K224" t="s">
        <v>81</v>
      </c>
      <c r="L224" t="s">
        <v>82</v>
      </c>
      <c r="O224" s="1"/>
      <c r="AQ224" s="1"/>
      <c r="AR224" s="1"/>
      <c r="AS224" s="1"/>
    </row>
    <row r="225" spans="1:45" x14ac:dyDescent="0.25">
      <c r="A225" t="s">
        <v>621</v>
      </c>
      <c r="C225" s="1" t="s">
        <v>52</v>
      </c>
      <c r="E225" s="1"/>
      <c r="G225" t="str">
        <f>custodian!D225</f>
        <v>Cash&amp;Other</v>
      </c>
      <c r="H225" s="1"/>
      <c r="I225" s="1"/>
      <c r="O225" s="1"/>
      <c r="AQ225" s="1"/>
      <c r="AR225" s="1"/>
      <c r="AS225" s="1"/>
    </row>
    <row r="226" spans="1:45" x14ac:dyDescent="0.25">
      <c r="A226" t="s">
        <v>702</v>
      </c>
      <c r="B226" t="s">
        <v>548</v>
      </c>
      <c r="C226" s="1" t="s">
        <v>549</v>
      </c>
      <c r="D226" t="s">
        <v>550</v>
      </c>
      <c r="E226" t="str">
        <f>_xll.BDP($B226,"LEGAL_ENTITY_IDENTIFIER")</f>
        <v>529900UGYVU0KY2RLD83</v>
      </c>
      <c r="F226" t="s">
        <v>550</v>
      </c>
      <c r="G226" t="str">
        <f>custodian!D226</f>
        <v>03945R102</v>
      </c>
      <c r="H226" t="str">
        <f>_xll.BDP($B226,"ID_ISIN")</f>
        <v>US03945R1023</v>
      </c>
      <c r="I226" s="1" t="s">
        <v>549</v>
      </c>
      <c r="J226" t="str">
        <f>_xll.BDP($B226,"CNTRY_OF_DOMICILE")</f>
        <v>US</v>
      </c>
      <c r="K226" t="s">
        <v>98</v>
      </c>
      <c r="L226" t="s">
        <v>99</v>
      </c>
      <c r="O226" s="1"/>
      <c r="AQ226" s="1"/>
      <c r="AR226" s="1"/>
      <c r="AS226" s="1"/>
    </row>
    <row r="227" spans="1:45" x14ac:dyDescent="0.25">
      <c r="A227" t="s">
        <v>702</v>
      </c>
      <c r="B227" t="s">
        <v>703</v>
      </c>
      <c r="C227" s="1" t="s">
        <v>704</v>
      </c>
      <c r="D227" t="s">
        <v>705</v>
      </c>
      <c r="E227" t="str">
        <f>_xll.BDP($B227,"LEGAL_ENTITY_IDENTIFIER")</f>
        <v>254900XN7F4DG0CEKC02</v>
      </c>
      <c r="F227" t="s">
        <v>705</v>
      </c>
      <c r="G227" t="str">
        <f>custodian!D227</f>
        <v>G037AX101</v>
      </c>
      <c r="H227" t="str">
        <f>_xll.BDP($B227,"ID_ISIN")</f>
        <v>KYG037AX1015</v>
      </c>
      <c r="I227" s="1" t="s">
        <v>704</v>
      </c>
      <c r="J227" t="str">
        <f>_xll.BDP($B227,"CNTRY_OF_DOMICILE")</f>
        <v>US</v>
      </c>
      <c r="K227" t="s">
        <v>98</v>
      </c>
      <c r="L227" t="s">
        <v>99</v>
      </c>
      <c r="O227" s="1"/>
      <c r="AQ227" s="1"/>
      <c r="AR227" s="1"/>
      <c r="AS227" s="1"/>
    </row>
    <row r="228" spans="1:45" x14ac:dyDescent="0.25">
      <c r="A228" t="s">
        <v>702</v>
      </c>
      <c r="B228" t="s">
        <v>706</v>
      </c>
      <c r="C228" s="1" t="s">
        <v>707</v>
      </c>
      <c r="D228" t="s">
        <v>708</v>
      </c>
      <c r="E228" t="str">
        <f>_xll.BDP($B228,"LEGAL_ENTITY_IDENTIFIER")</f>
        <v>ZXTILKJKG63JELOEG630</v>
      </c>
      <c r="F228" t="s">
        <v>708</v>
      </c>
      <c r="G228" t="str">
        <f>custodian!D228</f>
        <v>023135106</v>
      </c>
      <c r="H228" t="str">
        <f>_xll.BDP($B228,"ID_ISIN")</f>
        <v>US0231351067</v>
      </c>
      <c r="I228" s="1" t="s">
        <v>707</v>
      </c>
      <c r="J228" t="str">
        <f>_xll.BDP($B228,"CNTRY_OF_DOMICILE")</f>
        <v>US</v>
      </c>
      <c r="K228" t="s">
        <v>98</v>
      </c>
      <c r="L228" t="s">
        <v>99</v>
      </c>
      <c r="O228" s="1"/>
      <c r="AQ228" s="1"/>
      <c r="AR228" s="1"/>
      <c r="AS228" s="1"/>
    </row>
    <row r="229" spans="1:45" x14ac:dyDescent="0.25">
      <c r="A229" t="s">
        <v>702</v>
      </c>
      <c r="B229" t="s">
        <v>709</v>
      </c>
      <c r="C229" s="1" t="s">
        <v>710</v>
      </c>
      <c r="D229" t="s">
        <v>711</v>
      </c>
      <c r="E229" t="str">
        <f>_xll.BDP($B229,"LEGAL_ENTITY_IDENTIFIER")</f>
        <v>984500AB2E0D9F7D9D76</v>
      </c>
      <c r="F229" t="s">
        <v>711</v>
      </c>
      <c r="G229" t="str">
        <f>custodian!D229</f>
        <v>051774107</v>
      </c>
      <c r="H229" t="str">
        <f>_xll.BDP($B229,"ID_ISIN")</f>
        <v>US0517741072</v>
      </c>
      <c r="I229" s="1" t="s">
        <v>710</v>
      </c>
      <c r="J229" t="str">
        <f>_xll.BDP($B229,"CNTRY_OF_DOMICILE")</f>
        <v>US</v>
      </c>
      <c r="K229" t="s">
        <v>98</v>
      </c>
      <c r="L229" t="s">
        <v>99</v>
      </c>
      <c r="O229" s="1"/>
      <c r="AQ229" s="1"/>
      <c r="AR229" s="1"/>
      <c r="AS229" s="1"/>
    </row>
    <row r="230" spans="1:45" x14ac:dyDescent="0.25">
      <c r="A230" t="s">
        <v>702</v>
      </c>
      <c r="B230" t="s">
        <v>557</v>
      </c>
      <c r="C230" s="1" t="s">
        <v>558</v>
      </c>
      <c r="D230" t="s">
        <v>559</v>
      </c>
      <c r="E230" t="str">
        <f>_xll.BDP($B230,"LEGAL_ENTITY_IDENTIFIER")</f>
        <v>529900PGHVI29YLZ6221</v>
      </c>
      <c r="F230" t="s">
        <v>559</v>
      </c>
      <c r="G230" t="str">
        <f>custodian!D230</f>
        <v>008073108</v>
      </c>
      <c r="H230" t="str">
        <f>_xll.BDP($B230,"ID_ISIN")</f>
        <v>US0080731088</v>
      </c>
      <c r="I230" s="1" t="s">
        <v>558</v>
      </c>
      <c r="J230" t="str">
        <f>_xll.BDP($B230,"CNTRY_OF_DOMICILE")</f>
        <v>US</v>
      </c>
      <c r="K230" t="s">
        <v>98</v>
      </c>
      <c r="L230" t="s">
        <v>99</v>
      </c>
      <c r="O230" s="1"/>
      <c r="AQ230" s="1"/>
      <c r="AR230" s="1"/>
      <c r="AS230" s="1"/>
    </row>
    <row r="231" spans="1:45" x14ac:dyDescent="0.25">
      <c r="A231" t="s">
        <v>702</v>
      </c>
      <c r="B231" t="s">
        <v>712</v>
      </c>
      <c r="C231" s="1" t="s">
        <v>713</v>
      </c>
      <c r="D231" t="s">
        <v>714</v>
      </c>
      <c r="E231" t="str">
        <f>_xll.BDP($B231,"LEGAL_ENTITY_IDENTIFIER")</f>
        <v>WRJR7GS4GTRECRRTVX92</v>
      </c>
      <c r="F231" t="s">
        <v>714</v>
      </c>
      <c r="G231" t="str">
        <f>custodian!D231</f>
        <v>149123101</v>
      </c>
      <c r="H231" t="str">
        <f>_xll.BDP($B231,"ID_ISIN")</f>
        <v>US1491231015</v>
      </c>
      <c r="I231" s="1" t="s">
        <v>713</v>
      </c>
      <c r="J231" t="str">
        <f>_xll.BDP($B231,"CNTRY_OF_DOMICILE")</f>
        <v>US</v>
      </c>
      <c r="K231" t="s">
        <v>98</v>
      </c>
      <c r="L231" t="s">
        <v>99</v>
      </c>
      <c r="O231" s="1"/>
      <c r="AQ231" s="1"/>
      <c r="AR231" s="1"/>
      <c r="AS231" s="1"/>
    </row>
    <row r="232" spans="1:45" x14ac:dyDescent="0.25">
      <c r="A232" t="s">
        <v>702</v>
      </c>
      <c r="B232" t="s">
        <v>715</v>
      </c>
      <c r="C232" s="1" t="s">
        <v>716</v>
      </c>
      <c r="D232" t="s">
        <v>717</v>
      </c>
      <c r="E232" t="str">
        <f>_xll.BDP($B232,"LEGAL_ENTITY_IDENTIFIER")</f>
        <v>549300JQTYZCLC43S226</v>
      </c>
      <c r="F232" t="s">
        <v>717</v>
      </c>
      <c r="G232" t="str">
        <f>custodian!D232</f>
        <v>192422103</v>
      </c>
      <c r="H232" t="str">
        <f>_xll.BDP($B232,"ID_ISIN")</f>
        <v>US1924221039</v>
      </c>
      <c r="I232" s="1" t="s">
        <v>716</v>
      </c>
      <c r="J232" t="str">
        <f>_xll.BDP($B232,"CNTRY_OF_DOMICILE")</f>
        <v>US</v>
      </c>
      <c r="K232" t="s">
        <v>98</v>
      </c>
      <c r="L232" t="s">
        <v>99</v>
      </c>
      <c r="O232" s="1"/>
      <c r="AQ232" s="1"/>
      <c r="AR232" s="1"/>
      <c r="AS232" s="1"/>
    </row>
    <row r="233" spans="1:45" x14ac:dyDescent="0.25">
      <c r="A233" t="s">
        <v>702</v>
      </c>
      <c r="B233" t="s">
        <v>718</v>
      </c>
      <c r="C233" s="1" t="s">
        <v>59</v>
      </c>
      <c r="D233" t="s">
        <v>719</v>
      </c>
      <c r="E233" t="str">
        <f>_xll.BDP($B233,"LEGAL_ENTITY_IDENTIFIER")</f>
        <v>PWFTNG3EI0Y73OXWDH08</v>
      </c>
      <c r="F233" t="s">
        <v>719</v>
      </c>
      <c r="G233" t="str">
        <f>custodian!D233</f>
        <v>244199105</v>
      </c>
      <c r="H233" t="str">
        <f>_xll.BDP($B233,"ID_ISIN")</f>
        <v>US2441991054</v>
      </c>
      <c r="I233" s="1" t="s">
        <v>59</v>
      </c>
      <c r="J233" t="str">
        <f>_xll.BDP($B233,"CNTRY_OF_DOMICILE")</f>
        <v>US</v>
      </c>
      <c r="K233" t="s">
        <v>98</v>
      </c>
      <c r="L233" t="s">
        <v>99</v>
      </c>
      <c r="O233" s="1"/>
      <c r="AQ233" s="1"/>
      <c r="AR233" s="1"/>
      <c r="AS233" s="1"/>
    </row>
    <row r="234" spans="1:45" x14ac:dyDescent="0.25">
      <c r="A234" t="s">
        <v>702</v>
      </c>
      <c r="B234" t="s">
        <v>77</v>
      </c>
      <c r="C234" s="1" t="s">
        <v>78</v>
      </c>
      <c r="D234" t="s">
        <v>79</v>
      </c>
      <c r="E234" t="str">
        <f>_xll.BDP($B234,"LEGAL_ENTITY_IDENTIFIER")</f>
        <v>549300R5MYM6VZF1RM44</v>
      </c>
      <c r="F234" t="s">
        <v>80</v>
      </c>
      <c r="G234" t="str">
        <f>custodian!D234</f>
        <v>31846V336</v>
      </c>
      <c r="H234" t="str">
        <f>_xll.BDP($B234,"ID_ISIN")</f>
        <v>US31846V3362</v>
      </c>
      <c r="I234" s="1" t="s">
        <v>78</v>
      </c>
      <c r="J234" t="str">
        <f>_xll.BDP($B234,"CNTRY_OF_DOMICILE")</f>
        <v>US</v>
      </c>
      <c r="K234" t="s">
        <v>81</v>
      </c>
      <c r="L234" t="s">
        <v>82</v>
      </c>
      <c r="O234" s="1"/>
      <c r="AQ234" s="1"/>
      <c r="AR234" s="1"/>
      <c r="AS234" s="1"/>
    </row>
    <row r="235" spans="1:45" x14ac:dyDescent="0.25">
      <c r="A235" t="s">
        <v>702</v>
      </c>
      <c r="B235" t="s">
        <v>720</v>
      </c>
      <c r="C235" s="1" t="s">
        <v>721</v>
      </c>
      <c r="D235" t="s">
        <v>722</v>
      </c>
      <c r="E235" t="str">
        <f>_xll.BDP($B235,"LEGAL_ENTITY_IDENTIFIER")</f>
        <v>5299003M2P4CIK0RF205</v>
      </c>
      <c r="F235" t="s">
        <v>722</v>
      </c>
      <c r="G235" t="str">
        <f>custodian!D235</f>
        <v>379577208</v>
      </c>
      <c r="H235" t="str">
        <f>_xll.BDP($B235,"ID_ISIN")</f>
        <v>US3795772082</v>
      </c>
      <c r="I235" s="1" t="s">
        <v>721</v>
      </c>
      <c r="J235" t="str">
        <f>_xll.BDP($B235,"CNTRY_OF_DOMICILE")</f>
        <v>US</v>
      </c>
      <c r="K235" t="s">
        <v>98</v>
      </c>
      <c r="L235" t="s">
        <v>99</v>
      </c>
      <c r="O235" s="1"/>
      <c r="AQ235" s="1"/>
      <c r="AR235" s="1"/>
      <c r="AS235" s="1"/>
    </row>
    <row r="236" spans="1:45" x14ac:dyDescent="0.25">
      <c r="A236" t="s">
        <v>702</v>
      </c>
      <c r="B236" t="s">
        <v>283</v>
      </c>
      <c r="C236" s="1" t="s">
        <v>284</v>
      </c>
      <c r="D236" t="s">
        <v>285</v>
      </c>
      <c r="E236" t="str">
        <f>_xll.BDP($B236,"LEGAL_ENTITY_IDENTIFIER")</f>
        <v>5493006MHB84DD0ZWV18</v>
      </c>
      <c r="F236" t="s">
        <v>285</v>
      </c>
      <c r="G236" t="str">
        <f>custodian!D236</f>
        <v>02079K305</v>
      </c>
      <c r="H236" t="str">
        <f>_xll.BDP($B236,"ID_ISIN")</f>
        <v>US02079K3059</v>
      </c>
      <c r="I236" s="1" t="s">
        <v>284</v>
      </c>
      <c r="J236" t="str">
        <f>_xll.BDP($B236,"CNTRY_OF_DOMICILE")</f>
        <v>US</v>
      </c>
      <c r="K236" t="s">
        <v>98</v>
      </c>
      <c r="L236" t="s">
        <v>99</v>
      </c>
      <c r="O236" s="1"/>
      <c r="AQ236" s="1"/>
      <c r="AR236" s="1"/>
      <c r="AS236" s="1"/>
    </row>
    <row r="237" spans="1:45" x14ac:dyDescent="0.25">
      <c r="A237" t="s">
        <v>702</v>
      </c>
      <c r="B237" t="s">
        <v>298</v>
      </c>
      <c r="C237" s="1" t="s">
        <v>299</v>
      </c>
      <c r="D237" t="s">
        <v>300</v>
      </c>
      <c r="E237" t="str">
        <f>_xll.BDP($B237,"LEGAL_ENTITY_IDENTIFIER")</f>
        <v>54930052SRG011710797</v>
      </c>
      <c r="F237" t="s">
        <v>300</v>
      </c>
      <c r="G237" t="str">
        <f>custodian!D237</f>
        <v>46120E602</v>
      </c>
      <c r="H237" t="str">
        <f>_xll.BDP($B237,"ID_ISIN")</f>
        <v>US46120E6023</v>
      </c>
      <c r="I237" s="1" t="s">
        <v>299</v>
      </c>
      <c r="J237" t="str">
        <f>_xll.BDP($B237,"CNTRY_OF_DOMICILE")</f>
        <v>US</v>
      </c>
      <c r="K237" t="s">
        <v>98</v>
      </c>
      <c r="L237" t="s">
        <v>99</v>
      </c>
      <c r="O237" s="1"/>
      <c r="AQ237" s="1"/>
      <c r="AR237" s="1"/>
      <c r="AS237" s="1"/>
    </row>
    <row r="238" spans="1:45" x14ac:dyDescent="0.25">
      <c r="A238" t="s">
        <v>702</v>
      </c>
      <c r="B238" t="s">
        <v>723</v>
      </c>
      <c r="C238" s="1" t="s">
        <v>724</v>
      </c>
      <c r="D238" t="s">
        <v>725</v>
      </c>
      <c r="E238" t="str">
        <f>_xll.BDP($B238,"LEGAL_ENTITY_IDENTIFIER")</f>
        <v>5493007CT6ATBZ2L6826</v>
      </c>
      <c r="F238" t="s">
        <v>725</v>
      </c>
      <c r="G238" t="str">
        <f>custodian!D238</f>
        <v>477839104</v>
      </c>
      <c r="H238" t="str">
        <f>_xll.BDP($B238,"ID_ISIN")</f>
        <v>US4778391049</v>
      </c>
      <c r="I238" s="1" t="s">
        <v>724</v>
      </c>
      <c r="J238" t="str">
        <f>_xll.BDP($B238,"CNTRY_OF_DOMICILE")</f>
        <v>US</v>
      </c>
      <c r="K238" t="s">
        <v>98</v>
      </c>
      <c r="L238" t="s">
        <v>99</v>
      </c>
      <c r="O238" s="1"/>
      <c r="AQ238" s="1"/>
      <c r="AR238" s="1"/>
      <c r="AS238" s="1"/>
    </row>
    <row r="239" spans="1:45" x14ac:dyDescent="0.25">
      <c r="A239" t="s">
        <v>702</v>
      </c>
      <c r="B239" t="s">
        <v>726</v>
      </c>
      <c r="C239" s="1" t="s">
        <v>727</v>
      </c>
      <c r="D239" t="s">
        <v>728</v>
      </c>
      <c r="E239" t="str">
        <f>_xll.BDP($B239,"LEGAL_ENTITY_IDENTIFIER")</f>
        <v>#N/A N/A</v>
      </c>
      <c r="F239" t="s">
        <v>728</v>
      </c>
      <c r="G239" t="str">
        <f>custodian!D239</f>
        <v>60741F104</v>
      </c>
      <c r="H239" t="str">
        <f>_xll.BDP($B239,"ID_ISIN")</f>
        <v>US60741F1049</v>
      </c>
      <c r="I239" s="1" t="s">
        <v>727</v>
      </c>
      <c r="J239" t="str">
        <f>_xll.BDP($B239,"CNTRY_OF_DOMICILE")</f>
        <v>IL</v>
      </c>
      <c r="K239" t="s">
        <v>98</v>
      </c>
      <c r="L239" t="s">
        <v>99</v>
      </c>
      <c r="O239" s="1"/>
      <c r="AQ239" s="1"/>
      <c r="AR239" s="1"/>
      <c r="AS239" s="1"/>
    </row>
    <row r="240" spans="1:45" x14ac:dyDescent="0.25">
      <c r="A240" t="s">
        <v>702</v>
      </c>
      <c r="B240" t="s">
        <v>729</v>
      </c>
      <c r="C240" s="1" t="s">
        <v>730</v>
      </c>
      <c r="D240" t="s">
        <v>731</v>
      </c>
      <c r="E240" t="str">
        <f>_xll.BDP($B240,"LEGAL_ENTITY_IDENTIFIER")</f>
        <v>#N/A N/A</v>
      </c>
      <c r="F240" t="s">
        <v>731</v>
      </c>
      <c r="G240" t="str">
        <f>custodian!D240</f>
        <v>67000B104</v>
      </c>
      <c r="H240" t="str">
        <f>_xll.BDP($B240,"ID_ISIN")</f>
        <v>CA67000B1040</v>
      </c>
      <c r="I240" s="1" t="s">
        <v>730</v>
      </c>
      <c r="J240" t="str">
        <f>_xll.BDP($B240,"CNTRY_OF_DOMICILE")</f>
        <v>US</v>
      </c>
      <c r="K240" t="s">
        <v>98</v>
      </c>
      <c r="L240" t="s">
        <v>99</v>
      </c>
      <c r="O240" s="1"/>
      <c r="AQ240" s="1"/>
      <c r="AR240" s="1"/>
      <c r="AS240" s="1"/>
    </row>
    <row r="241" spans="1:48" x14ac:dyDescent="0.25">
      <c r="A241" t="s">
        <v>702</v>
      </c>
      <c r="B241" t="s">
        <v>322</v>
      </c>
      <c r="C241" s="1" t="s">
        <v>323</v>
      </c>
      <c r="D241" t="s">
        <v>324</v>
      </c>
      <c r="E241" t="str">
        <f>_xll.BDP($B241,"LEGAL_ENTITY_IDENTIFIER")</f>
        <v>549300S4KLFTLO7GSQ80</v>
      </c>
      <c r="F241" t="s">
        <v>324</v>
      </c>
      <c r="G241" t="str">
        <f>custodian!D241</f>
        <v>67066G104</v>
      </c>
      <c r="H241" t="str">
        <f>_xll.BDP($B241,"ID_ISIN")</f>
        <v>US67066G1040</v>
      </c>
      <c r="I241" s="1" t="s">
        <v>323</v>
      </c>
      <c r="J241" t="str">
        <f>_xll.BDP($B241,"CNTRY_OF_DOMICILE")</f>
        <v>US</v>
      </c>
      <c r="K241" t="s">
        <v>98</v>
      </c>
      <c r="L241" t="s">
        <v>99</v>
      </c>
      <c r="O241" s="1"/>
      <c r="AQ241" s="1"/>
      <c r="AR241" s="1"/>
      <c r="AS241" s="1"/>
    </row>
    <row r="242" spans="1:48" x14ac:dyDescent="0.25">
      <c r="A242" t="s">
        <v>702</v>
      </c>
      <c r="B242" t="s">
        <v>732</v>
      </c>
      <c r="C242" s="1" t="s">
        <v>733</v>
      </c>
      <c r="D242" t="s">
        <v>734</v>
      </c>
      <c r="E242" t="str">
        <f>_xll.BDP($B242,"LEGAL_ENTITY_IDENTIFIER")</f>
        <v>5493000YP61KBELDHT53</v>
      </c>
      <c r="F242" t="s">
        <v>734</v>
      </c>
      <c r="G242" t="str">
        <f>custodian!D242</f>
        <v>90364P105</v>
      </c>
      <c r="H242" t="str">
        <f>_xll.BDP($B242,"ID_ISIN")</f>
        <v>US90364P1057</v>
      </c>
      <c r="I242" s="1" t="s">
        <v>733</v>
      </c>
      <c r="J242" t="str">
        <f>_xll.BDP($B242,"CNTRY_OF_DOMICILE")</f>
        <v>US</v>
      </c>
      <c r="K242" t="s">
        <v>98</v>
      </c>
      <c r="L242" t="s">
        <v>99</v>
      </c>
      <c r="O242" s="1"/>
      <c r="AQ242" s="1"/>
      <c r="AR242" s="1"/>
      <c r="AS242" s="1"/>
    </row>
    <row r="243" spans="1:48" x14ac:dyDescent="0.25">
      <c r="A243" t="s">
        <v>702</v>
      </c>
      <c r="B243" t="s">
        <v>735</v>
      </c>
      <c r="C243" s="1" t="s">
        <v>736</v>
      </c>
      <c r="D243" t="s">
        <v>737</v>
      </c>
      <c r="E243" t="str">
        <f>_xll.BDP($B243,"LEGAL_ENTITY_IDENTIFIER")</f>
        <v>#N/A N/A</v>
      </c>
      <c r="F243" t="s">
        <v>737</v>
      </c>
      <c r="G243" t="str">
        <f>custodian!D243</f>
        <v>74276L105</v>
      </c>
      <c r="H243" t="str">
        <f>_xll.BDP($B243,"ID_ISIN")</f>
        <v>US74276L1052</v>
      </c>
      <c r="I243" s="1" t="s">
        <v>736</v>
      </c>
      <c r="J243" t="str">
        <f>_xll.BDP($B243,"CNTRY_OF_DOMICILE")</f>
        <v>US</v>
      </c>
      <c r="K243" t="s">
        <v>98</v>
      </c>
      <c r="L243" t="s">
        <v>99</v>
      </c>
      <c r="O243" s="1"/>
      <c r="AQ243" s="1"/>
      <c r="AR243" s="1"/>
      <c r="AS243" s="1"/>
    </row>
    <row r="244" spans="1:48" x14ac:dyDescent="0.25">
      <c r="A244" t="s">
        <v>702</v>
      </c>
      <c r="B244" t="s">
        <v>738</v>
      </c>
      <c r="C244" s="1" t="s">
        <v>739</v>
      </c>
      <c r="D244" t="s">
        <v>740</v>
      </c>
      <c r="E244" t="str">
        <f>_xll.BDP($B244,"LEGAL_ENTITY_IDENTIFIER")</f>
        <v>54930050SSMU8SKDJ030</v>
      </c>
      <c r="F244" t="s">
        <v>740</v>
      </c>
      <c r="G244" t="str">
        <f>custodian!D244</f>
        <v>69370C100</v>
      </c>
      <c r="H244" t="str">
        <f>_xll.BDP($B244,"ID_ISIN")</f>
        <v>US69370C1009</v>
      </c>
      <c r="I244" s="1" t="s">
        <v>739</v>
      </c>
      <c r="J244" t="str">
        <f>_xll.BDP($B244,"CNTRY_OF_DOMICILE")</f>
        <v>US</v>
      </c>
      <c r="K244" t="s">
        <v>98</v>
      </c>
      <c r="L244" t="s">
        <v>99</v>
      </c>
      <c r="O244" s="1"/>
      <c r="AQ244" s="1"/>
      <c r="AR244" s="1"/>
      <c r="AS244" s="1"/>
    </row>
    <row r="245" spans="1:48" x14ac:dyDescent="0.25">
      <c r="A245" t="s">
        <v>702</v>
      </c>
      <c r="B245" t="s">
        <v>741</v>
      </c>
      <c r="C245" s="1" t="s">
        <v>742</v>
      </c>
      <c r="D245" t="s">
        <v>743</v>
      </c>
      <c r="E245" t="str">
        <f>_xll.BDP($B245,"LEGAL_ENTITY_IDENTIFIER")</f>
        <v>#N/A N/A</v>
      </c>
      <c r="F245" t="s">
        <v>743</v>
      </c>
      <c r="G245" t="str">
        <f>custodian!D245</f>
        <v>765504105</v>
      </c>
      <c r="H245" t="str">
        <f>_xll.BDP($B245,"ID_ISIN")</f>
        <v>US7655041058</v>
      </c>
      <c r="I245" s="1" t="s">
        <v>742</v>
      </c>
      <c r="J245" t="str">
        <f>_xll.BDP($B245,"CNTRY_OF_DOMICILE")</f>
        <v>US</v>
      </c>
      <c r="K245" t="s">
        <v>98</v>
      </c>
      <c r="L245" t="s">
        <v>99</v>
      </c>
      <c r="O245" s="1"/>
      <c r="AQ245" s="1"/>
      <c r="AR245" s="1"/>
      <c r="AS245" s="1"/>
    </row>
    <row r="246" spans="1:48" x14ac:dyDescent="0.25">
      <c r="A246" t="s">
        <v>702</v>
      </c>
      <c r="B246" t="s">
        <v>744</v>
      </c>
      <c r="C246" s="1" t="s">
        <v>745</v>
      </c>
      <c r="D246" t="s">
        <v>746</v>
      </c>
      <c r="E246" t="str">
        <f>_xll.BDP($B246,"LEGAL_ENTITY_IDENTIFIER")</f>
        <v>#N/A N/A</v>
      </c>
      <c r="F246" t="s">
        <v>746</v>
      </c>
      <c r="G246" t="str">
        <f>custodian!D246</f>
        <v>81758H106</v>
      </c>
      <c r="H246" t="str">
        <f>_xll.BDP($B246,"ID_ISIN")</f>
        <v>US81758H1068</v>
      </c>
      <c r="I246" s="1" t="s">
        <v>745</v>
      </c>
      <c r="J246" t="str">
        <f>_xll.BDP($B246,"CNTRY_OF_DOMICILE")</f>
        <v>US</v>
      </c>
      <c r="K246" t="s">
        <v>98</v>
      </c>
      <c r="L246" t="s">
        <v>99</v>
      </c>
      <c r="O246" s="1"/>
      <c r="AQ246" s="1"/>
      <c r="AR246" s="1"/>
      <c r="AS246" s="1"/>
    </row>
    <row r="247" spans="1:48" x14ac:dyDescent="0.25">
      <c r="A247" t="s">
        <v>702</v>
      </c>
      <c r="B247" t="s">
        <v>747</v>
      </c>
      <c r="C247" s="1" t="s">
        <v>748</v>
      </c>
      <c r="D247" t="s">
        <v>749</v>
      </c>
      <c r="E247" t="str">
        <f>_xll.BDP($B247,"LEGAL_ENTITY_IDENTIFIER")</f>
        <v>5493002F0SC4JTBU5137</v>
      </c>
      <c r="F247" t="s">
        <v>749</v>
      </c>
      <c r="G247" t="str">
        <f>custodian!D247</f>
        <v>863667101</v>
      </c>
      <c r="H247" t="str">
        <f>_xll.BDP($B247,"ID_ISIN")</f>
        <v>US8636671013</v>
      </c>
      <c r="I247" s="1" t="s">
        <v>748</v>
      </c>
      <c r="J247" t="str">
        <f>_xll.BDP($B247,"CNTRY_OF_DOMICILE")</f>
        <v>US</v>
      </c>
      <c r="K247" t="s">
        <v>98</v>
      </c>
      <c r="L247" t="s">
        <v>99</v>
      </c>
      <c r="O247" s="1"/>
      <c r="AQ247" s="1"/>
      <c r="AR247" s="1"/>
      <c r="AS247" s="1"/>
    </row>
    <row r="248" spans="1:48" x14ac:dyDescent="0.25">
      <c r="A248" t="s">
        <v>702</v>
      </c>
      <c r="B248" t="s">
        <v>750</v>
      </c>
      <c r="C248" s="1" t="s">
        <v>751</v>
      </c>
      <c r="D248" t="s">
        <v>752</v>
      </c>
      <c r="E248" t="str">
        <f>_xll.BDP($B248,"LEGAL_ENTITY_IDENTIFIER")</f>
        <v>529900UN9QT55OG9I235</v>
      </c>
      <c r="F248" t="s">
        <v>752</v>
      </c>
      <c r="G248" t="str">
        <f>custodian!D248</f>
        <v>87151X101</v>
      </c>
      <c r="H248" t="str">
        <f>_xll.BDP($B248,"ID_ISIN")</f>
        <v>US87151X1019</v>
      </c>
      <c r="I248" s="1" t="s">
        <v>751</v>
      </c>
      <c r="J248" t="str">
        <f>_xll.BDP($B248,"CNTRY_OF_DOMICILE")</f>
        <v>US</v>
      </c>
      <c r="K248" t="s">
        <v>98</v>
      </c>
      <c r="L248" t="s">
        <v>99</v>
      </c>
      <c r="O248" s="1"/>
      <c r="AQ248" s="1"/>
      <c r="AR248" s="1"/>
      <c r="AS248" s="1"/>
    </row>
    <row r="249" spans="1:48" x14ac:dyDescent="0.25">
      <c r="A249" t="s">
        <v>702</v>
      </c>
      <c r="B249" t="s">
        <v>753</v>
      </c>
      <c r="C249" s="1" t="s">
        <v>754</v>
      </c>
      <c r="D249" t="s">
        <v>755</v>
      </c>
      <c r="E249" t="str">
        <f>_xll.BDP($B249,"LEGAL_ENTITY_IDENTIFIER")</f>
        <v>54930043XZGB27CTOV49</v>
      </c>
      <c r="F249" t="s">
        <v>755</v>
      </c>
      <c r="G249" t="str">
        <f>custodian!D249</f>
        <v>88160R101</v>
      </c>
      <c r="H249" t="str">
        <f>_xll.BDP($B249,"ID_ISIN")</f>
        <v>US88160R1014</v>
      </c>
      <c r="I249" s="1" t="s">
        <v>754</v>
      </c>
      <c r="J249" t="str">
        <f>_xll.BDP($B249,"CNTRY_OF_DOMICILE")</f>
        <v>US</v>
      </c>
      <c r="K249" t="s">
        <v>98</v>
      </c>
      <c r="L249" t="s">
        <v>99</v>
      </c>
      <c r="O249" s="1"/>
      <c r="AQ249" s="1"/>
      <c r="AR249" s="1"/>
      <c r="AS249" s="1"/>
    </row>
    <row r="250" spans="1:48" x14ac:dyDescent="0.25">
      <c r="A250" t="s">
        <v>702</v>
      </c>
      <c r="B250" t="s">
        <v>756</v>
      </c>
      <c r="C250" s="1" t="s">
        <v>757</v>
      </c>
      <c r="D250" t="s">
        <v>758</v>
      </c>
      <c r="E250" t="str">
        <f>_xll.BDP($B250,"LEGAL_ENTITY_IDENTIFIER")</f>
        <v>2P2YLDVPES3BXQ1FRB91</v>
      </c>
      <c r="F250" t="s">
        <v>758</v>
      </c>
      <c r="G250" t="str">
        <f>custodian!D250</f>
        <v>98956P102</v>
      </c>
      <c r="H250" t="str">
        <f>_xll.BDP($B250,"ID_ISIN")</f>
        <v>US98956P1021</v>
      </c>
      <c r="I250" s="1" t="s">
        <v>757</v>
      </c>
      <c r="J250" t="str">
        <f>_xll.BDP($B250,"CNTRY_OF_DOMICILE")</f>
        <v>US</v>
      </c>
      <c r="K250" t="s">
        <v>98</v>
      </c>
      <c r="L250" t="s">
        <v>99</v>
      </c>
      <c r="O250" s="1"/>
      <c r="AQ250" s="1"/>
      <c r="AR250" s="1"/>
      <c r="AS250" s="1"/>
    </row>
    <row r="251" spans="1:48" x14ac:dyDescent="0.25">
      <c r="A251" t="s">
        <v>702</v>
      </c>
      <c r="C251" s="1" t="s">
        <v>52</v>
      </c>
      <c r="E251" s="1"/>
      <c r="G251" t="str">
        <f>custodian!D251</f>
        <v>Cash&amp;Other</v>
      </c>
      <c r="H251" s="1"/>
      <c r="I251" s="1"/>
      <c r="O251" s="1"/>
      <c r="AQ251" s="1"/>
      <c r="AR251" s="1"/>
      <c r="AS251" s="1"/>
    </row>
    <row r="252" spans="1:48" x14ac:dyDescent="0.25">
      <c r="A252" t="s">
        <v>759</v>
      </c>
      <c r="B252" t="s">
        <v>760</v>
      </c>
      <c r="C252" s="1" t="s">
        <v>761</v>
      </c>
      <c r="D252" t="s">
        <v>56</v>
      </c>
      <c r="E252" s="1" t="s">
        <v>56</v>
      </c>
      <c r="F252" t="s">
        <v>762</v>
      </c>
      <c r="G252" t="str">
        <f>custodian!D252</f>
        <v>464287184-TRS-12/01/27-L-CANT</v>
      </c>
      <c r="H252" s="1"/>
      <c r="I252" s="1" t="s">
        <v>761</v>
      </c>
      <c r="J252" t="s">
        <v>58</v>
      </c>
      <c r="K252" t="s">
        <v>59</v>
      </c>
      <c r="L252" t="s">
        <v>60</v>
      </c>
      <c r="M252" t="s">
        <v>61</v>
      </c>
      <c r="N252" t="s">
        <v>62</v>
      </c>
      <c r="O252" s="1" t="s">
        <v>63</v>
      </c>
      <c r="V252" t="s">
        <v>64</v>
      </c>
      <c r="Y252" t="s">
        <v>65</v>
      </c>
      <c r="Z252" t="s">
        <v>66</v>
      </c>
      <c r="AA252" t="s">
        <v>763</v>
      </c>
      <c r="AB252" t="s">
        <v>68</v>
      </c>
      <c r="AD252" t="s">
        <v>763</v>
      </c>
      <c r="AE252" t="s">
        <v>764</v>
      </c>
      <c r="AF252" t="s">
        <v>70</v>
      </c>
      <c r="AG252" t="s">
        <v>765</v>
      </c>
      <c r="AH252" t="s">
        <v>72</v>
      </c>
      <c r="AI252" t="s">
        <v>73</v>
      </c>
      <c r="AK252" t="s">
        <v>763</v>
      </c>
      <c r="AL252" t="s">
        <v>68</v>
      </c>
      <c r="AM252" t="s">
        <v>74</v>
      </c>
      <c r="AN252" t="s">
        <v>75</v>
      </c>
      <c r="AO252" t="str">
        <f>_xll.BDP($B252,"ISSUER")</f>
        <v>iShares China Large-Cap ETF</v>
      </c>
      <c r="AP252" t="str">
        <f>_xll.BDP($B252,"NAME")</f>
        <v>ISHARES CHINA LARGE-CAP ETF</v>
      </c>
      <c r="AQ252" s="1" t="s">
        <v>766</v>
      </c>
      <c r="AR252" t="str">
        <f>_xll.BDP($B252,"ID_ISIN")</f>
        <v>US4642871846</v>
      </c>
      <c r="AS252" t="str">
        <f>_xll.BDP($B252,"TICKER")</f>
        <v>FXI</v>
      </c>
    </row>
    <row r="253" spans="1:48" x14ac:dyDescent="0.25">
      <c r="A253" t="s">
        <v>759</v>
      </c>
      <c r="B253" t="s">
        <v>77</v>
      </c>
      <c r="C253" s="1" t="s">
        <v>78</v>
      </c>
      <c r="D253" t="s">
        <v>79</v>
      </c>
      <c r="E253" t="str">
        <f>_xll.BDP($B253,"LEGAL_ENTITY_IDENTIFIER")</f>
        <v>549300R5MYM6VZF1RM44</v>
      </c>
      <c r="F253" t="s">
        <v>80</v>
      </c>
      <c r="G253" t="str">
        <f>custodian!D253</f>
        <v>31846V336</v>
      </c>
      <c r="H253" t="str">
        <f>_xll.BDP($B253,"ID_ISIN")</f>
        <v>US31846V3362</v>
      </c>
      <c r="I253" s="1" t="s">
        <v>78</v>
      </c>
      <c r="J253" t="str">
        <f>_xll.BDP($B253,"CNTRY_OF_DOMICILE")</f>
        <v>US</v>
      </c>
      <c r="K253" t="s">
        <v>81</v>
      </c>
      <c r="L253" t="s">
        <v>82</v>
      </c>
      <c r="O253" s="1"/>
      <c r="AQ253" s="1"/>
      <c r="AR253" s="1"/>
      <c r="AS253" s="1"/>
    </row>
    <row r="254" spans="1:48" x14ac:dyDescent="0.25">
      <c r="A254" t="s">
        <v>759</v>
      </c>
      <c r="C254" s="1" t="s">
        <v>52</v>
      </c>
      <c r="E254" s="1"/>
      <c r="G254" t="str">
        <f>custodian!D254</f>
        <v>Cash&amp;Other</v>
      </c>
      <c r="H254" s="1"/>
      <c r="I254" s="1"/>
      <c r="O254" s="1"/>
      <c r="AQ254" s="1"/>
      <c r="AR254" s="1"/>
      <c r="AS254" s="1"/>
    </row>
    <row r="255" spans="1:48" x14ac:dyDescent="0.25">
      <c r="A255" t="s">
        <v>767</v>
      </c>
      <c r="B255" t="s">
        <v>768</v>
      </c>
      <c r="C255" s="1" t="s">
        <v>769</v>
      </c>
      <c r="D255" t="s">
        <v>770</v>
      </c>
      <c r="E255" t="str">
        <f>_xll.BDP($B255,"LEGAL_ENTITY_IDENTIFIER")</f>
        <v>254900HROIFWPRGM1V77</v>
      </c>
      <c r="F255" t="s">
        <v>771</v>
      </c>
      <c r="G255" t="str">
        <f>custodian!D255</f>
        <v>912797RF6</v>
      </c>
      <c r="H255" t="str">
        <f>_xll.BDP($B255,"ID_ISIN")</f>
        <v>US912797RF64</v>
      </c>
      <c r="I255" s="1"/>
      <c r="J255" t="str">
        <f>_xll.BDP($B255,"CNTRY_OF_DOMICILE")</f>
        <v>US</v>
      </c>
      <c r="K255" t="s">
        <v>626</v>
      </c>
      <c r="L255" t="s">
        <v>627</v>
      </c>
      <c r="O255" s="1"/>
      <c r="AQ255" s="1"/>
      <c r="AR255" s="1"/>
      <c r="AS255" s="1"/>
      <c r="AT255" t="str">
        <f>TEXT(_xll.BDP($B255,"MATURITY"),"yyyy-mm-dd")</f>
        <v>2026-07-09</v>
      </c>
      <c r="AU255" t="str">
        <f>_xll.BDP($B255,"CPN_TYP")</f>
        <v>ZERO</v>
      </c>
      <c r="AV255">
        <f>_xll.BDP($B255,"CPN")</f>
        <v>0</v>
      </c>
    </row>
    <row r="256" spans="1:48" x14ac:dyDescent="0.25">
      <c r="A256" t="s">
        <v>767</v>
      </c>
      <c r="B256" t="s">
        <v>772</v>
      </c>
      <c r="C256" s="1" t="s">
        <v>773</v>
      </c>
      <c r="D256" t="s">
        <v>774</v>
      </c>
      <c r="E256" t="str">
        <f>_xll.BDP($B256,"LEGAL_ENTITY_IDENTIFIER")</f>
        <v>254900HROIFWPRGM1V77</v>
      </c>
      <c r="F256" t="s">
        <v>775</v>
      </c>
      <c r="G256" t="str">
        <f>custodian!D256</f>
        <v>912797RG4</v>
      </c>
      <c r="H256" t="str">
        <f>_xll.BDP($B256,"ID_ISIN")</f>
        <v>US912797RG48</v>
      </c>
      <c r="I256" s="1"/>
      <c r="J256" t="str">
        <f>_xll.BDP($B256,"CNTRY_OF_DOMICILE")</f>
        <v>US</v>
      </c>
      <c r="K256" t="s">
        <v>626</v>
      </c>
      <c r="L256" t="s">
        <v>627</v>
      </c>
      <c r="O256" s="1"/>
      <c r="AQ256" s="1"/>
      <c r="AR256" s="1"/>
      <c r="AS256" s="1"/>
      <c r="AT256" t="str">
        <f>TEXT(_xll.BDP($B256,"MATURITY"),"yyyy-mm-dd")</f>
        <v>2026-08-06</v>
      </c>
      <c r="AU256" t="str">
        <f>_xll.BDP($B256,"CPN_TYP")</f>
        <v>ZERO</v>
      </c>
      <c r="AV256">
        <f>_xll.BDP($B256,"CPN")</f>
        <v>0</v>
      </c>
    </row>
    <row r="257" spans="1:48" x14ac:dyDescent="0.25">
      <c r="A257" t="s">
        <v>767</v>
      </c>
      <c r="B257" t="s">
        <v>622</v>
      </c>
      <c r="C257" s="1" t="s">
        <v>623</v>
      </c>
      <c r="D257" t="s">
        <v>624</v>
      </c>
      <c r="E257" t="str">
        <f>_xll.BDP($B257,"LEGAL_ENTITY_IDENTIFIER")</f>
        <v>254900HROIFWPRGM1V77</v>
      </c>
      <c r="F257" t="s">
        <v>625</v>
      </c>
      <c r="G257" t="str">
        <f>custodian!D257</f>
        <v>912797RS8</v>
      </c>
      <c r="H257" t="str">
        <f>_xll.BDP($B257,"ID_ISIN")</f>
        <v>US912797RS85</v>
      </c>
      <c r="I257" s="1"/>
      <c r="J257" t="str">
        <f>_xll.BDP($B257,"CNTRY_OF_DOMICILE")</f>
        <v>US</v>
      </c>
      <c r="K257" t="s">
        <v>626</v>
      </c>
      <c r="L257" t="s">
        <v>627</v>
      </c>
      <c r="O257" s="1"/>
      <c r="AQ257" s="1"/>
      <c r="AR257" s="1"/>
      <c r="AS257" s="1"/>
      <c r="AT257" t="str">
        <f>TEXT(_xll.BDP($B257,"MATURITY"),"yyyy-mm-dd")</f>
        <v>2026-09-03</v>
      </c>
      <c r="AU257" t="str">
        <f>_xll.BDP($B257,"CPN_TYP")</f>
        <v>ZERO</v>
      </c>
      <c r="AV257">
        <f>_xll.BDP($B257,"CPN")</f>
        <v>0</v>
      </c>
    </row>
    <row r="258" spans="1:48" x14ac:dyDescent="0.25">
      <c r="A258" t="s">
        <v>767</v>
      </c>
      <c r="B258" t="s">
        <v>776</v>
      </c>
      <c r="C258" s="1" t="s">
        <v>777</v>
      </c>
      <c r="D258" t="s">
        <v>778</v>
      </c>
      <c r="E258" t="str">
        <f>_xll.BDP($B258,"LEGAL_ENTITY_IDENTIFIER")</f>
        <v>254900HROIFWPRGM1V77</v>
      </c>
      <c r="F258" t="s">
        <v>779</v>
      </c>
      <c r="G258" t="str">
        <f>custodian!D258</f>
        <v>912797TE7</v>
      </c>
      <c r="H258" t="str">
        <f>_xll.BDP($B258,"ID_ISIN")</f>
        <v>US912797TE71</v>
      </c>
      <c r="I258" s="1"/>
      <c r="J258" t="str">
        <f>_xll.BDP($B258,"CNTRY_OF_DOMICILE")</f>
        <v>US</v>
      </c>
      <c r="K258" t="s">
        <v>626</v>
      </c>
      <c r="L258" t="s">
        <v>627</v>
      </c>
      <c r="O258" s="1"/>
      <c r="AQ258" s="1"/>
      <c r="AR258" s="1"/>
      <c r="AS258" s="1"/>
      <c r="AT258" t="str">
        <f>TEXT(_xll.BDP($B258,"MATURITY"),"yyyy-mm-dd")</f>
        <v>2026-06-25</v>
      </c>
      <c r="AU258" t="str">
        <f>_xll.BDP($B258,"CPN_TYP")</f>
        <v>ZERO</v>
      </c>
      <c r="AV258">
        <f>_xll.BDP($B258,"CPN")</f>
        <v>0</v>
      </c>
    </row>
    <row r="259" spans="1:48" x14ac:dyDescent="0.25">
      <c r="A259" t="s">
        <v>767</v>
      </c>
      <c r="B259" t="s">
        <v>780</v>
      </c>
      <c r="C259" s="1" t="s">
        <v>781</v>
      </c>
      <c r="D259" t="s">
        <v>770</v>
      </c>
      <c r="E259" t="str">
        <f>_xll.BDP($B259,"LEGAL_ENTITY_IDENTIFIER")</f>
        <v>254900HROIFWPRGM1V77</v>
      </c>
      <c r="F259" t="s">
        <v>782</v>
      </c>
      <c r="G259" t="str">
        <f>custodian!D259</f>
        <v>912797TF4</v>
      </c>
      <c r="H259" t="str">
        <f>_xll.BDP($B259,"ID_ISIN")</f>
        <v>US912797TF47</v>
      </c>
      <c r="I259" s="1"/>
      <c r="J259" t="str">
        <f>_xll.BDP($B259,"CNTRY_OF_DOMICILE")</f>
        <v>US</v>
      </c>
      <c r="K259" t="s">
        <v>626</v>
      </c>
      <c r="L259" t="s">
        <v>627</v>
      </c>
      <c r="O259" s="1"/>
      <c r="AQ259" s="1"/>
      <c r="AR259" s="1"/>
      <c r="AS259" s="1"/>
      <c r="AT259" t="str">
        <f>TEXT(_xll.BDP($B259,"MATURITY"),"yyyy-mm-dd")</f>
        <v>2026-07-02</v>
      </c>
      <c r="AU259" t="str">
        <f>_xll.BDP($B259,"CPN_TYP")</f>
        <v>ZERO</v>
      </c>
      <c r="AV259">
        <f>_xll.BDP($B259,"CPN")</f>
        <v>0</v>
      </c>
    </row>
    <row r="260" spans="1:48" x14ac:dyDescent="0.25">
      <c r="A260" t="s">
        <v>767</v>
      </c>
      <c r="B260" t="s">
        <v>783</v>
      </c>
      <c r="C260" s="1" t="s">
        <v>784</v>
      </c>
      <c r="D260" t="s">
        <v>770</v>
      </c>
      <c r="E260" t="str">
        <f>_xll.BDP($B260,"LEGAL_ENTITY_IDENTIFIER")</f>
        <v>254900HROIFWPRGM1V77</v>
      </c>
      <c r="F260" t="s">
        <v>785</v>
      </c>
      <c r="G260" t="str">
        <f>custodian!D260</f>
        <v>912797TN7</v>
      </c>
      <c r="H260" t="str">
        <f>_xll.BDP($B260,"ID_ISIN")</f>
        <v>US912797TN70</v>
      </c>
      <c r="I260" s="1"/>
      <c r="J260" t="str">
        <f>_xll.BDP($B260,"CNTRY_OF_DOMICILE")</f>
        <v>US</v>
      </c>
      <c r="K260" t="s">
        <v>626</v>
      </c>
      <c r="L260" t="s">
        <v>627</v>
      </c>
      <c r="O260" s="1"/>
      <c r="AQ260" s="1"/>
      <c r="AR260" s="1"/>
      <c r="AS260" s="1"/>
      <c r="AT260" t="str">
        <f>TEXT(_xll.BDP($B260,"MATURITY"),"yyyy-mm-dd")</f>
        <v>2026-07-16</v>
      </c>
      <c r="AU260" t="str">
        <f>_xll.BDP($B260,"CPN_TYP")</f>
        <v>ZERO</v>
      </c>
      <c r="AV260">
        <f>_xll.BDP($B260,"CPN")</f>
        <v>0</v>
      </c>
    </row>
    <row r="261" spans="1:48" x14ac:dyDescent="0.25">
      <c r="A261" t="s">
        <v>767</v>
      </c>
      <c r="B261" t="s">
        <v>786</v>
      </c>
      <c r="C261" s="1" t="s">
        <v>787</v>
      </c>
      <c r="D261" t="s">
        <v>770</v>
      </c>
      <c r="E261" t="str">
        <f>_xll.BDP($B261,"LEGAL_ENTITY_IDENTIFIER")</f>
        <v>254900HROIFWPRGM1V77</v>
      </c>
      <c r="F261" t="s">
        <v>788</v>
      </c>
      <c r="G261" t="str">
        <f>custodian!D261</f>
        <v>912797TP2</v>
      </c>
      <c r="H261" t="str">
        <f>_xll.BDP($B261,"ID_ISIN")</f>
        <v>US912797TP29</v>
      </c>
      <c r="I261" s="1"/>
      <c r="J261" t="str">
        <f>_xll.BDP($B261,"CNTRY_OF_DOMICILE")</f>
        <v>US</v>
      </c>
      <c r="K261" t="s">
        <v>626</v>
      </c>
      <c r="L261" t="s">
        <v>627</v>
      </c>
      <c r="O261" s="1"/>
      <c r="AQ261" s="1"/>
      <c r="AR261" s="1"/>
      <c r="AS261" s="1"/>
      <c r="AT261" t="str">
        <f>TEXT(_xll.BDP($B261,"MATURITY"),"yyyy-mm-dd")</f>
        <v>2026-07-23</v>
      </c>
      <c r="AU261" t="str">
        <f>_xll.BDP($B261,"CPN_TYP")</f>
        <v>ZERO</v>
      </c>
      <c r="AV261">
        <f>_xll.BDP($B261,"CPN")</f>
        <v>0</v>
      </c>
    </row>
    <row r="262" spans="1:48" x14ac:dyDescent="0.25">
      <c r="A262" t="s">
        <v>767</v>
      </c>
      <c r="B262" t="s">
        <v>789</v>
      </c>
      <c r="C262" s="1" t="s">
        <v>790</v>
      </c>
      <c r="D262" t="s">
        <v>770</v>
      </c>
      <c r="E262" t="str">
        <f>_xll.BDP($B262,"LEGAL_ENTITY_IDENTIFIER")</f>
        <v>254900HROIFWPRGM1V77</v>
      </c>
      <c r="F262" t="s">
        <v>791</v>
      </c>
      <c r="G262" t="str">
        <f>custodian!D262</f>
        <v>912797TQ0</v>
      </c>
      <c r="H262" t="str">
        <f>_xll.BDP($B262,"ID_ISIN")</f>
        <v>US912797TQ02</v>
      </c>
      <c r="I262" s="1"/>
      <c r="J262" t="str">
        <f>_xll.BDP($B262,"CNTRY_OF_DOMICILE")</f>
        <v>US</v>
      </c>
      <c r="K262" t="s">
        <v>626</v>
      </c>
      <c r="L262" t="s">
        <v>627</v>
      </c>
      <c r="O262" s="1"/>
      <c r="AQ262" s="1"/>
      <c r="AR262" s="1"/>
      <c r="AS262" s="1"/>
      <c r="AT262" t="str">
        <f>TEXT(_xll.BDP($B262,"MATURITY"),"yyyy-mm-dd")</f>
        <v>2026-07-30</v>
      </c>
      <c r="AU262" t="str">
        <f>_xll.BDP($B262,"CPN_TYP")</f>
        <v>ZERO</v>
      </c>
      <c r="AV262">
        <f>_xll.BDP($B262,"CPN")</f>
        <v>0</v>
      </c>
    </row>
    <row r="263" spans="1:48" x14ac:dyDescent="0.25">
      <c r="A263" t="s">
        <v>767</v>
      </c>
      <c r="B263" t="s">
        <v>792</v>
      </c>
      <c r="C263" s="1" t="s">
        <v>793</v>
      </c>
      <c r="D263" t="s">
        <v>774</v>
      </c>
      <c r="E263" t="str">
        <f>_xll.BDP($B263,"LEGAL_ENTITY_IDENTIFIER")</f>
        <v>254900HROIFWPRGM1V77</v>
      </c>
      <c r="F263" t="s">
        <v>794</v>
      </c>
      <c r="G263" t="str">
        <f>custodian!D263</f>
        <v>912797TW7</v>
      </c>
      <c r="H263" t="str">
        <f>_xll.BDP($B263,"ID_ISIN")</f>
        <v>US912797TW79</v>
      </c>
      <c r="I263" s="1"/>
      <c r="J263" t="str">
        <f>_xll.BDP($B263,"CNTRY_OF_DOMICILE")</f>
        <v>US</v>
      </c>
      <c r="K263" t="s">
        <v>626</v>
      </c>
      <c r="L263" t="s">
        <v>627</v>
      </c>
      <c r="O263" s="1"/>
      <c r="AQ263" s="1"/>
      <c r="AR263" s="1"/>
      <c r="AS263" s="1"/>
      <c r="AT263" t="str">
        <f>TEXT(_xll.BDP($B263,"MATURITY"),"yyyy-mm-dd")</f>
        <v>2026-08-13</v>
      </c>
      <c r="AU263" t="str">
        <f>_xll.BDP($B263,"CPN_TYP")</f>
        <v>ZERO</v>
      </c>
      <c r="AV263">
        <f>_xll.BDP($B263,"CPN")</f>
        <v>0</v>
      </c>
    </row>
    <row r="264" spans="1:48" x14ac:dyDescent="0.25">
      <c r="A264" t="s">
        <v>767</v>
      </c>
      <c r="B264" t="s">
        <v>795</v>
      </c>
      <c r="C264" s="1" t="s">
        <v>796</v>
      </c>
      <c r="D264" t="s">
        <v>774</v>
      </c>
      <c r="E264" t="str">
        <f>_xll.BDP($B264,"LEGAL_ENTITY_IDENTIFIER")</f>
        <v>254900HROIFWPRGM1V77</v>
      </c>
      <c r="F264" t="s">
        <v>797</v>
      </c>
      <c r="G264" t="str">
        <f>custodian!D264</f>
        <v>912797TX5</v>
      </c>
      <c r="H264" t="str">
        <f>_xll.BDP($B264,"ID_ISIN")</f>
        <v>US912797TX52</v>
      </c>
      <c r="I264" s="1"/>
      <c r="J264" t="str">
        <f>_xll.BDP($B264,"CNTRY_OF_DOMICILE")</f>
        <v>US</v>
      </c>
      <c r="K264" t="s">
        <v>626</v>
      </c>
      <c r="L264" t="s">
        <v>627</v>
      </c>
      <c r="O264" s="1"/>
      <c r="AQ264" s="1"/>
      <c r="AR264" s="1"/>
      <c r="AS264" s="1"/>
      <c r="AT264" t="str">
        <f>TEXT(_xll.BDP($B264,"MATURITY"),"yyyy-mm-dd")</f>
        <v>2026-08-20</v>
      </c>
      <c r="AU264" t="str">
        <f>_xll.BDP($B264,"CPN_TYP")</f>
        <v>ZERO</v>
      </c>
      <c r="AV264">
        <f>_xll.BDP($B264,"CPN")</f>
        <v>0</v>
      </c>
    </row>
    <row r="265" spans="1:48" x14ac:dyDescent="0.25">
      <c r="A265" t="s">
        <v>767</v>
      </c>
      <c r="B265" t="s">
        <v>798</v>
      </c>
      <c r="C265" s="1" t="s">
        <v>799</v>
      </c>
      <c r="D265" t="s">
        <v>774</v>
      </c>
      <c r="E265" t="str">
        <f>_xll.BDP($B265,"LEGAL_ENTITY_IDENTIFIER")</f>
        <v>254900HROIFWPRGM1V77</v>
      </c>
      <c r="F265" t="s">
        <v>800</v>
      </c>
      <c r="G265" t="str">
        <f>custodian!D265</f>
        <v>912797TY3</v>
      </c>
      <c r="H265" t="str">
        <f>_xll.BDP($B265,"ID_ISIN")</f>
        <v>US912797TY36</v>
      </c>
      <c r="I265" s="1"/>
      <c r="J265" t="str">
        <f>_xll.BDP($B265,"CNTRY_OF_DOMICILE")</f>
        <v>US</v>
      </c>
      <c r="K265" t="s">
        <v>626</v>
      </c>
      <c r="L265" t="s">
        <v>627</v>
      </c>
      <c r="O265" s="1"/>
      <c r="AQ265" s="1"/>
      <c r="AR265" s="1"/>
      <c r="AS265" s="1"/>
      <c r="AT265" t="str">
        <f>TEXT(_xll.BDP($B265,"MATURITY"),"yyyy-mm-dd")</f>
        <v>2026-08-27</v>
      </c>
      <c r="AU265" t="str">
        <f>_xll.BDP($B265,"CPN_TYP")</f>
        <v>ZERO</v>
      </c>
      <c r="AV265">
        <f>_xll.BDP($B265,"CPN")</f>
        <v>0</v>
      </c>
    </row>
    <row r="266" spans="1:48" x14ac:dyDescent="0.25">
      <c r="A266" t="s">
        <v>767</v>
      </c>
      <c r="B266" t="s">
        <v>801</v>
      </c>
      <c r="C266" s="1" t="s">
        <v>802</v>
      </c>
      <c r="D266" t="s">
        <v>778</v>
      </c>
      <c r="E266" t="str">
        <f>_xll.BDP($B266,"LEGAL_ENTITY_IDENTIFIER")</f>
        <v>254900HROIFWPRGM1V77</v>
      </c>
      <c r="F266" t="s">
        <v>803</v>
      </c>
      <c r="G266" t="str">
        <f>custodian!D266</f>
        <v>912797UC9</v>
      </c>
      <c r="H266" t="str">
        <f>_xll.BDP($B266,"ID_ISIN")</f>
        <v>US912797UC96</v>
      </c>
      <c r="I266" s="1"/>
      <c r="J266" t="str">
        <f>_xll.BDP($B266,"CNTRY_OF_DOMICILE")</f>
        <v>US</v>
      </c>
      <c r="K266" t="s">
        <v>626</v>
      </c>
      <c r="L266" t="s">
        <v>627</v>
      </c>
      <c r="O266" s="1"/>
      <c r="AQ266" s="1"/>
      <c r="AR266" s="1"/>
      <c r="AS266" s="1"/>
      <c r="AT266" t="str">
        <f>TEXT(_xll.BDP($B266,"MATURITY"),"yyyy-mm-dd")</f>
        <v>2026-06-30</v>
      </c>
      <c r="AU266" t="str">
        <f>_xll.BDP($B266,"CPN_TYP")</f>
        <v>ZERO</v>
      </c>
      <c r="AV266">
        <f>_xll.BDP($B266,"CPN")</f>
        <v>0</v>
      </c>
    </row>
    <row r="267" spans="1:48" x14ac:dyDescent="0.25">
      <c r="A267" t="s">
        <v>767</v>
      </c>
      <c r="B267" t="s">
        <v>804</v>
      </c>
      <c r="C267" s="1" t="s">
        <v>805</v>
      </c>
      <c r="D267" t="s">
        <v>770</v>
      </c>
      <c r="E267" t="str">
        <f>_xll.BDP($B267,"LEGAL_ENTITY_IDENTIFIER")</f>
        <v>254900HROIFWPRGM1V77</v>
      </c>
      <c r="F267" t="s">
        <v>806</v>
      </c>
      <c r="G267" t="str">
        <f>custodian!D267</f>
        <v>912797UN5</v>
      </c>
      <c r="H267" t="str">
        <f>_xll.BDP($B267,"ID_ISIN")</f>
        <v>US912797UN51</v>
      </c>
      <c r="I267" s="1"/>
      <c r="J267" t="str">
        <f>_xll.BDP($B267,"CNTRY_OF_DOMICILE")</f>
        <v>US</v>
      </c>
      <c r="K267" t="s">
        <v>626</v>
      </c>
      <c r="L267" t="s">
        <v>627</v>
      </c>
      <c r="O267" s="1"/>
      <c r="AQ267" s="1"/>
      <c r="AR267" s="1"/>
      <c r="AS267" s="1"/>
      <c r="AT267" t="str">
        <f>TEXT(_xll.BDP($B267,"MATURITY"),"yyyy-mm-dd")</f>
        <v>2026-07-07</v>
      </c>
      <c r="AU267" t="str">
        <f>_xll.BDP($B267,"CPN_TYP")</f>
        <v>ZERO</v>
      </c>
      <c r="AV267">
        <f>_xll.BDP($B267,"CPN")</f>
        <v>0</v>
      </c>
    </row>
    <row r="268" spans="1:48" x14ac:dyDescent="0.25">
      <c r="A268" t="s">
        <v>767</v>
      </c>
      <c r="B268" t="s">
        <v>807</v>
      </c>
      <c r="C268" s="1" t="s">
        <v>808</v>
      </c>
      <c r="D268" t="s">
        <v>770</v>
      </c>
      <c r="E268" t="str">
        <f>_xll.BDP($B268,"LEGAL_ENTITY_IDENTIFIER")</f>
        <v>254900HROIFWPRGM1V77</v>
      </c>
      <c r="F268" t="s">
        <v>809</v>
      </c>
      <c r="G268" t="str">
        <f>custodian!D268</f>
        <v>912797UP0</v>
      </c>
      <c r="H268" t="str">
        <f>_xll.BDP($B268,"ID_ISIN")</f>
        <v>US912797UP00</v>
      </c>
      <c r="I268" s="1"/>
      <c r="J268" t="str">
        <f>_xll.BDP($B268,"CNTRY_OF_DOMICILE")</f>
        <v>US</v>
      </c>
      <c r="K268" t="s">
        <v>626</v>
      </c>
      <c r="L268" t="s">
        <v>627</v>
      </c>
      <c r="O268" s="1"/>
      <c r="AQ268" s="1"/>
      <c r="AR268" s="1"/>
      <c r="AS268" s="1"/>
      <c r="AT268" t="str">
        <f>TEXT(_xll.BDP($B268,"MATURITY"),"yyyy-mm-dd")</f>
        <v>2026-07-14</v>
      </c>
      <c r="AU268" t="str">
        <f>_xll.BDP($B268,"CPN_TYP")</f>
        <v>ZERO</v>
      </c>
      <c r="AV268">
        <f>_xll.BDP($B268,"CPN")</f>
        <v>0</v>
      </c>
    </row>
    <row r="269" spans="1:48" x14ac:dyDescent="0.25">
      <c r="A269" t="s">
        <v>767</v>
      </c>
      <c r="B269" t="s">
        <v>810</v>
      </c>
      <c r="C269" s="1" t="s">
        <v>811</v>
      </c>
      <c r="D269" t="s">
        <v>770</v>
      </c>
      <c r="E269" t="str">
        <f>_xll.BDP($B269,"LEGAL_ENTITY_IDENTIFIER")</f>
        <v>254900HROIFWPRGM1V77</v>
      </c>
      <c r="F269" t="s">
        <v>812</v>
      </c>
      <c r="G269" t="str">
        <f>custodian!D269</f>
        <v>912797UQ8</v>
      </c>
      <c r="H269" t="str">
        <f>_xll.BDP($B269,"ID_ISIN")</f>
        <v>US912797UQ82</v>
      </c>
      <c r="I269" s="1"/>
      <c r="J269" t="str">
        <f>_xll.BDP($B269,"CNTRY_OF_DOMICILE")</f>
        <v>US</v>
      </c>
      <c r="K269" t="s">
        <v>626</v>
      </c>
      <c r="L269" t="s">
        <v>627</v>
      </c>
      <c r="O269" s="1"/>
      <c r="AQ269" s="1"/>
      <c r="AR269" s="1"/>
      <c r="AS269" s="1"/>
      <c r="AT269" t="str">
        <f>TEXT(_xll.BDP($B269,"MATURITY"),"yyyy-mm-dd")</f>
        <v>2026-07-21</v>
      </c>
      <c r="AU269" t="str">
        <f>_xll.BDP($B269,"CPN_TYP")</f>
        <v>ZERO</v>
      </c>
      <c r="AV269">
        <f>_xll.BDP($B269,"CPN")</f>
        <v>0</v>
      </c>
    </row>
    <row r="270" spans="1:48" x14ac:dyDescent="0.25">
      <c r="A270" t="s">
        <v>767</v>
      </c>
      <c r="B270" t="s">
        <v>813</v>
      </c>
      <c r="C270" s="1" t="s">
        <v>814</v>
      </c>
      <c r="D270" t="s">
        <v>770</v>
      </c>
      <c r="E270" t="str">
        <f>_xll.BDP($B270,"LEGAL_ENTITY_IDENTIFIER")</f>
        <v>254900HROIFWPRGM1V77</v>
      </c>
      <c r="F270" t="s">
        <v>815</v>
      </c>
      <c r="G270" t="str">
        <f>custodian!D270</f>
        <v>912797UR6</v>
      </c>
      <c r="H270" t="str">
        <f>_xll.BDP($B270,"ID_ISIN")</f>
        <v>US912797UR65</v>
      </c>
      <c r="I270" s="1"/>
      <c r="J270" t="str">
        <f>_xll.BDP($B270,"CNTRY_OF_DOMICILE")</f>
        <v>US</v>
      </c>
      <c r="K270" t="s">
        <v>626</v>
      </c>
      <c r="L270" t="s">
        <v>627</v>
      </c>
      <c r="O270" s="1"/>
      <c r="AQ270" s="1"/>
      <c r="AR270" s="1"/>
      <c r="AS270" s="1"/>
      <c r="AT270" t="str">
        <f>TEXT(_xll.BDP($B270,"MATURITY"),"yyyy-mm-dd")</f>
        <v>2026-07-28</v>
      </c>
      <c r="AU270" t="str">
        <f>_xll.BDP($B270,"CPN_TYP")</f>
        <v>ZERO</v>
      </c>
      <c r="AV270">
        <f>_xll.BDP($B270,"CPN")</f>
        <v>0</v>
      </c>
    </row>
    <row r="271" spans="1:48" x14ac:dyDescent="0.25">
      <c r="A271" t="s">
        <v>767</v>
      </c>
      <c r="B271" t="s">
        <v>816</v>
      </c>
      <c r="C271" s="1" t="s">
        <v>817</v>
      </c>
      <c r="D271" t="s">
        <v>774</v>
      </c>
      <c r="E271" t="str">
        <f>_xll.BDP($B271,"LEGAL_ENTITY_IDENTIFIER")</f>
        <v>254900HROIFWPRGM1V77</v>
      </c>
      <c r="F271" t="s">
        <v>818</v>
      </c>
      <c r="G271" t="str">
        <f>custodian!D271</f>
        <v>912797US4</v>
      </c>
      <c r="H271" t="str">
        <f>_xll.BDP($B271,"ID_ISIN")</f>
        <v>US912797US49</v>
      </c>
      <c r="I271" s="1"/>
      <c r="J271" t="str">
        <f>_xll.BDP($B271,"CNTRY_OF_DOMICILE")</f>
        <v>US</v>
      </c>
      <c r="K271" t="s">
        <v>626</v>
      </c>
      <c r="L271" t="s">
        <v>627</v>
      </c>
      <c r="O271" s="1"/>
      <c r="AQ271" s="1"/>
      <c r="AR271" s="1"/>
      <c r="AS271" s="1"/>
      <c r="AT271" t="str">
        <f>TEXT(_xll.BDP($B271,"MATURITY"),"yyyy-mm-dd")</f>
        <v>2026-08-04</v>
      </c>
      <c r="AU271" t="str">
        <f>_xll.BDP($B271,"CPN_TYP")</f>
        <v>ZERO</v>
      </c>
      <c r="AV271">
        <f>_xll.BDP($B271,"CPN")</f>
        <v>0</v>
      </c>
    </row>
    <row r="272" spans="1:48" x14ac:dyDescent="0.25">
      <c r="A272" t="s">
        <v>767</v>
      </c>
      <c r="B272" t="s">
        <v>819</v>
      </c>
      <c r="C272" s="1" t="s">
        <v>820</v>
      </c>
      <c r="D272" t="s">
        <v>774</v>
      </c>
      <c r="E272" t="str">
        <f>_xll.BDP($B272,"LEGAL_ENTITY_IDENTIFIER")</f>
        <v>254900HROIFWPRGM1V77</v>
      </c>
      <c r="F272" t="s">
        <v>821</v>
      </c>
      <c r="G272" t="str">
        <f>custodian!D272</f>
        <v>912797UT2</v>
      </c>
      <c r="H272" t="str">
        <f>_xll.BDP($B272,"ID_ISIN")</f>
        <v>US912797UT22</v>
      </c>
      <c r="I272" s="1"/>
      <c r="J272" t="str">
        <f>_xll.BDP($B272,"CNTRY_OF_DOMICILE")</f>
        <v>US</v>
      </c>
      <c r="K272" t="s">
        <v>626</v>
      </c>
      <c r="L272" t="s">
        <v>627</v>
      </c>
      <c r="O272" s="1"/>
      <c r="AQ272" s="1"/>
      <c r="AR272" s="1"/>
      <c r="AS272" s="1"/>
      <c r="AT272" t="str">
        <f>TEXT(_xll.BDP($B272,"MATURITY"),"yyyy-mm-dd")</f>
        <v>2026-08-11</v>
      </c>
      <c r="AU272" t="str">
        <f>_xll.BDP($B272,"CPN_TYP")</f>
        <v>ZERO</v>
      </c>
      <c r="AV272">
        <f>_xll.BDP($B272,"CPN")</f>
        <v>0</v>
      </c>
    </row>
    <row r="273" spans="1:48" x14ac:dyDescent="0.25">
      <c r="A273" t="s">
        <v>767</v>
      </c>
      <c r="B273" t="s">
        <v>822</v>
      </c>
      <c r="C273" s="1" t="s">
        <v>823</v>
      </c>
      <c r="D273" t="s">
        <v>774</v>
      </c>
      <c r="E273" t="str">
        <f>_xll.BDP($B273,"LEGAL_ENTITY_IDENTIFIER")</f>
        <v>254900HROIFWPRGM1V77</v>
      </c>
      <c r="F273" t="s">
        <v>824</v>
      </c>
      <c r="G273" t="str">
        <f>custodian!D273</f>
        <v>912797UU9</v>
      </c>
      <c r="H273" t="str">
        <f>_xll.BDP($B273,"ID_ISIN")</f>
        <v>US912797UU94</v>
      </c>
      <c r="I273" s="1"/>
      <c r="J273" t="str">
        <f>_xll.BDP($B273,"CNTRY_OF_DOMICILE")</f>
        <v>US</v>
      </c>
      <c r="K273" t="s">
        <v>626</v>
      </c>
      <c r="L273" t="s">
        <v>627</v>
      </c>
      <c r="O273" s="1"/>
      <c r="AQ273" s="1"/>
      <c r="AR273" s="1"/>
      <c r="AS273" s="1"/>
      <c r="AT273" t="str">
        <f>TEXT(_xll.BDP($B273,"MATURITY"),"yyyy-mm-dd")</f>
        <v>2026-08-18</v>
      </c>
      <c r="AU273" t="str">
        <f>_xll.BDP($B273,"CPN_TYP")</f>
        <v>ZERO</v>
      </c>
      <c r="AV273">
        <f>_xll.BDP($B273,"CPN")</f>
        <v>0</v>
      </c>
    </row>
    <row r="274" spans="1:48" x14ac:dyDescent="0.25">
      <c r="A274" t="s">
        <v>767</v>
      </c>
      <c r="B274" t="s">
        <v>825</v>
      </c>
      <c r="C274" s="1" t="s">
        <v>826</v>
      </c>
      <c r="D274" t="s">
        <v>774</v>
      </c>
      <c r="E274" t="str">
        <f>_xll.BDP($B274,"LEGAL_ENTITY_IDENTIFIER")</f>
        <v>254900HROIFWPRGM1V77</v>
      </c>
      <c r="F274" t="s">
        <v>827</v>
      </c>
      <c r="G274" t="str">
        <f>custodian!D274</f>
        <v>912797UV7</v>
      </c>
      <c r="H274" t="str">
        <f>_xll.BDP($B274,"ID_ISIN")</f>
        <v>US912797UV77</v>
      </c>
      <c r="I274" s="1"/>
      <c r="J274" t="str">
        <f>_xll.BDP($B274,"CNTRY_OF_DOMICILE")</f>
        <v>US</v>
      </c>
      <c r="K274" t="s">
        <v>626</v>
      </c>
      <c r="L274" t="s">
        <v>627</v>
      </c>
      <c r="O274" s="1"/>
      <c r="AQ274" s="1"/>
      <c r="AR274" s="1"/>
      <c r="AS274" s="1"/>
      <c r="AT274" t="str">
        <f>TEXT(_xll.BDP($B274,"MATURITY"),"yyyy-mm-dd")</f>
        <v>2026-08-25</v>
      </c>
      <c r="AU274" t="str">
        <f>_xll.BDP($B274,"CPN_TYP")</f>
        <v>ZERO</v>
      </c>
      <c r="AV274">
        <f>_xll.BDP($B274,"CPN")</f>
        <v>0</v>
      </c>
    </row>
    <row r="275" spans="1:48" x14ac:dyDescent="0.25">
      <c r="A275" t="s">
        <v>767</v>
      </c>
      <c r="B275" t="s">
        <v>680</v>
      </c>
      <c r="C275" s="1" t="s">
        <v>681</v>
      </c>
      <c r="D275" t="s">
        <v>624</v>
      </c>
      <c r="E275" t="str">
        <f>_xll.BDP($B275,"LEGAL_ENTITY_IDENTIFIER")</f>
        <v>254900HROIFWPRGM1V77</v>
      </c>
      <c r="F275" t="s">
        <v>682</v>
      </c>
      <c r="G275" t="str">
        <f>custodian!D275</f>
        <v>912797UW5</v>
      </c>
      <c r="H275" t="str">
        <f>_xll.BDP($B275,"ID_ISIN")</f>
        <v>US912797UW50</v>
      </c>
      <c r="I275" s="1"/>
      <c r="J275" t="str">
        <f>_xll.BDP($B275,"CNTRY_OF_DOMICILE")</f>
        <v>US</v>
      </c>
      <c r="K275" t="s">
        <v>626</v>
      </c>
      <c r="L275" t="s">
        <v>627</v>
      </c>
      <c r="O275" s="1"/>
      <c r="AQ275" s="1"/>
      <c r="AR275" s="1"/>
      <c r="AS275" s="1"/>
      <c r="AT275" t="str">
        <f>TEXT(_xll.BDP($B275,"MATURITY"),"yyyy-mm-dd")</f>
        <v>2026-09-01</v>
      </c>
      <c r="AU275" t="str">
        <f>_xll.BDP($B275,"CPN_TYP")</f>
        <v>ZERO</v>
      </c>
      <c r="AV275">
        <f>_xll.BDP($B275,"CPN")</f>
        <v>0</v>
      </c>
    </row>
    <row r="276" spans="1:48" x14ac:dyDescent="0.25">
      <c r="A276" t="s">
        <v>767</v>
      </c>
      <c r="B276" t="s">
        <v>693</v>
      </c>
      <c r="C276" s="1" t="s">
        <v>694</v>
      </c>
      <c r="D276" t="s">
        <v>624</v>
      </c>
      <c r="E276" t="str">
        <f>_xll.BDP($B276,"LEGAL_ENTITY_IDENTIFIER")</f>
        <v>254900HROIFWPRGM1V77</v>
      </c>
      <c r="F276" t="s">
        <v>695</v>
      </c>
      <c r="G276" t="str">
        <f>custodian!D276</f>
        <v>912797VB0</v>
      </c>
      <c r="H276" t="str">
        <f>_xll.BDP($B276,"ID_ISIN")</f>
        <v>US912797VB05</v>
      </c>
      <c r="I276" s="1"/>
      <c r="J276" t="str">
        <f>_xll.BDP($B276,"CNTRY_OF_DOMICILE")</f>
        <v>US</v>
      </c>
      <c r="K276" t="s">
        <v>626</v>
      </c>
      <c r="L276" t="s">
        <v>627</v>
      </c>
      <c r="O276" s="1"/>
      <c r="AQ276" s="1"/>
      <c r="AR276" s="1"/>
      <c r="AS276" s="1"/>
      <c r="AT276" t="str">
        <f>TEXT(_xll.BDP($B276,"MATURITY"),"yyyy-mm-dd")</f>
        <v>2026-09-08</v>
      </c>
      <c r="AU276" t="str">
        <f>_xll.BDP($B276,"CPN_TYP")</f>
        <v>ZERO</v>
      </c>
      <c r="AV276">
        <f>_xll.BDP($B276,"CPN")</f>
        <v>0</v>
      </c>
    </row>
    <row r="277" spans="1:48" x14ac:dyDescent="0.25">
      <c r="A277" t="s">
        <v>767</v>
      </c>
      <c r="B277" t="s">
        <v>77</v>
      </c>
      <c r="C277" s="1" t="s">
        <v>78</v>
      </c>
      <c r="D277" t="s">
        <v>79</v>
      </c>
      <c r="E277" t="str">
        <f>_xll.BDP($B277,"LEGAL_ENTITY_IDENTIFIER")</f>
        <v>549300R5MYM6VZF1RM44</v>
      </c>
      <c r="F277" t="s">
        <v>80</v>
      </c>
      <c r="G277" t="str">
        <f>custodian!D277</f>
        <v>31846V336</v>
      </c>
      <c r="H277" t="str">
        <f>_xll.BDP($B277,"ID_ISIN")</f>
        <v>US31846V3362</v>
      </c>
      <c r="I277" s="1" t="s">
        <v>78</v>
      </c>
      <c r="J277" t="str">
        <f>_xll.BDP($B277,"CNTRY_OF_DOMICILE")</f>
        <v>US</v>
      </c>
      <c r="K277" t="s">
        <v>81</v>
      </c>
      <c r="L277" t="s">
        <v>82</v>
      </c>
      <c r="O277" s="1"/>
      <c r="AQ277" s="1"/>
      <c r="AR277" s="1"/>
      <c r="AS277" s="1"/>
    </row>
    <row r="278" spans="1:48" x14ac:dyDescent="0.25">
      <c r="A278" t="s">
        <v>767</v>
      </c>
      <c r="C278" s="1" t="s">
        <v>52</v>
      </c>
      <c r="E278" s="1"/>
      <c r="G278" t="str">
        <f>custodian!D278</f>
        <v>Cash&amp;Other</v>
      </c>
      <c r="H278" s="1"/>
      <c r="I278" s="1"/>
      <c r="O278" s="1"/>
      <c r="AQ278" s="1"/>
      <c r="AR278" s="1"/>
      <c r="AS278" s="1"/>
    </row>
    <row r="279" spans="1:48" x14ac:dyDescent="0.25">
      <c r="A279" t="s">
        <v>828</v>
      </c>
      <c r="B279" t="s">
        <v>829</v>
      </c>
      <c r="C279" s="1" t="s">
        <v>830</v>
      </c>
      <c r="D279" t="s">
        <v>831</v>
      </c>
      <c r="E279" t="str">
        <f>_xll.BDP($B279,"LEGAL_ENTITY_IDENTIFIER")</f>
        <v>JCT8P4Y190IH4I1NX328</v>
      </c>
      <c r="F279" t="s">
        <v>832</v>
      </c>
      <c r="G279" t="str">
        <f>custodian!D279</f>
        <v>00081TAK4</v>
      </c>
      <c r="H279" t="str">
        <f>_xll.BDP($B279,"ID_ISIN")</f>
        <v>US00081TAK43</v>
      </c>
      <c r="I279" s="1"/>
      <c r="J279" t="str">
        <f>_xll.BDP($B279,"CNTRY_OF_DOMICILE")</f>
        <v>US</v>
      </c>
      <c r="K279" t="s">
        <v>626</v>
      </c>
      <c r="L279" t="s">
        <v>99</v>
      </c>
      <c r="O279" s="1"/>
      <c r="AQ279" s="1"/>
      <c r="AR279" s="1"/>
      <c r="AS279" s="1"/>
      <c r="AT279" t="str">
        <f>TEXT(_xll.BDP($B279,"MATURITY"),"yyyy-mm-dd")</f>
        <v>2029-03-15</v>
      </c>
      <c r="AU279" t="str">
        <f>_xll.BDP($B279,"CPN_TYP")</f>
        <v>FIXED</v>
      </c>
      <c r="AV279">
        <f>_xll.BDP($B279,"CPN")</f>
        <v>4.25</v>
      </c>
    </row>
    <row r="280" spans="1:48" x14ac:dyDescent="0.25">
      <c r="A280" t="s">
        <v>828</v>
      </c>
      <c r="B280" t="s">
        <v>833</v>
      </c>
      <c r="C280" s="1" t="s">
        <v>834</v>
      </c>
      <c r="D280" t="s">
        <v>835</v>
      </c>
      <c r="E280" t="str">
        <f>_xll.BDP($B280,"LEGAL_ENTITY_IDENTIFIER")</f>
        <v>5493009JEEDYLVRA0J13</v>
      </c>
      <c r="F280" t="s">
        <v>836</v>
      </c>
      <c r="G280" t="str">
        <f>custodian!D280</f>
        <v>00109LAA1</v>
      </c>
      <c r="H280" t="str">
        <f>_xll.BDP($B280,"ID_ISIN")</f>
        <v>US00109LAA17</v>
      </c>
      <c r="I280" s="1"/>
      <c r="J280" t="str">
        <f>_xll.BDP($B280,"CNTRY_OF_DOMICILE")</f>
        <v>US</v>
      </c>
      <c r="K280" t="s">
        <v>626</v>
      </c>
      <c r="L280" t="s">
        <v>99</v>
      </c>
      <c r="O280" s="1"/>
      <c r="AQ280" s="1"/>
      <c r="AR280" s="1"/>
      <c r="AS280" s="1"/>
      <c r="AT280" t="str">
        <f>TEXT(_xll.BDP($B280,"MATURITY"),"yyyy-mm-dd")</f>
        <v>2029-08-01</v>
      </c>
      <c r="AU280" t="str">
        <f>_xll.BDP($B280,"CPN_TYP")</f>
        <v>FIXED</v>
      </c>
      <c r="AV280">
        <f>_xll.BDP($B280,"CPN")</f>
        <v>4.125</v>
      </c>
    </row>
    <row r="281" spans="1:48" x14ac:dyDescent="0.25">
      <c r="A281" t="s">
        <v>828</v>
      </c>
      <c r="B281" t="s">
        <v>837</v>
      </c>
      <c r="C281" s="1" t="s">
        <v>838</v>
      </c>
      <c r="D281" t="s">
        <v>839</v>
      </c>
      <c r="E281" t="str">
        <f>_xll.BDP($B281,"LEGAL_ENTITY_IDENTIFIER")</f>
        <v>#N/A N/A</v>
      </c>
      <c r="F281" t="s">
        <v>840</v>
      </c>
      <c r="G281" t="str">
        <f>custodian!D281</f>
        <v>00253XAB7</v>
      </c>
      <c r="H281" t="str">
        <f>_xll.BDP($B281,"ID_ISIN")</f>
        <v>US00253XAB73</v>
      </c>
      <c r="I281" s="1"/>
      <c r="J281" t="str">
        <f>_xll.BDP($B281,"CNTRY_OF_DOMICILE")</f>
        <v>US</v>
      </c>
      <c r="K281" t="s">
        <v>626</v>
      </c>
      <c r="L281" t="s">
        <v>99</v>
      </c>
      <c r="O281" s="1"/>
      <c r="AQ281" s="1"/>
      <c r="AR281" s="1"/>
      <c r="AS281" s="1"/>
      <c r="AT281" t="str">
        <f>TEXT(_xll.BDP($B281,"MATURITY"),"yyyy-mm-dd")</f>
        <v>2029-04-20</v>
      </c>
      <c r="AU281" t="str">
        <f>_xll.BDP($B281,"CPN_TYP")</f>
        <v>FIXED</v>
      </c>
      <c r="AV281">
        <f>_xll.BDP($B281,"CPN")</f>
        <v>5.75</v>
      </c>
    </row>
    <row r="282" spans="1:48" x14ac:dyDescent="0.25">
      <c r="A282" t="s">
        <v>828</v>
      </c>
      <c r="B282" t="s">
        <v>841</v>
      </c>
      <c r="C282" s="1" t="s">
        <v>842</v>
      </c>
      <c r="D282" t="s">
        <v>843</v>
      </c>
      <c r="E282" t="str">
        <f>_xll.BDP($B282,"LEGAL_ENTITY_IDENTIFIER")</f>
        <v>#N/A N/A</v>
      </c>
      <c r="F282" t="s">
        <v>844</v>
      </c>
      <c r="G282" t="str">
        <f>custodian!D282</f>
        <v>00489LAL7</v>
      </c>
      <c r="H282" t="str">
        <f>_xll.BDP($B282,"ID_ISIN")</f>
        <v>US00489LAL71</v>
      </c>
      <c r="I282" s="1"/>
      <c r="J282" t="str">
        <f>_xll.BDP($B282,"CNTRY_OF_DOMICILE")</f>
        <v>US</v>
      </c>
      <c r="K282" t="s">
        <v>626</v>
      </c>
      <c r="L282" t="s">
        <v>99</v>
      </c>
      <c r="O282" s="1"/>
      <c r="AQ282" s="1"/>
      <c r="AR282" s="1"/>
      <c r="AS282" s="1"/>
      <c r="AT282" t="str">
        <f>TEXT(_xll.BDP($B282,"MATURITY"),"yyyy-mm-dd")</f>
        <v>2030-11-06</v>
      </c>
      <c r="AU282" t="str">
        <f>_xll.BDP($B282,"CPN_TYP")</f>
        <v>FIXED</v>
      </c>
      <c r="AV282">
        <f>_xll.BDP($B282,"CPN")</f>
        <v>7.5</v>
      </c>
    </row>
    <row r="283" spans="1:48" x14ac:dyDescent="0.25">
      <c r="A283" t="s">
        <v>828</v>
      </c>
      <c r="B283" t="s">
        <v>845</v>
      </c>
      <c r="C283" s="1" t="s">
        <v>846</v>
      </c>
      <c r="D283" t="s">
        <v>847</v>
      </c>
      <c r="E283" t="str">
        <f>_xll.BDP($B283,"LEGAL_ENTITY_IDENTIFIER")</f>
        <v>#N/A N/A</v>
      </c>
      <c r="F283" t="s">
        <v>848</v>
      </c>
      <c r="G283" t="str">
        <f>custodian!D283</f>
        <v>00653VAA9</v>
      </c>
      <c r="H283" t="str">
        <f>_xll.BDP($B283,"ID_ISIN")</f>
        <v>US00653VAA98</v>
      </c>
      <c r="I283" s="1"/>
      <c r="J283" t="str">
        <f>_xll.BDP($B283,"CNTRY_OF_DOMICILE")</f>
        <v>US</v>
      </c>
      <c r="K283" t="s">
        <v>626</v>
      </c>
      <c r="L283" t="s">
        <v>99</v>
      </c>
      <c r="O283" s="1"/>
      <c r="AQ283" s="1"/>
      <c r="AR283" s="1"/>
      <c r="AS283" s="1"/>
      <c r="AT283" t="str">
        <f>TEXT(_xll.BDP($B283,"MATURITY"),"yyyy-mm-dd")</f>
        <v>2028-08-01</v>
      </c>
      <c r="AU283" t="str">
        <f>_xll.BDP($B283,"CPN_TYP")</f>
        <v>FIXED</v>
      </c>
      <c r="AV283">
        <f>_xll.BDP($B283,"CPN")</f>
        <v>6.125</v>
      </c>
    </row>
    <row r="284" spans="1:48" x14ac:dyDescent="0.25">
      <c r="A284" t="s">
        <v>828</v>
      </c>
      <c r="B284" t="s">
        <v>849</v>
      </c>
      <c r="C284" s="1" t="s">
        <v>850</v>
      </c>
      <c r="D284" t="s">
        <v>851</v>
      </c>
      <c r="E284" t="str">
        <f>_xll.BDP($B284,"LEGAL_ENTITY_IDENTIFIER")</f>
        <v>529900UCNQ5H9FSL0Y70</v>
      </c>
      <c r="F284" t="s">
        <v>852</v>
      </c>
      <c r="G284" t="str">
        <f>custodian!D284</f>
        <v>00751YAE6</v>
      </c>
      <c r="H284" t="str">
        <f>_xll.BDP($B284,"ID_ISIN")</f>
        <v>US00751YAE68</v>
      </c>
      <c r="I284" s="1"/>
      <c r="J284" t="str">
        <f>_xll.BDP($B284,"CNTRY_OF_DOMICILE")</f>
        <v>US</v>
      </c>
      <c r="K284" t="s">
        <v>626</v>
      </c>
      <c r="L284" t="s">
        <v>99</v>
      </c>
      <c r="O284" s="1"/>
      <c r="AQ284" s="1"/>
      <c r="AR284" s="1"/>
      <c r="AS284" s="1"/>
      <c r="AT284" t="str">
        <f>TEXT(_xll.BDP($B284,"MATURITY"),"yyyy-mm-dd")</f>
        <v>2030-04-15</v>
      </c>
      <c r="AU284" t="str">
        <f>_xll.BDP($B284,"CPN_TYP")</f>
        <v>FIXED</v>
      </c>
      <c r="AV284">
        <f>_xll.BDP($B284,"CPN")</f>
        <v>3.9</v>
      </c>
    </row>
    <row r="285" spans="1:48" x14ac:dyDescent="0.25">
      <c r="A285" t="s">
        <v>828</v>
      </c>
      <c r="B285" t="s">
        <v>853</v>
      </c>
      <c r="C285" s="1" t="s">
        <v>854</v>
      </c>
      <c r="D285" t="s">
        <v>855</v>
      </c>
      <c r="E285" t="str">
        <f>_xll.BDP($B285,"LEGAL_ENTITY_IDENTIFIER")</f>
        <v>#N/A N/A</v>
      </c>
      <c r="F285" t="s">
        <v>856</v>
      </c>
      <c r="G285" t="str">
        <f>custodian!D285</f>
        <v>013092AG6</v>
      </c>
      <c r="H285" t="str">
        <f>_xll.BDP($B285,"ID_ISIN")</f>
        <v>US013092AG61</v>
      </c>
      <c r="I285" s="1"/>
      <c r="J285" t="str">
        <f>_xll.BDP($B285,"CNTRY_OF_DOMICILE")</f>
        <v>US</v>
      </c>
      <c r="K285" t="s">
        <v>626</v>
      </c>
      <c r="L285" t="s">
        <v>99</v>
      </c>
      <c r="O285" s="1"/>
      <c r="AQ285" s="1"/>
      <c r="AR285" s="1"/>
      <c r="AS285" s="1"/>
      <c r="AT285" t="str">
        <f>TEXT(_xll.BDP($B285,"MATURITY"),"yyyy-mm-dd")</f>
        <v>2029-03-15</v>
      </c>
      <c r="AU285" t="str">
        <f>_xll.BDP($B285,"CPN_TYP")</f>
        <v>FIXED</v>
      </c>
      <c r="AV285">
        <f>_xll.BDP($B285,"CPN")</f>
        <v>3.5</v>
      </c>
    </row>
    <row r="286" spans="1:48" x14ac:dyDescent="0.25">
      <c r="A286" t="s">
        <v>828</v>
      </c>
      <c r="B286" t="s">
        <v>857</v>
      </c>
      <c r="C286" s="1" t="s">
        <v>858</v>
      </c>
      <c r="D286" t="s">
        <v>859</v>
      </c>
      <c r="E286" t="str">
        <f>_xll.BDP($B286,"LEGAL_ENTITY_IDENTIFIER")</f>
        <v>#N/A N/A</v>
      </c>
      <c r="F286" t="s">
        <v>860</v>
      </c>
      <c r="G286" t="str">
        <f>custodian!D286</f>
        <v>01330AAA4</v>
      </c>
      <c r="H286" t="str">
        <f>_xll.BDP($B286,"ID_ISIN")</f>
        <v>US01330AAA43</v>
      </c>
      <c r="I286" s="1"/>
      <c r="J286" t="str">
        <f>_xll.BDP($B286,"CNTRY_OF_DOMICILE")</f>
        <v>LU</v>
      </c>
      <c r="K286" t="s">
        <v>626</v>
      </c>
      <c r="L286" t="s">
        <v>99</v>
      </c>
      <c r="O286" s="1"/>
      <c r="AQ286" s="1"/>
      <c r="AR286" s="1"/>
      <c r="AS286" s="1"/>
      <c r="AT286" t="str">
        <f>TEXT(_xll.BDP($B286,"MATURITY"),"yyyy-mm-dd")</f>
        <v>2030-05-21</v>
      </c>
      <c r="AU286" t="str">
        <f>_xll.BDP($B286,"CPN_TYP")</f>
        <v>FIXED</v>
      </c>
      <c r="AV286">
        <f>_xll.BDP($B286,"CPN")</f>
        <v>7</v>
      </c>
    </row>
    <row r="287" spans="1:48" x14ac:dyDescent="0.25">
      <c r="A287" t="s">
        <v>828</v>
      </c>
      <c r="B287" t="s">
        <v>861</v>
      </c>
      <c r="C287" s="1" t="s">
        <v>862</v>
      </c>
      <c r="D287" t="s">
        <v>863</v>
      </c>
      <c r="E287" t="str">
        <f>_xll.BDP($B287,"LEGAL_ENTITY_IDENTIFIER")</f>
        <v>#N/A N/A</v>
      </c>
      <c r="F287" t="s">
        <v>864</v>
      </c>
      <c r="G287" t="str">
        <f>custodian!D287</f>
        <v>01883LAE3</v>
      </c>
      <c r="H287" t="str">
        <f>_xll.BDP($B287,"ID_ISIN")</f>
        <v>US01883LAE39</v>
      </c>
      <c r="I287" s="1"/>
      <c r="J287" t="str">
        <f>_xll.BDP($B287,"CNTRY_OF_DOMICILE")</f>
        <v>US</v>
      </c>
      <c r="K287" t="s">
        <v>626</v>
      </c>
      <c r="L287" t="s">
        <v>99</v>
      </c>
      <c r="O287" s="1"/>
      <c r="AQ287" s="1"/>
      <c r="AR287" s="1"/>
      <c r="AS287" s="1"/>
      <c r="AT287" t="str">
        <f>TEXT(_xll.BDP($B287,"MATURITY"),"yyyy-mm-dd")</f>
        <v>2028-04-15</v>
      </c>
      <c r="AU287" t="str">
        <f>_xll.BDP($B287,"CPN_TYP")</f>
        <v>FIXED</v>
      </c>
      <c r="AV287">
        <f>_xll.BDP($B287,"CPN")</f>
        <v>6.75</v>
      </c>
    </row>
    <row r="288" spans="1:48" x14ac:dyDescent="0.25">
      <c r="A288" t="s">
        <v>828</v>
      </c>
      <c r="B288" t="s">
        <v>865</v>
      </c>
      <c r="C288" s="1" t="s">
        <v>866</v>
      </c>
      <c r="D288" t="s">
        <v>867</v>
      </c>
      <c r="E288" t="str">
        <f>_xll.BDP($B288,"LEGAL_ENTITY_IDENTIFIER")</f>
        <v>98450038B4549046D794</v>
      </c>
      <c r="F288" t="s">
        <v>868</v>
      </c>
      <c r="G288" t="str">
        <f>custodian!D288</f>
        <v>019576AD9</v>
      </c>
      <c r="H288" t="str">
        <f>_xll.BDP($B288,"ID_ISIN")</f>
        <v>US019576AD90</v>
      </c>
      <c r="I288" s="1"/>
      <c r="J288" t="str">
        <f>_xll.BDP($B288,"CNTRY_OF_DOMICILE")</f>
        <v>US</v>
      </c>
      <c r="K288" t="s">
        <v>626</v>
      </c>
      <c r="L288" t="s">
        <v>99</v>
      </c>
      <c r="O288" s="1"/>
      <c r="AQ288" s="1"/>
      <c r="AR288" s="1"/>
      <c r="AS288" s="1"/>
      <c r="AT288" t="str">
        <f>TEXT(_xll.BDP($B288,"MATURITY"),"yyyy-mm-dd")</f>
        <v>2031-02-15</v>
      </c>
      <c r="AU288" t="str">
        <f>_xll.BDP($B288,"CPN_TYP")</f>
        <v>FIXED</v>
      </c>
      <c r="AV288">
        <f>_xll.BDP($B288,"CPN")</f>
        <v>7.875</v>
      </c>
    </row>
    <row r="289" spans="1:48" x14ac:dyDescent="0.25">
      <c r="A289" t="s">
        <v>828</v>
      </c>
      <c r="B289" t="s">
        <v>869</v>
      </c>
      <c r="C289" s="1" t="s">
        <v>870</v>
      </c>
      <c r="D289" t="s">
        <v>871</v>
      </c>
      <c r="E289" t="str">
        <f>_xll.BDP($B289,"LEGAL_ENTITY_IDENTIFIER")</f>
        <v>549300SJE7MUB8NMRG61</v>
      </c>
      <c r="F289" t="s">
        <v>872</v>
      </c>
      <c r="G289" t="str">
        <f>custodian!D289</f>
        <v>031921AC3</v>
      </c>
      <c r="H289" t="str">
        <f>_xll.BDP($B289,"ID_ISIN")</f>
        <v>US031921AC31</v>
      </c>
      <c r="I289" s="1"/>
      <c r="J289" t="str">
        <f>_xll.BDP($B289,"CNTRY_OF_DOMICILE")</f>
        <v>US</v>
      </c>
      <c r="K289" t="s">
        <v>626</v>
      </c>
      <c r="L289" t="s">
        <v>99</v>
      </c>
      <c r="O289" s="1"/>
      <c r="AQ289" s="1"/>
      <c r="AR289" s="1"/>
      <c r="AS289" s="1"/>
      <c r="AT289" t="str">
        <f>TEXT(_xll.BDP($B289,"MATURITY"),"yyyy-mm-dd")</f>
        <v>2029-02-15</v>
      </c>
      <c r="AU289" t="str">
        <f>_xll.BDP($B289,"CPN_TYP")</f>
        <v>FIXED</v>
      </c>
      <c r="AV289">
        <f>_xll.BDP($B289,"CPN")</f>
        <v>6.375</v>
      </c>
    </row>
    <row r="290" spans="1:48" x14ac:dyDescent="0.25">
      <c r="A290" t="s">
        <v>828</v>
      </c>
      <c r="B290" t="s">
        <v>873</v>
      </c>
      <c r="C290" s="1" t="s">
        <v>874</v>
      </c>
      <c r="D290" t="s">
        <v>875</v>
      </c>
      <c r="E290" t="str">
        <f>_xll.BDP($B290,"LEGAL_ENTITY_IDENTIFIER")</f>
        <v>#N/A N/A</v>
      </c>
      <c r="F290" t="s">
        <v>876</v>
      </c>
      <c r="G290" t="str">
        <f>custodian!D290</f>
        <v>03772CAA1</v>
      </c>
      <c r="H290" t="str">
        <f>_xll.BDP($B290,"ID_ISIN")</f>
        <v>US03772CAA18</v>
      </c>
      <c r="I290" s="1"/>
      <c r="J290" t="str">
        <f>_xll.BDP($B290,"CNTRY_OF_DOMICILE")</f>
        <v>US</v>
      </c>
      <c r="K290" t="s">
        <v>626</v>
      </c>
      <c r="L290" t="s">
        <v>99</v>
      </c>
      <c r="O290" s="1"/>
      <c r="AQ290" s="1"/>
      <c r="AR290" s="1"/>
      <c r="AS290" s="1"/>
      <c r="AT290" t="str">
        <f>TEXT(_xll.BDP($B290,"MATURITY"),"yyyy-mm-dd")</f>
        <v>2031-03-15</v>
      </c>
      <c r="AU290" t="str">
        <f>_xll.BDP($B290,"CPN_TYP")</f>
        <v>FIXED</v>
      </c>
      <c r="AV290">
        <f>_xll.BDP($B290,"CPN")</f>
        <v>6.75</v>
      </c>
    </row>
    <row r="291" spans="1:48" x14ac:dyDescent="0.25">
      <c r="A291" t="s">
        <v>828</v>
      </c>
      <c r="B291" t="s">
        <v>877</v>
      </c>
      <c r="C291" s="1" t="s">
        <v>878</v>
      </c>
      <c r="D291" t="s">
        <v>879</v>
      </c>
      <c r="E291" t="str">
        <f>_xll.BDP($B291,"LEGAL_ENTITY_IDENTIFIER")</f>
        <v>254900D2T84O1K03BA28</v>
      </c>
      <c r="F291" t="s">
        <v>880</v>
      </c>
      <c r="G291" t="str">
        <f>custodian!D291</f>
        <v>039853AA4</v>
      </c>
      <c r="H291" t="str">
        <f>_xll.BDP($B291,"ID_ISIN")</f>
        <v>US039853AA46</v>
      </c>
      <c r="I291" s="1"/>
      <c r="J291" t="str">
        <f>_xll.BDP($B291,"CNTRY_OF_DOMICILE")</f>
        <v>GB</v>
      </c>
      <c r="K291" t="s">
        <v>626</v>
      </c>
      <c r="L291" t="s">
        <v>99</v>
      </c>
      <c r="O291" s="1"/>
      <c r="AQ291" s="1"/>
      <c r="AR291" s="1"/>
      <c r="AS291" s="1"/>
      <c r="AT291" t="str">
        <f>TEXT(_xll.BDP($B291,"MATURITY"),"yyyy-mm-dd")</f>
        <v>2031-02-15</v>
      </c>
      <c r="AU291" t="str">
        <f>_xll.BDP($B291,"CPN_TYP")</f>
        <v>FIXED</v>
      </c>
      <c r="AV291">
        <f>_xll.BDP($B291,"CPN")</f>
        <v>7.75</v>
      </c>
    </row>
    <row r="292" spans="1:48" x14ac:dyDescent="0.25">
      <c r="A292" t="s">
        <v>828</v>
      </c>
      <c r="B292" t="s">
        <v>881</v>
      </c>
      <c r="C292" s="1" t="s">
        <v>882</v>
      </c>
      <c r="D292" t="s">
        <v>883</v>
      </c>
      <c r="E292" t="str">
        <f>_xll.BDP($B292,"LEGAL_ENTITY_IDENTIFIER")</f>
        <v>6354006L1NWUUOPYX274</v>
      </c>
      <c r="F292" t="s">
        <v>884</v>
      </c>
      <c r="G292" t="str">
        <f>custodian!D292</f>
        <v>039959AA9</v>
      </c>
      <c r="H292" t="str">
        <f>_xll.BDP($B292,"ID_ISIN")</f>
        <v>US039959AA98</v>
      </c>
      <c r="I292" s="1"/>
      <c r="J292" t="str">
        <f>_xll.BDP($B292,"CNTRY_OF_DOMICILE")</f>
        <v>LU</v>
      </c>
      <c r="K292" t="s">
        <v>626</v>
      </c>
      <c r="L292" t="s">
        <v>99</v>
      </c>
      <c r="O292" s="1"/>
      <c r="AQ292" s="1"/>
      <c r="AR292" s="1"/>
      <c r="AS292" s="1"/>
      <c r="AT292" t="str">
        <f>TEXT(_xll.BDP($B292,"MATURITY"),"yyyy-mm-dd")</f>
        <v>2030-12-01</v>
      </c>
      <c r="AU292" t="str">
        <f>_xll.BDP($B292,"CPN_TYP")</f>
        <v>FIXED</v>
      </c>
      <c r="AV292">
        <f>_xll.BDP($B292,"CPN")</f>
        <v>9.5</v>
      </c>
    </row>
    <row r="293" spans="1:48" x14ac:dyDescent="0.25">
      <c r="A293" t="s">
        <v>828</v>
      </c>
      <c r="B293" t="s">
        <v>885</v>
      </c>
      <c r="C293" s="1" t="s">
        <v>886</v>
      </c>
      <c r="D293" t="s">
        <v>887</v>
      </c>
      <c r="E293" t="str">
        <f>_xll.BDP($B293,"LEGAL_ENTITY_IDENTIFIER")</f>
        <v>254900G9F9HA5EP57J39</v>
      </c>
      <c r="F293" t="s">
        <v>888</v>
      </c>
      <c r="G293" t="str">
        <f>custodian!D293</f>
        <v>04288BAB6</v>
      </c>
      <c r="H293" t="str">
        <f>_xll.BDP($B293,"ID_ISIN")</f>
        <v>US04288BAB62</v>
      </c>
      <c r="I293" s="1"/>
      <c r="J293" t="str">
        <f>_xll.BDP($B293,"CNTRY_OF_DOMICILE")</f>
        <v>US</v>
      </c>
      <c r="K293" t="s">
        <v>626</v>
      </c>
      <c r="L293" t="s">
        <v>99</v>
      </c>
      <c r="O293" s="1"/>
      <c r="AQ293" s="1"/>
      <c r="AR293" s="1"/>
      <c r="AS293" s="1"/>
      <c r="AT293" t="str">
        <f>TEXT(_xll.BDP($B293,"MATURITY"),"yyyy-mm-dd")</f>
        <v>2030-10-01</v>
      </c>
      <c r="AU293" t="str">
        <f>_xll.BDP($B293,"CPN_TYP")</f>
        <v>FIXED</v>
      </c>
      <c r="AV293">
        <f>_xll.BDP($B293,"CPN")</f>
        <v>8</v>
      </c>
    </row>
    <row r="294" spans="1:48" x14ac:dyDescent="0.25">
      <c r="A294" t="s">
        <v>828</v>
      </c>
      <c r="B294" t="s">
        <v>889</v>
      </c>
      <c r="C294" s="1" t="s">
        <v>890</v>
      </c>
      <c r="D294" t="s">
        <v>891</v>
      </c>
      <c r="E294" t="str">
        <f>_xll.BDP($B294,"LEGAL_ENTITY_IDENTIFIER")</f>
        <v>#N/A N/A</v>
      </c>
      <c r="F294" t="s">
        <v>892</v>
      </c>
      <c r="G294" t="str">
        <f>custodian!D294</f>
        <v>045086AP0</v>
      </c>
      <c r="H294" t="str">
        <f>_xll.BDP($B294,"ID_ISIN")</f>
        <v>US045086AP03</v>
      </c>
      <c r="I294" s="1"/>
      <c r="J294" t="str">
        <f>_xll.BDP($B294,"CNTRY_OF_DOMICILE")</f>
        <v>US</v>
      </c>
      <c r="K294" t="s">
        <v>626</v>
      </c>
      <c r="L294" t="s">
        <v>99</v>
      </c>
      <c r="O294" s="1"/>
      <c r="AQ294" s="1"/>
      <c r="AR294" s="1"/>
      <c r="AS294" s="1"/>
      <c r="AT294" t="str">
        <f>TEXT(_xll.BDP($B294,"MATURITY"),"yyyy-mm-dd")</f>
        <v>2030-04-01</v>
      </c>
      <c r="AU294" t="str">
        <f>_xll.BDP($B294,"CPN_TYP")</f>
        <v>FIXED</v>
      </c>
      <c r="AV294">
        <f>_xll.BDP($B294,"CPN")</f>
        <v>4.625</v>
      </c>
    </row>
    <row r="295" spans="1:48" x14ac:dyDescent="0.25">
      <c r="A295" t="s">
        <v>828</v>
      </c>
      <c r="B295" t="s">
        <v>893</v>
      </c>
      <c r="C295" s="1" t="s">
        <v>894</v>
      </c>
      <c r="D295" t="s">
        <v>895</v>
      </c>
      <c r="E295" t="str">
        <f>_xll.BDP($B295,"LEGAL_ENTITY_IDENTIFIER")</f>
        <v>5493003VM0XB4U8YD238</v>
      </c>
      <c r="F295" t="s">
        <v>896</v>
      </c>
      <c r="G295" t="str">
        <f>custodian!D295</f>
        <v>05352TAA7</v>
      </c>
      <c r="H295" t="str">
        <f>_xll.BDP($B295,"ID_ISIN")</f>
        <v>US05352TAA79</v>
      </c>
      <c r="I295" s="1"/>
      <c r="J295" t="str">
        <f>_xll.BDP($B295,"CNTRY_OF_DOMICILE")</f>
        <v>US</v>
      </c>
      <c r="K295" t="s">
        <v>626</v>
      </c>
      <c r="L295" t="s">
        <v>99</v>
      </c>
      <c r="O295" s="1"/>
      <c r="AQ295" s="1"/>
      <c r="AR295" s="1"/>
      <c r="AS295" s="1"/>
      <c r="AT295" t="str">
        <f>TEXT(_xll.BDP($B295,"MATURITY"),"yyyy-mm-dd")</f>
        <v>2028-07-15</v>
      </c>
      <c r="AU295" t="str">
        <f>_xll.BDP($B295,"CPN_TYP")</f>
        <v>FIXED</v>
      </c>
      <c r="AV295">
        <f>_xll.BDP($B295,"CPN")</f>
        <v>4.625</v>
      </c>
    </row>
    <row r="296" spans="1:48" x14ac:dyDescent="0.25">
      <c r="A296" t="s">
        <v>828</v>
      </c>
      <c r="B296" t="s">
        <v>897</v>
      </c>
      <c r="C296" s="1" t="s">
        <v>898</v>
      </c>
      <c r="D296" t="s">
        <v>899</v>
      </c>
      <c r="E296" t="str">
        <f>_xll.BDP($B296,"LEGAL_ENTITY_IDENTIFIER")</f>
        <v>0BGI85ALH27ZJP15DY16</v>
      </c>
      <c r="F296" t="s">
        <v>899</v>
      </c>
      <c r="G296" t="str">
        <f>custodian!D296</f>
        <v>058498AW6</v>
      </c>
      <c r="H296" t="str">
        <f>_xll.BDP($B296,"ID_ISIN")</f>
        <v>US058498AW66</v>
      </c>
      <c r="I296" s="1"/>
      <c r="J296" t="str">
        <f>_xll.BDP($B296,"CNTRY_OF_DOMICILE")</f>
        <v>US</v>
      </c>
      <c r="K296" t="s">
        <v>626</v>
      </c>
      <c r="L296" t="s">
        <v>99</v>
      </c>
      <c r="O296" s="1"/>
      <c r="AQ296" s="1"/>
      <c r="AR296" s="1"/>
      <c r="AS296" s="1"/>
      <c r="AT296" t="str">
        <f>TEXT(_xll.BDP($B296,"MATURITY"),"yyyy-mm-dd")</f>
        <v>2030-08-15</v>
      </c>
      <c r="AU296" t="str">
        <f>_xll.BDP($B296,"CPN_TYP")</f>
        <v>FIXED</v>
      </c>
      <c r="AV296">
        <f>_xll.BDP($B296,"CPN")</f>
        <v>2.875</v>
      </c>
    </row>
    <row r="297" spans="1:48" x14ac:dyDescent="0.25">
      <c r="A297" t="s">
        <v>828</v>
      </c>
      <c r="B297" t="s">
        <v>900</v>
      </c>
      <c r="C297" s="1" t="s">
        <v>901</v>
      </c>
      <c r="D297" t="s">
        <v>902</v>
      </c>
      <c r="E297" t="str">
        <f>_xll.BDP($B297,"LEGAL_ENTITY_IDENTIFIER")</f>
        <v>969500CE0IE2EZ5VBG13</v>
      </c>
      <c r="F297" t="s">
        <v>903</v>
      </c>
      <c r="G297" t="str">
        <f>custodian!D297</f>
        <v>060335AB2</v>
      </c>
      <c r="H297" t="str">
        <f>_xll.BDP($B297,"ID_ISIN")</f>
        <v>US060335AB23</v>
      </c>
      <c r="I297" s="1"/>
      <c r="J297" t="str">
        <f>_xll.BDP($B297,"CNTRY_OF_DOMICILE")</f>
        <v>FR</v>
      </c>
      <c r="K297" t="s">
        <v>626</v>
      </c>
      <c r="L297" t="s">
        <v>99</v>
      </c>
      <c r="O297" s="1"/>
      <c r="AQ297" s="1"/>
      <c r="AR297" s="1"/>
      <c r="AS297" s="1"/>
      <c r="AT297" t="str">
        <f>TEXT(_xll.BDP($B297,"MATURITY"),"yyyy-mm-dd")</f>
        <v>2029-05-01</v>
      </c>
      <c r="AU297" t="str">
        <f>_xll.BDP($B297,"CPN_TYP")</f>
        <v>FIXED</v>
      </c>
      <c r="AV297">
        <f>_xll.BDP($B297,"CPN")</f>
        <v>8.125</v>
      </c>
    </row>
    <row r="298" spans="1:48" x14ac:dyDescent="0.25">
      <c r="A298" t="s">
        <v>828</v>
      </c>
      <c r="B298" t="s">
        <v>904</v>
      </c>
      <c r="C298" s="1" t="s">
        <v>905</v>
      </c>
      <c r="D298" t="s">
        <v>906</v>
      </c>
      <c r="E298" t="str">
        <f>_xll.BDP($B298,"LEGAL_ENTITY_IDENTIFIER")</f>
        <v>549300S3BOK5CMTS8054</v>
      </c>
      <c r="F298" t="s">
        <v>907</v>
      </c>
      <c r="G298" t="str">
        <f>custodian!D298</f>
        <v>07831CAA1</v>
      </c>
      <c r="H298" t="str">
        <f>_xll.BDP($B298,"ID_ISIN")</f>
        <v>US07831CAA18</v>
      </c>
      <c r="I298" s="1"/>
      <c r="J298" t="str">
        <f>_xll.BDP($B298,"CNTRY_OF_DOMICILE")</f>
        <v>US</v>
      </c>
      <c r="K298" t="s">
        <v>626</v>
      </c>
      <c r="L298" t="s">
        <v>99</v>
      </c>
      <c r="O298" s="1"/>
      <c r="AQ298" s="1"/>
      <c r="AR298" s="1"/>
      <c r="AS298" s="1"/>
      <c r="AT298" t="str">
        <f>TEXT(_xll.BDP($B298,"MATURITY"),"yyyy-mm-dd")</f>
        <v>2030-03-15</v>
      </c>
      <c r="AU298" t="str">
        <f>_xll.BDP($B298,"CPN_TYP")</f>
        <v>FIXED</v>
      </c>
      <c r="AV298">
        <f>_xll.BDP($B298,"CPN")</f>
        <v>7</v>
      </c>
    </row>
    <row r="299" spans="1:48" x14ac:dyDescent="0.25">
      <c r="A299" t="s">
        <v>828</v>
      </c>
      <c r="B299" t="s">
        <v>908</v>
      </c>
      <c r="C299" s="1" t="s">
        <v>909</v>
      </c>
      <c r="D299" t="s">
        <v>910</v>
      </c>
      <c r="E299" t="str">
        <f>_xll.BDP($B299,"LEGAL_ENTITY_IDENTIFIER")</f>
        <v>9845006BC9D1A77B8178</v>
      </c>
      <c r="F299" t="s">
        <v>911</v>
      </c>
      <c r="G299" t="str">
        <f>custodian!D299</f>
        <v>080782AA3</v>
      </c>
      <c r="H299" t="str">
        <f>_xll.BDP($B299,"ID_ISIN")</f>
        <v>US080782AA38</v>
      </c>
      <c r="I299" s="1"/>
      <c r="J299" t="str">
        <f>_xll.BDP($B299,"CNTRY_OF_DOMICILE")</f>
        <v>GB</v>
      </c>
      <c r="K299" t="s">
        <v>626</v>
      </c>
      <c r="L299" t="s">
        <v>99</v>
      </c>
      <c r="O299" s="1"/>
      <c r="AQ299" s="1"/>
      <c r="AR299" s="1"/>
      <c r="AS299" s="1"/>
      <c r="AT299" t="str">
        <f>TEXT(_xll.BDP($B299,"MATURITY"),"yyyy-mm-dd")</f>
        <v>2029-10-15</v>
      </c>
      <c r="AU299" t="str">
        <f>_xll.BDP($B299,"CPN_TYP")</f>
        <v>FIXED</v>
      </c>
      <c r="AV299">
        <f>_xll.BDP($B299,"CPN")</f>
        <v>5.75</v>
      </c>
    </row>
    <row r="300" spans="1:48" x14ac:dyDescent="0.25">
      <c r="A300" t="s">
        <v>828</v>
      </c>
      <c r="B300" t="s">
        <v>912</v>
      </c>
      <c r="C300" s="1" t="s">
        <v>913</v>
      </c>
      <c r="D300" t="s">
        <v>914</v>
      </c>
      <c r="E300" t="str">
        <f>_xll.BDP($B300,"LEGAL_ENTITY_IDENTIFIER")</f>
        <v>#N/A N/A</v>
      </c>
      <c r="F300" t="s">
        <v>915</v>
      </c>
      <c r="G300" t="str">
        <f>custodian!D300</f>
        <v>09216NAA8</v>
      </c>
      <c r="H300" t="str">
        <f>_xll.BDP($B300,"ID_ISIN")</f>
        <v>US09216NAA81</v>
      </c>
      <c r="I300" s="1"/>
      <c r="J300" t="str">
        <f>_xll.BDP($B300,"CNTRY_OF_DOMICILE")</f>
        <v>US</v>
      </c>
      <c r="K300" t="s">
        <v>626</v>
      </c>
      <c r="L300" t="s">
        <v>99</v>
      </c>
      <c r="O300" s="1"/>
      <c r="AQ300" s="1"/>
      <c r="AR300" s="1"/>
      <c r="AS300" s="1"/>
      <c r="AT300" t="str">
        <f>TEXT(_xll.BDP($B300,"MATURITY"),"yyyy-mm-dd")</f>
        <v>2031-02-15</v>
      </c>
      <c r="AU300" t="str">
        <f>_xll.BDP($B300,"CPN_TYP")</f>
        <v>FIXED</v>
      </c>
      <c r="AV300">
        <f>_xll.BDP($B300,"CPN")</f>
        <v>6.125</v>
      </c>
    </row>
    <row r="301" spans="1:48" x14ac:dyDescent="0.25">
      <c r="A301" t="s">
        <v>828</v>
      </c>
      <c r="B301" t="s">
        <v>916</v>
      </c>
      <c r="C301" s="1" t="s">
        <v>917</v>
      </c>
      <c r="D301" t="s">
        <v>918</v>
      </c>
      <c r="E301" t="str">
        <f>_xll.BDP($B301,"LEGAL_ENTITY_IDENTIFIER")</f>
        <v>W7L3VLU8EHQY34Z36697</v>
      </c>
      <c r="F301" t="s">
        <v>919</v>
      </c>
      <c r="G301" t="str">
        <f>custodian!D301</f>
        <v>097751CA7</v>
      </c>
      <c r="H301" t="str">
        <f>_xll.BDP($B301,"ID_ISIN")</f>
        <v>US097751CA78</v>
      </c>
      <c r="I301" s="1"/>
      <c r="J301" t="str">
        <f>_xll.BDP($B301,"CNTRY_OF_DOMICILE")</f>
        <v>CA</v>
      </c>
      <c r="K301" t="s">
        <v>626</v>
      </c>
      <c r="L301" t="s">
        <v>99</v>
      </c>
      <c r="O301" s="1"/>
      <c r="AQ301" s="1"/>
      <c r="AR301" s="1"/>
      <c r="AS301" s="1"/>
      <c r="AT301" t="str">
        <f>TEXT(_xll.BDP($B301,"MATURITY"),"yyyy-mm-dd")</f>
        <v>2030-11-15</v>
      </c>
      <c r="AU301" t="str">
        <f>_xll.BDP($B301,"CPN_TYP")</f>
        <v>FIXED</v>
      </c>
      <c r="AV301">
        <f>_xll.BDP($B301,"CPN")</f>
        <v>8.75</v>
      </c>
    </row>
    <row r="302" spans="1:48" x14ac:dyDescent="0.25">
      <c r="A302" t="s">
        <v>828</v>
      </c>
      <c r="B302" t="s">
        <v>920</v>
      </c>
      <c r="C302" s="1" t="s">
        <v>921</v>
      </c>
      <c r="D302" t="s">
        <v>922</v>
      </c>
      <c r="E302" t="str">
        <f>_xll.BDP($B302,"LEGAL_ENTITY_IDENTIFIER")</f>
        <v>984500969HAFA937F390</v>
      </c>
      <c r="F302" t="s">
        <v>923</v>
      </c>
      <c r="G302" t="str">
        <f>custodian!D302</f>
        <v>10637BAA3</v>
      </c>
      <c r="H302" t="str">
        <f>_xll.BDP($B302,"ID_ISIN")</f>
        <v>US10637BAA35</v>
      </c>
      <c r="I302" s="1"/>
      <c r="J302" t="str">
        <f>_xll.BDP($B302,"CNTRY_OF_DOMICILE")</f>
        <v>LU</v>
      </c>
      <c r="K302" t="s">
        <v>626</v>
      </c>
      <c r="L302" t="s">
        <v>99</v>
      </c>
      <c r="O302" s="1"/>
      <c r="AQ302" s="1"/>
      <c r="AR302" s="1"/>
      <c r="AS302" s="1"/>
      <c r="AT302" t="str">
        <f>TEXT(_xll.BDP($B302,"MATURITY"),"yyyy-mm-dd")</f>
        <v>2030-11-15</v>
      </c>
      <c r="AU302" t="str">
        <f>_xll.BDP($B302,"CPN_TYP")</f>
        <v>FIXED</v>
      </c>
      <c r="AV302">
        <f>_xll.BDP($B302,"CPN")</f>
        <v>9.25</v>
      </c>
    </row>
    <row r="303" spans="1:48" x14ac:dyDescent="0.25">
      <c r="A303" t="s">
        <v>828</v>
      </c>
      <c r="B303" t="s">
        <v>924</v>
      </c>
      <c r="C303" s="1" t="s">
        <v>925</v>
      </c>
      <c r="D303" t="s">
        <v>926</v>
      </c>
      <c r="E303" t="str">
        <f>_xll.BDP($B303,"LEGAL_ENTITY_IDENTIFIER")</f>
        <v>549300C1PQJLVEIUBK50</v>
      </c>
      <c r="F303" t="s">
        <v>927</v>
      </c>
      <c r="G303" t="str">
        <f>custodian!D303</f>
        <v>118230AU5</v>
      </c>
      <c r="H303" t="str">
        <f>_xll.BDP($B303,"ID_ISIN")</f>
        <v>US118230AU55</v>
      </c>
      <c r="I303" s="1"/>
      <c r="J303" t="str">
        <f>_xll.BDP($B303,"CNTRY_OF_DOMICILE")</f>
        <v>US</v>
      </c>
      <c r="K303" t="s">
        <v>626</v>
      </c>
      <c r="L303" t="s">
        <v>99</v>
      </c>
      <c r="O303" s="1"/>
      <c r="AQ303" s="1"/>
      <c r="AR303" s="1"/>
      <c r="AS303" s="1"/>
      <c r="AT303" t="str">
        <f>TEXT(_xll.BDP($B303,"MATURITY"),"yyyy-mm-dd")</f>
        <v>2028-03-01</v>
      </c>
      <c r="AU303" t="str">
        <f>_xll.BDP($B303,"CPN_TYP")</f>
        <v>FIXED</v>
      </c>
      <c r="AV303">
        <f>_xll.BDP($B303,"CPN")</f>
        <v>4.5</v>
      </c>
    </row>
    <row r="304" spans="1:48" x14ac:dyDescent="0.25">
      <c r="A304" t="s">
        <v>828</v>
      </c>
      <c r="B304" t="s">
        <v>928</v>
      </c>
      <c r="C304" s="1" t="s">
        <v>929</v>
      </c>
      <c r="D304" t="s">
        <v>930</v>
      </c>
      <c r="E304" t="str">
        <f>_xll.BDP($B304,"LEGAL_ENTITY_IDENTIFIER")</f>
        <v>#N/A N/A</v>
      </c>
      <c r="F304" t="s">
        <v>931</v>
      </c>
      <c r="G304" t="str">
        <f>custodian!D304</f>
        <v>1248EPBX0</v>
      </c>
      <c r="H304" t="str">
        <f>_xll.BDP($B304,"ID_ISIN")</f>
        <v>US1248EPBX05</v>
      </c>
      <c r="I304" s="1"/>
      <c r="J304" t="str">
        <f>_xll.BDP($B304,"CNTRY_OF_DOMICILE")</f>
        <v>US</v>
      </c>
      <c r="K304" t="s">
        <v>626</v>
      </c>
      <c r="L304" t="s">
        <v>99</v>
      </c>
      <c r="O304" s="1"/>
      <c r="AQ304" s="1"/>
      <c r="AR304" s="1"/>
      <c r="AS304" s="1"/>
      <c r="AT304" t="str">
        <f>TEXT(_xll.BDP($B304,"MATURITY"),"yyyy-mm-dd")</f>
        <v>2028-02-01</v>
      </c>
      <c r="AU304" t="str">
        <f>_xll.BDP($B304,"CPN_TYP")</f>
        <v>FIXED</v>
      </c>
      <c r="AV304">
        <f>_xll.BDP($B304,"CPN")</f>
        <v>5</v>
      </c>
    </row>
    <row r="305" spans="1:48" x14ac:dyDescent="0.25">
      <c r="A305" t="s">
        <v>828</v>
      </c>
      <c r="B305" t="s">
        <v>932</v>
      </c>
      <c r="C305" s="1" t="s">
        <v>933</v>
      </c>
      <c r="D305" t="s">
        <v>934</v>
      </c>
      <c r="E305" t="str">
        <f>_xll.BDP($B305,"LEGAL_ENTITY_IDENTIFIER")</f>
        <v>5493007X5NC5XI1BB106</v>
      </c>
      <c r="F305" t="s">
        <v>935</v>
      </c>
      <c r="G305" t="str">
        <f>custodian!D305</f>
        <v>12543DBH2</v>
      </c>
      <c r="H305" t="str">
        <f>_xll.BDP($B305,"ID_ISIN")</f>
        <v>US12543DBH26</v>
      </c>
      <c r="I305" s="1"/>
      <c r="J305" t="str">
        <f>_xll.BDP($B305,"CNTRY_OF_DOMICILE")</f>
        <v>US</v>
      </c>
      <c r="K305" t="s">
        <v>626</v>
      </c>
      <c r="L305" t="s">
        <v>99</v>
      </c>
      <c r="O305" s="1"/>
      <c r="AQ305" s="1"/>
      <c r="AR305" s="1"/>
      <c r="AS305" s="1"/>
      <c r="AT305" t="str">
        <f>TEXT(_xll.BDP($B305,"MATURITY"),"yyyy-mm-dd")</f>
        <v>2029-01-15</v>
      </c>
      <c r="AU305" t="str">
        <f>_xll.BDP($B305,"CPN_TYP")</f>
        <v>FIXED</v>
      </c>
      <c r="AV305">
        <f>_xll.BDP($B305,"CPN")</f>
        <v>6</v>
      </c>
    </row>
    <row r="306" spans="1:48" x14ac:dyDescent="0.25">
      <c r="A306" t="s">
        <v>828</v>
      </c>
      <c r="B306" t="s">
        <v>936</v>
      </c>
      <c r="C306" s="1" t="s">
        <v>937</v>
      </c>
      <c r="D306" t="s">
        <v>938</v>
      </c>
      <c r="E306" t="str">
        <f>_xll.BDP($B306,"LEGAL_ENTITY_IDENTIFIER")</f>
        <v>529900SOYZIXZBTXB558</v>
      </c>
      <c r="F306" t="s">
        <v>938</v>
      </c>
      <c r="G306" t="str">
        <f>custodian!D306</f>
        <v>12662PAH1</v>
      </c>
      <c r="H306" t="str">
        <f>_xll.BDP($B306,"ID_ISIN")</f>
        <v>US12662PAH10</v>
      </c>
      <c r="I306" s="1"/>
      <c r="J306" t="str">
        <f>_xll.BDP($B306,"CNTRY_OF_DOMICILE")</f>
        <v>US</v>
      </c>
      <c r="K306" t="s">
        <v>626</v>
      </c>
      <c r="L306" t="s">
        <v>99</v>
      </c>
      <c r="O306" s="1"/>
      <c r="AQ306" s="1"/>
      <c r="AR306" s="1"/>
      <c r="AS306" s="1"/>
      <c r="AT306" t="str">
        <f>TEXT(_xll.BDP($B306,"MATURITY"),"yyyy-mm-dd")</f>
        <v>2031-02-15</v>
      </c>
      <c r="AU306" t="str">
        <f>_xll.BDP($B306,"CPN_TYP")</f>
        <v>FIXED</v>
      </c>
      <c r="AV306">
        <f>_xll.BDP($B306,"CPN")</f>
        <v>7.5</v>
      </c>
    </row>
    <row r="307" spans="1:48" x14ac:dyDescent="0.25">
      <c r="A307" t="s">
        <v>828</v>
      </c>
      <c r="B307" t="s">
        <v>939</v>
      </c>
      <c r="C307" s="1" t="s">
        <v>940</v>
      </c>
      <c r="D307" t="s">
        <v>941</v>
      </c>
      <c r="E307" t="str">
        <f>_xll.BDP($B307,"LEGAL_ENTITY_IDENTIFIER")</f>
        <v>549300EJG376EN5NQE29</v>
      </c>
      <c r="F307" t="s">
        <v>941</v>
      </c>
      <c r="G307" t="str">
        <f>custodian!D307</f>
        <v>126650EH9</v>
      </c>
      <c r="H307" t="str">
        <f>_xll.BDP($B307,"ID_ISIN")</f>
        <v>US126650EH94</v>
      </c>
      <c r="I307" s="1"/>
      <c r="J307" t="str">
        <f>_xll.BDP($B307,"CNTRY_OF_DOMICILE")</f>
        <v>US</v>
      </c>
      <c r="K307" t="s">
        <v>626</v>
      </c>
      <c r="L307" t="s">
        <v>99</v>
      </c>
      <c r="O307" s="1"/>
      <c r="AQ307" s="1"/>
      <c r="AR307" s="1"/>
      <c r="AS307" s="1"/>
      <c r="AT307" t="str">
        <f>TEXT(_xll.BDP($B307,"MATURITY"),"yyyy-mm-dd")</f>
        <v>2055-03-10</v>
      </c>
      <c r="AU307" t="str">
        <f>_xll.BDP($B307,"CPN_TYP")</f>
        <v>VARIABLE</v>
      </c>
      <c r="AV307">
        <f>_xll.BDP($B307,"CPN")</f>
        <v>7</v>
      </c>
    </row>
    <row r="308" spans="1:48" x14ac:dyDescent="0.25">
      <c r="A308" t="s">
        <v>828</v>
      </c>
      <c r="B308" t="s">
        <v>942</v>
      </c>
      <c r="C308" s="1" t="s">
        <v>943</v>
      </c>
      <c r="D308" t="s">
        <v>944</v>
      </c>
      <c r="E308" t="str">
        <f>_xll.BDP($B308,"LEGAL_ENTITY_IDENTIFIER")</f>
        <v>#N/A N/A</v>
      </c>
      <c r="F308" t="s">
        <v>945</v>
      </c>
      <c r="G308" t="str">
        <f>custodian!D308</f>
        <v>131477BA8</v>
      </c>
      <c r="H308" t="str">
        <f>_xll.BDP($B308,"ID_ISIN")</f>
        <v>US131477BA87</v>
      </c>
      <c r="I308" s="1"/>
      <c r="J308" t="str">
        <f>_xll.BDP($B308,"CNTRY_OF_DOMICILE")</f>
        <v>US</v>
      </c>
      <c r="K308" t="s">
        <v>626</v>
      </c>
      <c r="L308" t="s">
        <v>99</v>
      </c>
      <c r="O308" s="1"/>
      <c r="AQ308" s="1"/>
      <c r="AR308" s="1"/>
      <c r="AS308" s="1"/>
      <c r="AT308" t="str">
        <f>TEXT(_xll.BDP($B308,"MATURITY"),"yyyy-mm-dd")</f>
        <v>2031-02-15</v>
      </c>
      <c r="AU308" t="str">
        <f>_xll.BDP($B308,"CPN_TYP")</f>
        <v>FIXED</v>
      </c>
      <c r="AV308">
        <f>_xll.BDP($B308,"CPN")</f>
        <v>9.75</v>
      </c>
    </row>
    <row r="309" spans="1:48" x14ac:dyDescent="0.25">
      <c r="A309" t="s">
        <v>828</v>
      </c>
      <c r="B309" t="s">
        <v>946</v>
      </c>
      <c r="C309" s="1" t="s">
        <v>947</v>
      </c>
      <c r="D309" t="s">
        <v>948</v>
      </c>
      <c r="E309" t="str">
        <f>_xll.BDP($B309,"LEGAL_ENTITY_IDENTIFIER")</f>
        <v>254900YSP2BAI3YKIX08</v>
      </c>
      <c r="F309" t="s">
        <v>949</v>
      </c>
      <c r="G309" t="str">
        <f>custodian!D309</f>
        <v>140944AA7</v>
      </c>
      <c r="H309" t="str">
        <f>_xll.BDP($B309,"ID_ISIN")</f>
        <v>US140944AA76</v>
      </c>
      <c r="I309" s="1"/>
      <c r="J309" t="str">
        <f>_xll.BDP($B309,"CNTRY_OF_DOMICILE")</f>
        <v>US</v>
      </c>
      <c r="K309" t="s">
        <v>626</v>
      </c>
      <c r="L309" t="s">
        <v>99</v>
      </c>
      <c r="O309" s="1"/>
      <c r="AQ309" s="1"/>
      <c r="AR309" s="1"/>
      <c r="AS309" s="1"/>
      <c r="AT309" t="str">
        <f>TEXT(_xll.BDP($B309,"MATURITY"),"yyyy-mm-dd")</f>
        <v>2030-06-15</v>
      </c>
      <c r="AU309" t="str">
        <f>_xll.BDP($B309,"CPN_TYP")</f>
        <v>FIXED</v>
      </c>
      <c r="AV309">
        <f>_xll.BDP($B309,"CPN")</f>
        <v>8</v>
      </c>
    </row>
    <row r="310" spans="1:48" x14ac:dyDescent="0.25">
      <c r="A310" t="s">
        <v>828</v>
      </c>
      <c r="B310" t="s">
        <v>950</v>
      </c>
      <c r="C310" s="1" t="s">
        <v>951</v>
      </c>
      <c r="D310" t="s">
        <v>952</v>
      </c>
      <c r="E310" t="str">
        <f>_xll.BDP($B310,"LEGAL_ENTITY_IDENTIFIER")</f>
        <v>F1OF2ZSX47CR0BCWA982</v>
      </c>
      <c r="F310" t="s">
        <v>953</v>
      </c>
      <c r="G310" t="str">
        <f>custodian!D310</f>
        <v>143658CB6</v>
      </c>
      <c r="H310" t="str">
        <f>_xll.BDP($B310,"ID_ISIN")</f>
        <v>US143658CB65</v>
      </c>
      <c r="I310" s="1"/>
      <c r="J310" t="str">
        <f>_xll.BDP($B310,"CNTRY_OF_DOMICILE")</f>
        <v>US</v>
      </c>
      <c r="K310" t="s">
        <v>626</v>
      </c>
      <c r="L310" t="s">
        <v>99</v>
      </c>
      <c r="O310" s="1"/>
      <c r="AQ310" s="1"/>
      <c r="AR310" s="1"/>
      <c r="AS310" s="1"/>
      <c r="AT310" t="str">
        <f>TEXT(_xll.BDP($B310,"MATURITY"),"yyyy-mm-dd")</f>
        <v>2029-05-01</v>
      </c>
      <c r="AU310" t="str">
        <f>_xll.BDP($B310,"CPN_TYP")</f>
        <v>FIXED</v>
      </c>
      <c r="AV310">
        <f>_xll.BDP($B310,"CPN")</f>
        <v>5.125</v>
      </c>
    </row>
    <row r="311" spans="1:48" x14ac:dyDescent="0.25">
      <c r="A311" t="s">
        <v>828</v>
      </c>
      <c r="B311" t="s">
        <v>954</v>
      </c>
      <c r="C311" s="1" t="s">
        <v>955</v>
      </c>
      <c r="D311" t="s">
        <v>956</v>
      </c>
      <c r="E311" t="str">
        <f>_xll.BDP($B311,"LEGAL_ENTITY_IDENTIFIER")</f>
        <v>CD30XVRLT4QO00B1C706</v>
      </c>
      <c r="F311" t="s">
        <v>957</v>
      </c>
      <c r="G311" t="str">
        <f>custodian!D311</f>
        <v>15089QAW4</v>
      </c>
      <c r="H311" t="str">
        <f>_xll.BDP($B311,"ID_ISIN")</f>
        <v>US15089QAW42</v>
      </c>
      <c r="I311" s="1"/>
      <c r="J311" t="str">
        <f>_xll.BDP($B311,"CNTRY_OF_DOMICILE")</f>
        <v>US</v>
      </c>
      <c r="K311" t="s">
        <v>626</v>
      </c>
      <c r="L311" t="s">
        <v>99</v>
      </c>
      <c r="O311" s="1"/>
      <c r="AQ311" s="1"/>
      <c r="AR311" s="1"/>
      <c r="AS311" s="1"/>
      <c r="AT311" t="str">
        <f>TEXT(_xll.BDP($B311,"MATURITY"),"yyyy-mm-dd")</f>
        <v>2028-11-15</v>
      </c>
      <c r="AU311" t="str">
        <f>_xll.BDP($B311,"CPN_TYP")</f>
        <v>FIXED</v>
      </c>
      <c r="AV311">
        <f>_xll.BDP($B311,"CPN")</f>
        <v>7.3500000000000014</v>
      </c>
    </row>
    <row r="312" spans="1:48" x14ac:dyDescent="0.25">
      <c r="A312" t="s">
        <v>828</v>
      </c>
      <c r="B312" t="s">
        <v>958</v>
      </c>
      <c r="C312" s="1" t="s">
        <v>959</v>
      </c>
      <c r="D312" t="s">
        <v>960</v>
      </c>
      <c r="E312" t="str">
        <f>_xll.BDP($B312,"LEGAL_ENTITY_IDENTIFIER")</f>
        <v>549300Z7JJ4TQSQGT333</v>
      </c>
      <c r="F312" t="s">
        <v>960</v>
      </c>
      <c r="G312" t="str">
        <f>custodian!D312</f>
        <v>15135BAT8</v>
      </c>
      <c r="H312" t="str">
        <f>_xll.BDP($B312,"ID_ISIN")</f>
        <v>US15135BAT89</v>
      </c>
      <c r="I312" s="1"/>
      <c r="J312" t="str">
        <f>_xll.BDP($B312,"CNTRY_OF_DOMICILE")</f>
        <v>US</v>
      </c>
      <c r="K312" t="s">
        <v>626</v>
      </c>
      <c r="L312" t="s">
        <v>99</v>
      </c>
      <c r="O312" s="1"/>
      <c r="AQ312" s="1"/>
      <c r="AR312" s="1"/>
      <c r="AS312" s="1"/>
      <c r="AT312" t="str">
        <f>TEXT(_xll.BDP($B312,"MATURITY"),"yyyy-mm-dd")</f>
        <v>2029-12-15</v>
      </c>
      <c r="AU312" t="str">
        <f>_xll.BDP($B312,"CPN_TYP")</f>
        <v>FIXED</v>
      </c>
      <c r="AV312">
        <f>_xll.BDP($B312,"CPN")</f>
        <v>4.625</v>
      </c>
    </row>
    <row r="313" spans="1:48" x14ac:dyDescent="0.25">
      <c r="A313" t="s">
        <v>828</v>
      </c>
      <c r="B313" t="s">
        <v>961</v>
      </c>
      <c r="C313" s="1" t="s">
        <v>962</v>
      </c>
      <c r="D313" t="s">
        <v>963</v>
      </c>
      <c r="E313" t="str">
        <f>_xll.BDP($B313,"LEGAL_ENTITY_IDENTIFIER")</f>
        <v>8M3THTGWLTYZVE6BBY25</v>
      </c>
      <c r="F313" t="s">
        <v>964</v>
      </c>
      <c r="G313" t="str">
        <f>custodian!D313</f>
        <v>156686AM9</v>
      </c>
      <c r="H313" t="str">
        <f>_xll.BDP($B313,"ID_ISIN")</f>
        <v>US156686AM96</v>
      </c>
      <c r="I313" s="1"/>
      <c r="J313" t="str">
        <f>_xll.BDP($B313,"CNTRY_OF_DOMICILE")</f>
        <v>US</v>
      </c>
      <c r="K313" t="s">
        <v>626</v>
      </c>
      <c r="L313" t="s">
        <v>99</v>
      </c>
      <c r="O313" s="1"/>
      <c r="AQ313" s="1"/>
      <c r="AR313" s="1"/>
      <c r="AS313" s="1"/>
      <c r="AT313" t="str">
        <f>TEXT(_xll.BDP($B313,"MATURITY"),"yyyy-mm-dd")</f>
        <v>2028-01-15</v>
      </c>
      <c r="AU313" t="str">
        <f>_xll.BDP($B313,"CPN_TYP")</f>
        <v>FIXED</v>
      </c>
      <c r="AV313">
        <f>_xll.BDP($B313,"CPN")</f>
        <v>6.875</v>
      </c>
    </row>
    <row r="314" spans="1:48" x14ac:dyDescent="0.25">
      <c r="A314" t="s">
        <v>828</v>
      </c>
      <c r="B314" t="s">
        <v>965</v>
      </c>
      <c r="C314" s="1" t="s">
        <v>966</v>
      </c>
      <c r="D314" t="s">
        <v>967</v>
      </c>
      <c r="E314" t="str">
        <f>_xll.BDP($B314,"LEGAL_ENTITY_IDENTIFIER")</f>
        <v>54930008H2137JSCPQ09</v>
      </c>
      <c r="F314" t="s">
        <v>968</v>
      </c>
      <c r="G314" t="str">
        <f>custodian!D314</f>
        <v>172441BF3</v>
      </c>
      <c r="H314" t="str">
        <f>_xll.BDP($B314,"ID_ISIN")</f>
        <v>US172441BF30</v>
      </c>
      <c r="I314" s="1"/>
      <c r="J314" t="str">
        <f>_xll.BDP($B314,"CNTRY_OF_DOMICILE")</f>
        <v>US</v>
      </c>
      <c r="K314" t="s">
        <v>626</v>
      </c>
      <c r="L314" t="s">
        <v>99</v>
      </c>
      <c r="O314" s="1"/>
      <c r="AQ314" s="1"/>
      <c r="AR314" s="1"/>
      <c r="AS314" s="1"/>
      <c r="AT314" t="str">
        <f>TEXT(_xll.BDP($B314,"MATURITY"),"yyyy-mm-dd")</f>
        <v>2028-07-15</v>
      </c>
      <c r="AU314" t="str">
        <f>_xll.BDP($B314,"CPN_TYP")</f>
        <v>FIXED</v>
      </c>
      <c r="AV314">
        <f>_xll.BDP($B314,"CPN")</f>
        <v>5.25</v>
      </c>
    </row>
    <row r="315" spans="1:48" x14ac:dyDescent="0.25">
      <c r="A315" t="s">
        <v>828</v>
      </c>
      <c r="B315" t="s">
        <v>969</v>
      </c>
      <c r="C315" s="1" t="s">
        <v>970</v>
      </c>
      <c r="D315" t="s">
        <v>971</v>
      </c>
      <c r="E315" t="str">
        <f>_xll.BDP($B315,"LEGAL_ENTITY_IDENTIFIER")</f>
        <v>YX52P86PXMLYDOTUQ225</v>
      </c>
      <c r="F315" t="s">
        <v>972</v>
      </c>
      <c r="G315" t="str">
        <f>custodian!D315</f>
        <v>17302XAN6</v>
      </c>
      <c r="H315" t="str">
        <f>_xll.BDP($B315,"ID_ISIN")</f>
        <v>US17302XAN66</v>
      </c>
      <c r="I315" s="1"/>
      <c r="J315" t="str">
        <f>_xll.BDP($B315,"CNTRY_OF_DOMICILE")</f>
        <v>US</v>
      </c>
      <c r="K315" t="s">
        <v>626</v>
      </c>
      <c r="L315" t="s">
        <v>99</v>
      </c>
      <c r="O315" s="1"/>
      <c r="AQ315" s="1"/>
      <c r="AR315" s="1"/>
      <c r="AS315" s="1"/>
      <c r="AT315" t="str">
        <f>TEXT(_xll.BDP($B315,"MATURITY"),"yyyy-mm-dd")</f>
        <v>2029-01-15</v>
      </c>
      <c r="AU315" t="str">
        <f>_xll.BDP($B315,"CPN_TYP")</f>
        <v>FIXED</v>
      </c>
      <c r="AV315">
        <f>_xll.BDP($B315,"CPN")</f>
        <v>8.375</v>
      </c>
    </row>
    <row r="316" spans="1:48" x14ac:dyDescent="0.25">
      <c r="A316" t="s">
        <v>828</v>
      </c>
      <c r="B316" t="s">
        <v>973</v>
      </c>
      <c r="C316" s="1" t="s">
        <v>974</v>
      </c>
      <c r="D316" t="s">
        <v>975</v>
      </c>
      <c r="E316" t="str">
        <f>_xll.BDP($B316,"LEGAL_ENTITY_IDENTIFIER")</f>
        <v>#N/A N/A</v>
      </c>
      <c r="F316" t="s">
        <v>976</v>
      </c>
      <c r="G316" t="str">
        <f>custodian!D316</f>
        <v>18064PAD1</v>
      </c>
      <c r="H316" t="str">
        <f>_xll.BDP($B316,"ID_ISIN")</f>
        <v>US18064PAD15</v>
      </c>
      <c r="I316" s="1"/>
      <c r="J316" t="str">
        <f>_xll.BDP($B316,"CNTRY_OF_DOMICILE")</f>
        <v>US</v>
      </c>
      <c r="K316" t="s">
        <v>626</v>
      </c>
      <c r="L316" t="s">
        <v>99</v>
      </c>
      <c r="O316" s="1"/>
      <c r="AQ316" s="1"/>
      <c r="AR316" s="1"/>
      <c r="AS316" s="1"/>
      <c r="AT316" t="str">
        <f>TEXT(_xll.BDP($B316,"MATURITY"),"yyyy-mm-dd")</f>
        <v>2029-07-01</v>
      </c>
      <c r="AU316" t="str">
        <f>_xll.BDP($B316,"CPN_TYP")</f>
        <v>FIXED</v>
      </c>
      <c r="AV316">
        <f>_xll.BDP($B316,"CPN")</f>
        <v>4.875</v>
      </c>
    </row>
    <row r="317" spans="1:48" x14ac:dyDescent="0.25">
      <c r="A317" t="s">
        <v>828</v>
      </c>
      <c r="B317" t="s">
        <v>977</v>
      </c>
      <c r="C317" s="1" t="s">
        <v>978</v>
      </c>
      <c r="D317" t="s">
        <v>979</v>
      </c>
      <c r="E317" t="str">
        <f>_xll.BDP($B317,"LEGAL_ENTITY_IDENTIFIER")</f>
        <v>254900XBEE6V1ENYS150</v>
      </c>
      <c r="F317" t="s">
        <v>980</v>
      </c>
      <c r="G317" t="str">
        <f>custodian!D317</f>
        <v>18453HAF3</v>
      </c>
      <c r="H317" t="str">
        <f>_xll.BDP($B317,"ID_ISIN")</f>
        <v>US18453HAF38</v>
      </c>
      <c r="I317" s="1"/>
      <c r="J317" t="str">
        <f>_xll.BDP($B317,"CNTRY_OF_DOMICILE")</f>
        <v>US</v>
      </c>
      <c r="K317" t="s">
        <v>626</v>
      </c>
      <c r="L317" t="s">
        <v>99</v>
      </c>
      <c r="O317" s="1"/>
      <c r="AQ317" s="1"/>
      <c r="AR317" s="1"/>
      <c r="AS317" s="1"/>
      <c r="AT317" t="str">
        <f>TEXT(_xll.BDP($B317,"MATURITY"),"yyyy-mm-dd")</f>
        <v>2030-04-01</v>
      </c>
      <c r="AU317" t="str">
        <f>_xll.BDP($B317,"CPN_TYP")</f>
        <v>FIXED</v>
      </c>
      <c r="AV317">
        <f>_xll.BDP($B317,"CPN")</f>
        <v>7.875</v>
      </c>
    </row>
    <row r="318" spans="1:48" x14ac:dyDescent="0.25">
      <c r="A318" t="s">
        <v>828</v>
      </c>
      <c r="B318" t="s">
        <v>981</v>
      </c>
      <c r="C318" s="1" t="s">
        <v>982</v>
      </c>
      <c r="D318" t="s">
        <v>983</v>
      </c>
      <c r="E318" t="str">
        <f>_xll.BDP($B318,"LEGAL_ENTITY_IDENTIFIER")</f>
        <v>549300TM2WLI2BJMDD86</v>
      </c>
      <c r="F318" t="s">
        <v>984</v>
      </c>
      <c r="G318" t="str">
        <f>custodian!D318</f>
        <v>185899AN1</v>
      </c>
      <c r="H318" t="str">
        <f>_xll.BDP($B318,"ID_ISIN")</f>
        <v>US185899AN14</v>
      </c>
      <c r="I318" s="1"/>
      <c r="J318" t="str">
        <f>_xll.BDP($B318,"CNTRY_OF_DOMICILE")</f>
        <v>US</v>
      </c>
      <c r="K318" t="s">
        <v>626</v>
      </c>
      <c r="L318" t="s">
        <v>99</v>
      </c>
      <c r="O318" s="1"/>
      <c r="AQ318" s="1"/>
      <c r="AR318" s="1"/>
      <c r="AS318" s="1"/>
      <c r="AT318" t="str">
        <f>TEXT(_xll.BDP($B318,"MATURITY"),"yyyy-mm-dd")</f>
        <v>2030-04-15</v>
      </c>
      <c r="AU318" t="str">
        <f>_xll.BDP($B318,"CPN_TYP")</f>
        <v>FIXED</v>
      </c>
      <c r="AV318">
        <f>_xll.BDP($B318,"CPN")</f>
        <v>6.75</v>
      </c>
    </row>
    <row r="319" spans="1:48" x14ac:dyDescent="0.25">
      <c r="A319" t="s">
        <v>828</v>
      </c>
      <c r="B319" t="s">
        <v>985</v>
      </c>
      <c r="C319" s="1" t="s">
        <v>986</v>
      </c>
      <c r="D319" t="s">
        <v>987</v>
      </c>
      <c r="E319" t="str">
        <f>_xll.BDP($B319,"LEGAL_ENTITY_IDENTIFIER")</f>
        <v>04EEB871XLHVNY4RZJ65</v>
      </c>
      <c r="F319" t="s">
        <v>988</v>
      </c>
      <c r="G319" t="str">
        <f>custodian!D319</f>
        <v>18912UAA0</v>
      </c>
      <c r="H319" t="str">
        <f>_xll.BDP($B319,"ID_ISIN")</f>
        <v>US18912UAA07</v>
      </c>
      <c r="I319" s="1"/>
      <c r="J319" t="str">
        <f>_xll.BDP($B319,"CNTRY_OF_DOMICILE")</f>
        <v>US</v>
      </c>
      <c r="K319" t="s">
        <v>626</v>
      </c>
      <c r="L319" t="s">
        <v>99</v>
      </c>
      <c r="O319" s="1"/>
      <c r="AQ319" s="1"/>
      <c r="AR319" s="1"/>
      <c r="AS319" s="1"/>
      <c r="AT319" t="str">
        <f>TEXT(_xll.BDP($B319,"MATURITY"),"yyyy-mm-dd")</f>
        <v>2029-09-30</v>
      </c>
      <c r="AU319" t="str">
        <f>_xll.BDP($B319,"CPN_TYP")</f>
        <v>FIXED</v>
      </c>
      <c r="AV319">
        <f>_xll.BDP($B319,"CPN")</f>
        <v>9</v>
      </c>
    </row>
    <row r="320" spans="1:48" x14ac:dyDescent="0.25">
      <c r="A320" t="s">
        <v>828</v>
      </c>
      <c r="B320" t="s">
        <v>989</v>
      </c>
      <c r="C320" s="1" t="s">
        <v>990</v>
      </c>
      <c r="D320" t="s">
        <v>991</v>
      </c>
      <c r="E320" t="str">
        <f>_xll.BDP($B320,"LEGAL_ENTITY_IDENTIFIER")</f>
        <v>254900QKSDYFR3K5YD98</v>
      </c>
      <c r="F320" t="s">
        <v>992</v>
      </c>
      <c r="G320" t="str">
        <f>custodian!D320</f>
        <v>18972EAB1</v>
      </c>
      <c r="H320" t="str">
        <f>_xll.BDP($B320,"ID_ISIN")</f>
        <v>US18972EAB11</v>
      </c>
      <c r="I320" s="1"/>
      <c r="J320" t="str">
        <f>_xll.BDP($B320,"CNTRY_OF_DOMICILE")</f>
        <v>US</v>
      </c>
      <c r="K320" t="s">
        <v>626</v>
      </c>
      <c r="L320" t="s">
        <v>99</v>
      </c>
      <c r="O320" s="1"/>
      <c r="AQ320" s="1"/>
      <c r="AR320" s="1"/>
      <c r="AS320" s="1"/>
      <c r="AT320" t="str">
        <f>TEXT(_xll.BDP($B320,"MATURITY"),"yyyy-mm-dd")</f>
        <v>2030-04-15</v>
      </c>
      <c r="AU320" t="str">
        <f>_xll.BDP($B320,"CPN_TYP")</f>
        <v>FIXED</v>
      </c>
      <c r="AV320">
        <f>_xll.BDP($B320,"CPN")</f>
        <v>8.75</v>
      </c>
    </row>
    <row r="321" spans="1:48" x14ac:dyDescent="0.25">
      <c r="A321" t="s">
        <v>828</v>
      </c>
      <c r="B321" t="s">
        <v>993</v>
      </c>
      <c r="C321" s="1" t="s">
        <v>994</v>
      </c>
      <c r="D321" t="s">
        <v>995</v>
      </c>
      <c r="E321" t="str">
        <f>_xll.BDP($B321,"LEGAL_ENTITY_IDENTIFIER")</f>
        <v>#N/A N/A</v>
      </c>
      <c r="F321" t="s">
        <v>996</v>
      </c>
      <c r="G321" t="str">
        <f>custodian!D321</f>
        <v>20752TAB0</v>
      </c>
      <c r="H321" t="str">
        <f>_xll.BDP($B321,"ID_ISIN")</f>
        <v>US20752TAB08</v>
      </c>
      <c r="I321" s="1"/>
      <c r="J321" t="str">
        <f>_xll.BDP($B321,"CNTRY_OF_DOMICILE")</f>
        <v>LU</v>
      </c>
      <c r="K321" t="s">
        <v>626</v>
      </c>
      <c r="L321" t="s">
        <v>99</v>
      </c>
      <c r="O321" s="1"/>
      <c r="AQ321" s="1"/>
      <c r="AR321" s="1"/>
      <c r="AS321" s="1"/>
      <c r="AT321" t="str">
        <f>TEXT(_xll.BDP($B321,"MATURITY"),"yyyy-mm-dd")</f>
        <v>2029-09-15</v>
      </c>
      <c r="AU321" t="str">
        <f>_xll.BDP($B321,"CPN_TYP")</f>
        <v>FIXED</v>
      </c>
      <c r="AV321">
        <f>_xll.BDP($B321,"CPN")</f>
        <v>9</v>
      </c>
    </row>
    <row r="322" spans="1:48" x14ac:dyDescent="0.25">
      <c r="A322" t="s">
        <v>828</v>
      </c>
      <c r="B322" t="s">
        <v>997</v>
      </c>
      <c r="C322" s="1" t="s">
        <v>998</v>
      </c>
      <c r="D322" t="s">
        <v>999</v>
      </c>
      <c r="E322" t="str">
        <f>_xll.BDP($B322,"LEGAL_ENTITY_IDENTIFIER")</f>
        <v>254900LCX7S2QHYUOI31</v>
      </c>
      <c r="F322" t="s">
        <v>1000</v>
      </c>
      <c r="G322" t="str">
        <f>custodian!D322</f>
        <v>20753PAD3</v>
      </c>
      <c r="H322" t="str">
        <f>_xll.BDP($B322,"ID_ISIN")</f>
        <v>US20753PAD33</v>
      </c>
      <c r="I322" s="1"/>
      <c r="J322" t="str">
        <f>_xll.BDP($B322,"CNTRY_OF_DOMICILE")</f>
        <v>US</v>
      </c>
      <c r="K322" t="s">
        <v>626</v>
      </c>
      <c r="L322" t="s">
        <v>99</v>
      </c>
      <c r="O322" s="1"/>
      <c r="AQ322" s="1"/>
      <c r="AR322" s="1"/>
      <c r="AS322" s="1"/>
      <c r="AT322" t="str">
        <f>TEXT(_xll.BDP($B322,"MATURITY"),"yyyy-mm-dd")</f>
        <v>2031-04-03</v>
      </c>
      <c r="AU322" t="str">
        <f>_xll.BDP($B322,"CPN_TYP")</f>
        <v>FIXED</v>
      </c>
      <c r="AV322">
        <f>_xll.BDP($B322,"CPN")</f>
        <v>10.5</v>
      </c>
    </row>
    <row r="323" spans="1:48" x14ac:dyDescent="0.25">
      <c r="A323" t="s">
        <v>828</v>
      </c>
      <c r="B323" t="s">
        <v>1001</v>
      </c>
      <c r="C323" s="1" t="s">
        <v>1002</v>
      </c>
      <c r="D323" t="s">
        <v>1003</v>
      </c>
      <c r="E323" t="str">
        <f>_xll.BDP($B323,"LEGAL_ENTITY_IDENTIFIER")</f>
        <v>#N/A N/A</v>
      </c>
      <c r="F323" t="s">
        <v>1004</v>
      </c>
      <c r="G323" t="str">
        <f>custodian!D323</f>
        <v>20848VAB1</v>
      </c>
      <c r="H323" t="str">
        <f>_xll.BDP($B323,"ID_ISIN")</f>
        <v>US20848VAB18</v>
      </c>
      <c r="I323" s="1"/>
      <c r="J323" t="str">
        <f>_xll.BDP($B323,"CNTRY_OF_DOMICILE")</f>
        <v>US</v>
      </c>
      <c r="K323" t="s">
        <v>626</v>
      </c>
      <c r="L323" t="s">
        <v>99</v>
      </c>
      <c r="O323" s="1"/>
      <c r="AQ323" s="1"/>
      <c r="AR323" s="1"/>
      <c r="AS323" s="1"/>
      <c r="AT323" t="str">
        <f>TEXT(_xll.BDP($B323,"MATURITY"),"yyyy-mm-dd")</f>
        <v>2028-10-15</v>
      </c>
      <c r="AU323" t="str">
        <f>_xll.BDP($B323,"CPN_TYP")</f>
        <v>FIXED</v>
      </c>
      <c r="AV323">
        <f>_xll.BDP($B323,"CPN")</f>
        <v>6.5</v>
      </c>
    </row>
    <row r="324" spans="1:48" x14ac:dyDescent="0.25">
      <c r="A324" t="s">
        <v>828</v>
      </c>
      <c r="B324" t="s">
        <v>1005</v>
      </c>
      <c r="C324" s="1" t="s">
        <v>1006</v>
      </c>
      <c r="D324" t="s">
        <v>1007</v>
      </c>
      <c r="E324" t="str">
        <f>_xll.BDP($B324,"LEGAL_ENTITY_IDENTIFIER")</f>
        <v>984500511DP2B6186053</v>
      </c>
      <c r="F324" t="s">
        <v>1007</v>
      </c>
      <c r="G324" t="str">
        <f>custodian!D324</f>
        <v>21873SAB4</v>
      </c>
      <c r="H324" t="str">
        <f>_xll.BDP($B324,"ID_ISIN")</f>
        <v>US21873SAB43</v>
      </c>
      <c r="I324" s="1"/>
      <c r="J324" t="str">
        <f>_xll.BDP($B324,"CNTRY_OF_DOMICILE")</f>
        <v>US</v>
      </c>
      <c r="K324" t="s">
        <v>626</v>
      </c>
      <c r="L324" t="s">
        <v>99</v>
      </c>
      <c r="O324" s="1"/>
      <c r="AQ324" s="1"/>
      <c r="AR324" s="1"/>
      <c r="AS324" s="1"/>
      <c r="AT324" t="str">
        <f>TEXT(_xll.BDP($B324,"MATURITY"),"yyyy-mm-dd")</f>
        <v>2030-06-01</v>
      </c>
      <c r="AU324" t="str">
        <f>_xll.BDP($B324,"CPN_TYP")</f>
        <v>FIXED</v>
      </c>
      <c r="AV324">
        <f>_xll.BDP($B324,"CPN")</f>
        <v>9.25</v>
      </c>
    </row>
    <row r="325" spans="1:48" x14ac:dyDescent="0.25">
      <c r="A325" t="s">
        <v>828</v>
      </c>
      <c r="B325" t="s">
        <v>1008</v>
      </c>
      <c r="C325" s="1" t="s">
        <v>1009</v>
      </c>
      <c r="D325" t="s">
        <v>1010</v>
      </c>
      <c r="E325" t="str">
        <f>_xll.BDP($B325,"LEGAL_ENTITY_IDENTIFIER")</f>
        <v>#N/A N/A</v>
      </c>
      <c r="F325" t="s">
        <v>1011</v>
      </c>
      <c r="G325" t="str">
        <f>custodian!D325</f>
        <v>21874LAA0</v>
      </c>
      <c r="H325" t="str">
        <f>_xll.BDP($B325,"ID_ISIN")</f>
        <v>US21874LAA08</v>
      </c>
      <c r="I325" s="1"/>
      <c r="J325" t="str">
        <f>_xll.BDP($B325,"CNTRY_OF_DOMICILE")</f>
        <v>US</v>
      </c>
      <c r="K325" t="s">
        <v>626</v>
      </c>
      <c r="L325" t="s">
        <v>99</v>
      </c>
      <c r="O325" s="1"/>
      <c r="AQ325" s="1"/>
      <c r="AR325" s="1"/>
      <c r="AS325" s="1"/>
      <c r="AT325" t="str">
        <f>TEXT(_xll.BDP($B325,"MATURITY"),"yyyy-mm-dd")</f>
        <v>2031-05-15</v>
      </c>
      <c r="AU325" t="str">
        <f>_xll.BDP($B325,"CPN_TYP")</f>
        <v>FIXED</v>
      </c>
      <c r="AV325">
        <f>_xll.BDP($B325,"CPN")</f>
        <v>7.75</v>
      </c>
    </row>
    <row r="326" spans="1:48" x14ac:dyDescent="0.25">
      <c r="A326" t="s">
        <v>828</v>
      </c>
      <c r="B326" t="s">
        <v>1012</v>
      </c>
      <c r="C326" s="1" t="s">
        <v>1013</v>
      </c>
      <c r="D326" t="s">
        <v>1014</v>
      </c>
      <c r="E326" t="str">
        <f>_xll.BDP($B326,"LEGAL_ENTITY_IDENTIFIER")</f>
        <v>549300B0J6YCXD63OG72</v>
      </c>
      <c r="F326" t="s">
        <v>1014</v>
      </c>
      <c r="G326" t="str">
        <f>custodian!D326</f>
        <v>227046AA7</v>
      </c>
      <c r="H326" t="str">
        <f>_xll.BDP($B326,"ID_ISIN")</f>
        <v>US227046AA78</v>
      </c>
      <c r="I326" s="1"/>
      <c r="J326" t="str">
        <f>_xll.BDP($B326,"CNTRY_OF_DOMICILE")</f>
        <v>US</v>
      </c>
      <c r="K326" t="s">
        <v>626</v>
      </c>
      <c r="L326" t="s">
        <v>99</v>
      </c>
      <c r="O326" s="1"/>
      <c r="AQ326" s="1"/>
      <c r="AR326" s="1"/>
      <c r="AS326" s="1"/>
      <c r="AT326" t="str">
        <f>TEXT(_xll.BDP($B326,"MATURITY"),"yyyy-mm-dd")</f>
        <v>2029-03-15</v>
      </c>
      <c r="AU326" t="str">
        <f>_xll.BDP($B326,"CPN_TYP")</f>
        <v>FIXED</v>
      </c>
      <c r="AV326">
        <f>_xll.BDP($B326,"CPN")</f>
        <v>4.25</v>
      </c>
    </row>
    <row r="327" spans="1:48" x14ac:dyDescent="0.25">
      <c r="A327" t="s">
        <v>828</v>
      </c>
      <c r="B327" t="s">
        <v>1015</v>
      </c>
      <c r="C327" s="1" t="s">
        <v>1016</v>
      </c>
      <c r="D327" t="s">
        <v>1017</v>
      </c>
      <c r="E327" t="str">
        <f>_xll.BDP($B327,"LEGAL_ENTITY_IDENTIFIER")</f>
        <v>#N/A N/A</v>
      </c>
      <c r="F327" t="s">
        <v>1018</v>
      </c>
      <c r="G327" t="str">
        <f>custodian!D327</f>
        <v>23292NAA6</v>
      </c>
      <c r="H327" t="str">
        <f>_xll.BDP($B327,"ID_ISIN")</f>
        <v>US23292NAA63</v>
      </c>
      <c r="I327" s="1"/>
      <c r="J327" t="str">
        <f>_xll.BDP($B327,"CNTRY_OF_DOMICILE")</f>
        <v>US</v>
      </c>
      <c r="K327" t="s">
        <v>626</v>
      </c>
      <c r="L327" t="s">
        <v>99</v>
      </c>
      <c r="O327" s="1"/>
      <c r="AQ327" s="1"/>
      <c r="AR327" s="1"/>
      <c r="AS327" s="1"/>
      <c r="AT327" t="str">
        <f>TEXT(_xll.BDP($B327,"MATURITY"),"yyyy-mm-dd")</f>
        <v>2031-04-15</v>
      </c>
      <c r="AU327" t="str">
        <f>_xll.BDP($B327,"CPN_TYP")</f>
        <v>FIXED</v>
      </c>
      <c r="AV327">
        <f>_xll.BDP($B327,"CPN")</f>
        <v>6.125</v>
      </c>
    </row>
    <row r="328" spans="1:48" x14ac:dyDescent="0.25">
      <c r="A328" t="s">
        <v>828</v>
      </c>
      <c r="B328" t="s">
        <v>1019</v>
      </c>
      <c r="C328" s="1" t="s">
        <v>1020</v>
      </c>
      <c r="D328" t="s">
        <v>1021</v>
      </c>
      <c r="E328" t="str">
        <f>_xll.BDP($B328,"LEGAL_ENTITY_IDENTIFIER")</f>
        <v>M2XHYMU3TZNEZURC6H66</v>
      </c>
      <c r="F328" t="s">
        <v>1021</v>
      </c>
      <c r="G328" t="str">
        <f>custodian!D328</f>
        <v>23918KAS7</v>
      </c>
      <c r="H328" t="str">
        <f>_xll.BDP($B328,"ID_ISIN")</f>
        <v>US23918KAS78</v>
      </c>
      <c r="I328" s="1"/>
      <c r="J328" t="str">
        <f>_xll.BDP($B328,"CNTRY_OF_DOMICILE")</f>
        <v>US</v>
      </c>
      <c r="K328" t="s">
        <v>626</v>
      </c>
      <c r="L328" t="s">
        <v>99</v>
      </c>
      <c r="O328" s="1"/>
      <c r="AQ328" s="1"/>
      <c r="AR328" s="1"/>
      <c r="AS328" s="1"/>
      <c r="AT328" t="str">
        <f>TEXT(_xll.BDP($B328,"MATURITY"),"yyyy-mm-dd")</f>
        <v>2030-06-01</v>
      </c>
      <c r="AU328" t="str">
        <f>_xll.BDP($B328,"CPN_TYP")</f>
        <v>FIXED</v>
      </c>
      <c r="AV328">
        <f>_xll.BDP($B328,"CPN")</f>
        <v>4.625</v>
      </c>
    </row>
    <row r="329" spans="1:48" x14ac:dyDescent="0.25">
      <c r="A329" t="s">
        <v>828</v>
      </c>
      <c r="B329" t="s">
        <v>1022</v>
      </c>
      <c r="C329" s="1" t="s">
        <v>1023</v>
      </c>
      <c r="D329" t="s">
        <v>1024</v>
      </c>
      <c r="E329" t="str">
        <f>_xll.BDP($B329,"LEGAL_ENTITY_IDENTIFIER")</f>
        <v>549300DCGXFXAP2FEV07</v>
      </c>
      <c r="F329" t="s">
        <v>1025</v>
      </c>
      <c r="G329" t="str">
        <f>custodian!D329</f>
        <v>254032AD7</v>
      </c>
      <c r="H329" t="str">
        <f>_xll.BDP($B329,"ID_ISIN")</f>
        <v>US254032AD75</v>
      </c>
      <c r="I329" s="1"/>
      <c r="J329" t="str">
        <f>_xll.BDP($B329,"CNTRY_OF_DOMICILE")</f>
        <v>NL</v>
      </c>
      <c r="K329" t="s">
        <v>626</v>
      </c>
      <c r="L329" t="s">
        <v>99</v>
      </c>
      <c r="O329" s="1"/>
      <c r="AQ329" s="1"/>
      <c r="AR329" s="1"/>
      <c r="AS329" s="1"/>
      <c r="AT329" t="str">
        <f>TEXT(_xll.BDP($B329,"MATURITY"),"yyyy-mm-dd")</f>
        <v>2031-01-22</v>
      </c>
      <c r="AU329" t="str">
        <f>_xll.BDP($B329,"CPN_TYP")</f>
        <v>FIXED</v>
      </c>
      <c r="AV329">
        <f>_xll.BDP($B329,"CPN")</f>
        <v>6.6</v>
      </c>
    </row>
    <row r="330" spans="1:48" x14ac:dyDescent="0.25">
      <c r="A330" t="s">
        <v>828</v>
      </c>
      <c r="B330" t="s">
        <v>1026</v>
      </c>
      <c r="C330" s="1" t="s">
        <v>1027</v>
      </c>
      <c r="D330" t="s">
        <v>1028</v>
      </c>
      <c r="E330" t="str">
        <f>_xll.BDP($B330,"LEGAL_ENTITY_IDENTIFIER")</f>
        <v>#N/A N/A</v>
      </c>
      <c r="F330" t="s">
        <v>1029</v>
      </c>
      <c r="G330" t="str">
        <f>custodian!D330</f>
        <v>25461LAD4</v>
      </c>
      <c r="H330" t="str">
        <f>_xll.BDP($B330,"ID_ISIN")</f>
        <v>US25461LAD47</v>
      </c>
      <c r="I330" s="1"/>
      <c r="J330" t="str">
        <f>_xll.BDP($B330,"CNTRY_OF_DOMICILE")</f>
        <v>US</v>
      </c>
      <c r="K330" t="s">
        <v>626</v>
      </c>
      <c r="L330" t="s">
        <v>99</v>
      </c>
      <c r="O330" s="1"/>
      <c r="AQ330" s="1"/>
      <c r="AR330" s="1"/>
      <c r="AS330" s="1"/>
      <c r="AT330" t="str">
        <f>TEXT(_xll.BDP($B330,"MATURITY"),"yyyy-mm-dd")</f>
        <v>2031-02-15</v>
      </c>
      <c r="AU330" t="str">
        <f>_xll.BDP($B330,"CPN_TYP")</f>
        <v>FIXED</v>
      </c>
      <c r="AV330">
        <f>_xll.BDP($B330,"CPN")</f>
        <v>10</v>
      </c>
    </row>
    <row r="331" spans="1:48" x14ac:dyDescent="0.25">
      <c r="A331" t="s">
        <v>828</v>
      </c>
      <c r="B331" t="s">
        <v>1030</v>
      </c>
      <c r="C331" s="1" t="s">
        <v>1031</v>
      </c>
      <c r="D331" t="s">
        <v>1032</v>
      </c>
      <c r="E331" t="str">
        <f>_xll.BDP($B331,"LEGAL_ENTITY_IDENTIFIER")</f>
        <v>529900U350CWHH15G169</v>
      </c>
      <c r="F331" t="s">
        <v>1033</v>
      </c>
      <c r="G331" t="str">
        <f>custodian!D331</f>
        <v>25470MAG4</v>
      </c>
      <c r="H331" t="str">
        <f>_xll.BDP($B331,"ID_ISIN")</f>
        <v>US25470MAG42</v>
      </c>
      <c r="I331" s="1"/>
      <c r="J331" t="str">
        <f>_xll.BDP($B331,"CNTRY_OF_DOMICILE")</f>
        <v>US</v>
      </c>
      <c r="K331" t="s">
        <v>626</v>
      </c>
      <c r="L331" t="s">
        <v>99</v>
      </c>
      <c r="O331" s="1"/>
      <c r="AQ331" s="1"/>
      <c r="AR331" s="1"/>
      <c r="AS331" s="1"/>
      <c r="AT331" t="str">
        <f>TEXT(_xll.BDP($B331,"MATURITY"),"yyyy-mm-dd")</f>
        <v>2027-11-15</v>
      </c>
      <c r="AU331" t="str">
        <f>_xll.BDP($B331,"CPN_TYP")</f>
        <v>FIXED</v>
      </c>
      <c r="AV331">
        <f>_xll.BDP($B331,"CPN")</f>
        <v>11.75</v>
      </c>
    </row>
    <row r="332" spans="1:48" x14ac:dyDescent="0.25">
      <c r="A332" t="s">
        <v>828</v>
      </c>
      <c r="B332" t="s">
        <v>1034</v>
      </c>
      <c r="C332" s="1" t="s">
        <v>1035</v>
      </c>
      <c r="D332" t="s">
        <v>1036</v>
      </c>
      <c r="E332" t="str">
        <f>_xll.BDP($B332,"LEGAL_ENTITY_IDENTIFIER")</f>
        <v>SU4X0P4WWRGOQDTSV032</v>
      </c>
      <c r="F332" t="s">
        <v>1037</v>
      </c>
      <c r="G332" t="str">
        <f>custodian!D332</f>
        <v>257867BJ9</v>
      </c>
      <c r="H332" t="str">
        <f>_xll.BDP($B332,"ID_ISIN")</f>
        <v>US257867BJ97</v>
      </c>
      <c r="I332" s="1"/>
      <c r="J332" t="str">
        <f>_xll.BDP($B332,"CNTRY_OF_DOMICILE")</f>
        <v>US</v>
      </c>
      <c r="K332" t="s">
        <v>626</v>
      </c>
      <c r="L332" t="s">
        <v>99</v>
      </c>
      <c r="O332" s="1"/>
      <c r="AQ332" s="1"/>
      <c r="AR332" s="1"/>
      <c r="AS332" s="1"/>
      <c r="AT332" t="str">
        <f>TEXT(_xll.BDP($B332,"MATURITY"),"yyyy-mm-dd")</f>
        <v>2029-08-01</v>
      </c>
      <c r="AU332" t="str">
        <f>_xll.BDP($B332,"CPN_TYP")</f>
        <v>FIXED</v>
      </c>
      <c r="AV332">
        <f>_xll.BDP($B332,"CPN")</f>
        <v>9.5</v>
      </c>
    </row>
    <row r="333" spans="1:48" x14ac:dyDescent="0.25">
      <c r="A333" t="s">
        <v>828</v>
      </c>
      <c r="B333" t="s">
        <v>1038</v>
      </c>
      <c r="C333" s="1" t="s">
        <v>1039</v>
      </c>
      <c r="D333" t="s">
        <v>1040</v>
      </c>
      <c r="E333" t="str">
        <f>_xll.BDP($B333,"LEGAL_ENTITY_IDENTIFIER")</f>
        <v>549300SHPNDCE059M934</v>
      </c>
      <c r="F333" t="s">
        <v>1041</v>
      </c>
      <c r="G333" t="str">
        <f>custodian!D333</f>
        <v>28414HAG8</v>
      </c>
      <c r="H333" t="str">
        <f>_xll.BDP($B333,"ID_ISIN")</f>
        <v>US28414HAG83</v>
      </c>
      <c r="I333" s="1"/>
      <c r="J333" t="str">
        <f>_xll.BDP($B333,"CNTRY_OF_DOMICILE")</f>
        <v>US</v>
      </c>
      <c r="K333" t="s">
        <v>626</v>
      </c>
      <c r="L333" t="s">
        <v>99</v>
      </c>
      <c r="O333" s="1"/>
      <c r="AQ333" s="1"/>
      <c r="AR333" s="1"/>
      <c r="AS333" s="1"/>
      <c r="AT333" t="str">
        <f>TEXT(_xll.BDP($B333,"MATURITY"),"yyyy-mm-dd")</f>
        <v>2028-08-28</v>
      </c>
      <c r="AU333" t="str">
        <f>_xll.BDP($B333,"CPN_TYP")</f>
        <v>FIXED</v>
      </c>
      <c r="AV333">
        <f>_xll.BDP($B333,"CPN")</f>
        <v>6.4</v>
      </c>
    </row>
    <row r="334" spans="1:48" x14ac:dyDescent="0.25">
      <c r="A334" t="s">
        <v>828</v>
      </c>
      <c r="B334" t="s">
        <v>1042</v>
      </c>
      <c r="C334" s="1" t="s">
        <v>1043</v>
      </c>
      <c r="D334" t="s">
        <v>1044</v>
      </c>
      <c r="E334" t="str">
        <f>_xll.BDP($B334,"LEGAL_ENTITY_IDENTIFIER")</f>
        <v>549300YW6TUOX8BE5103</v>
      </c>
      <c r="F334" t="s">
        <v>1045</v>
      </c>
      <c r="G334" t="str">
        <f>custodian!D334</f>
        <v>29089QAC9</v>
      </c>
      <c r="H334" t="str">
        <f>_xll.BDP($B334,"ID_ISIN")</f>
        <v>US29089QAC96</v>
      </c>
      <c r="I334" s="1"/>
      <c r="J334" t="str">
        <f>_xll.BDP($B334,"CNTRY_OF_DOMICILE")</f>
        <v>US</v>
      </c>
      <c r="K334" t="s">
        <v>626</v>
      </c>
      <c r="L334" t="s">
        <v>99</v>
      </c>
      <c r="O334" s="1"/>
      <c r="AQ334" s="1"/>
      <c r="AR334" s="1"/>
      <c r="AS334" s="1"/>
      <c r="AT334" t="str">
        <f>TEXT(_xll.BDP($B334,"MATURITY"),"yyyy-mm-dd")</f>
        <v>2028-08-15</v>
      </c>
      <c r="AU334" t="str">
        <f>_xll.BDP($B334,"CPN_TYP")</f>
        <v>FIXED</v>
      </c>
      <c r="AV334">
        <f>_xll.BDP($B334,"CPN")</f>
        <v>3.875</v>
      </c>
    </row>
    <row r="335" spans="1:48" x14ac:dyDescent="0.25">
      <c r="A335" t="s">
        <v>828</v>
      </c>
      <c r="B335" t="s">
        <v>1046</v>
      </c>
      <c r="C335" s="1" t="s">
        <v>1047</v>
      </c>
      <c r="D335" t="s">
        <v>1048</v>
      </c>
      <c r="E335" t="str">
        <f>_xll.BDP($B335,"LEGAL_ENTITY_IDENTIFIER")</f>
        <v>#N/A N/A</v>
      </c>
      <c r="F335" t="s">
        <v>1049</v>
      </c>
      <c r="G335" t="str">
        <f>custodian!D335</f>
        <v>29103CAA6</v>
      </c>
      <c r="H335" t="str">
        <f>_xll.BDP($B335,"ID_ISIN")</f>
        <v>US29103CAA62</v>
      </c>
      <c r="I335" s="1"/>
      <c r="J335" t="str">
        <f>_xll.BDP($B335,"CNTRY_OF_DOMICILE")</f>
        <v>US</v>
      </c>
      <c r="K335" t="s">
        <v>626</v>
      </c>
      <c r="L335" t="s">
        <v>99</v>
      </c>
      <c r="O335" s="1"/>
      <c r="AQ335" s="1"/>
      <c r="AR335" s="1"/>
      <c r="AS335" s="1"/>
      <c r="AT335" t="str">
        <f>TEXT(_xll.BDP($B335,"MATURITY"),"yyyy-mm-dd")</f>
        <v>2030-12-15</v>
      </c>
      <c r="AU335" t="str">
        <f>_xll.BDP($B335,"CPN_TYP")</f>
        <v>FIXED</v>
      </c>
      <c r="AV335">
        <f>_xll.BDP($B335,"CPN")</f>
        <v>6.625</v>
      </c>
    </row>
    <row r="336" spans="1:48" x14ac:dyDescent="0.25">
      <c r="A336" t="s">
        <v>828</v>
      </c>
      <c r="B336" t="s">
        <v>1050</v>
      </c>
      <c r="C336" s="1" t="s">
        <v>1051</v>
      </c>
      <c r="D336" t="s">
        <v>1052</v>
      </c>
      <c r="E336" t="str">
        <f>_xll.BDP($B336,"LEGAL_ENTITY_IDENTIFIER")</f>
        <v>549300JM1L6KK2QFP273</v>
      </c>
      <c r="F336" t="s">
        <v>1053</v>
      </c>
      <c r="G336" t="str">
        <f>custodian!D336</f>
        <v>29163VAG8</v>
      </c>
      <c r="H336" t="str">
        <f>_xll.BDP($B336,"ID_ISIN")</f>
        <v>US29163VAG86</v>
      </c>
      <c r="I336" s="1"/>
      <c r="J336" t="str">
        <f>_xll.BDP($B336,"CNTRY_OF_DOMICILE")</f>
        <v>CA</v>
      </c>
      <c r="K336" t="s">
        <v>626</v>
      </c>
      <c r="L336" t="s">
        <v>99</v>
      </c>
      <c r="O336" s="1"/>
      <c r="AQ336" s="1"/>
      <c r="AR336" s="1"/>
      <c r="AS336" s="1"/>
      <c r="AT336" t="str">
        <f>TEXT(_xll.BDP($B336,"MATURITY"),"yyyy-mm-dd")</f>
        <v>2029-05-01</v>
      </c>
      <c r="AU336" t="str">
        <f>_xll.BDP($B336,"CPN_TYP")</f>
        <v>FIXED</v>
      </c>
      <c r="AV336">
        <f>_xll.BDP($B336,"CPN")</f>
        <v>9.75</v>
      </c>
    </row>
    <row r="337" spans="1:48" x14ac:dyDescent="0.25">
      <c r="A337" t="s">
        <v>828</v>
      </c>
      <c r="B337" t="s">
        <v>1054</v>
      </c>
      <c r="C337" s="1" t="s">
        <v>1055</v>
      </c>
      <c r="D337" t="s">
        <v>1056</v>
      </c>
      <c r="E337" t="str">
        <f>_xll.BDP($B337,"LEGAL_ENTITY_IDENTIFIER")</f>
        <v>549300WBFN23L9HI5N68</v>
      </c>
      <c r="F337" t="s">
        <v>1057</v>
      </c>
      <c r="G337" t="str">
        <f>custodian!D337</f>
        <v>292052AF4</v>
      </c>
      <c r="H337" t="str">
        <f>_xll.BDP($B337,"ID_ISIN")</f>
        <v>US292052AF45</v>
      </c>
      <c r="I337" s="1"/>
      <c r="J337" t="str">
        <f>_xll.BDP($B337,"CNTRY_OF_DOMICILE")</f>
        <v>US</v>
      </c>
      <c r="K337" t="s">
        <v>626</v>
      </c>
      <c r="L337" t="s">
        <v>99</v>
      </c>
      <c r="O337" s="1"/>
      <c r="AQ337" s="1"/>
      <c r="AR337" s="1"/>
      <c r="AS337" s="1"/>
      <c r="AT337" t="str">
        <f>TEXT(_xll.BDP($B337,"MATURITY"),"yyyy-mm-dd")</f>
        <v>2026-11-01</v>
      </c>
      <c r="AU337" t="str">
        <f>_xll.BDP($B337,"CPN_TYP")</f>
        <v>FIXED</v>
      </c>
      <c r="AV337">
        <f>_xll.BDP($B337,"CPN")</f>
        <v>7.75</v>
      </c>
    </row>
    <row r="338" spans="1:48" x14ac:dyDescent="0.25">
      <c r="A338" t="s">
        <v>828</v>
      </c>
      <c r="B338" t="s">
        <v>1058</v>
      </c>
      <c r="C338" s="1" t="s">
        <v>1059</v>
      </c>
      <c r="D338" t="s">
        <v>1060</v>
      </c>
      <c r="E338" t="str">
        <f>_xll.BDP($B338,"LEGAL_ENTITY_IDENTIFIER")</f>
        <v>5493000UVC6H49CIH830</v>
      </c>
      <c r="F338" t="s">
        <v>1061</v>
      </c>
      <c r="G338" t="str">
        <f>custodian!D338</f>
        <v>292554AS1</v>
      </c>
      <c r="H338" t="str">
        <f>_xll.BDP($B338,"ID_ISIN")</f>
        <v>US292554AS19</v>
      </c>
      <c r="I338" s="1"/>
      <c r="J338" t="str">
        <f>_xll.BDP($B338,"CNTRY_OF_DOMICILE")</f>
        <v>US</v>
      </c>
      <c r="K338" t="s">
        <v>626</v>
      </c>
      <c r="L338" t="s">
        <v>99</v>
      </c>
      <c r="O338" s="1"/>
      <c r="AQ338" s="1"/>
      <c r="AR338" s="1"/>
      <c r="AS338" s="1"/>
      <c r="AT338" t="str">
        <f>TEXT(_xll.BDP($B338,"MATURITY"),"yyyy-mm-dd")</f>
        <v>2031-04-15</v>
      </c>
      <c r="AU338" t="str">
        <f>_xll.BDP($B338,"CPN_TYP")</f>
        <v>FIXED</v>
      </c>
      <c r="AV338">
        <f>_xll.BDP($B338,"CPN")</f>
        <v>6.625</v>
      </c>
    </row>
    <row r="339" spans="1:48" x14ac:dyDescent="0.25">
      <c r="A339" t="s">
        <v>828</v>
      </c>
      <c r="B339" t="s">
        <v>1062</v>
      </c>
      <c r="C339" s="1" t="s">
        <v>1063</v>
      </c>
      <c r="D339" t="s">
        <v>1064</v>
      </c>
      <c r="E339" t="str">
        <f>_xll.BDP($B339,"LEGAL_ENTITY_IDENTIFIER")</f>
        <v>549300ZNV0SWBXEIWT04</v>
      </c>
      <c r="F339" t="s">
        <v>1064</v>
      </c>
      <c r="G339" t="str">
        <f>custodian!D339</f>
        <v>29605JAA4</v>
      </c>
      <c r="H339" t="str">
        <f>_xll.BDP($B339,"ID_ISIN")</f>
        <v>US29605JAA43</v>
      </c>
      <c r="I339" s="1"/>
      <c r="J339" t="str">
        <f>_xll.BDP($B339,"CNTRY_OF_DOMICILE")</f>
        <v>US</v>
      </c>
      <c r="K339" t="s">
        <v>626</v>
      </c>
      <c r="L339" t="s">
        <v>99</v>
      </c>
      <c r="O339" s="1"/>
      <c r="AQ339" s="1"/>
      <c r="AR339" s="1"/>
      <c r="AS339" s="1"/>
      <c r="AT339" t="str">
        <f>TEXT(_xll.BDP($B339,"MATURITY"),"yyyy-mm-dd")</f>
        <v>2029-04-15</v>
      </c>
      <c r="AU339" t="str">
        <f>_xll.BDP($B339,"CPN_TYP")</f>
        <v>FIXED</v>
      </c>
      <c r="AV339">
        <f>_xll.BDP($B339,"CPN")</f>
        <v>6.25</v>
      </c>
    </row>
    <row r="340" spans="1:48" x14ac:dyDescent="0.25">
      <c r="A340" t="s">
        <v>828</v>
      </c>
      <c r="B340" t="s">
        <v>1065</v>
      </c>
      <c r="C340" s="1" t="s">
        <v>1066</v>
      </c>
      <c r="D340" t="s">
        <v>1067</v>
      </c>
      <c r="E340" t="str">
        <f>_xll.BDP($B340,"LEGAL_ENTITY_IDENTIFIER")</f>
        <v>#N/A N/A</v>
      </c>
      <c r="F340" t="s">
        <v>1068</v>
      </c>
      <c r="G340" t="str">
        <f>custodian!D340</f>
        <v>29882DAC7</v>
      </c>
      <c r="H340" t="str">
        <f>_xll.BDP($B340,"ID_ISIN")</f>
        <v>US29882DAC74</v>
      </c>
      <c r="I340" s="1"/>
      <c r="J340" t="str">
        <f>_xll.BDP($B340,"CNTRY_OF_DOMICILE")</f>
        <v>US</v>
      </c>
      <c r="K340" t="s">
        <v>626</v>
      </c>
      <c r="L340" t="s">
        <v>99</v>
      </c>
      <c r="O340" s="1"/>
      <c r="AQ340" s="1"/>
      <c r="AR340" s="1"/>
      <c r="AS340" s="1"/>
      <c r="AT340" t="str">
        <f>TEXT(_xll.BDP($B340,"MATURITY"),"yyyy-mm-dd")</f>
        <v>2056-04-01</v>
      </c>
      <c r="AU340" t="str">
        <f>_xll.BDP($B340,"CPN_TYP")</f>
        <v>VARIABLE</v>
      </c>
      <c r="AV340">
        <f>_xll.BDP($B340,"CPN")</f>
        <v>6.25</v>
      </c>
    </row>
    <row r="341" spans="1:48" x14ac:dyDescent="0.25">
      <c r="A341" t="s">
        <v>828</v>
      </c>
      <c r="B341" t="s">
        <v>1069</v>
      </c>
      <c r="C341" s="1" t="s">
        <v>1070</v>
      </c>
      <c r="D341" t="s">
        <v>1071</v>
      </c>
      <c r="E341" t="str">
        <f>_xll.BDP($B341,"LEGAL_ENTITY_IDENTIFIER")</f>
        <v>549300TYRSI1T21B1360</v>
      </c>
      <c r="F341" t="s">
        <v>1072</v>
      </c>
      <c r="G341" t="str">
        <f>custodian!D341</f>
        <v>302635AN7</v>
      </c>
      <c r="H341" t="str">
        <f>_xll.BDP($B341,"ID_ISIN")</f>
        <v>US302635AN71</v>
      </c>
      <c r="I341" s="1"/>
      <c r="J341" t="str">
        <f>_xll.BDP($B341,"CNTRY_OF_DOMICILE")</f>
        <v>US</v>
      </c>
      <c r="K341" t="s">
        <v>626</v>
      </c>
      <c r="L341" t="s">
        <v>99</v>
      </c>
      <c r="O341" s="1"/>
      <c r="AQ341" s="1"/>
      <c r="AR341" s="1"/>
      <c r="AS341" s="1"/>
      <c r="AT341" t="str">
        <f>TEXT(_xll.BDP($B341,"MATURITY"),"yyyy-mm-dd")</f>
        <v>2029-08-15</v>
      </c>
      <c r="AU341" t="str">
        <f>_xll.BDP($B341,"CPN_TYP")</f>
        <v>FIXED</v>
      </c>
      <c r="AV341">
        <f>_xll.BDP($B341,"CPN")</f>
        <v>6.875</v>
      </c>
    </row>
    <row r="342" spans="1:48" x14ac:dyDescent="0.25">
      <c r="A342" t="s">
        <v>828</v>
      </c>
      <c r="B342" t="s">
        <v>1073</v>
      </c>
      <c r="C342" s="1" t="s">
        <v>1074</v>
      </c>
      <c r="D342" t="s">
        <v>1075</v>
      </c>
      <c r="E342" t="str">
        <f>_xll.BDP($B342,"LEGAL_ENTITY_IDENTIFIER")</f>
        <v>#N/A N/A</v>
      </c>
      <c r="F342" t="s">
        <v>1076</v>
      </c>
      <c r="G342" t="str">
        <f>custodian!D342</f>
        <v>315292AU6</v>
      </c>
      <c r="H342" t="str">
        <f>_xll.BDP($B342,"ID_ISIN")</f>
        <v>US315292AU60</v>
      </c>
      <c r="I342" s="1"/>
      <c r="J342" t="str">
        <f>_xll.BDP($B342,"CNTRY_OF_DOMICILE")</f>
        <v>US</v>
      </c>
      <c r="K342" t="s">
        <v>626</v>
      </c>
      <c r="L342" t="s">
        <v>99</v>
      </c>
      <c r="O342" s="1"/>
      <c r="AQ342" s="1"/>
      <c r="AR342" s="1"/>
      <c r="AS342" s="1"/>
      <c r="AT342" t="str">
        <f>TEXT(_xll.BDP($B342,"MATURITY"),"yyyy-mm-dd")</f>
        <v>2031-01-15</v>
      </c>
      <c r="AU342" t="str">
        <f>_xll.BDP($B342,"CPN_TYP")</f>
        <v>FIXED</v>
      </c>
      <c r="AV342">
        <f>_xll.BDP($B342,"CPN")</f>
        <v>9.25</v>
      </c>
    </row>
    <row r="343" spans="1:48" x14ac:dyDescent="0.25">
      <c r="A343" t="s">
        <v>828</v>
      </c>
      <c r="B343" t="s">
        <v>1077</v>
      </c>
      <c r="C343" s="1" t="s">
        <v>1078</v>
      </c>
      <c r="D343" t="s">
        <v>1079</v>
      </c>
      <c r="E343" t="str">
        <f>_xll.BDP($B343,"LEGAL_ENTITY_IDENTIFIER")</f>
        <v>529900E7PUVK6BC8PE80</v>
      </c>
      <c r="F343" t="s">
        <v>1080</v>
      </c>
      <c r="G343" t="str">
        <f>custodian!D343</f>
        <v>34960PAF8</v>
      </c>
      <c r="H343" t="str">
        <f>_xll.BDP($B343,"ID_ISIN")</f>
        <v>US34960PAF80</v>
      </c>
      <c r="I343" s="1"/>
      <c r="J343" t="str">
        <f>_xll.BDP($B343,"CNTRY_OF_DOMICILE")</f>
        <v>US</v>
      </c>
      <c r="K343" t="s">
        <v>626</v>
      </c>
      <c r="L343" t="s">
        <v>99</v>
      </c>
      <c r="O343" s="1"/>
      <c r="AQ343" s="1"/>
      <c r="AR343" s="1"/>
      <c r="AS343" s="1"/>
      <c r="AT343" t="str">
        <f>TEXT(_xll.BDP($B343,"MATURITY"),"yyyy-mm-dd")</f>
        <v>2031-05-01</v>
      </c>
      <c r="AU343" t="str">
        <f>_xll.BDP($B343,"CPN_TYP")</f>
        <v>FIXED</v>
      </c>
      <c r="AV343">
        <f>_xll.BDP($B343,"CPN")</f>
        <v>7</v>
      </c>
    </row>
    <row r="344" spans="1:48" x14ac:dyDescent="0.25">
      <c r="A344" t="s">
        <v>828</v>
      </c>
      <c r="B344" t="s">
        <v>1081</v>
      </c>
      <c r="C344" s="1" t="s">
        <v>1082</v>
      </c>
      <c r="D344" t="s">
        <v>1083</v>
      </c>
      <c r="E344" t="str">
        <f>_xll.BDP($B344,"LEGAL_ENTITY_IDENTIFIER")</f>
        <v>254900ROJ91RGM43S156</v>
      </c>
      <c r="F344" t="s">
        <v>1084</v>
      </c>
      <c r="G344" t="str">
        <f>custodian!D344</f>
        <v>35641AAB4</v>
      </c>
      <c r="H344" t="str">
        <f>_xll.BDP($B344,"ID_ISIN")</f>
        <v>US35641AAB44</v>
      </c>
      <c r="I344" s="1"/>
      <c r="J344" t="str">
        <f>_xll.BDP($B344,"CNTRY_OF_DOMICILE")</f>
        <v>US</v>
      </c>
      <c r="K344" t="s">
        <v>626</v>
      </c>
      <c r="L344" t="s">
        <v>99</v>
      </c>
      <c r="O344" s="1"/>
      <c r="AQ344" s="1"/>
      <c r="AR344" s="1"/>
      <c r="AS344" s="1"/>
      <c r="AT344" t="str">
        <f>TEXT(_xll.BDP($B344,"MATURITY"),"yyyy-mm-dd")</f>
        <v>2031-05-15</v>
      </c>
      <c r="AU344" t="str">
        <f>_xll.BDP($B344,"CPN_TYP")</f>
        <v>FIXED</v>
      </c>
      <c r="AV344">
        <f>_xll.BDP($B344,"CPN")</f>
        <v>9.125</v>
      </c>
    </row>
    <row r="345" spans="1:48" x14ac:dyDescent="0.25">
      <c r="A345" t="s">
        <v>828</v>
      </c>
      <c r="B345" t="s">
        <v>1085</v>
      </c>
      <c r="C345" s="1" t="s">
        <v>1086</v>
      </c>
      <c r="D345" t="s">
        <v>1087</v>
      </c>
      <c r="E345" t="str">
        <f>_xll.BDP($B345,"LEGAL_ENTITY_IDENTIFIER")</f>
        <v>JSMX3Z5FOYM8V0Q52357</v>
      </c>
      <c r="F345" t="s">
        <v>1087</v>
      </c>
      <c r="G345" t="str">
        <f>custodian!D345</f>
        <v>359694AB2</v>
      </c>
      <c r="H345" t="str">
        <f>_xll.BDP($B345,"ID_ISIN")</f>
        <v>US359694AB24</v>
      </c>
      <c r="I345" s="1"/>
      <c r="J345" t="str">
        <f>_xll.BDP($B345,"CNTRY_OF_DOMICILE")</f>
        <v>US</v>
      </c>
      <c r="K345" t="s">
        <v>626</v>
      </c>
      <c r="L345" t="s">
        <v>99</v>
      </c>
      <c r="O345" s="1"/>
      <c r="AQ345" s="1"/>
      <c r="AR345" s="1"/>
      <c r="AS345" s="1"/>
      <c r="AT345" t="str">
        <f>TEXT(_xll.BDP($B345,"MATURITY"),"yyyy-mm-dd")</f>
        <v>2027-02-15</v>
      </c>
      <c r="AU345" t="str">
        <f>_xll.BDP($B345,"CPN_TYP")</f>
        <v>FIXED</v>
      </c>
      <c r="AV345">
        <f>_xll.BDP($B345,"CPN")</f>
        <v>4</v>
      </c>
    </row>
    <row r="346" spans="1:48" x14ac:dyDescent="0.25">
      <c r="A346" t="s">
        <v>828</v>
      </c>
      <c r="B346" t="s">
        <v>1088</v>
      </c>
      <c r="C346" s="1" t="s">
        <v>1089</v>
      </c>
      <c r="D346" t="s">
        <v>1090</v>
      </c>
      <c r="E346" t="str">
        <f>_xll.BDP($B346,"LEGAL_ENTITY_IDENTIFIER")</f>
        <v>894500E7NLBY9VZRT696</v>
      </c>
      <c r="F346" t="s">
        <v>1091</v>
      </c>
      <c r="G346" t="str">
        <f>custodian!D346</f>
        <v>36168QAQ7</v>
      </c>
      <c r="H346" t="str">
        <f>_xll.BDP($B346,"ID_ISIN")</f>
        <v>US36168QAQ73</v>
      </c>
      <c r="I346" s="1"/>
      <c r="J346" t="str">
        <f>_xll.BDP($B346,"CNTRY_OF_DOMICILE")</f>
        <v>CA</v>
      </c>
      <c r="K346" t="s">
        <v>626</v>
      </c>
      <c r="L346" t="s">
        <v>99</v>
      </c>
      <c r="O346" s="1"/>
      <c r="AQ346" s="1"/>
      <c r="AR346" s="1"/>
      <c r="AS346" s="1"/>
      <c r="AT346" t="str">
        <f>TEXT(_xll.BDP($B346,"MATURITY"),"yyyy-mm-dd")</f>
        <v>2031-01-15</v>
      </c>
      <c r="AU346" t="str">
        <f>_xll.BDP($B346,"CPN_TYP")</f>
        <v>FIXED</v>
      </c>
      <c r="AV346">
        <f>_xll.BDP($B346,"CPN")</f>
        <v>6.75</v>
      </c>
    </row>
    <row r="347" spans="1:48" x14ac:dyDescent="0.25">
      <c r="A347" t="s">
        <v>828</v>
      </c>
      <c r="B347" t="s">
        <v>1092</v>
      </c>
      <c r="C347" s="1" t="s">
        <v>1093</v>
      </c>
      <c r="D347" t="s">
        <v>1094</v>
      </c>
      <c r="E347" t="str">
        <f>_xll.BDP($B347,"LEGAL_ENTITY_IDENTIFIER")</f>
        <v>#N/A N/A</v>
      </c>
      <c r="F347" t="s">
        <v>1095</v>
      </c>
      <c r="G347" t="str">
        <f>custodian!D347</f>
        <v>37185LAP7</v>
      </c>
      <c r="H347" t="str">
        <f>_xll.BDP($B347,"ID_ISIN")</f>
        <v>US37185LAP76</v>
      </c>
      <c r="I347" s="1"/>
      <c r="J347" t="str">
        <f>_xll.BDP($B347,"CNTRY_OF_DOMICILE")</f>
        <v>US</v>
      </c>
      <c r="K347" t="s">
        <v>626</v>
      </c>
      <c r="L347" t="s">
        <v>99</v>
      </c>
      <c r="O347" s="1"/>
      <c r="AQ347" s="1"/>
      <c r="AR347" s="1"/>
      <c r="AS347" s="1"/>
      <c r="AT347" t="str">
        <f>TEXT(_xll.BDP($B347,"MATURITY"),"yyyy-mm-dd")</f>
        <v>2029-01-15</v>
      </c>
      <c r="AU347" t="str">
        <f>_xll.BDP($B347,"CPN_TYP")</f>
        <v>FIXED</v>
      </c>
      <c r="AV347">
        <f>_xll.BDP($B347,"CPN")</f>
        <v>8.25</v>
      </c>
    </row>
    <row r="348" spans="1:48" x14ac:dyDescent="0.25">
      <c r="A348" t="s">
        <v>828</v>
      </c>
      <c r="B348" t="s">
        <v>1096</v>
      </c>
      <c r="C348" s="1" t="s">
        <v>1097</v>
      </c>
      <c r="D348" t="s">
        <v>1098</v>
      </c>
      <c r="E348" t="str">
        <f>_xll.BDP($B348,"LEGAL_ENTITY_IDENTIFIER")</f>
        <v>#N/A N/A</v>
      </c>
      <c r="F348" t="s">
        <v>1099</v>
      </c>
      <c r="G348" t="str">
        <f>custodian!D348</f>
        <v>38016LAA3</v>
      </c>
      <c r="H348" t="str">
        <f>_xll.BDP($B348,"ID_ISIN")</f>
        <v>US38016LAA35</v>
      </c>
      <c r="I348" s="1"/>
      <c r="J348" t="str">
        <f>_xll.BDP($B348,"CNTRY_OF_DOMICILE")</f>
        <v>US</v>
      </c>
      <c r="K348" t="s">
        <v>626</v>
      </c>
      <c r="L348" t="s">
        <v>99</v>
      </c>
      <c r="O348" s="1"/>
      <c r="AQ348" s="1"/>
      <c r="AR348" s="1"/>
      <c r="AS348" s="1"/>
      <c r="AT348" t="str">
        <f>TEXT(_xll.BDP($B348,"MATURITY"),"yyyy-mm-dd")</f>
        <v>2027-12-01</v>
      </c>
      <c r="AU348" t="str">
        <f>_xll.BDP($B348,"CPN_TYP")</f>
        <v>FIXED</v>
      </c>
      <c r="AV348">
        <f>_xll.BDP($B348,"CPN")</f>
        <v>5.25</v>
      </c>
    </row>
    <row r="349" spans="1:48" x14ac:dyDescent="0.25">
      <c r="A349" t="s">
        <v>828</v>
      </c>
      <c r="B349" t="s">
        <v>1100</v>
      </c>
      <c r="C349" s="1" t="s">
        <v>1101</v>
      </c>
      <c r="D349" t="s">
        <v>1102</v>
      </c>
      <c r="E349" t="str">
        <f>_xll.BDP($B349,"LEGAL_ENTITY_IDENTIFIER")</f>
        <v>5493002BI0S2ZQUY3437</v>
      </c>
      <c r="F349" t="s">
        <v>1103</v>
      </c>
      <c r="G349" t="str">
        <f>custodian!D349</f>
        <v>382550BN0</v>
      </c>
      <c r="H349" t="str">
        <f>_xll.BDP($B349,"ID_ISIN")</f>
        <v>US382550BN08</v>
      </c>
      <c r="I349" s="1"/>
      <c r="J349" t="str">
        <f>_xll.BDP($B349,"CNTRY_OF_DOMICILE")</f>
        <v>US</v>
      </c>
      <c r="K349" t="s">
        <v>626</v>
      </c>
      <c r="L349" t="s">
        <v>99</v>
      </c>
      <c r="O349" s="1"/>
      <c r="AQ349" s="1"/>
      <c r="AR349" s="1"/>
      <c r="AS349" s="1"/>
      <c r="AT349" t="str">
        <f>TEXT(_xll.BDP($B349,"MATURITY"),"yyyy-mm-dd")</f>
        <v>2029-07-15</v>
      </c>
      <c r="AU349" t="str">
        <f>_xll.BDP($B349,"CPN_TYP")</f>
        <v>FIXED</v>
      </c>
      <c r="AV349">
        <f>_xll.BDP($B349,"CPN")</f>
        <v>5</v>
      </c>
    </row>
    <row r="350" spans="1:48" x14ac:dyDescent="0.25">
      <c r="A350" t="s">
        <v>828</v>
      </c>
      <c r="B350" t="s">
        <v>1104</v>
      </c>
      <c r="C350" s="1" t="s">
        <v>1105</v>
      </c>
      <c r="D350" t="s">
        <v>1106</v>
      </c>
      <c r="E350" t="str">
        <f>_xll.BDP($B350,"LEGAL_ENTITY_IDENTIFIER")</f>
        <v>SO75N4VY5NXGQSK8YQ65</v>
      </c>
      <c r="F350" t="s">
        <v>1107</v>
      </c>
      <c r="G350" t="str">
        <f>custodian!D350</f>
        <v>38869AAB3</v>
      </c>
      <c r="H350" t="str">
        <f>_xll.BDP($B350,"ID_ISIN")</f>
        <v>US38869AAB35</v>
      </c>
      <c r="I350" s="1"/>
      <c r="J350" t="str">
        <f>_xll.BDP($B350,"CNTRY_OF_DOMICILE")</f>
        <v>US</v>
      </c>
      <c r="K350" t="s">
        <v>626</v>
      </c>
      <c r="L350" t="s">
        <v>99</v>
      </c>
      <c r="O350" s="1"/>
      <c r="AQ350" s="1"/>
      <c r="AR350" s="1"/>
      <c r="AS350" s="1"/>
      <c r="AT350" t="str">
        <f>TEXT(_xll.BDP($B350,"MATURITY"),"yyyy-mm-dd")</f>
        <v>2028-03-15</v>
      </c>
      <c r="AU350" t="str">
        <f>_xll.BDP($B350,"CPN_TYP")</f>
        <v>FIXED</v>
      </c>
      <c r="AV350">
        <f>_xll.BDP($B350,"CPN")</f>
        <v>3.5</v>
      </c>
    </row>
    <row r="351" spans="1:48" x14ac:dyDescent="0.25">
      <c r="A351" t="s">
        <v>828</v>
      </c>
      <c r="B351" t="s">
        <v>1108</v>
      </c>
      <c r="C351" s="1" t="s">
        <v>1109</v>
      </c>
      <c r="D351" t="s">
        <v>1110</v>
      </c>
      <c r="E351" t="str">
        <f>_xll.BDP($B351,"LEGAL_ENTITY_IDENTIFIER")</f>
        <v>254900HGC806SXAS4M46</v>
      </c>
      <c r="F351" t="s">
        <v>1111</v>
      </c>
      <c r="G351" t="str">
        <f>custodian!D351</f>
        <v>39807UAD8</v>
      </c>
      <c r="H351" t="str">
        <f>_xll.BDP($B351,"ID_ISIN")</f>
        <v>US39807UAD81</v>
      </c>
      <c r="I351" s="1"/>
      <c r="J351" t="str">
        <f>_xll.BDP($B351,"CNTRY_OF_DOMICILE")</f>
        <v>US</v>
      </c>
      <c r="K351" t="s">
        <v>626</v>
      </c>
      <c r="L351" t="s">
        <v>99</v>
      </c>
      <c r="O351" s="1"/>
      <c r="AQ351" s="1"/>
      <c r="AR351" s="1"/>
      <c r="AS351" s="1"/>
      <c r="AT351" t="str">
        <f>TEXT(_xll.BDP($B351,"MATURITY"),"yyyy-mm-dd")</f>
        <v>2030-09-01</v>
      </c>
      <c r="AU351" t="str">
        <f>_xll.BDP($B351,"CPN_TYP")</f>
        <v>FIXED</v>
      </c>
      <c r="AV351">
        <f>_xll.BDP($B351,"CPN")</f>
        <v>7.75</v>
      </c>
    </row>
    <row r="352" spans="1:48" x14ac:dyDescent="0.25">
      <c r="A352" t="s">
        <v>828</v>
      </c>
      <c r="B352" t="s">
        <v>1112</v>
      </c>
      <c r="C352" s="1" t="s">
        <v>1113</v>
      </c>
      <c r="D352" t="s">
        <v>1114</v>
      </c>
      <c r="E352" t="str">
        <f>_xll.BDP($B352,"LEGAL_ENTITY_IDENTIFIER")</f>
        <v>549300US8QAZJLWYAF63</v>
      </c>
      <c r="F352" t="s">
        <v>1115</v>
      </c>
      <c r="G352" t="str">
        <f>custodian!D352</f>
        <v>398905AN9</v>
      </c>
      <c r="H352" t="str">
        <f>_xll.BDP($B352,"ID_ISIN")</f>
        <v>US398905AN98</v>
      </c>
      <c r="I352" s="1"/>
      <c r="J352" t="str">
        <f>_xll.BDP($B352,"CNTRY_OF_DOMICILE")</f>
        <v>US</v>
      </c>
      <c r="K352" t="s">
        <v>626</v>
      </c>
      <c r="L352" t="s">
        <v>99</v>
      </c>
      <c r="O352" s="1"/>
      <c r="AQ352" s="1"/>
      <c r="AR352" s="1"/>
      <c r="AS352" s="1"/>
      <c r="AT352" t="str">
        <f>TEXT(_xll.BDP($B352,"MATURITY"),"yyyy-mm-dd")</f>
        <v>2028-08-15</v>
      </c>
      <c r="AU352" t="str">
        <f>_xll.BDP($B352,"CPN_TYP")</f>
        <v>FIXED</v>
      </c>
      <c r="AV352">
        <f>_xll.BDP($B352,"CPN")</f>
        <v>4</v>
      </c>
    </row>
    <row r="353" spans="1:48" x14ac:dyDescent="0.25">
      <c r="A353" t="s">
        <v>828</v>
      </c>
      <c r="B353" t="s">
        <v>1116</v>
      </c>
      <c r="C353" s="1" t="s">
        <v>1117</v>
      </c>
      <c r="D353" t="s">
        <v>1118</v>
      </c>
      <c r="E353" t="str">
        <f>_xll.BDP($B353,"LEGAL_ENTITY_IDENTIFIER")</f>
        <v>549300FJX18IDUFPHD40</v>
      </c>
      <c r="F353" t="s">
        <v>1119</v>
      </c>
      <c r="G353" t="str">
        <f>custodian!D353</f>
        <v>402635AT3</v>
      </c>
      <c r="H353" t="str">
        <f>_xll.BDP($B353,"ID_ISIN")</f>
        <v>US402635AT32</v>
      </c>
      <c r="I353" s="1"/>
      <c r="J353" t="str">
        <f>_xll.BDP($B353,"CNTRY_OF_DOMICILE")</f>
        <v>US</v>
      </c>
      <c r="K353" t="s">
        <v>626</v>
      </c>
      <c r="L353" t="s">
        <v>99</v>
      </c>
      <c r="O353" s="1"/>
      <c r="AQ353" s="1"/>
      <c r="AR353" s="1"/>
      <c r="AS353" s="1"/>
      <c r="AT353" t="str">
        <f>TEXT(_xll.BDP($B353,"MATURITY"),"yyyy-mm-dd")</f>
        <v>2029-09-01</v>
      </c>
      <c r="AU353" t="str">
        <f>_xll.BDP($B353,"CPN_TYP")</f>
        <v>FIXED</v>
      </c>
      <c r="AV353">
        <f>_xll.BDP($B353,"CPN")</f>
        <v>6.75</v>
      </c>
    </row>
    <row r="354" spans="1:48" x14ac:dyDescent="0.25">
      <c r="A354" t="s">
        <v>828</v>
      </c>
      <c r="B354" t="s">
        <v>1120</v>
      </c>
      <c r="C354" s="1" t="s">
        <v>1121</v>
      </c>
      <c r="D354" t="s">
        <v>1122</v>
      </c>
      <c r="E354" t="str">
        <f>_xll.BDP($B354,"LEGAL_ENTITY_IDENTIFIER")</f>
        <v>529900AP4LIRLNV8A089</v>
      </c>
      <c r="F354" t="s">
        <v>1122</v>
      </c>
      <c r="G354" t="str">
        <f>custodian!D354</f>
        <v>415858AC3</v>
      </c>
      <c r="H354" t="str">
        <f>_xll.BDP($B354,"ID_ISIN")</f>
        <v>US415858AC33</v>
      </c>
      <c r="I354" s="1"/>
      <c r="J354" t="str">
        <f>_xll.BDP($B354,"CNTRY_OF_DOMICILE")</f>
        <v>US</v>
      </c>
      <c r="K354" t="s">
        <v>626</v>
      </c>
      <c r="L354" t="s">
        <v>99</v>
      </c>
      <c r="O354" s="1"/>
      <c r="AQ354" s="1"/>
      <c r="AR354" s="1"/>
      <c r="AS354" s="1"/>
      <c r="AT354" t="str">
        <f>TEXT(_xll.BDP($B354,"MATURITY"),"yyyy-mm-dd")</f>
        <v>2030-09-15</v>
      </c>
      <c r="AU354" t="str">
        <f>_xll.BDP($B354,"CPN_TYP")</f>
        <v>FIXED</v>
      </c>
      <c r="AV354">
        <f>_xll.BDP($B354,"CPN")</f>
        <v>8.625</v>
      </c>
    </row>
    <row r="355" spans="1:48" x14ac:dyDescent="0.25">
      <c r="A355" t="s">
        <v>828</v>
      </c>
      <c r="B355" t="s">
        <v>1123</v>
      </c>
      <c r="C355" s="1" t="s">
        <v>1124</v>
      </c>
      <c r="D355" t="s">
        <v>1125</v>
      </c>
      <c r="E355" t="str">
        <f>_xll.BDP($B355,"LEGAL_ENTITY_IDENTIFIER")</f>
        <v>549300TP80QLITMSBP82</v>
      </c>
      <c r="F355" t="s">
        <v>1126</v>
      </c>
      <c r="G355" t="str">
        <f>custodian!D355</f>
        <v>42704LAE4</v>
      </c>
      <c r="H355" t="str">
        <f>_xll.BDP($B355,"ID_ISIN")</f>
        <v>US42704LAE48</v>
      </c>
      <c r="I355" s="1"/>
      <c r="J355" t="str">
        <f>_xll.BDP($B355,"CNTRY_OF_DOMICILE")</f>
        <v>US</v>
      </c>
      <c r="K355" t="s">
        <v>626</v>
      </c>
      <c r="L355" t="s">
        <v>99</v>
      </c>
      <c r="O355" s="1"/>
      <c r="AQ355" s="1"/>
      <c r="AR355" s="1"/>
      <c r="AS355" s="1"/>
      <c r="AT355" t="str">
        <f>TEXT(_xll.BDP($B355,"MATURITY"),"yyyy-mm-dd")</f>
        <v>2029-06-15</v>
      </c>
      <c r="AU355" t="str">
        <f>_xll.BDP($B355,"CPN_TYP")</f>
        <v>FIXED</v>
      </c>
      <c r="AV355">
        <f>_xll.BDP($B355,"CPN")</f>
        <v>6.625</v>
      </c>
    </row>
    <row r="356" spans="1:48" x14ac:dyDescent="0.25">
      <c r="A356" t="s">
        <v>828</v>
      </c>
      <c r="B356" t="s">
        <v>1127</v>
      </c>
      <c r="C356" s="1" t="s">
        <v>1128</v>
      </c>
      <c r="D356" t="s">
        <v>1129</v>
      </c>
      <c r="E356" t="str">
        <f>_xll.BDP($B356,"LEGAL_ENTITY_IDENTIFIER")</f>
        <v>254900MKOSB7RTMA9K12</v>
      </c>
      <c r="F356" t="s">
        <v>1130</v>
      </c>
      <c r="G356" t="str">
        <f>custodian!D356</f>
        <v>43118DAB6</v>
      </c>
      <c r="H356" t="str">
        <f>_xll.BDP($B356,"ID_ISIN")</f>
        <v>US43118DAB64</v>
      </c>
      <c r="I356" s="1"/>
      <c r="J356" t="str">
        <f>_xll.BDP($B356,"CNTRY_OF_DOMICILE")</f>
        <v>US</v>
      </c>
      <c r="K356" t="s">
        <v>626</v>
      </c>
      <c r="L356" t="s">
        <v>99</v>
      </c>
      <c r="O356" s="1"/>
      <c r="AQ356" s="1"/>
      <c r="AR356" s="1"/>
      <c r="AS356" s="1"/>
      <c r="AT356" t="str">
        <f>TEXT(_xll.BDP($B356,"MATURITY"),"yyyy-mm-dd")</f>
        <v>2030-01-31</v>
      </c>
      <c r="AU356" t="str">
        <f>_xll.BDP($B356,"CPN_TYP")</f>
        <v>FIXED</v>
      </c>
      <c r="AV356">
        <f>_xll.BDP($B356,"CPN")</f>
        <v>9.125</v>
      </c>
    </row>
    <row r="357" spans="1:48" x14ac:dyDescent="0.25">
      <c r="A357" t="s">
        <v>828</v>
      </c>
      <c r="B357" t="s">
        <v>1131</v>
      </c>
      <c r="C357" s="1" t="s">
        <v>1132</v>
      </c>
      <c r="D357" t="s">
        <v>1133</v>
      </c>
      <c r="E357" t="str">
        <f>_xll.BDP($B357,"LEGAL_ENTITY_IDENTIFIER")</f>
        <v>#N/A N/A</v>
      </c>
      <c r="F357" t="s">
        <v>1134</v>
      </c>
      <c r="G357" t="str">
        <f>custodian!D357</f>
        <v>431318AU8</v>
      </c>
      <c r="H357" t="str">
        <f>_xll.BDP($B357,"ID_ISIN")</f>
        <v>US431318AU81</v>
      </c>
      <c r="I357" s="1"/>
      <c r="J357" t="str">
        <f>_xll.BDP($B357,"CNTRY_OF_DOMICILE")</f>
        <v>US</v>
      </c>
      <c r="K357" t="s">
        <v>626</v>
      </c>
      <c r="L357" t="s">
        <v>99</v>
      </c>
      <c r="O357" s="1"/>
      <c r="AQ357" s="1"/>
      <c r="AR357" s="1"/>
      <c r="AS357" s="1"/>
      <c r="AT357" t="str">
        <f>TEXT(_xll.BDP($B357,"MATURITY"),"yyyy-mm-dd")</f>
        <v>2029-02-01</v>
      </c>
      <c r="AU357" t="str">
        <f>_xll.BDP($B357,"CPN_TYP")</f>
        <v>FIXED</v>
      </c>
      <c r="AV357">
        <f>_xll.BDP($B357,"CPN")</f>
        <v>5.75</v>
      </c>
    </row>
    <row r="358" spans="1:48" x14ac:dyDescent="0.25">
      <c r="A358" t="s">
        <v>828</v>
      </c>
      <c r="B358" t="s">
        <v>1135</v>
      </c>
      <c r="C358" s="1" t="s">
        <v>1136</v>
      </c>
      <c r="D358" t="s">
        <v>1137</v>
      </c>
      <c r="E358" t="str">
        <f>_xll.BDP($B358,"LEGAL_ENTITY_IDENTIFIER")</f>
        <v>#N/A N/A</v>
      </c>
      <c r="F358" t="s">
        <v>1138</v>
      </c>
      <c r="G358" t="str">
        <f>custodian!D358</f>
        <v>44287GAA4</v>
      </c>
      <c r="H358" t="str">
        <f>_xll.BDP($B358,"ID_ISIN")</f>
        <v>US44287GAA40</v>
      </c>
      <c r="I358" s="1"/>
      <c r="J358" t="str">
        <f>_xll.BDP($B358,"CNTRY_OF_DOMICILE")</f>
        <v>GB</v>
      </c>
      <c r="K358" t="s">
        <v>626</v>
      </c>
      <c r="L358" t="s">
        <v>99</v>
      </c>
      <c r="O358" s="1"/>
      <c r="AQ358" s="1"/>
      <c r="AR358" s="1"/>
      <c r="AS358" s="1"/>
      <c r="AT358" t="str">
        <f>TEXT(_xll.BDP($B358,"MATURITY"),"yyyy-mm-dd")</f>
        <v>2031-02-15</v>
      </c>
      <c r="AU358" t="str">
        <f>_xll.BDP($B358,"CPN_TYP")</f>
        <v>FIXED</v>
      </c>
      <c r="AV358">
        <f>_xll.BDP($B358,"CPN")</f>
        <v>7.25</v>
      </c>
    </row>
    <row r="359" spans="1:48" x14ac:dyDescent="0.25">
      <c r="A359" t="s">
        <v>828</v>
      </c>
      <c r="B359" t="s">
        <v>1139</v>
      </c>
      <c r="C359" s="1" t="s">
        <v>1140</v>
      </c>
      <c r="D359" t="s">
        <v>1141</v>
      </c>
      <c r="E359" t="str">
        <f>_xll.BDP($B359,"LEGAL_ENTITY_IDENTIFIER")</f>
        <v>549300JQT6ATTUNS5E06</v>
      </c>
      <c r="F359" t="s">
        <v>1142</v>
      </c>
      <c r="G359" t="str">
        <f>custodian!D359</f>
        <v>44332PAH4</v>
      </c>
      <c r="H359" t="str">
        <f>_xll.BDP($B359,"ID_ISIN")</f>
        <v>US44332PAH47</v>
      </c>
      <c r="I359" s="1"/>
      <c r="J359" t="str">
        <f>_xll.BDP($B359,"CNTRY_OF_DOMICILE")</f>
        <v>US</v>
      </c>
      <c r="K359" t="s">
        <v>626</v>
      </c>
      <c r="L359" t="s">
        <v>99</v>
      </c>
      <c r="O359" s="1"/>
      <c r="AQ359" s="1"/>
      <c r="AR359" s="1"/>
      <c r="AS359" s="1"/>
      <c r="AT359" t="str">
        <f>TEXT(_xll.BDP($B359,"MATURITY"),"yyyy-mm-dd")</f>
        <v>2030-06-15</v>
      </c>
      <c r="AU359" t="str">
        <f>_xll.BDP($B359,"CPN_TYP")</f>
        <v>FIXED</v>
      </c>
      <c r="AV359">
        <f>_xll.BDP($B359,"CPN")</f>
        <v>7.25</v>
      </c>
    </row>
    <row r="360" spans="1:48" x14ac:dyDescent="0.25">
      <c r="A360" t="s">
        <v>828</v>
      </c>
      <c r="B360" t="s">
        <v>1143</v>
      </c>
      <c r="C360" s="1" t="s">
        <v>1144</v>
      </c>
      <c r="D360" t="s">
        <v>1145</v>
      </c>
      <c r="E360" t="str">
        <f>_xll.BDP($B360,"LEGAL_ENTITY_IDENTIFIER")</f>
        <v>3YTEJFW18LGIUQ2N5J61</v>
      </c>
      <c r="F360" t="s">
        <v>1146</v>
      </c>
      <c r="G360" t="str">
        <f>custodian!D360</f>
        <v>44701QBE1</v>
      </c>
      <c r="H360" t="str">
        <f>_xll.BDP($B360,"ID_ISIN")</f>
        <v>US44701QBE17</v>
      </c>
      <c r="I360" s="1"/>
      <c r="J360" t="str">
        <f>_xll.BDP($B360,"CNTRY_OF_DOMICILE")</f>
        <v>US</v>
      </c>
      <c r="K360" t="s">
        <v>626</v>
      </c>
      <c r="L360" t="s">
        <v>99</v>
      </c>
      <c r="O360" s="1"/>
      <c r="AQ360" s="1"/>
      <c r="AR360" s="1"/>
      <c r="AS360" s="1"/>
      <c r="AT360" t="str">
        <f>TEXT(_xll.BDP($B360,"MATURITY"),"yyyy-mm-dd")</f>
        <v>2029-05-01</v>
      </c>
      <c r="AU360" t="str">
        <f>_xll.BDP($B360,"CPN_TYP")</f>
        <v>FIXED</v>
      </c>
      <c r="AV360">
        <f>_xll.BDP($B360,"CPN")</f>
        <v>4.5</v>
      </c>
    </row>
    <row r="361" spans="1:48" x14ac:dyDescent="0.25">
      <c r="A361" t="s">
        <v>828</v>
      </c>
      <c r="B361" t="s">
        <v>1147</v>
      </c>
      <c r="C361" s="1" t="s">
        <v>1148</v>
      </c>
      <c r="D361" t="s">
        <v>1149</v>
      </c>
      <c r="E361" t="str">
        <f>_xll.BDP($B361,"LEGAL_ENTITY_IDENTIFIER")</f>
        <v>9695009BGMXB527HV965</v>
      </c>
      <c r="F361" t="s">
        <v>1150</v>
      </c>
      <c r="G361" t="str">
        <f>custodian!D361</f>
        <v>449691AC8</v>
      </c>
      <c r="H361" t="str">
        <f>_xll.BDP($B361,"ID_ISIN")</f>
        <v>US449691AC82</v>
      </c>
      <c r="I361" s="1"/>
      <c r="J361" t="str">
        <f>_xll.BDP($B361,"CNTRY_OF_DOMICILE")</f>
        <v>FR</v>
      </c>
      <c r="K361" t="s">
        <v>626</v>
      </c>
      <c r="L361" t="s">
        <v>99</v>
      </c>
      <c r="O361" s="1"/>
      <c r="AQ361" s="1"/>
      <c r="AR361" s="1"/>
      <c r="AS361" s="1"/>
      <c r="AT361" t="str">
        <f>TEXT(_xll.BDP($B361,"MATURITY"),"yyyy-mm-dd")</f>
        <v>2028-10-15</v>
      </c>
      <c r="AU361" t="str">
        <f>_xll.BDP($B361,"CPN_TYP")</f>
        <v>FIXED</v>
      </c>
      <c r="AV361">
        <f>_xll.BDP($B361,"CPN")</f>
        <v>7</v>
      </c>
    </row>
    <row r="362" spans="1:48" x14ac:dyDescent="0.25">
      <c r="A362" t="s">
        <v>828</v>
      </c>
      <c r="B362" t="s">
        <v>1151</v>
      </c>
      <c r="C362" s="1" t="s">
        <v>1152</v>
      </c>
      <c r="D362" t="s">
        <v>1153</v>
      </c>
      <c r="E362" t="str">
        <f>_xll.BDP($B362,"LEGAL_ENTITY_IDENTIFIER")</f>
        <v>549300TH2PHOLK31LB42</v>
      </c>
      <c r="F362" t="s">
        <v>1154</v>
      </c>
      <c r="G362" t="str">
        <f>custodian!D362</f>
        <v>45074JAA2</v>
      </c>
      <c r="H362" t="str">
        <f>_xll.BDP($B362,"ID_ISIN")</f>
        <v>US45074JAA25</v>
      </c>
      <c r="I362" s="1"/>
      <c r="J362" t="str">
        <f>_xll.BDP($B362,"CNTRY_OF_DOMICILE")</f>
        <v>US</v>
      </c>
      <c r="K362" t="s">
        <v>626</v>
      </c>
      <c r="L362" t="s">
        <v>99</v>
      </c>
      <c r="O362" s="1"/>
      <c r="AQ362" s="1"/>
      <c r="AR362" s="1"/>
      <c r="AS362" s="1"/>
      <c r="AT362" t="str">
        <f>TEXT(_xll.BDP($B362,"MATURITY"),"yyyy-mm-dd")</f>
        <v>2029-08-01</v>
      </c>
      <c r="AU362" t="str">
        <f>_xll.BDP($B362,"CPN_TYP")</f>
        <v>FIXED</v>
      </c>
      <c r="AV362">
        <f>_xll.BDP($B362,"CPN")</f>
        <v>6.5</v>
      </c>
    </row>
    <row r="363" spans="1:48" x14ac:dyDescent="0.25">
      <c r="A363" t="s">
        <v>828</v>
      </c>
      <c r="B363" t="s">
        <v>1155</v>
      </c>
      <c r="C363" s="1" t="s">
        <v>1156</v>
      </c>
      <c r="D363" t="s">
        <v>1157</v>
      </c>
      <c r="E363" t="str">
        <f>_xll.BDP($B363,"LEGAL_ENTITY_IDENTIFIER")</f>
        <v>54930076J6KDZL504O62</v>
      </c>
      <c r="F363" t="s">
        <v>1158</v>
      </c>
      <c r="G363" t="str">
        <f>custodian!D363</f>
        <v>45174HBJ5</v>
      </c>
      <c r="H363" t="str">
        <f>_xll.BDP($B363,"ID_ISIN")</f>
        <v>US45174HBJ59</v>
      </c>
      <c r="I363" s="1"/>
      <c r="J363" t="str">
        <f>_xll.BDP($B363,"CNTRY_OF_DOMICILE")</f>
        <v>US</v>
      </c>
      <c r="K363" t="s">
        <v>626</v>
      </c>
      <c r="L363" t="s">
        <v>99</v>
      </c>
      <c r="O363" s="1"/>
      <c r="AQ363" s="1"/>
      <c r="AR363" s="1"/>
      <c r="AS363" s="1"/>
      <c r="AT363" t="str">
        <f>TEXT(_xll.BDP($B363,"MATURITY"),"yyyy-mm-dd")</f>
        <v>2029-05-01</v>
      </c>
      <c r="AU363" t="str">
        <f>_xll.BDP($B363,"CPN_TYP")</f>
        <v>FIXED</v>
      </c>
      <c r="AV363">
        <f>_xll.BDP($B363,"CPN")</f>
        <v>9.125</v>
      </c>
    </row>
    <row r="364" spans="1:48" x14ac:dyDescent="0.25">
      <c r="A364" t="s">
        <v>828</v>
      </c>
      <c r="B364" t="s">
        <v>1159</v>
      </c>
      <c r="C364" s="1" t="s">
        <v>1160</v>
      </c>
      <c r="D364" t="s">
        <v>1161</v>
      </c>
      <c r="E364" t="str">
        <f>_xll.BDP($B364,"LEGAL_ENTITY_IDENTIFIER")</f>
        <v>549300KJMEWPKRQZHX63</v>
      </c>
      <c r="F364" t="s">
        <v>1162</v>
      </c>
      <c r="G364" t="str">
        <f>custodian!D364</f>
        <v>45258LAA5</v>
      </c>
      <c r="H364" t="str">
        <f>_xll.BDP($B364,"ID_ISIN")</f>
        <v>US45258LAA52</v>
      </c>
      <c r="I364" s="1"/>
      <c r="J364" t="str">
        <f>_xll.BDP($B364,"CNTRY_OF_DOMICILE")</f>
        <v>US</v>
      </c>
      <c r="K364" t="s">
        <v>626</v>
      </c>
      <c r="L364" t="s">
        <v>99</v>
      </c>
      <c r="O364" s="1"/>
      <c r="AQ364" s="1"/>
      <c r="AR364" s="1"/>
      <c r="AS364" s="1"/>
      <c r="AT364" t="str">
        <f>TEXT(_xll.BDP($B364,"MATURITY"),"yyyy-mm-dd")</f>
        <v>2029-05-15</v>
      </c>
      <c r="AU364" t="str">
        <f>_xll.BDP($B364,"CPN_TYP")</f>
        <v>FIXED</v>
      </c>
      <c r="AV364">
        <f>_xll.BDP($B364,"CPN")</f>
        <v>4.75</v>
      </c>
    </row>
    <row r="365" spans="1:48" x14ac:dyDescent="0.25">
      <c r="A365" t="s">
        <v>828</v>
      </c>
      <c r="B365" t="s">
        <v>1163</v>
      </c>
      <c r="C365" s="1" t="s">
        <v>1164</v>
      </c>
      <c r="D365" t="s">
        <v>1165</v>
      </c>
      <c r="E365" t="str">
        <f>_xll.BDP($B365,"LEGAL_ENTITY_IDENTIFIER")</f>
        <v>SQL3F6CKNNBM3SQGHX24</v>
      </c>
      <c r="F365" t="s">
        <v>1166</v>
      </c>
      <c r="G365" t="str">
        <f>custodian!D365</f>
        <v>46284VAF8</v>
      </c>
      <c r="H365" t="str">
        <f>_xll.BDP($B365,"ID_ISIN")</f>
        <v>US46284VAF85</v>
      </c>
      <c r="I365" s="1"/>
      <c r="J365" t="str">
        <f>_xll.BDP($B365,"CNTRY_OF_DOMICILE")</f>
        <v>US</v>
      </c>
      <c r="K365" t="s">
        <v>626</v>
      </c>
      <c r="L365" t="s">
        <v>99</v>
      </c>
      <c r="O365" s="1"/>
      <c r="AQ365" s="1"/>
      <c r="AR365" s="1"/>
      <c r="AS365" s="1"/>
      <c r="AT365" t="str">
        <f>TEXT(_xll.BDP($B365,"MATURITY"),"yyyy-mm-dd")</f>
        <v>2029-09-15</v>
      </c>
      <c r="AU365" t="str">
        <f>_xll.BDP($B365,"CPN_TYP")</f>
        <v>FIXED</v>
      </c>
      <c r="AV365">
        <f>_xll.BDP($B365,"CPN")</f>
        <v>4.875</v>
      </c>
    </row>
    <row r="366" spans="1:48" x14ac:dyDescent="0.25">
      <c r="A366" t="s">
        <v>828</v>
      </c>
      <c r="B366" t="s">
        <v>1167</v>
      </c>
      <c r="C366" s="1" t="s">
        <v>1168</v>
      </c>
      <c r="D366" t="s">
        <v>1169</v>
      </c>
      <c r="E366" t="str">
        <f>_xll.BDP($B366,"LEGAL_ENTITY_IDENTIFIER")</f>
        <v>5493004U9JIWY3HSUO63</v>
      </c>
      <c r="F366" t="s">
        <v>1170</v>
      </c>
      <c r="G366" t="str">
        <f>custodian!D366</f>
        <v>469815AK0</v>
      </c>
      <c r="H366" t="str">
        <f>_xll.BDP($B366,"ID_ISIN")</f>
        <v>US469815AK08</v>
      </c>
      <c r="I366" s="1"/>
      <c r="J366" t="str">
        <f>_xll.BDP($B366,"CNTRY_OF_DOMICILE")</f>
        <v>US</v>
      </c>
      <c r="K366" t="s">
        <v>626</v>
      </c>
      <c r="L366" t="s">
        <v>99</v>
      </c>
      <c r="O366" s="1"/>
      <c r="AQ366" s="1"/>
      <c r="AR366" s="1"/>
      <c r="AS366" s="1"/>
      <c r="AT366" t="str">
        <f>TEXT(_xll.BDP($B366,"MATURITY"),"yyyy-mm-dd")</f>
        <v>2029-02-15</v>
      </c>
      <c r="AU366" t="str">
        <f>_xll.BDP($B366,"CPN_TYP")</f>
        <v>FIXED</v>
      </c>
      <c r="AV366">
        <f>_xll.BDP($B366,"CPN")</f>
        <v>6.75</v>
      </c>
    </row>
    <row r="367" spans="1:48" x14ac:dyDescent="0.25">
      <c r="A367" t="s">
        <v>828</v>
      </c>
      <c r="B367" t="s">
        <v>1171</v>
      </c>
      <c r="C367" s="1" t="s">
        <v>1172</v>
      </c>
      <c r="D367" t="s">
        <v>1173</v>
      </c>
      <c r="E367" t="str">
        <f>_xll.BDP($B367,"LEGAL_ENTITY_IDENTIFIER")</f>
        <v>#N/A N/A</v>
      </c>
      <c r="F367" t="s">
        <v>1174</v>
      </c>
      <c r="G367" t="str">
        <f>custodian!D367</f>
        <v>47077WAC2</v>
      </c>
      <c r="H367" t="str">
        <f>_xll.BDP($B367,"ID_ISIN")</f>
        <v>US47077WAC29</v>
      </c>
      <c r="I367" s="1"/>
      <c r="J367" t="str">
        <f>_xll.BDP($B367,"CNTRY_OF_DOMICILE")</f>
        <v>US</v>
      </c>
      <c r="K367" t="s">
        <v>626</v>
      </c>
      <c r="L367" t="s">
        <v>99</v>
      </c>
      <c r="O367" s="1"/>
      <c r="AQ367" s="1"/>
      <c r="AR367" s="1"/>
      <c r="AS367" s="1"/>
      <c r="AT367" t="str">
        <f>TEXT(_xll.BDP($B367,"MATURITY"),"yyyy-mm-dd")</f>
        <v>2031-04-30</v>
      </c>
      <c r="AU367" t="str">
        <f>_xll.BDP($B367,"CPN_TYP")</f>
        <v>FIXED</v>
      </c>
      <c r="AV367">
        <f>_xll.BDP($B367,"CPN")</f>
        <v>7.125</v>
      </c>
    </row>
    <row r="368" spans="1:48" x14ac:dyDescent="0.25">
      <c r="A368" t="s">
        <v>828</v>
      </c>
      <c r="B368" t="s">
        <v>1175</v>
      </c>
      <c r="C368" s="1" t="s">
        <v>1176</v>
      </c>
      <c r="D368" t="s">
        <v>1177</v>
      </c>
      <c r="E368" t="str">
        <f>_xll.BDP($B368,"LEGAL_ENTITY_IDENTIFIER")</f>
        <v>#N/A N/A</v>
      </c>
      <c r="F368" t="s">
        <v>1178</v>
      </c>
      <c r="G368" t="str">
        <f>custodian!D368</f>
        <v>472481AC4</v>
      </c>
      <c r="H368" t="str">
        <f>_xll.BDP($B368,"ID_ISIN")</f>
        <v>US472481AC47</v>
      </c>
      <c r="I368" s="1"/>
      <c r="J368" t="str">
        <f>_xll.BDP($B368,"CNTRY_OF_DOMICILE")</f>
        <v>US</v>
      </c>
      <c r="K368" t="s">
        <v>626</v>
      </c>
      <c r="L368" t="s">
        <v>99</v>
      </c>
      <c r="O368" s="1"/>
      <c r="AQ368" s="1"/>
      <c r="AR368" s="1"/>
      <c r="AS368" s="1"/>
      <c r="AT368" t="str">
        <f>TEXT(_xll.BDP($B368,"MATURITY"),"yyyy-mm-dd")</f>
        <v>2030-05-15</v>
      </c>
      <c r="AU368" t="str">
        <f>_xll.BDP($B368,"CPN_TYP")</f>
        <v>FIXED</v>
      </c>
      <c r="AV368">
        <f>_xll.BDP($B368,"CPN")</f>
        <v>8.25</v>
      </c>
    </row>
    <row r="369" spans="1:48" x14ac:dyDescent="0.25">
      <c r="A369" t="s">
        <v>828</v>
      </c>
      <c r="B369" t="s">
        <v>1179</v>
      </c>
      <c r="C369" s="1" t="s">
        <v>1180</v>
      </c>
      <c r="D369" t="s">
        <v>1181</v>
      </c>
      <c r="E369" t="str">
        <f>_xll.BDP($B369,"LEGAL_ENTITY_IDENTIFIER")</f>
        <v>549300JQIWNFU00E5424</v>
      </c>
      <c r="F369" t="s">
        <v>1182</v>
      </c>
      <c r="G369" t="str">
        <f>custodian!D369</f>
        <v>48020RAB1</v>
      </c>
      <c r="H369" t="str">
        <f>_xll.BDP($B369,"ID_ISIN")</f>
        <v>US48020RAB15</v>
      </c>
      <c r="I369" s="1"/>
      <c r="J369" t="str">
        <f>_xll.BDP($B369,"CNTRY_OF_DOMICILE")</f>
        <v>CA</v>
      </c>
      <c r="K369" t="s">
        <v>626</v>
      </c>
      <c r="L369" t="s">
        <v>99</v>
      </c>
      <c r="O369" s="1"/>
      <c r="AQ369" s="1"/>
      <c r="AR369" s="1"/>
      <c r="AS369" s="1"/>
      <c r="AT369" t="str">
        <f>TEXT(_xll.BDP($B369,"MATURITY"),"yyyy-mm-dd")</f>
        <v>2030-03-15</v>
      </c>
      <c r="AU369" t="str">
        <f>_xll.BDP($B369,"CPN_TYP")</f>
        <v>FIXED</v>
      </c>
      <c r="AV369">
        <f>_xll.BDP($B369,"CPN")</f>
        <v>8.5</v>
      </c>
    </row>
    <row r="370" spans="1:48" x14ac:dyDescent="0.25">
      <c r="A370" t="s">
        <v>828</v>
      </c>
      <c r="B370" t="s">
        <v>1183</v>
      </c>
      <c r="C370" s="1" t="s">
        <v>1184</v>
      </c>
      <c r="D370" t="s">
        <v>1185</v>
      </c>
      <c r="E370" t="str">
        <f>_xll.BDP($B370,"LEGAL_ENTITY_IDENTIFIER")</f>
        <v>#N/A N/A</v>
      </c>
      <c r="F370" t="s">
        <v>1186</v>
      </c>
      <c r="G370" t="str">
        <f>custodian!D370</f>
        <v>48250NAC9</v>
      </c>
      <c r="H370" t="str">
        <f>_xll.BDP($B370,"ID_ISIN")</f>
        <v>US48250NAC92</v>
      </c>
      <c r="I370" s="1"/>
      <c r="J370" t="str">
        <f>_xll.BDP($B370,"CNTRY_OF_DOMICILE")</f>
        <v>US</v>
      </c>
      <c r="K370" t="s">
        <v>626</v>
      </c>
      <c r="L370" t="s">
        <v>99</v>
      </c>
      <c r="O370" s="1"/>
      <c r="AQ370" s="1"/>
      <c r="AR370" s="1"/>
      <c r="AS370" s="1"/>
      <c r="AT370" t="str">
        <f>TEXT(_xll.BDP($B370,"MATURITY"),"yyyy-mm-dd")</f>
        <v>2027-06-01</v>
      </c>
      <c r="AU370" t="str">
        <f>_xll.BDP($B370,"CPN_TYP")</f>
        <v>FIXED</v>
      </c>
      <c r="AV370">
        <f>_xll.BDP($B370,"CPN")</f>
        <v>4.75</v>
      </c>
    </row>
    <row r="371" spans="1:48" x14ac:dyDescent="0.25">
      <c r="A371" t="s">
        <v>828</v>
      </c>
      <c r="B371" t="s">
        <v>1187</v>
      </c>
      <c r="C371" s="1" t="s">
        <v>1188</v>
      </c>
      <c r="D371" t="s">
        <v>1189</v>
      </c>
      <c r="E371" t="str">
        <f>_xll.BDP($B371,"LEGAL_ENTITY_IDENTIFIER")</f>
        <v>549300RD6AJIMYC0HY12</v>
      </c>
      <c r="F371" t="s">
        <v>1190</v>
      </c>
      <c r="G371" t="str">
        <f>custodian!D371</f>
        <v>49461MAB6</v>
      </c>
      <c r="H371" t="str">
        <f>_xll.BDP($B371,"ID_ISIN")</f>
        <v>US49461MAB63</v>
      </c>
      <c r="I371" s="1"/>
      <c r="J371" t="str">
        <f>_xll.BDP($B371,"CNTRY_OF_DOMICILE")</f>
        <v>US</v>
      </c>
      <c r="K371" t="s">
        <v>626</v>
      </c>
      <c r="L371" t="s">
        <v>99</v>
      </c>
      <c r="O371" s="1"/>
      <c r="AQ371" s="1"/>
      <c r="AR371" s="1"/>
      <c r="AS371" s="1"/>
      <c r="AT371" t="str">
        <f>TEXT(_xll.BDP($B371,"MATURITY"),"yyyy-mm-dd")</f>
        <v>2028-12-15</v>
      </c>
      <c r="AU371" t="str">
        <f>_xll.BDP($B371,"CPN_TYP")</f>
        <v>FIXED</v>
      </c>
      <c r="AV371">
        <f>_xll.BDP($B371,"CPN")</f>
        <v>6.625</v>
      </c>
    </row>
    <row r="372" spans="1:48" x14ac:dyDescent="0.25">
      <c r="A372" t="s">
        <v>828</v>
      </c>
      <c r="B372" t="s">
        <v>1191</v>
      </c>
      <c r="C372" s="1" t="s">
        <v>1192</v>
      </c>
      <c r="D372" t="s">
        <v>1193</v>
      </c>
      <c r="E372" t="str">
        <f>_xll.BDP($B372,"LEGAL_ENTITY_IDENTIFIER")</f>
        <v>549300FOD20OM0GT5G40</v>
      </c>
      <c r="F372" t="s">
        <v>1193</v>
      </c>
      <c r="G372" t="str">
        <f>custodian!D372</f>
        <v>50067PAA7</v>
      </c>
      <c r="H372" t="str">
        <f>_xll.BDP($B372,"ID_ISIN")</f>
        <v>US50067PAA75</v>
      </c>
      <c r="I372" s="1"/>
      <c r="J372" t="str">
        <f>_xll.BDP($B372,"CNTRY_OF_DOMICILE")</f>
        <v>US</v>
      </c>
      <c r="K372" t="s">
        <v>626</v>
      </c>
      <c r="L372" t="s">
        <v>99</v>
      </c>
      <c r="O372" s="1"/>
      <c r="AQ372" s="1"/>
      <c r="AR372" s="1"/>
      <c r="AS372" s="1"/>
      <c r="AT372" t="str">
        <f>TEXT(_xll.BDP($B372,"MATURITY"),"yyyy-mm-dd")</f>
        <v>2027-12-15</v>
      </c>
      <c r="AU372" t="str">
        <f>_xll.BDP($B372,"CPN_TYP")</f>
        <v>FIXED</v>
      </c>
      <c r="AV372">
        <f>_xll.BDP($B372,"CPN")</f>
        <v>4.625</v>
      </c>
    </row>
    <row r="373" spans="1:48" x14ac:dyDescent="0.25">
      <c r="A373" t="s">
        <v>828</v>
      </c>
      <c r="B373" t="s">
        <v>1194</v>
      </c>
      <c r="C373" s="1" t="s">
        <v>1195</v>
      </c>
      <c r="D373" t="s">
        <v>1196</v>
      </c>
      <c r="E373" t="str">
        <f>_xll.BDP($B373,"LEGAL_ENTITY_IDENTIFIER")</f>
        <v>GR3KVMWVCR54YWQNXU90</v>
      </c>
      <c r="F373" t="s">
        <v>1197</v>
      </c>
      <c r="G373" t="str">
        <f>custodian!D373</f>
        <v>501797AN4</v>
      </c>
      <c r="H373" t="str">
        <f>_xll.BDP($B373,"ID_ISIN")</f>
        <v>US501797AN49</v>
      </c>
      <c r="I373" s="1"/>
      <c r="J373" t="str">
        <f>_xll.BDP($B373,"CNTRY_OF_DOMICILE")</f>
        <v>US</v>
      </c>
      <c r="K373" t="s">
        <v>626</v>
      </c>
      <c r="L373" t="s">
        <v>99</v>
      </c>
      <c r="O373" s="1"/>
      <c r="AQ373" s="1"/>
      <c r="AR373" s="1"/>
      <c r="AS373" s="1"/>
      <c r="AT373" t="str">
        <f>TEXT(_xll.BDP($B373,"MATURITY"),"yyyy-mm-dd")</f>
        <v>2028-02-01</v>
      </c>
      <c r="AU373" t="str">
        <f>_xll.BDP($B373,"CPN_TYP")</f>
        <v>FIXED</v>
      </c>
      <c r="AV373">
        <f>_xll.BDP($B373,"CPN")</f>
        <v>5.25</v>
      </c>
    </row>
    <row r="374" spans="1:48" x14ac:dyDescent="0.25">
      <c r="A374" t="s">
        <v>828</v>
      </c>
      <c r="B374" t="s">
        <v>1198</v>
      </c>
      <c r="C374" s="1" t="s">
        <v>1199</v>
      </c>
      <c r="D374" t="s">
        <v>1200</v>
      </c>
      <c r="E374" t="str">
        <f>_xll.BDP($B374,"LEGAL_ENTITY_IDENTIFIER")</f>
        <v>5493001H215A0HG0MI71</v>
      </c>
      <c r="F374" t="s">
        <v>1201</v>
      </c>
      <c r="G374" t="str">
        <f>custodian!D374</f>
        <v>502160AN4</v>
      </c>
      <c r="H374" t="str">
        <f>_xll.BDP($B374,"ID_ISIN")</f>
        <v>US502160AN46</v>
      </c>
      <c r="I374" s="1"/>
      <c r="J374" t="str">
        <f>_xll.BDP($B374,"CNTRY_OF_DOMICILE")</f>
        <v>US</v>
      </c>
      <c r="K374" t="s">
        <v>626</v>
      </c>
      <c r="L374" t="s">
        <v>99</v>
      </c>
      <c r="O374" s="1"/>
      <c r="AQ374" s="1"/>
      <c r="AR374" s="1"/>
      <c r="AS374" s="1"/>
      <c r="AT374" t="str">
        <f>TEXT(_xll.BDP($B374,"MATURITY"),"yyyy-mm-dd")</f>
        <v>2028-10-15</v>
      </c>
      <c r="AU374" t="str">
        <f>_xll.BDP($B374,"CPN_TYP")</f>
        <v>FIXED</v>
      </c>
      <c r="AV374">
        <f>_xll.BDP($B374,"CPN")</f>
        <v>6.25</v>
      </c>
    </row>
    <row r="375" spans="1:48" x14ac:dyDescent="0.25">
      <c r="A375" t="s">
        <v>828</v>
      </c>
      <c r="B375" t="s">
        <v>1202</v>
      </c>
      <c r="C375" s="1" t="s">
        <v>1203</v>
      </c>
      <c r="D375" t="s">
        <v>1204</v>
      </c>
      <c r="E375" t="str">
        <f>_xll.BDP($B375,"LEGAL_ENTITY_IDENTIFIER")</f>
        <v>#N/A N/A</v>
      </c>
      <c r="F375" t="s">
        <v>1205</v>
      </c>
      <c r="G375" t="str">
        <f>custodian!D375</f>
        <v>513075BZ3</v>
      </c>
      <c r="H375" t="str">
        <f>_xll.BDP($B375,"ID_ISIN")</f>
        <v>US513075BZ34</v>
      </c>
      <c r="I375" s="1"/>
      <c r="J375" t="str">
        <f>_xll.BDP($B375,"CNTRY_OF_DOMICILE")</f>
        <v>US</v>
      </c>
      <c r="K375" t="s">
        <v>626</v>
      </c>
      <c r="L375" t="s">
        <v>99</v>
      </c>
      <c r="O375" s="1"/>
      <c r="AQ375" s="1"/>
      <c r="AR375" s="1"/>
      <c r="AS375" s="1"/>
      <c r="AT375" t="str">
        <f>TEXT(_xll.BDP($B375,"MATURITY"),"yyyy-mm-dd")</f>
        <v>2031-01-15</v>
      </c>
      <c r="AU375" t="str">
        <f>_xll.BDP($B375,"CPN_TYP")</f>
        <v>FIXED</v>
      </c>
      <c r="AV375">
        <f>_xll.BDP($B375,"CPN")</f>
        <v>3.625</v>
      </c>
    </row>
    <row r="376" spans="1:48" x14ac:dyDescent="0.25">
      <c r="A376" t="s">
        <v>828</v>
      </c>
      <c r="B376" t="s">
        <v>1206</v>
      </c>
      <c r="C376" s="1" t="s">
        <v>1207</v>
      </c>
      <c r="D376" t="s">
        <v>1208</v>
      </c>
      <c r="E376" t="str">
        <f>_xll.BDP($B376,"LEGAL_ENTITY_IDENTIFIER")</f>
        <v>SE8N1EZEHPZQBCBVKD53</v>
      </c>
      <c r="F376" t="s">
        <v>1209</v>
      </c>
      <c r="G376" t="str">
        <f>custodian!D376</f>
        <v>536797AJ2</v>
      </c>
      <c r="H376" t="str">
        <f>_xll.BDP($B376,"ID_ISIN")</f>
        <v>US536797AJ25</v>
      </c>
      <c r="I376" s="1"/>
      <c r="J376" t="str">
        <f>_xll.BDP($B376,"CNTRY_OF_DOMICILE")</f>
        <v>US</v>
      </c>
      <c r="K376" t="s">
        <v>626</v>
      </c>
      <c r="L376" t="s">
        <v>99</v>
      </c>
      <c r="O376" s="1"/>
      <c r="AQ376" s="1"/>
      <c r="AR376" s="1"/>
      <c r="AS376" s="1"/>
      <c r="AT376" t="str">
        <f>TEXT(_xll.BDP($B376,"MATURITY"),"yyyy-mm-dd")</f>
        <v>2030-10-01</v>
      </c>
      <c r="AU376" t="str">
        <f>_xll.BDP($B376,"CPN_TYP")</f>
        <v>FIXED</v>
      </c>
      <c r="AV376">
        <f>_xll.BDP($B376,"CPN")</f>
        <v>5.5</v>
      </c>
    </row>
    <row r="377" spans="1:48" x14ac:dyDescent="0.25">
      <c r="A377" t="s">
        <v>828</v>
      </c>
      <c r="B377" t="s">
        <v>1210</v>
      </c>
      <c r="C377" s="1" t="s">
        <v>1211</v>
      </c>
      <c r="D377" t="s">
        <v>1212</v>
      </c>
      <c r="E377" t="str">
        <f>_xll.BDP($B377,"LEGAL_ENTITY_IDENTIFIER")</f>
        <v>5493007B9BM9ZXJINO78</v>
      </c>
      <c r="F377" t="s">
        <v>1213</v>
      </c>
      <c r="G377" t="str">
        <f>custodian!D377</f>
        <v>538034AV1</v>
      </c>
      <c r="H377" t="str">
        <f>_xll.BDP($B377,"ID_ISIN")</f>
        <v>US538034AV10</v>
      </c>
      <c r="I377" s="1"/>
      <c r="J377" t="str">
        <f>_xll.BDP($B377,"CNTRY_OF_DOMICILE")</f>
        <v>US</v>
      </c>
      <c r="K377" t="s">
        <v>626</v>
      </c>
      <c r="L377" t="s">
        <v>99</v>
      </c>
      <c r="O377" s="1"/>
      <c r="AQ377" s="1"/>
      <c r="AR377" s="1"/>
      <c r="AS377" s="1"/>
      <c r="AT377" t="str">
        <f>TEXT(_xll.BDP($B377,"MATURITY"),"yyyy-mm-dd")</f>
        <v>2027-05-15</v>
      </c>
      <c r="AU377" t="str">
        <f>_xll.BDP($B377,"CPN_TYP")</f>
        <v>FIXED</v>
      </c>
      <c r="AV377">
        <f>_xll.BDP($B377,"CPN")</f>
        <v>6.5</v>
      </c>
    </row>
    <row r="378" spans="1:48" x14ac:dyDescent="0.25">
      <c r="A378" t="s">
        <v>828</v>
      </c>
      <c r="B378" t="s">
        <v>1214</v>
      </c>
      <c r="C378" s="1" t="s">
        <v>1215</v>
      </c>
      <c r="D378" t="s">
        <v>1216</v>
      </c>
      <c r="E378" t="str">
        <f>_xll.BDP($B378,"LEGAL_ENTITY_IDENTIFIER")</f>
        <v>54930066VBP7DZEGGJ87</v>
      </c>
      <c r="F378" t="s">
        <v>1217</v>
      </c>
      <c r="G378" t="str">
        <f>custodian!D378</f>
        <v>552953CF6</v>
      </c>
      <c r="H378" t="str">
        <f>_xll.BDP($B378,"ID_ISIN")</f>
        <v>US552953CF65</v>
      </c>
      <c r="I378" s="1"/>
      <c r="J378" t="str">
        <f>_xll.BDP($B378,"CNTRY_OF_DOMICILE")</f>
        <v>US</v>
      </c>
      <c r="K378" t="s">
        <v>626</v>
      </c>
      <c r="L378" t="s">
        <v>99</v>
      </c>
      <c r="O378" s="1"/>
      <c r="AQ378" s="1"/>
      <c r="AR378" s="1"/>
      <c r="AS378" s="1"/>
      <c r="AT378" t="str">
        <f>TEXT(_xll.BDP($B378,"MATURITY"),"yyyy-mm-dd")</f>
        <v>2027-04-15</v>
      </c>
      <c r="AU378" t="str">
        <f>_xll.BDP($B378,"CPN_TYP")</f>
        <v>FIXED</v>
      </c>
      <c r="AV378">
        <f>_xll.BDP($B378,"CPN")</f>
        <v>5.5</v>
      </c>
    </row>
    <row r="379" spans="1:48" x14ac:dyDescent="0.25">
      <c r="A379" t="s">
        <v>828</v>
      </c>
      <c r="B379" t="s">
        <v>1218</v>
      </c>
      <c r="C379" s="1" t="s">
        <v>1219</v>
      </c>
      <c r="D379" t="s">
        <v>1220</v>
      </c>
      <c r="E379" t="str">
        <f>_xll.BDP($B379,"LEGAL_ENTITY_IDENTIFIER")</f>
        <v>#N/A N/A</v>
      </c>
      <c r="F379" t="s">
        <v>1221</v>
      </c>
      <c r="G379" t="str">
        <f>custodian!D379</f>
        <v>55342UAH7</v>
      </c>
      <c r="H379" t="str">
        <f>_xll.BDP($B379,"ID_ISIN")</f>
        <v>US55342UAH77</v>
      </c>
      <c r="I379" s="1"/>
      <c r="J379" t="str">
        <f>_xll.BDP($B379,"CNTRY_OF_DOMICILE")</f>
        <v>US</v>
      </c>
      <c r="K379" t="s">
        <v>626</v>
      </c>
      <c r="L379" t="s">
        <v>99</v>
      </c>
      <c r="O379" s="1"/>
      <c r="AQ379" s="1"/>
      <c r="AR379" s="1"/>
      <c r="AS379" s="1"/>
      <c r="AT379" t="str">
        <f>TEXT(_xll.BDP($B379,"MATURITY"),"yyyy-mm-dd")</f>
        <v>2027-10-15</v>
      </c>
      <c r="AU379" t="str">
        <f>_xll.BDP($B379,"CPN_TYP")</f>
        <v>FIXED</v>
      </c>
      <c r="AV379">
        <f>_xll.BDP($B379,"CPN")</f>
        <v>5</v>
      </c>
    </row>
    <row r="380" spans="1:48" x14ac:dyDescent="0.25">
      <c r="A380" t="s">
        <v>828</v>
      </c>
      <c r="B380" t="s">
        <v>1222</v>
      </c>
      <c r="C380" s="1" t="s">
        <v>1223</v>
      </c>
      <c r="D380" t="s">
        <v>1224</v>
      </c>
      <c r="E380" t="str">
        <f>_xll.BDP($B380,"LEGAL_ENTITY_IDENTIFIER")</f>
        <v>25490044R1FR5N8FIT62</v>
      </c>
      <c r="F380" t="s">
        <v>1225</v>
      </c>
      <c r="G380" t="str">
        <f>custodian!D380</f>
        <v>56085RAA8</v>
      </c>
      <c r="H380" t="str">
        <f>_xll.BDP($B380,"ID_ISIN")</f>
        <v>US56085RAA86</v>
      </c>
      <c r="I380" s="1"/>
      <c r="J380" t="str">
        <f>_xll.BDP($B380,"CNTRY_OF_DOMICILE")</f>
        <v>US</v>
      </c>
      <c r="K380" t="s">
        <v>626</v>
      </c>
      <c r="L380" t="s">
        <v>99</v>
      </c>
      <c r="O380" s="1"/>
      <c r="AQ380" s="1"/>
      <c r="AR380" s="1"/>
      <c r="AS380" s="1"/>
      <c r="AT380" t="str">
        <f>TEXT(_xll.BDP($B380,"MATURITY"),"yyyy-mm-dd")</f>
        <v>2029-06-01</v>
      </c>
      <c r="AU380" t="str">
        <f>_xll.BDP($B380,"CPN_TYP")</f>
        <v>FIXED</v>
      </c>
      <c r="AV380">
        <f>_xll.BDP($B380,"CPN")</f>
        <v>6.375</v>
      </c>
    </row>
    <row r="381" spans="1:48" x14ac:dyDescent="0.25">
      <c r="A381" t="s">
        <v>828</v>
      </c>
      <c r="B381" t="s">
        <v>1226</v>
      </c>
      <c r="C381" s="1" t="s">
        <v>1227</v>
      </c>
      <c r="D381" t="s">
        <v>1228</v>
      </c>
      <c r="E381" t="str">
        <f>_xll.BDP($B381,"LEGAL_ENTITY_IDENTIFIER")</f>
        <v>5493003RFFE030RC9167</v>
      </c>
      <c r="F381" t="s">
        <v>1229</v>
      </c>
      <c r="G381" t="str">
        <f>custodian!D381</f>
        <v>57665RAJ5</v>
      </c>
      <c r="H381" t="str">
        <f>_xll.BDP($B381,"ID_ISIN")</f>
        <v>US57665RAJ59</v>
      </c>
      <c r="I381" s="1"/>
      <c r="J381" t="str">
        <f>_xll.BDP($B381,"CNTRY_OF_DOMICILE")</f>
        <v>US</v>
      </c>
      <c r="K381" t="s">
        <v>626</v>
      </c>
      <c r="L381" t="s">
        <v>99</v>
      </c>
      <c r="O381" s="1"/>
      <c r="AQ381" s="1"/>
      <c r="AR381" s="1"/>
      <c r="AS381" s="1"/>
      <c r="AT381" t="str">
        <f>TEXT(_xll.BDP($B381,"MATURITY"),"yyyy-mm-dd")</f>
        <v>2029-02-15</v>
      </c>
      <c r="AU381" t="str">
        <f>_xll.BDP($B381,"CPN_TYP")</f>
        <v>FIXED</v>
      </c>
      <c r="AV381">
        <f>_xll.BDP($B381,"CPN")</f>
        <v>5.625</v>
      </c>
    </row>
    <row r="382" spans="1:48" x14ac:dyDescent="0.25">
      <c r="A382" t="s">
        <v>828</v>
      </c>
      <c r="B382" t="s">
        <v>1230</v>
      </c>
      <c r="C382" s="1" t="s">
        <v>1231</v>
      </c>
      <c r="D382" t="s">
        <v>1232</v>
      </c>
      <c r="E382" t="str">
        <f>_xll.BDP($B382,"LEGAL_ENTITY_IDENTIFIER")</f>
        <v>549300DNGHXL0OMHW304</v>
      </c>
      <c r="F382" t="s">
        <v>1233</v>
      </c>
      <c r="G382" t="str">
        <f>custodian!D382</f>
        <v>57763RAF4</v>
      </c>
      <c r="H382" t="str">
        <f>_xll.BDP($B382,"ID_ISIN")</f>
        <v>US57763RAF47</v>
      </c>
      <c r="I382" s="1"/>
      <c r="J382" t="str">
        <f>_xll.BDP($B382,"CNTRY_OF_DOMICILE")</f>
        <v>US</v>
      </c>
      <c r="K382" t="s">
        <v>626</v>
      </c>
      <c r="L382" t="s">
        <v>99</v>
      </c>
      <c r="O382" s="1"/>
      <c r="AQ382" s="1"/>
      <c r="AR382" s="1"/>
      <c r="AS382" s="1"/>
      <c r="AT382" t="str">
        <f>TEXT(_xll.BDP($B382,"MATURITY"),"yyyy-mm-dd")</f>
        <v>2030-04-15</v>
      </c>
      <c r="AU382" t="str">
        <f>_xll.BDP($B382,"CPN_TYP")</f>
        <v>FIXED</v>
      </c>
      <c r="AV382">
        <f>_xll.BDP($B382,"CPN")</f>
        <v>9.25</v>
      </c>
    </row>
    <row r="383" spans="1:48" x14ac:dyDescent="0.25">
      <c r="A383" t="s">
        <v>828</v>
      </c>
      <c r="B383" t="s">
        <v>1234</v>
      </c>
      <c r="C383" s="1" t="s">
        <v>1235</v>
      </c>
      <c r="D383" t="s">
        <v>1236</v>
      </c>
      <c r="E383" t="str">
        <f>_xll.BDP($B383,"LEGAL_ENTITY_IDENTIFIER")</f>
        <v>#N/A N/A</v>
      </c>
      <c r="F383" t="s">
        <v>1237</v>
      </c>
      <c r="G383" t="str">
        <f>custodian!D383</f>
        <v>57779EAA6</v>
      </c>
      <c r="H383" t="str">
        <f>_xll.BDP($B383,"ID_ISIN")</f>
        <v>US57779EAA64</v>
      </c>
      <c r="I383" s="1"/>
      <c r="J383" t="str">
        <f>_xll.BDP($B383,"CNTRY_OF_DOMICILE")</f>
        <v>US</v>
      </c>
      <c r="K383" t="s">
        <v>626</v>
      </c>
      <c r="L383" t="s">
        <v>99</v>
      </c>
      <c r="O383" s="1"/>
      <c r="AQ383" s="1"/>
      <c r="AR383" s="1"/>
      <c r="AS383" s="1"/>
      <c r="AT383" t="str">
        <f>TEXT(_xll.BDP($B383,"MATURITY"),"yyyy-mm-dd")</f>
        <v>2028-09-01</v>
      </c>
      <c r="AU383" t="str">
        <f>_xll.BDP($B383,"CPN_TYP")</f>
        <v>FIXED</v>
      </c>
      <c r="AV383">
        <f>_xll.BDP($B383,"CPN")</f>
        <v>11.5</v>
      </c>
    </row>
    <row r="384" spans="1:48" x14ac:dyDescent="0.25">
      <c r="A384" t="s">
        <v>828</v>
      </c>
      <c r="B384" t="s">
        <v>1238</v>
      </c>
      <c r="C384" s="1" t="s">
        <v>1239</v>
      </c>
      <c r="D384" t="s">
        <v>1240</v>
      </c>
      <c r="E384" t="str">
        <f>_xll.BDP($B384,"LEGAL_ENTITY_IDENTIFIER")</f>
        <v>2549009UKR8UEZYVCR93</v>
      </c>
      <c r="F384" t="s">
        <v>1240</v>
      </c>
      <c r="G384" t="str">
        <f>custodian!D384</f>
        <v>579063AB4</v>
      </c>
      <c r="H384" t="str">
        <f>_xll.BDP($B384,"ID_ISIN")</f>
        <v>US579063AB46</v>
      </c>
      <c r="I384" s="1"/>
      <c r="J384" t="str">
        <f>_xll.BDP($B384,"CNTRY_OF_DOMICILE")</f>
        <v>US</v>
      </c>
      <c r="K384" t="s">
        <v>626</v>
      </c>
      <c r="L384" t="s">
        <v>99</v>
      </c>
      <c r="O384" s="1"/>
      <c r="AQ384" s="1"/>
      <c r="AR384" s="1"/>
      <c r="AS384" s="1"/>
      <c r="AT384" t="str">
        <f>TEXT(_xll.BDP($B384,"MATURITY"),"yyyy-mm-dd")</f>
        <v>2030-02-15</v>
      </c>
      <c r="AU384" t="str">
        <f>_xll.BDP($B384,"CPN_TYP")</f>
        <v>FIXED</v>
      </c>
      <c r="AV384">
        <f>_xll.BDP($B384,"CPN")</f>
        <v>7.375</v>
      </c>
    </row>
    <row r="385" spans="1:48" x14ac:dyDescent="0.25">
      <c r="A385" t="s">
        <v>828</v>
      </c>
      <c r="B385" t="s">
        <v>1241</v>
      </c>
      <c r="C385" s="1" t="s">
        <v>1242</v>
      </c>
      <c r="D385" t="s">
        <v>1243</v>
      </c>
      <c r="E385" t="str">
        <f>_xll.BDP($B385,"LEGAL_ENTITY_IDENTIFIER")</f>
        <v>#N/A N/A</v>
      </c>
      <c r="F385" t="s">
        <v>1244</v>
      </c>
      <c r="G385" t="str">
        <f>custodian!D385</f>
        <v>58502BAE6</v>
      </c>
      <c r="H385" t="str">
        <f>_xll.BDP($B385,"ID_ISIN")</f>
        <v>US58502BAE65</v>
      </c>
      <c r="I385" s="1"/>
      <c r="J385" t="str">
        <f>_xll.BDP($B385,"CNTRY_OF_DOMICILE")</f>
        <v>US</v>
      </c>
      <c r="K385" t="s">
        <v>626</v>
      </c>
      <c r="L385" t="s">
        <v>99</v>
      </c>
      <c r="O385" s="1"/>
      <c r="AQ385" s="1"/>
      <c r="AR385" s="1"/>
      <c r="AS385" s="1"/>
      <c r="AT385" t="str">
        <f>TEXT(_xll.BDP($B385,"MATURITY"),"yyyy-mm-dd")</f>
        <v>2030-02-15</v>
      </c>
      <c r="AU385" t="str">
        <f>_xll.BDP($B385,"CPN_TYP")</f>
        <v>FIXED</v>
      </c>
      <c r="AV385">
        <f>_xll.BDP($B385,"CPN")</f>
        <v>5.375</v>
      </c>
    </row>
    <row r="386" spans="1:48" x14ac:dyDescent="0.25">
      <c r="A386" t="s">
        <v>828</v>
      </c>
      <c r="B386" t="s">
        <v>1245</v>
      </c>
      <c r="C386" s="1" t="s">
        <v>1246</v>
      </c>
      <c r="D386" t="s">
        <v>1247</v>
      </c>
      <c r="E386" t="str">
        <f>_xll.BDP($B386,"LEGAL_ENTITY_IDENTIFIER")</f>
        <v>#N/A N/A</v>
      </c>
      <c r="F386" t="s">
        <v>1248</v>
      </c>
      <c r="G386" t="str">
        <f>custodian!D386</f>
        <v>58990CAA1</v>
      </c>
      <c r="H386" t="str">
        <f>_xll.BDP($B386,"ID_ISIN")</f>
        <v>US58990CAA18</v>
      </c>
      <c r="I386" s="1"/>
      <c r="J386" t="str">
        <f>_xll.BDP($B386,"CNTRY_OF_DOMICILE")</f>
        <v>US</v>
      </c>
      <c r="K386" t="s">
        <v>626</v>
      </c>
      <c r="L386" t="s">
        <v>99</v>
      </c>
      <c r="O386" s="1"/>
      <c r="AQ386" s="1"/>
      <c r="AR386" s="1"/>
      <c r="AS386" s="1"/>
      <c r="AT386" t="str">
        <f>TEXT(_xll.BDP($B386,"MATURITY"),"yyyy-mm-dd")</f>
        <v>2031-04-30</v>
      </c>
      <c r="AU386" t="str">
        <f>_xll.BDP($B386,"CPN_TYP")</f>
        <v>FIXED</v>
      </c>
      <c r="AV386">
        <f>_xll.BDP($B386,"CPN")</f>
        <v>6.25</v>
      </c>
    </row>
    <row r="387" spans="1:48" x14ac:dyDescent="0.25">
      <c r="A387" t="s">
        <v>828</v>
      </c>
      <c r="B387" t="s">
        <v>1249</v>
      </c>
      <c r="C387" s="1" t="s">
        <v>1250</v>
      </c>
      <c r="D387" t="s">
        <v>1251</v>
      </c>
      <c r="E387" t="str">
        <f>_xll.BDP($B387,"LEGAL_ENTITY_IDENTIFIER")</f>
        <v>#N/A N/A</v>
      </c>
      <c r="F387" t="s">
        <v>1252</v>
      </c>
      <c r="G387" t="str">
        <f>custodian!D387</f>
        <v>601137AA0</v>
      </c>
      <c r="H387" t="str">
        <f>_xll.BDP($B387,"ID_ISIN")</f>
        <v>US601137AA09</v>
      </c>
      <c r="I387" s="1"/>
      <c r="J387" t="str">
        <f>_xll.BDP($B387,"CNTRY_OF_DOMICILE")</f>
        <v>US</v>
      </c>
      <c r="K387" t="s">
        <v>626</v>
      </c>
      <c r="L387" t="s">
        <v>99</v>
      </c>
      <c r="O387" s="1"/>
      <c r="AQ387" s="1"/>
      <c r="AR387" s="1"/>
      <c r="AS387" s="1"/>
      <c r="AT387" t="str">
        <f>TEXT(_xll.BDP($B387,"MATURITY"),"yyyy-mm-dd")</f>
        <v>2030-08-01</v>
      </c>
      <c r="AU387" t="str">
        <f>_xll.BDP($B387,"CPN_TYP")</f>
        <v>FIXED</v>
      </c>
      <c r="AV387">
        <f>_xll.BDP($B387,"CPN")</f>
        <v>6.375</v>
      </c>
    </row>
    <row r="388" spans="1:48" x14ac:dyDescent="0.25">
      <c r="A388" t="s">
        <v>828</v>
      </c>
      <c r="B388" t="s">
        <v>1253</v>
      </c>
      <c r="C388" s="1" t="s">
        <v>1254</v>
      </c>
      <c r="D388" t="s">
        <v>1255</v>
      </c>
      <c r="E388" t="str">
        <f>_xll.BDP($B388,"LEGAL_ENTITY_IDENTIFIER")</f>
        <v>5299007V1ACKFFX2P066</v>
      </c>
      <c r="F388" t="s">
        <v>1256</v>
      </c>
      <c r="G388" t="str">
        <f>custodian!D388</f>
        <v>603051AF0</v>
      </c>
      <c r="H388" t="str">
        <f>_xll.BDP($B388,"ID_ISIN")</f>
        <v>US603051AF02</v>
      </c>
      <c r="I388" s="1"/>
      <c r="J388" t="str">
        <f>_xll.BDP($B388,"CNTRY_OF_DOMICILE")</f>
        <v>AU</v>
      </c>
      <c r="K388" t="s">
        <v>626</v>
      </c>
      <c r="L388" t="s">
        <v>99</v>
      </c>
      <c r="O388" s="1"/>
      <c r="AQ388" s="1"/>
      <c r="AR388" s="1"/>
      <c r="AS388" s="1"/>
      <c r="AT388" t="str">
        <f>TEXT(_xll.BDP($B388,"MATURITY"),"yyyy-mm-dd")</f>
        <v>2031-04-01</v>
      </c>
      <c r="AU388" t="str">
        <f>_xll.BDP($B388,"CPN_TYP")</f>
        <v>FIXED</v>
      </c>
      <c r="AV388">
        <f>_xll.BDP($B388,"CPN")</f>
        <v>7</v>
      </c>
    </row>
    <row r="389" spans="1:48" x14ac:dyDescent="0.25">
      <c r="A389" t="s">
        <v>828</v>
      </c>
      <c r="B389" t="s">
        <v>1257</v>
      </c>
      <c r="C389" s="1" t="s">
        <v>1258</v>
      </c>
      <c r="D389" t="s">
        <v>1259</v>
      </c>
      <c r="E389" t="str">
        <f>_xll.BDP($B389,"LEGAL_ENTITY_IDENTIFIER")</f>
        <v>254900AA3KZN4Q7A5Z33</v>
      </c>
      <c r="F389" t="s">
        <v>1260</v>
      </c>
      <c r="G389" t="str">
        <f>custodian!D389</f>
        <v>60337JAA4</v>
      </c>
      <c r="H389" t="str">
        <f>_xll.BDP($B389,"ID_ISIN")</f>
        <v>US60337JAA43</v>
      </c>
      <c r="I389" s="1"/>
      <c r="J389" t="str">
        <f>_xll.BDP($B389,"CNTRY_OF_DOMICILE")</f>
        <v>US</v>
      </c>
      <c r="K389" t="s">
        <v>626</v>
      </c>
      <c r="L389" t="s">
        <v>99</v>
      </c>
      <c r="O389" s="1"/>
      <c r="AQ389" s="1"/>
      <c r="AR389" s="1"/>
      <c r="AS389" s="1"/>
      <c r="AT389" t="str">
        <f>TEXT(_xll.BDP($B389,"MATURITY"),"yyyy-mm-dd")</f>
        <v>2030-02-15</v>
      </c>
      <c r="AU389" t="str">
        <f>_xll.BDP($B389,"CPN_TYP")</f>
        <v>FIXED</v>
      </c>
      <c r="AV389">
        <f>_xll.BDP($B389,"CPN")</f>
        <v>6.5</v>
      </c>
    </row>
    <row r="390" spans="1:48" x14ac:dyDescent="0.25">
      <c r="A390" t="s">
        <v>828</v>
      </c>
      <c r="B390" t="s">
        <v>1261</v>
      </c>
      <c r="C390" s="1" t="s">
        <v>1262</v>
      </c>
      <c r="D390" t="s">
        <v>1263</v>
      </c>
      <c r="E390" t="str">
        <f>_xll.BDP($B390,"LEGAL_ENTITY_IDENTIFIER")</f>
        <v>#N/A N/A</v>
      </c>
      <c r="F390" t="s">
        <v>1264</v>
      </c>
      <c r="G390" t="str">
        <f>custodian!D390</f>
        <v>60832QAA8</v>
      </c>
      <c r="H390" t="str">
        <f>_xll.BDP($B390,"ID_ISIN")</f>
        <v>US60832QAA85</v>
      </c>
      <c r="I390" s="1"/>
      <c r="J390" t="str">
        <f>_xll.BDP($B390,"CNTRY_OF_DOMICILE")</f>
        <v>US</v>
      </c>
      <c r="K390" t="s">
        <v>626</v>
      </c>
      <c r="L390" t="s">
        <v>99</v>
      </c>
      <c r="O390" s="1"/>
      <c r="AQ390" s="1"/>
      <c r="AR390" s="1"/>
      <c r="AS390" s="1"/>
      <c r="AT390" t="str">
        <f>TEXT(_xll.BDP($B390,"MATURITY"),"yyyy-mm-dd")</f>
        <v>2030-04-15</v>
      </c>
      <c r="AU390" t="str">
        <f>_xll.BDP($B390,"CPN_TYP")</f>
        <v>FIXED</v>
      </c>
      <c r="AV390">
        <f>_xll.BDP($B390,"CPN")</f>
        <v>8.25</v>
      </c>
    </row>
    <row r="391" spans="1:48" x14ac:dyDescent="0.25">
      <c r="A391" t="s">
        <v>828</v>
      </c>
      <c r="B391" t="s">
        <v>1265</v>
      </c>
      <c r="C391" s="1" t="s">
        <v>1266</v>
      </c>
      <c r="D391" t="s">
        <v>1267</v>
      </c>
      <c r="E391" t="str">
        <f>_xll.BDP($B391,"LEGAL_ENTITY_IDENTIFIER")</f>
        <v>549300NQQCEQ46YHZ591</v>
      </c>
      <c r="F391" t="s">
        <v>1268</v>
      </c>
      <c r="G391" t="str">
        <f>custodian!D391</f>
        <v>60855RAJ9</v>
      </c>
      <c r="H391" t="str">
        <f>_xll.BDP($B391,"ID_ISIN")</f>
        <v>US60855RAJ95</v>
      </c>
      <c r="I391" s="1"/>
      <c r="J391" t="str">
        <f>_xll.BDP($B391,"CNTRY_OF_DOMICILE")</f>
        <v>US</v>
      </c>
      <c r="K391" t="s">
        <v>626</v>
      </c>
      <c r="L391" t="s">
        <v>99</v>
      </c>
      <c r="O391" s="1"/>
      <c r="AQ391" s="1"/>
      <c r="AR391" s="1"/>
      <c r="AS391" s="1"/>
      <c r="AT391" t="str">
        <f>TEXT(_xll.BDP($B391,"MATURITY"),"yyyy-mm-dd")</f>
        <v>2028-06-15</v>
      </c>
      <c r="AU391" t="str">
        <f>_xll.BDP($B391,"CPN_TYP")</f>
        <v>FIXED</v>
      </c>
      <c r="AV391">
        <f>_xll.BDP($B391,"CPN")</f>
        <v>4.375</v>
      </c>
    </row>
    <row r="392" spans="1:48" x14ac:dyDescent="0.25">
      <c r="A392" t="s">
        <v>828</v>
      </c>
      <c r="B392" t="s">
        <v>1269</v>
      </c>
      <c r="C392" s="1" t="s">
        <v>1270</v>
      </c>
      <c r="D392" t="s">
        <v>1271</v>
      </c>
      <c r="E392" t="str">
        <f>_xll.BDP($B392,"LEGAL_ENTITY_IDENTIFIER")</f>
        <v>254900QT3R363TVK6F09</v>
      </c>
      <c r="F392" t="s">
        <v>1272</v>
      </c>
      <c r="G392" t="str">
        <f>custodian!D392</f>
        <v>62482BAB8</v>
      </c>
      <c r="H392" t="str">
        <f>_xll.BDP($B392,"ID_ISIN")</f>
        <v>US62482BAB80</v>
      </c>
      <c r="I392" s="1"/>
      <c r="J392" t="str">
        <f>_xll.BDP($B392,"CNTRY_OF_DOMICILE")</f>
        <v>US</v>
      </c>
      <c r="K392" t="s">
        <v>626</v>
      </c>
      <c r="L392" t="s">
        <v>99</v>
      </c>
      <c r="O392" s="1"/>
      <c r="AQ392" s="1"/>
      <c r="AR392" s="1"/>
      <c r="AS392" s="1"/>
      <c r="AT392" t="str">
        <f>TEXT(_xll.BDP($B392,"MATURITY"),"yyyy-mm-dd")</f>
        <v>2029-10-01</v>
      </c>
      <c r="AU392" t="str">
        <f>_xll.BDP($B392,"CPN_TYP")</f>
        <v>FIXED</v>
      </c>
      <c r="AV392">
        <f>_xll.BDP($B392,"CPN")</f>
        <v>5.25</v>
      </c>
    </row>
    <row r="393" spans="1:48" x14ac:dyDescent="0.25">
      <c r="A393" t="s">
        <v>828</v>
      </c>
      <c r="B393" t="s">
        <v>1273</v>
      </c>
      <c r="C393" s="1" t="s">
        <v>1274</v>
      </c>
      <c r="D393" t="s">
        <v>1275</v>
      </c>
      <c r="E393" t="str">
        <f>_xll.BDP($B393,"LEGAL_ENTITY_IDENTIFIER")</f>
        <v>N32S6DTR2ZZ5222WHV58</v>
      </c>
      <c r="F393" t="s">
        <v>1276</v>
      </c>
      <c r="G393" t="str">
        <f>custodian!D393</f>
        <v>626738AE8</v>
      </c>
      <c r="H393" t="str">
        <f>_xll.BDP($B393,"ID_ISIN")</f>
        <v>US626738AE88</v>
      </c>
      <c r="I393" s="1"/>
      <c r="J393" t="str">
        <f>_xll.BDP($B393,"CNTRY_OF_DOMICILE")</f>
        <v>US</v>
      </c>
      <c r="K393" t="s">
        <v>626</v>
      </c>
      <c r="L393" t="s">
        <v>99</v>
      </c>
      <c r="O393" s="1"/>
      <c r="AQ393" s="1"/>
      <c r="AR393" s="1"/>
      <c r="AS393" s="1"/>
      <c r="AT393" t="str">
        <f>TEXT(_xll.BDP($B393,"MATURITY"),"yyyy-mm-dd")</f>
        <v>2029-09-15</v>
      </c>
      <c r="AU393" t="str">
        <f>_xll.BDP($B393,"CPN_TYP")</f>
        <v>FIXED</v>
      </c>
      <c r="AV393">
        <f>_xll.BDP($B393,"CPN")</f>
        <v>4.75</v>
      </c>
    </row>
    <row r="394" spans="1:48" x14ac:dyDescent="0.25">
      <c r="A394" t="s">
        <v>828</v>
      </c>
      <c r="B394" t="s">
        <v>1277</v>
      </c>
      <c r="C394" s="1" t="s">
        <v>1278</v>
      </c>
      <c r="D394" t="s">
        <v>1279</v>
      </c>
      <c r="E394" t="str">
        <f>_xll.BDP($B394,"LEGAL_ENTITY_IDENTIFIER")</f>
        <v>#N/A N/A</v>
      </c>
      <c r="F394" t="s">
        <v>1279</v>
      </c>
      <c r="G394" t="str">
        <f>custodian!D394</f>
        <v>62844JAE8</v>
      </c>
      <c r="H394" t="str">
        <f>_xll.BDP($B394,"ID_ISIN")</f>
        <v>US62844JAE82</v>
      </c>
      <c r="I394" s="1"/>
      <c r="J394" t="str">
        <f>_xll.BDP($B394,"CNTRY_OF_DOMICILE")</f>
        <v>US</v>
      </c>
      <c r="K394" t="s">
        <v>626</v>
      </c>
      <c r="L394" t="s">
        <v>99</v>
      </c>
      <c r="O394" s="1"/>
      <c r="AQ394" s="1"/>
      <c r="AR394" s="1"/>
      <c r="AS394" s="1"/>
      <c r="AT394" t="str">
        <f>TEXT(_xll.BDP($B394,"MATURITY"),"yyyy-mm-dd")</f>
        <v>2029-02-19</v>
      </c>
      <c r="AU394" t="str">
        <f>_xll.BDP($B394,"CPN_TYP")</f>
        <v>PAY-IN-KIND</v>
      </c>
      <c r="AV394">
        <f>_xll.BDP($B394,"CPN")</f>
        <v>15</v>
      </c>
    </row>
    <row r="395" spans="1:48" x14ac:dyDescent="0.25">
      <c r="A395" t="s">
        <v>828</v>
      </c>
      <c r="B395" t="s">
        <v>1280</v>
      </c>
      <c r="C395" s="1" t="s">
        <v>1281</v>
      </c>
      <c r="D395" t="s">
        <v>1282</v>
      </c>
      <c r="E395" t="str">
        <f>_xll.BDP($B395,"LEGAL_ENTITY_IDENTIFIER")</f>
        <v>UNZWILHE4KMRP9K2L524</v>
      </c>
      <c r="F395" t="s">
        <v>1282</v>
      </c>
      <c r="G395" t="str">
        <f>custodian!D395</f>
        <v>62886HBY6</v>
      </c>
      <c r="H395" t="str">
        <f>_xll.BDP($B395,"ID_ISIN")</f>
        <v>US62886HBY62</v>
      </c>
      <c r="I395" s="1"/>
      <c r="J395" t="str">
        <f>_xll.BDP($B395,"CNTRY_OF_DOMICILE")</f>
        <v>US</v>
      </c>
      <c r="K395" t="s">
        <v>626</v>
      </c>
      <c r="L395" t="s">
        <v>99</v>
      </c>
      <c r="O395" s="1"/>
      <c r="AQ395" s="1"/>
      <c r="AR395" s="1"/>
      <c r="AS395" s="1"/>
      <c r="AT395" t="str">
        <f>TEXT(_xll.BDP($B395,"MATURITY"),"yyyy-mm-dd")</f>
        <v>2031-01-15</v>
      </c>
      <c r="AU395" t="str">
        <f>_xll.BDP($B395,"CPN_TYP")</f>
        <v>FIXED</v>
      </c>
      <c r="AV395">
        <f>_xll.BDP($B395,"CPN")</f>
        <v>5.875</v>
      </c>
    </row>
    <row r="396" spans="1:48" x14ac:dyDescent="0.25">
      <c r="A396" t="s">
        <v>828</v>
      </c>
      <c r="B396" t="s">
        <v>1283</v>
      </c>
      <c r="C396" s="1" t="s">
        <v>1284</v>
      </c>
      <c r="D396" t="s">
        <v>1285</v>
      </c>
      <c r="E396" t="str">
        <f>_xll.BDP($B396,"LEGAL_ENTITY_IDENTIFIER")</f>
        <v>5E2UPK5SW04M13XY7I38</v>
      </c>
      <c r="F396" t="s">
        <v>1286</v>
      </c>
      <c r="G396" t="str">
        <f>custodian!D396</f>
        <v>629377CH3</v>
      </c>
      <c r="H396" t="str">
        <f>_xll.BDP($B396,"ID_ISIN")</f>
        <v>US629377CH34</v>
      </c>
      <c r="I396" s="1"/>
      <c r="J396" t="str">
        <f>_xll.BDP($B396,"CNTRY_OF_DOMICILE")</f>
        <v>US</v>
      </c>
      <c r="K396" t="s">
        <v>626</v>
      </c>
      <c r="L396" t="s">
        <v>99</v>
      </c>
      <c r="O396" s="1"/>
      <c r="AQ396" s="1"/>
      <c r="AR396" s="1"/>
      <c r="AS396" s="1"/>
      <c r="AT396" t="str">
        <f>TEXT(_xll.BDP($B396,"MATURITY"),"yyyy-mm-dd")</f>
        <v>2029-06-15</v>
      </c>
      <c r="AU396" t="str">
        <f>_xll.BDP($B396,"CPN_TYP")</f>
        <v>FIXED</v>
      </c>
      <c r="AV396">
        <f>_xll.BDP($B396,"CPN")</f>
        <v>5.25</v>
      </c>
    </row>
    <row r="397" spans="1:48" x14ac:dyDescent="0.25">
      <c r="A397" t="s">
        <v>828</v>
      </c>
      <c r="B397" t="s">
        <v>1287</v>
      </c>
      <c r="C397" s="1" t="s">
        <v>1288</v>
      </c>
      <c r="D397" t="s">
        <v>1289</v>
      </c>
      <c r="E397" t="str">
        <f>_xll.BDP($B397,"LEGAL_ENTITY_IDENTIFIER")</f>
        <v>54930067J0ZNOEBRW338</v>
      </c>
      <c r="F397" t="s">
        <v>1289</v>
      </c>
      <c r="G397" t="str">
        <f>custodian!D397</f>
        <v>63938CAM0</v>
      </c>
      <c r="H397" t="str">
        <f>_xll.BDP($B397,"ID_ISIN")</f>
        <v>US63938CAM01</v>
      </c>
      <c r="I397" s="1"/>
      <c r="J397" t="str">
        <f>_xll.BDP($B397,"CNTRY_OF_DOMICILE")</f>
        <v>US</v>
      </c>
      <c r="K397" t="s">
        <v>626</v>
      </c>
      <c r="L397" t="s">
        <v>99</v>
      </c>
      <c r="O397" s="1"/>
      <c r="AQ397" s="1"/>
      <c r="AR397" s="1"/>
      <c r="AS397" s="1"/>
      <c r="AT397" t="str">
        <f>TEXT(_xll.BDP($B397,"MATURITY"),"yyyy-mm-dd")</f>
        <v>2029-03-15</v>
      </c>
      <c r="AU397" t="str">
        <f>_xll.BDP($B397,"CPN_TYP")</f>
        <v>FIXED</v>
      </c>
      <c r="AV397">
        <f>_xll.BDP($B397,"CPN")</f>
        <v>5.5</v>
      </c>
    </row>
    <row r="398" spans="1:48" x14ac:dyDescent="0.25">
      <c r="A398" t="s">
        <v>828</v>
      </c>
      <c r="B398" t="s">
        <v>1290</v>
      </c>
      <c r="C398" s="1" t="s">
        <v>1291</v>
      </c>
      <c r="D398" t="s">
        <v>1292</v>
      </c>
      <c r="E398" t="str">
        <f>_xll.BDP($B398,"LEGAL_ENTITY_IDENTIFIER")</f>
        <v>549300VG15T3VCYZ4531</v>
      </c>
      <c r="F398" t="s">
        <v>1293</v>
      </c>
      <c r="G398" t="str">
        <f>custodian!D398</f>
        <v>640695AC6</v>
      </c>
      <c r="H398" t="str">
        <f>_xll.BDP($B398,"ID_ISIN")</f>
        <v>US640695AC66</v>
      </c>
      <c r="I398" s="1"/>
      <c r="J398" t="str">
        <f>_xll.BDP($B398,"CNTRY_OF_DOMICILE")</f>
        <v>US</v>
      </c>
      <c r="K398" t="s">
        <v>626</v>
      </c>
      <c r="L398" t="s">
        <v>99</v>
      </c>
      <c r="O398" s="1"/>
      <c r="AQ398" s="1"/>
      <c r="AR398" s="1"/>
      <c r="AS398" s="1"/>
      <c r="AT398" t="str">
        <f>TEXT(_xll.BDP($B398,"MATURITY"),"yyyy-mm-dd")</f>
        <v>2031-05-15</v>
      </c>
      <c r="AU398" t="str">
        <f>_xll.BDP($B398,"CPN_TYP")</f>
        <v>FIXED</v>
      </c>
      <c r="AV398">
        <f>_xll.BDP($B398,"CPN")</f>
        <v>10.375</v>
      </c>
    </row>
    <row r="399" spans="1:48" x14ac:dyDescent="0.25">
      <c r="A399" t="s">
        <v>828</v>
      </c>
      <c r="B399" t="s">
        <v>1294</v>
      </c>
      <c r="C399" s="1" t="s">
        <v>1295</v>
      </c>
      <c r="D399" t="s">
        <v>1296</v>
      </c>
      <c r="E399" t="str">
        <f>_xll.BDP($B399,"LEGAL_ENTITY_IDENTIFIER")</f>
        <v>549300PLCE8TB3TVRQ85</v>
      </c>
      <c r="F399" t="s">
        <v>1297</v>
      </c>
      <c r="G399" t="str">
        <f>custodian!D399</f>
        <v>645370AG2</v>
      </c>
      <c r="H399" t="str">
        <f>_xll.BDP($B399,"ID_ISIN")</f>
        <v>US645370AG22</v>
      </c>
      <c r="I399" s="1"/>
      <c r="J399" t="str">
        <f>_xll.BDP($B399,"CNTRY_OF_DOMICILE")</f>
        <v>US</v>
      </c>
      <c r="K399" t="s">
        <v>626</v>
      </c>
      <c r="L399" t="s">
        <v>99</v>
      </c>
      <c r="O399" s="1"/>
      <c r="AQ399" s="1"/>
      <c r="AR399" s="1"/>
      <c r="AS399" s="1"/>
      <c r="AT399" t="str">
        <f>TEXT(_xll.BDP($B399,"MATURITY"),"yyyy-mm-dd")</f>
        <v>2030-11-01</v>
      </c>
      <c r="AU399" t="str">
        <f>_xll.BDP($B399,"CPN_TYP")</f>
        <v>FIXED</v>
      </c>
      <c r="AV399">
        <f>_xll.BDP($B399,"CPN")</f>
        <v>8.5</v>
      </c>
    </row>
    <row r="400" spans="1:48" x14ac:dyDescent="0.25">
      <c r="A400" t="s">
        <v>828</v>
      </c>
      <c r="B400" t="s">
        <v>1298</v>
      </c>
      <c r="C400" s="1" t="s">
        <v>1299</v>
      </c>
      <c r="D400" t="s">
        <v>1300</v>
      </c>
      <c r="E400" t="str">
        <f>_xll.BDP($B400,"LEGAL_ENTITY_IDENTIFIER")</f>
        <v>549300LWGYFM1TVO1Z12</v>
      </c>
      <c r="F400" t="s">
        <v>1301</v>
      </c>
      <c r="G400" t="str">
        <f>custodian!D400</f>
        <v>651229BG0</v>
      </c>
      <c r="H400" t="str">
        <f>_xll.BDP($B400,"ID_ISIN")</f>
        <v>US651229BG06</v>
      </c>
      <c r="I400" s="1"/>
      <c r="J400" t="str">
        <f>_xll.BDP($B400,"CNTRY_OF_DOMICILE")</f>
        <v>US</v>
      </c>
      <c r="K400" t="s">
        <v>626</v>
      </c>
      <c r="L400" t="s">
        <v>99</v>
      </c>
      <c r="O400" s="1"/>
      <c r="AQ400" s="1"/>
      <c r="AR400" s="1"/>
      <c r="AS400" s="1"/>
      <c r="AT400" t="str">
        <f>TEXT(_xll.BDP($B400,"MATURITY"),"yyyy-mm-dd")</f>
        <v>2028-06-01</v>
      </c>
      <c r="AU400" t="str">
        <f>_xll.BDP($B400,"CPN_TYP")</f>
        <v>FIXED</v>
      </c>
      <c r="AV400">
        <f>_xll.BDP($B400,"CPN")</f>
        <v>8.5</v>
      </c>
    </row>
    <row r="401" spans="1:48" x14ac:dyDescent="0.25">
      <c r="A401" t="s">
        <v>828</v>
      </c>
      <c r="B401" t="s">
        <v>1302</v>
      </c>
      <c r="C401" s="1" t="s">
        <v>1303</v>
      </c>
      <c r="D401" t="s">
        <v>1304</v>
      </c>
      <c r="E401" t="str">
        <f>_xll.BDP($B401,"LEGAL_ENTITY_IDENTIFIER")</f>
        <v>5493006PK6I4I2OOT688</v>
      </c>
      <c r="F401" t="s">
        <v>1305</v>
      </c>
      <c r="G401" t="str">
        <f>custodian!D401</f>
        <v>65336YAN3</v>
      </c>
      <c r="H401" t="str">
        <f>_xll.BDP($B401,"ID_ISIN")</f>
        <v>US65336YAN31</v>
      </c>
      <c r="I401" s="1"/>
      <c r="J401" t="str">
        <f>_xll.BDP($B401,"CNTRY_OF_DOMICILE")</f>
        <v>US</v>
      </c>
      <c r="K401" t="s">
        <v>626</v>
      </c>
      <c r="L401" t="s">
        <v>99</v>
      </c>
      <c r="O401" s="1"/>
      <c r="AQ401" s="1"/>
      <c r="AR401" s="1"/>
      <c r="AS401" s="1"/>
      <c r="AT401" t="str">
        <f>TEXT(_xll.BDP($B401,"MATURITY"),"yyyy-mm-dd")</f>
        <v>2028-11-01</v>
      </c>
      <c r="AU401" t="str">
        <f>_xll.BDP($B401,"CPN_TYP")</f>
        <v>FIXED</v>
      </c>
      <c r="AV401">
        <f>_xll.BDP($B401,"CPN")</f>
        <v>4.75</v>
      </c>
    </row>
    <row r="402" spans="1:48" x14ac:dyDescent="0.25">
      <c r="A402" t="s">
        <v>828</v>
      </c>
      <c r="B402" t="s">
        <v>1306</v>
      </c>
      <c r="C402" s="1" t="s">
        <v>1307</v>
      </c>
      <c r="D402" t="s">
        <v>1308</v>
      </c>
      <c r="E402" t="str">
        <f>_xll.BDP($B402,"LEGAL_ENTITY_IDENTIFIER")</f>
        <v>549300KJEC5IUVJWR786</v>
      </c>
      <c r="F402" t="s">
        <v>1309</v>
      </c>
      <c r="G402" t="str">
        <f>custodian!D402</f>
        <v>65342QAM4</v>
      </c>
      <c r="H402" t="str">
        <f>_xll.BDP($B402,"ID_ISIN")</f>
        <v>US65342QAM42</v>
      </c>
      <c r="I402" s="1"/>
      <c r="J402" t="str">
        <f>_xll.BDP($B402,"CNTRY_OF_DOMICILE")</f>
        <v>US</v>
      </c>
      <c r="K402" t="s">
        <v>626</v>
      </c>
      <c r="L402" t="s">
        <v>99</v>
      </c>
      <c r="O402" s="1"/>
      <c r="AQ402" s="1"/>
      <c r="AR402" s="1"/>
      <c r="AS402" s="1"/>
      <c r="AT402" t="str">
        <f>TEXT(_xll.BDP($B402,"MATURITY"),"yyyy-mm-dd")</f>
        <v>2029-01-15</v>
      </c>
      <c r="AU402" t="str">
        <f>_xll.BDP($B402,"CPN_TYP")</f>
        <v>FIXED</v>
      </c>
      <c r="AV402">
        <f>_xll.BDP($B402,"CPN")</f>
        <v>7.25</v>
      </c>
    </row>
    <row r="403" spans="1:48" x14ac:dyDescent="0.25">
      <c r="A403" t="s">
        <v>828</v>
      </c>
      <c r="B403" t="s">
        <v>1310</v>
      </c>
      <c r="C403" s="1" t="s">
        <v>1311</v>
      </c>
      <c r="D403" t="s">
        <v>1312</v>
      </c>
      <c r="E403" t="str">
        <f>_xll.BDP($B403,"LEGAL_ENTITY_IDENTIFIER")</f>
        <v>353800DRBDH1LUTNAY26</v>
      </c>
      <c r="F403" t="s">
        <v>1313</v>
      </c>
      <c r="G403" t="str">
        <f>custodian!D403</f>
        <v>654744AC5</v>
      </c>
      <c r="H403" t="str">
        <f>_xll.BDP($B403,"ID_ISIN")</f>
        <v>US654744AC50</v>
      </c>
      <c r="I403" s="1"/>
      <c r="J403" t="str">
        <f>_xll.BDP($B403,"CNTRY_OF_DOMICILE")</f>
        <v>JP</v>
      </c>
      <c r="K403" t="s">
        <v>626</v>
      </c>
      <c r="L403" t="s">
        <v>99</v>
      </c>
      <c r="O403" s="1"/>
      <c r="AQ403" s="1"/>
      <c r="AR403" s="1"/>
      <c r="AS403" s="1"/>
      <c r="AT403" t="str">
        <f>TEXT(_xll.BDP($B403,"MATURITY"),"yyyy-mm-dd")</f>
        <v>2027-09-17</v>
      </c>
      <c r="AU403" t="str">
        <f>_xll.BDP($B403,"CPN_TYP")</f>
        <v>FIXED</v>
      </c>
      <c r="AV403">
        <f>_xll.BDP($B403,"CPN")</f>
        <v>4.3449999999999998</v>
      </c>
    </row>
    <row r="404" spans="1:48" x14ac:dyDescent="0.25">
      <c r="A404" t="s">
        <v>828</v>
      </c>
      <c r="B404" t="s">
        <v>1314</v>
      </c>
      <c r="C404" s="1" t="s">
        <v>1315</v>
      </c>
      <c r="D404" t="s">
        <v>1316</v>
      </c>
      <c r="E404" t="str">
        <f>_xll.BDP($B404,"LEGAL_ENTITY_IDENTIFIER")</f>
        <v>YF6ZV0M6AU4FY94MK914</v>
      </c>
      <c r="F404" t="s">
        <v>1317</v>
      </c>
      <c r="G404" t="str">
        <f>custodian!D404</f>
        <v>668771AK4</v>
      </c>
      <c r="H404" t="str">
        <f>_xll.BDP($B404,"ID_ISIN")</f>
        <v>US668771AK49</v>
      </c>
      <c r="I404" s="1"/>
      <c r="J404" t="str">
        <f>_xll.BDP($B404,"CNTRY_OF_DOMICILE")</f>
        <v>US</v>
      </c>
      <c r="K404" t="s">
        <v>626</v>
      </c>
      <c r="L404" t="s">
        <v>99</v>
      </c>
      <c r="O404" s="1"/>
      <c r="AQ404" s="1"/>
      <c r="AR404" s="1"/>
      <c r="AS404" s="1"/>
      <c r="AT404" t="str">
        <f>TEXT(_xll.BDP($B404,"MATURITY"),"yyyy-mm-dd")</f>
        <v>2027-09-30</v>
      </c>
      <c r="AU404" t="str">
        <f>_xll.BDP($B404,"CPN_TYP")</f>
        <v>FIXED</v>
      </c>
      <c r="AV404">
        <f>_xll.BDP($B404,"CPN")</f>
        <v>6.75</v>
      </c>
    </row>
    <row r="405" spans="1:48" x14ac:dyDescent="0.25">
      <c r="A405" t="s">
        <v>828</v>
      </c>
      <c r="B405" t="s">
        <v>1318</v>
      </c>
      <c r="C405" s="1" t="s">
        <v>1319</v>
      </c>
      <c r="D405" t="s">
        <v>1320</v>
      </c>
      <c r="E405" t="str">
        <f>_xll.BDP($B405,"LEGAL_ENTITY_IDENTIFIER")</f>
        <v>549300G5F3W3B52WYL23</v>
      </c>
      <c r="F405" t="s">
        <v>1320</v>
      </c>
      <c r="G405" t="str">
        <f>custodian!D405</f>
        <v>670001AE6</v>
      </c>
      <c r="H405" t="str">
        <f>_xll.BDP($B405,"ID_ISIN")</f>
        <v>US670001AE60</v>
      </c>
      <c r="I405" s="1"/>
      <c r="J405" t="str">
        <f>_xll.BDP($B405,"CNTRY_OF_DOMICILE")</f>
        <v>US</v>
      </c>
      <c r="K405" t="s">
        <v>626</v>
      </c>
      <c r="L405" t="s">
        <v>99</v>
      </c>
      <c r="O405" s="1"/>
      <c r="AQ405" s="1"/>
      <c r="AR405" s="1"/>
      <c r="AS405" s="1"/>
      <c r="AT405" t="str">
        <f>TEXT(_xll.BDP($B405,"MATURITY"),"yyyy-mm-dd")</f>
        <v>2030-01-30</v>
      </c>
      <c r="AU405" t="str">
        <f>_xll.BDP($B405,"CPN_TYP")</f>
        <v>FIXED</v>
      </c>
      <c r="AV405">
        <f>_xll.BDP($B405,"CPN")</f>
        <v>4.75</v>
      </c>
    </row>
    <row r="406" spans="1:48" x14ac:dyDescent="0.25">
      <c r="A406" t="s">
        <v>828</v>
      </c>
      <c r="B406" t="s">
        <v>1321</v>
      </c>
      <c r="C406" s="1" t="s">
        <v>1322</v>
      </c>
      <c r="D406" t="s">
        <v>1323</v>
      </c>
      <c r="E406" t="str">
        <f>_xll.BDP($B406,"LEGAL_ENTITY_IDENTIFIER")</f>
        <v>529900FA4V2YNIKZ0M71</v>
      </c>
      <c r="F406" t="s">
        <v>1324</v>
      </c>
      <c r="G406" t="str">
        <f>custodian!D406</f>
        <v>674215AQ1</v>
      </c>
      <c r="H406" t="str">
        <f>_xll.BDP($B406,"ID_ISIN")</f>
        <v>US674215AQ11</v>
      </c>
      <c r="I406" s="1"/>
      <c r="J406" t="str">
        <f>_xll.BDP($B406,"CNTRY_OF_DOMICILE")</f>
        <v>US</v>
      </c>
      <c r="K406" t="s">
        <v>626</v>
      </c>
      <c r="L406" t="s">
        <v>99</v>
      </c>
      <c r="O406" s="1"/>
      <c r="AQ406" s="1"/>
      <c r="AR406" s="1"/>
      <c r="AS406" s="1"/>
      <c r="AT406" t="str">
        <f>TEXT(_xll.BDP($B406,"MATURITY"),"yyyy-mm-dd")</f>
        <v>2030-10-01</v>
      </c>
      <c r="AU406" t="str">
        <f>_xll.BDP($B406,"CPN_TYP")</f>
        <v>FIXED</v>
      </c>
      <c r="AV406">
        <f>_xll.BDP($B406,"CPN")</f>
        <v>6</v>
      </c>
    </row>
    <row r="407" spans="1:48" x14ac:dyDescent="0.25">
      <c r="A407" t="s">
        <v>828</v>
      </c>
      <c r="B407" t="s">
        <v>1325</v>
      </c>
      <c r="C407" s="1" t="s">
        <v>1326</v>
      </c>
      <c r="D407" t="s">
        <v>1327</v>
      </c>
      <c r="E407" t="str">
        <f>_xll.BDP($B407,"LEGAL_ENTITY_IDENTIFIER")</f>
        <v>549300K609B872PZT291</v>
      </c>
      <c r="F407" t="s">
        <v>1328</v>
      </c>
      <c r="G407" t="str">
        <f>custodian!D407</f>
        <v>67740QAH9</v>
      </c>
      <c r="H407" t="str">
        <f>_xll.BDP($B407,"ID_ISIN")</f>
        <v>US67740QAH92</v>
      </c>
      <c r="I407" s="1"/>
      <c r="J407" t="str">
        <f>_xll.BDP($B407,"CNTRY_OF_DOMICILE")</f>
        <v>US</v>
      </c>
      <c r="K407" t="s">
        <v>626</v>
      </c>
      <c r="L407" t="s">
        <v>99</v>
      </c>
      <c r="O407" s="1"/>
      <c r="AQ407" s="1"/>
      <c r="AR407" s="1"/>
      <c r="AS407" s="1"/>
      <c r="AT407" t="str">
        <f>TEXT(_xll.BDP($B407,"MATURITY"),"yyyy-mm-dd")</f>
        <v>2030-01-24</v>
      </c>
      <c r="AU407" t="str">
        <f>_xll.BDP($B407,"CPN_TYP")</f>
        <v>FIXED</v>
      </c>
      <c r="AV407">
        <f>_xll.BDP($B407,"CPN")</f>
        <v>6.8000000000000016</v>
      </c>
    </row>
    <row r="408" spans="1:48" x14ac:dyDescent="0.25">
      <c r="A408" t="s">
        <v>828</v>
      </c>
      <c r="B408" t="s">
        <v>1329</v>
      </c>
      <c r="C408" s="1" t="s">
        <v>1330</v>
      </c>
      <c r="D408" t="s">
        <v>1331</v>
      </c>
      <c r="E408" t="str">
        <f>_xll.BDP($B408,"LEGAL_ENTITY_IDENTIFIER")</f>
        <v>#N/A N/A</v>
      </c>
      <c r="F408" t="s">
        <v>1332</v>
      </c>
      <c r="G408" t="str">
        <f>custodian!D408</f>
        <v>68245XAM1</v>
      </c>
      <c r="H408" t="str">
        <f>_xll.BDP($B408,"ID_ISIN")</f>
        <v>US68245XAM11</v>
      </c>
      <c r="I408" s="1"/>
      <c r="J408" t="str">
        <f>_xll.BDP($B408,"CNTRY_OF_DOMICILE")</f>
        <v>CA</v>
      </c>
      <c r="K408" t="s">
        <v>626</v>
      </c>
      <c r="L408" t="s">
        <v>99</v>
      </c>
      <c r="O408" s="1"/>
      <c r="AQ408" s="1"/>
      <c r="AR408" s="1"/>
      <c r="AS408" s="1"/>
      <c r="AT408" t="str">
        <f>TEXT(_xll.BDP($B408,"MATURITY"),"yyyy-mm-dd")</f>
        <v>2030-10-15</v>
      </c>
      <c r="AU408" t="str">
        <f>_xll.BDP($B408,"CPN_TYP")</f>
        <v>FIXED</v>
      </c>
      <c r="AV408">
        <f>_xll.BDP($B408,"CPN")</f>
        <v>4</v>
      </c>
    </row>
    <row r="409" spans="1:48" x14ac:dyDescent="0.25">
      <c r="A409" t="s">
        <v>828</v>
      </c>
      <c r="B409" t="s">
        <v>1333</v>
      </c>
      <c r="C409" s="1" t="s">
        <v>1334</v>
      </c>
      <c r="D409" t="s">
        <v>1335</v>
      </c>
      <c r="E409" t="str">
        <f>_xll.BDP($B409,"LEGAL_ENTITY_IDENTIFIER")</f>
        <v>#N/A N/A</v>
      </c>
      <c r="F409" t="s">
        <v>1336</v>
      </c>
      <c r="G409" t="str">
        <f>custodian!D409</f>
        <v>683720AA4</v>
      </c>
      <c r="H409" t="str">
        <f>_xll.BDP($B409,"ID_ISIN")</f>
        <v>US683720AA42</v>
      </c>
      <c r="I409" s="1"/>
      <c r="J409" t="str">
        <f>_xll.BDP($B409,"CNTRY_OF_DOMICILE")</f>
        <v>US</v>
      </c>
      <c r="K409" t="s">
        <v>626</v>
      </c>
      <c r="L409" t="s">
        <v>99</v>
      </c>
      <c r="O409" s="1"/>
      <c r="AQ409" s="1"/>
      <c r="AR409" s="1"/>
      <c r="AS409" s="1"/>
      <c r="AT409" t="str">
        <f>TEXT(_xll.BDP($B409,"MATURITY"),"yyyy-mm-dd")</f>
        <v>2030-02-15</v>
      </c>
      <c r="AU409" t="str">
        <f>_xll.BDP($B409,"CPN_TYP")</f>
        <v>FIXED</v>
      </c>
      <c r="AV409">
        <f>_xll.BDP($B409,"CPN")</f>
        <v>4.125</v>
      </c>
    </row>
    <row r="410" spans="1:48" x14ac:dyDescent="0.25">
      <c r="A410" t="s">
        <v>828</v>
      </c>
      <c r="B410" t="s">
        <v>1337</v>
      </c>
      <c r="C410" s="1" t="s">
        <v>1338</v>
      </c>
      <c r="D410" t="s">
        <v>1339</v>
      </c>
      <c r="E410" t="str">
        <f>_xll.BDP($B410,"LEGAL_ENTITY_IDENTIFIER")</f>
        <v>8YQ2GSDWYZXO2EDN3511</v>
      </c>
      <c r="F410" t="s">
        <v>1339</v>
      </c>
      <c r="G410" t="str">
        <f>custodian!D410</f>
        <v>69331CAH1</v>
      </c>
      <c r="H410" t="str">
        <f>_xll.BDP($B410,"ID_ISIN")</f>
        <v>US69331CAH16</v>
      </c>
      <c r="I410" s="1"/>
      <c r="J410" t="str">
        <f>_xll.BDP($B410,"CNTRY_OF_DOMICILE")</f>
        <v>US</v>
      </c>
      <c r="K410" t="s">
        <v>626</v>
      </c>
      <c r="L410" t="s">
        <v>99</v>
      </c>
      <c r="O410" s="1"/>
      <c r="AQ410" s="1"/>
      <c r="AR410" s="1"/>
      <c r="AS410" s="1"/>
      <c r="AT410" t="str">
        <f>TEXT(_xll.BDP($B410,"MATURITY"),"yyyy-mm-dd")</f>
        <v>2028-07-01</v>
      </c>
      <c r="AU410" t="str">
        <f>_xll.BDP($B410,"CPN_TYP")</f>
        <v>FIXED</v>
      </c>
      <c r="AV410">
        <f>_xll.BDP($B410,"CPN")</f>
        <v>5</v>
      </c>
    </row>
    <row r="411" spans="1:48" x14ac:dyDescent="0.25">
      <c r="A411" t="s">
        <v>828</v>
      </c>
      <c r="B411" t="s">
        <v>1340</v>
      </c>
      <c r="C411" s="1" t="s">
        <v>1341</v>
      </c>
      <c r="D411" t="s">
        <v>1342</v>
      </c>
      <c r="E411" t="str">
        <f>_xll.BDP($B411,"LEGAL_ENTITY_IDENTIFIER")</f>
        <v>549300Q5HW3JSSB86K27</v>
      </c>
      <c r="F411" t="s">
        <v>1343</v>
      </c>
      <c r="G411" t="str">
        <f>custodian!D411</f>
        <v>69354NAE6</v>
      </c>
      <c r="H411" t="str">
        <f>_xll.BDP($B411,"ID_ISIN")</f>
        <v>US69354NAE67</v>
      </c>
      <c r="I411" s="1"/>
      <c r="J411" t="str">
        <f>_xll.BDP($B411,"CNTRY_OF_DOMICILE")</f>
        <v>US</v>
      </c>
      <c r="K411" t="s">
        <v>626</v>
      </c>
      <c r="L411" t="s">
        <v>99</v>
      </c>
      <c r="O411" s="1"/>
      <c r="AQ411" s="1"/>
      <c r="AR411" s="1"/>
      <c r="AS411" s="1"/>
      <c r="AT411" t="str">
        <f>TEXT(_xll.BDP($B411,"MATURITY"),"yyyy-mm-dd")</f>
        <v>2028-02-01</v>
      </c>
      <c r="AU411" t="str">
        <f>_xll.BDP($B411,"CPN_TYP")</f>
        <v>FIXED</v>
      </c>
      <c r="AV411">
        <f>_xll.BDP($B411,"CPN")</f>
        <v>8.375</v>
      </c>
    </row>
    <row r="412" spans="1:48" x14ac:dyDescent="0.25">
      <c r="A412" t="s">
        <v>828</v>
      </c>
      <c r="B412" t="s">
        <v>1344</v>
      </c>
      <c r="C412" s="1" t="s">
        <v>1345</v>
      </c>
      <c r="D412" t="s">
        <v>1346</v>
      </c>
      <c r="E412" t="str">
        <f>_xll.BDP($B412,"LEGAL_ENTITY_IDENTIFIER")</f>
        <v>#N/A N/A</v>
      </c>
      <c r="F412" t="s">
        <v>1347</v>
      </c>
      <c r="G412" t="str">
        <f>custodian!D412</f>
        <v>69393LAA1</v>
      </c>
      <c r="H412" t="str">
        <f>_xll.BDP($B412,"ID_ISIN")</f>
        <v>US69393LAA17</v>
      </c>
      <c r="I412" s="1"/>
      <c r="J412" t="str">
        <f>_xll.BDP($B412,"CNTRY_OF_DOMICILE")</f>
        <v>US</v>
      </c>
      <c r="K412" t="s">
        <v>626</v>
      </c>
      <c r="L412" t="s">
        <v>99</v>
      </c>
      <c r="O412" s="1"/>
      <c r="AQ412" s="1"/>
      <c r="AR412" s="1"/>
      <c r="AS412" s="1"/>
      <c r="AT412" t="str">
        <f>TEXT(_xll.BDP($B412,"MATURITY"),"yyyy-mm-dd")</f>
        <v>2031-05-01</v>
      </c>
      <c r="AU412" t="str">
        <f>_xll.BDP($B412,"CPN_TYP")</f>
        <v>FIXED</v>
      </c>
      <c r="AV412">
        <f>_xll.BDP($B412,"CPN")</f>
        <v>6.5</v>
      </c>
    </row>
    <row r="413" spans="1:48" x14ac:dyDescent="0.25">
      <c r="A413" t="s">
        <v>828</v>
      </c>
      <c r="B413" t="s">
        <v>1348</v>
      </c>
      <c r="C413" s="1" t="s">
        <v>1349</v>
      </c>
      <c r="D413" t="s">
        <v>1350</v>
      </c>
      <c r="E413" t="str">
        <f>_xll.BDP($B413,"LEGAL_ENTITY_IDENTIFIER")</f>
        <v>254900PGY077KWCROT75</v>
      </c>
      <c r="F413" t="s">
        <v>1351</v>
      </c>
      <c r="G413" t="str">
        <f>custodian!D413</f>
        <v>70082LAC1</v>
      </c>
      <c r="H413" t="str">
        <f>_xll.BDP($B413,"ID_ISIN")</f>
        <v>US70082LAC19</v>
      </c>
      <c r="I413" s="1"/>
      <c r="J413" t="str">
        <f>_xll.BDP($B413,"CNTRY_OF_DOMICILE")</f>
        <v>US</v>
      </c>
      <c r="K413" t="s">
        <v>626</v>
      </c>
      <c r="L413" t="s">
        <v>99</v>
      </c>
      <c r="O413" s="1"/>
      <c r="AQ413" s="1"/>
      <c r="AR413" s="1"/>
      <c r="AS413" s="1"/>
      <c r="AT413" t="str">
        <f>TEXT(_xll.BDP($B413,"MATURITY"),"yyyy-mm-dd")</f>
        <v>2031-03-15</v>
      </c>
      <c r="AU413" t="str">
        <f>_xll.BDP($B413,"CPN_TYP")</f>
        <v>FIXED</v>
      </c>
      <c r="AV413">
        <f>_xll.BDP($B413,"CPN")</f>
        <v>8</v>
      </c>
    </row>
    <row r="414" spans="1:48" x14ac:dyDescent="0.25">
      <c r="A414" t="s">
        <v>828</v>
      </c>
      <c r="B414" t="s">
        <v>1352</v>
      </c>
      <c r="C414" s="1" t="s">
        <v>1353</v>
      </c>
      <c r="D414" t="s">
        <v>1354</v>
      </c>
      <c r="E414" t="str">
        <f>_xll.BDP($B414,"LEGAL_ENTITY_IDENTIFIER")</f>
        <v>549300FZ5ZTCCJ3Z5W14</v>
      </c>
      <c r="F414" t="s">
        <v>1355</v>
      </c>
      <c r="G414" t="str">
        <f>custodian!D414</f>
        <v>703343AD5</v>
      </c>
      <c r="H414" t="str">
        <f>_xll.BDP($B414,"ID_ISIN")</f>
        <v>US703343AD59</v>
      </c>
      <c r="I414" s="1"/>
      <c r="J414" t="str">
        <f>_xll.BDP($B414,"CNTRY_OF_DOMICILE")</f>
        <v>US</v>
      </c>
      <c r="K414" t="s">
        <v>626</v>
      </c>
      <c r="L414" t="s">
        <v>99</v>
      </c>
      <c r="O414" s="1"/>
      <c r="AQ414" s="1"/>
      <c r="AR414" s="1"/>
      <c r="AS414" s="1"/>
      <c r="AT414" t="str">
        <f>TEXT(_xll.BDP($B414,"MATURITY"),"yyyy-mm-dd")</f>
        <v>2029-05-01</v>
      </c>
      <c r="AU414" t="str">
        <f>_xll.BDP($B414,"CPN_TYP")</f>
        <v>FIXED</v>
      </c>
      <c r="AV414">
        <f>_xll.BDP($B414,"CPN")</f>
        <v>4.75</v>
      </c>
    </row>
    <row r="415" spans="1:48" x14ac:dyDescent="0.25">
      <c r="A415" t="s">
        <v>828</v>
      </c>
      <c r="B415" t="s">
        <v>1356</v>
      </c>
      <c r="C415" s="1" t="s">
        <v>1357</v>
      </c>
      <c r="D415" t="s">
        <v>1358</v>
      </c>
      <c r="E415" t="str">
        <f>_xll.BDP($B415,"LEGAL_ENTITY_IDENTIFIER")</f>
        <v>#N/A N/A</v>
      </c>
      <c r="F415" t="s">
        <v>1359</v>
      </c>
      <c r="G415" t="str">
        <f>custodian!D415</f>
        <v>70452AAA1</v>
      </c>
      <c r="H415" t="str">
        <f>_xll.BDP($B415,"ID_ISIN")</f>
        <v>US70452AAA16</v>
      </c>
      <c r="I415" s="1"/>
      <c r="J415" t="str">
        <f>_xll.BDP($B415,"CNTRY_OF_DOMICILE")</f>
        <v>GB</v>
      </c>
      <c r="K415" t="s">
        <v>626</v>
      </c>
      <c r="L415" t="s">
        <v>99</v>
      </c>
      <c r="O415" s="1"/>
      <c r="AQ415" s="1"/>
      <c r="AR415" s="1"/>
      <c r="AS415" s="1"/>
      <c r="AT415" t="str">
        <f>TEXT(_xll.BDP($B415,"MATURITY"),"yyyy-mm-dd")</f>
        <v>2029-06-15</v>
      </c>
      <c r="AU415" t="str">
        <f>_xll.BDP($B415,"CPN_TYP")</f>
        <v>FIXED</v>
      </c>
      <c r="AV415">
        <f>_xll.BDP($B415,"CPN")</f>
        <v>4</v>
      </c>
    </row>
    <row r="416" spans="1:48" x14ac:dyDescent="0.25">
      <c r="A416" t="s">
        <v>828</v>
      </c>
      <c r="B416" t="s">
        <v>1360</v>
      </c>
      <c r="C416" s="1" t="s">
        <v>1361</v>
      </c>
      <c r="D416" t="s">
        <v>1362</v>
      </c>
      <c r="E416" t="str">
        <f>_xll.BDP($B416,"LEGAL_ENTITY_IDENTIFIER")</f>
        <v>#N/A N/A</v>
      </c>
      <c r="F416" t="s">
        <v>1363</v>
      </c>
      <c r="G416" t="str">
        <f>custodian!D416</f>
        <v>707569AY5</v>
      </c>
      <c r="H416" t="str">
        <f>_xll.BDP($B416,"ID_ISIN")</f>
        <v>US707569AY52</v>
      </c>
      <c r="I416" s="1"/>
      <c r="J416" t="str">
        <f>_xll.BDP($B416,"CNTRY_OF_DOMICILE")</f>
        <v>US</v>
      </c>
      <c r="K416" t="s">
        <v>626</v>
      </c>
      <c r="L416" t="s">
        <v>99</v>
      </c>
      <c r="O416" s="1"/>
      <c r="AQ416" s="1"/>
      <c r="AR416" s="1"/>
      <c r="AS416" s="1"/>
      <c r="AT416" t="str">
        <f>TEXT(_xll.BDP($B416,"MATURITY"),"yyyy-mm-dd")</f>
        <v>2031-04-01</v>
      </c>
      <c r="AU416" t="str">
        <f>_xll.BDP($B416,"CPN_TYP")</f>
        <v>FIXED</v>
      </c>
      <c r="AV416">
        <f>_xll.BDP($B416,"CPN")</f>
        <v>6.75</v>
      </c>
    </row>
    <row r="417" spans="1:48" x14ac:dyDescent="0.25">
      <c r="A417" t="s">
        <v>828</v>
      </c>
      <c r="B417" t="s">
        <v>1364</v>
      </c>
      <c r="C417" s="1" t="s">
        <v>1365</v>
      </c>
      <c r="D417" t="s">
        <v>1366</v>
      </c>
      <c r="E417" t="str">
        <f>_xll.BDP($B417,"LEGAL_ENTITY_IDENTIFIER")</f>
        <v>254900E35Z4TKA4UFG64</v>
      </c>
      <c r="F417" t="s">
        <v>1367</v>
      </c>
      <c r="G417" t="str">
        <f>custodian!D417</f>
        <v>72815LAA5</v>
      </c>
      <c r="H417" t="str">
        <f>_xll.BDP($B417,"ID_ISIN")</f>
        <v>US72815LAA52</v>
      </c>
      <c r="I417" s="1"/>
      <c r="J417" t="str">
        <f>_xll.BDP($B417,"CNTRY_OF_DOMICILE")</f>
        <v>IL</v>
      </c>
      <c r="K417" t="s">
        <v>626</v>
      </c>
      <c r="L417" t="s">
        <v>99</v>
      </c>
      <c r="O417" s="1"/>
      <c r="AQ417" s="1"/>
      <c r="AR417" s="1"/>
      <c r="AS417" s="1"/>
      <c r="AT417" t="str">
        <f>TEXT(_xll.BDP($B417,"MATURITY"),"yyyy-mm-dd")</f>
        <v>2029-03-15</v>
      </c>
      <c r="AU417" t="str">
        <f>_xll.BDP($B417,"CPN_TYP")</f>
        <v>FIXED</v>
      </c>
      <c r="AV417">
        <f>_xll.BDP($B417,"CPN")</f>
        <v>4.25</v>
      </c>
    </row>
    <row r="418" spans="1:48" x14ac:dyDescent="0.25">
      <c r="A418" t="s">
        <v>828</v>
      </c>
      <c r="B418" t="s">
        <v>1368</v>
      </c>
      <c r="C418" s="1" t="s">
        <v>1369</v>
      </c>
      <c r="D418" t="s">
        <v>1370</v>
      </c>
      <c r="E418" t="str">
        <f>_xll.BDP($B418,"LEGAL_ENTITY_IDENTIFIER")</f>
        <v>8945003E8R4T2TZ7G795</v>
      </c>
      <c r="F418" t="s">
        <v>1371</v>
      </c>
      <c r="G418" t="str">
        <f>custodian!D418</f>
        <v>740212AM7</v>
      </c>
      <c r="H418" t="str">
        <f>_xll.BDP($B418,"ID_ISIN")</f>
        <v>US740212AM74</v>
      </c>
      <c r="I418" s="1"/>
      <c r="J418" t="str">
        <f>_xll.BDP($B418,"CNTRY_OF_DOMICILE")</f>
        <v>CA</v>
      </c>
      <c r="K418" t="s">
        <v>626</v>
      </c>
      <c r="L418" t="s">
        <v>99</v>
      </c>
      <c r="O418" s="1"/>
      <c r="AQ418" s="1"/>
      <c r="AR418" s="1"/>
      <c r="AS418" s="1"/>
      <c r="AT418" t="str">
        <f>TEXT(_xll.BDP($B418,"MATURITY"),"yyyy-mm-dd")</f>
        <v>2029-01-15</v>
      </c>
      <c r="AU418" t="str">
        <f>_xll.BDP($B418,"CPN_TYP")</f>
        <v>FIXED</v>
      </c>
      <c r="AV418">
        <f>_xll.BDP($B418,"CPN")</f>
        <v>6.875</v>
      </c>
    </row>
    <row r="419" spans="1:48" x14ac:dyDescent="0.25">
      <c r="A419" t="s">
        <v>828</v>
      </c>
      <c r="B419" t="s">
        <v>1372</v>
      </c>
      <c r="C419" s="1" t="s">
        <v>1373</v>
      </c>
      <c r="D419" t="s">
        <v>1374</v>
      </c>
      <c r="E419" t="str">
        <f>_xll.BDP($B419,"LEGAL_ENTITY_IDENTIFIER")</f>
        <v>549300JBVP4J6D42I235</v>
      </c>
      <c r="F419" t="s">
        <v>1375</v>
      </c>
      <c r="G419" t="str">
        <f>custodian!D419</f>
        <v>74112BAM7</v>
      </c>
      <c r="H419" t="str">
        <f>_xll.BDP($B419,"ID_ISIN")</f>
        <v>US74112BAM72</v>
      </c>
      <c r="I419" s="1"/>
      <c r="J419" t="str">
        <f>_xll.BDP($B419,"CNTRY_OF_DOMICILE")</f>
        <v>US</v>
      </c>
      <c r="K419" t="s">
        <v>626</v>
      </c>
      <c r="L419" t="s">
        <v>99</v>
      </c>
      <c r="O419" s="1"/>
      <c r="AQ419" s="1"/>
      <c r="AR419" s="1"/>
      <c r="AS419" s="1"/>
      <c r="AT419" t="str">
        <f>TEXT(_xll.BDP($B419,"MATURITY"),"yyyy-mm-dd")</f>
        <v>2031-04-01</v>
      </c>
      <c r="AU419" t="str">
        <f>_xll.BDP($B419,"CPN_TYP")</f>
        <v>FIXED</v>
      </c>
      <c r="AV419">
        <f>_xll.BDP($B419,"CPN")</f>
        <v>3.75</v>
      </c>
    </row>
    <row r="420" spans="1:48" x14ac:dyDescent="0.25">
      <c r="A420" t="s">
        <v>828</v>
      </c>
      <c r="B420" t="s">
        <v>1376</v>
      </c>
      <c r="C420" s="1" t="s">
        <v>1377</v>
      </c>
      <c r="D420" t="s">
        <v>1378</v>
      </c>
      <c r="E420" t="str">
        <f>_xll.BDP($B420,"LEGAL_ENTITY_IDENTIFIER")</f>
        <v>#N/A N/A</v>
      </c>
      <c r="F420" t="s">
        <v>1379</v>
      </c>
      <c r="G420" t="str">
        <f>custodian!D420</f>
        <v>74165HAC2</v>
      </c>
      <c r="H420" t="str">
        <f>_xll.BDP($B420,"ID_ISIN")</f>
        <v>US74165HAC25</v>
      </c>
      <c r="I420" s="1"/>
      <c r="J420" t="str">
        <f>_xll.BDP($B420,"CNTRY_OF_DOMICILE")</f>
        <v>US</v>
      </c>
      <c r="K420" t="s">
        <v>626</v>
      </c>
      <c r="L420" t="s">
        <v>99</v>
      </c>
      <c r="O420" s="1"/>
      <c r="AQ420" s="1"/>
      <c r="AR420" s="1"/>
      <c r="AS420" s="1"/>
      <c r="AT420" t="str">
        <f>TEXT(_xll.BDP($B420,"MATURITY"),"yyyy-mm-dd")</f>
        <v>2029-09-01</v>
      </c>
      <c r="AU420" t="str">
        <f>_xll.BDP($B420,"CPN_TYP")</f>
        <v>FIXED</v>
      </c>
      <c r="AV420">
        <f>_xll.BDP($B420,"CPN")</f>
        <v>9.375</v>
      </c>
    </row>
    <row r="421" spans="1:48" x14ac:dyDescent="0.25">
      <c r="A421" t="s">
        <v>828</v>
      </c>
      <c r="B421" t="s">
        <v>1380</v>
      </c>
      <c r="C421" s="1" t="s">
        <v>1381</v>
      </c>
      <c r="D421" t="s">
        <v>1382</v>
      </c>
      <c r="E421" t="str">
        <f>_xll.BDP($B421,"LEGAL_ENTITY_IDENTIFIER")</f>
        <v>#N/A N/A</v>
      </c>
      <c r="F421" t="s">
        <v>1383</v>
      </c>
      <c r="G421" t="str">
        <f>custodian!D421</f>
        <v>74841CAB7</v>
      </c>
      <c r="H421" t="str">
        <f>_xll.BDP($B421,"ID_ISIN")</f>
        <v>US74841CAB72</v>
      </c>
      <c r="I421" s="1"/>
      <c r="J421" t="str">
        <f>_xll.BDP($B421,"CNTRY_OF_DOMICILE")</f>
        <v>US</v>
      </c>
      <c r="K421" t="s">
        <v>626</v>
      </c>
      <c r="L421" t="s">
        <v>99</v>
      </c>
      <c r="O421" s="1"/>
      <c r="AQ421" s="1"/>
      <c r="AR421" s="1"/>
      <c r="AS421" s="1"/>
      <c r="AT421" t="str">
        <f>TEXT(_xll.BDP($B421,"MATURITY"),"yyyy-mm-dd")</f>
        <v>2031-03-01</v>
      </c>
      <c r="AU421" t="str">
        <f>_xll.BDP($B421,"CPN_TYP")</f>
        <v>FIXED</v>
      </c>
      <c r="AV421">
        <f>_xll.BDP($B421,"CPN")</f>
        <v>3.875</v>
      </c>
    </row>
    <row r="422" spans="1:48" x14ac:dyDescent="0.25">
      <c r="A422" t="s">
        <v>828</v>
      </c>
      <c r="B422" t="s">
        <v>1384</v>
      </c>
      <c r="C422" s="1" t="s">
        <v>1385</v>
      </c>
      <c r="D422" t="s">
        <v>1386</v>
      </c>
      <c r="E422" t="str">
        <f>_xll.BDP($B422,"LEGAL_ENTITY_IDENTIFIER")</f>
        <v>529900IMXUCQKUL1H943</v>
      </c>
      <c r="F422" t="s">
        <v>1387</v>
      </c>
      <c r="G422" t="str">
        <f>custodian!D422</f>
        <v>75102WAK4</v>
      </c>
      <c r="H422" t="str">
        <f>_xll.BDP($B422,"ID_ISIN")</f>
        <v>US75102WAK45</v>
      </c>
      <c r="I422" s="1"/>
      <c r="J422" t="str">
        <f>_xll.BDP($B422,"CNTRY_OF_DOMICILE")</f>
        <v>JP</v>
      </c>
      <c r="K422" t="s">
        <v>626</v>
      </c>
      <c r="L422" t="s">
        <v>99</v>
      </c>
      <c r="O422" s="1"/>
      <c r="AQ422" s="1"/>
      <c r="AR422" s="1"/>
      <c r="AS422" s="1"/>
      <c r="AT422" t="str">
        <f>TEXT(_xll.BDP($B422,"MATURITY"),"yyyy-mm-dd")</f>
        <v>2029-04-15</v>
      </c>
      <c r="AU422" t="str">
        <f>_xll.BDP($B422,"CPN_TYP")</f>
        <v>FIXED</v>
      </c>
      <c r="AV422">
        <f>_xll.BDP($B422,"CPN")</f>
        <v>9.75</v>
      </c>
    </row>
    <row r="423" spans="1:48" x14ac:dyDescent="0.25">
      <c r="A423" t="s">
        <v>828</v>
      </c>
      <c r="B423" t="s">
        <v>1388</v>
      </c>
      <c r="C423" s="1" t="s">
        <v>1389</v>
      </c>
      <c r="D423" t="s">
        <v>1390</v>
      </c>
      <c r="E423" t="str">
        <f>_xll.BDP($B423,"LEGAL_ENTITY_IDENTIFIER")</f>
        <v>#N/A N/A</v>
      </c>
      <c r="F423" t="s">
        <v>1391</v>
      </c>
      <c r="G423" t="str">
        <f>custodian!D423</f>
        <v>753272AA1</v>
      </c>
      <c r="H423" t="str">
        <f>_xll.BDP($B423,"ID_ISIN")</f>
        <v>US753272AA11</v>
      </c>
      <c r="I423" s="1"/>
      <c r="J423" t="str">
        <f>_xll.BDP($B423,"CNTRY_OF_DOMICILE")</f>
        <v>US</v>
      </c>
      <c r="K423" t="s">
        <v>626</v>
      </c>
      <c r="L423" t="s">
        <v>99</v>
      </c>
      <c r="O423" s="1"/>
      <c r="AQ423" s="1"/>
      <c r="AR423" s="1"/>
      <c r="AS423" s="1"/>
      <c r="AT423" t="str">
        <f>TEXT(_xll.BDP($B423,"MATURITY"),"yyyy-mm-dd")</f>
        <v>2030-02-15</v>
      </c>
      <c r="AU423" t="str">
        <f>_xll.BDP($B423,"CPN_TYP")</f>
        <v>FIXED</v>
      </c>
      <c r="AV423">
        <f>_xll.BDP($B423,"CPN")</f>
        <v>8.5</v>
      </c>
    </row>
    <row r="424" spans="1:48" x14ac:dyDescent="0.25">
      <c r="A424" t="s">
        <v>828</v>
      </c>
      <c r="B424" t="s">
        <v>1392</v>
      </c>
      <c r="C424" s="1" t="s">
        <v>1393</v>
      </c>
      <c r="D424" t="s">
        <v>1394</v>
      </c>
      <c r="E424" t="str">
        <f>_xll.BDP($B424,"LEGAL_ENTITY_IDENTIFIER")</f>
        <v>5493000M6Z4XFIP6PF03</v>
      </c>
      <c r="F424" t="s">
        <v>1395</v>
      </c>
      <c r="G424" t="str">
        <f>custodian!D424</f>
        <v>775109DG3</v>
      </c>
      <c r="H424" t="str">
        <f>_xll.BDP($B424,"ID_ISIN")</f>
        <v>US775109DG30</v>
      </c>
      <c r="I424" s="1"/>
      <c r="J424" t="str">
        <f>_xll.BDP($B424,"CNTRY_OF_DOMICILE")</f>
        <v>CA</v>
      </c>
      <c r="K424" t="s">
        <v>626</v>
      </c>
      <c r="L424" t="s">
        <v>99</v>
      </c>
      <c r="O424" s="1"/>
      <c r="AQ424" s="1"/>
      <c r="AR424" s="1"/>
      <c r="AS424" s="1"/>
      <c r="AT424" t="str">
        <f>TEXT(_xll.BDP($B424,"MATURITY"),"yyyy-mm-dd")</f>
        <v>2055-04-15</v>
      </c>
      <c r="AU424" t="str">
        <f>_xll.BDP($B424,"CPN_TYP")</f>
        <v>VARIABLE</v>
      </c>
      <c r="AV424">
        <f>_xll.BDP($B424,"CPN")</f>
        <v>7</v>
      </c>
    </row>
    <row r="425" spans="1:48" x14ac:dyDescent="0.25">
      <c r="A425" t="s">
        <v>828</v>
      </c>
      <c r="B425" t="s">
        <v>1396</v>
      </c>
      <c r="C425" s="1" t="s">
        <v>1397</v>
      </c>
      <c r="D425" t="s">
        <v>1398</v>
      </c>
      <c r="E425" t="str">
        <f>_xll.BDP($B425,"LEGAL_ENTITY_IDENTIFIER")</f>
        <v>5299001HX8ZN8Y8QIT49</v>
      </c>
      <c r="F425" t="s">
        <v>1399</v>
      </c>
      <c r="G425" t="str">
        <f>custodian!D425</f>
        <v>78410GAD6</v>
      </c>
      <c r="H425" t="str">
        <f>_xll.BDP($B425,"ID_ISIN")</f>
        <v>US78410GAD60</v>
      </c>
      <c r="I425" s="1"/>
      <c r="J425" t="str">
        <f>_xll.BDP($B425,"CNTRY_OF_DOMICILE")</f>
        <v>US</v>
      </c>
      <c r="K425" t="s">
        <v>626</v>
      </c>
      <c r="L425" t="s">
        <v>99</v>
      </c>
      <c r="O425" s="1"/>
      <c r="AQ425" s="1"/>
      <c r="AR425" s="1"/>
      <c r="AS425" s="1"/>
      <c r="AT425" t="str">
        <f>TEXT(_xll.BDP($B425,"MATURITY"),"yyyy-mm-dd")</f>
        <v>2027-02-15</v>
      </c>
      <c r="AU425" t="str">
        <f>_xll.BDP($B425,"CPN_TYP")</f>
        <v>FIXED</v>
      </c>
      <c r="AV425">
        <f>_xll.BDP($B425,"CPN")</f>
        <v>3.875</v>
      </c>
    </row>
    <row r="426" spans="1:48" x14ac:dyDescent="0.25">
      <c r="A426" t="s">
        <v>828</v>
      </c>
      <c r="B426" t="s">
        <v>1400</v>
      </c>
      <c r="C426" s="1" t="s">
        <v>1401</v>
      </c>
      <c r="D426" t="s">
        <v>1402</v>
      </c>
      <c r="E426" t="str">
        <f>_xll.BDP($B426,"LEGAL_ENTITY_IDENTIFIER")</f>
        <v>XDZ56K6RXS5J1ESBZS35</v>
      </c>
      <c r="F426" t="s">
        <v>1402</v>
      </c>
      <c r="G426" t="str">
        <f>custodian!D426</f>
        <v>78412FAX2</v>
      </c>
      <c r="H426" t="str">
        <f>_xll.BDP($B426,"ID_ISIN")</f>
        <v>US78412FAX24</v>
      </c>
      <c r="I426" s="1"/>
      <c r="J426" t="str">
        <f>_xll.BDP($B426,"CNTRY_OF_DOMICILE")</f>
        <v>US</v>
      </c>
      <c r="K426" t="s">
        <v>626</v>
      </c>
      <c r="L426" t="s">
        <v>99</v>
      </c>
      <c r="O426" s="1"/>
      <c r="AQ426" s="1"/>
      <c r="AR426" s="1"/>
      <c r="AS426" s="1"/>
      <c r="AT426" t="str">
        <f>TEXT(_xll.BDP($B426,"MATURITY"),"yyyy-mm-dd")</f>
        <v>2030-09-30</v>
      </c>
      <c r="AU426" t="str">
        <f>_xll.BDP($B426,"CPN_TYP")</f>
        <v>FIXED</v>
      </c>
      <c r="AV426">
        <f>_xll.BDP($B426,"CPN")</f>
        <v>7.875</v>
      </c>
    </row>
    <row r="427" spans="1:48" x14ac:dyDescent="0.25">
      <c r="A427" t="s">
        <v>828</v>
      </c>
      <c r="B427" t="s">
        <v>1403</v>
      </c>
      <c r="C427" s="1" t="s">
        <v>1404</v>
      </c>
      <c r="D427" t="s">
        <v>1405</v>
      </c>
      <c r="E427" t="str">
        <f>_xll.BDP($B427,"LEGAL_ENTITY_IDENTIFIER")</f>
        <v>84BUTVXV5ODI6BXNMH43</v>
      </c>
      <c r="F427" t="s">
        <v>1405</v>
      </c>
      <c r="G427" t="str">
        <f>custodian!D427</f>
        <v>78454LAP5</v>
      </c>
      <c r="H427" t="str">
        <f>_xll.BDP($B427,"ID_ISIN")</f>
        <v>US78454LAP58</v>
      </c>
      <c r="I427" s="1"/>
      <c r="J427" t="str">
        <f>_xll.BDP($B427,"CNTRY_OF_DOMICILE")</f>
        <v>US</v>
      </c>
      <c r="K427" t="s">
        <v>626</v>
      </c>
      <c r="L427" t="s">
        <v>99</v>
      </c>
      <c r="O427" s="1"/>
      <c r="AQ427" s="1"/>
      <c r="AR427" s="1"/>
      <c r="AS427" s="1"/>
      <c r="AT427" t="str">
        <f>TEXT(_xll.BDP($B427,"MATURITY"),"yyyy-mm-dd")</f>
        <v>2027-01-15</v>
      </c>
      <c r="AU427" t="str">
        <f>_xll.BDP($B427,"CPN_TYP")</f>
        <v>FIXED</v>
      </c>
      <c r="AV427">
        <f>_xll.BDP($B427,"CPN")</f>
        <v>6.625</v>
      </c>
    </row>
    <row r="428" spans="1:48" x14ac:dyDescent="0.25">
      <c r="A428" t="s">
        <v>828</v>
      </c>
      <c r="B428" t="s">
        <v>1406</v>
      </c>
      <c r="C428" s="1" t="s">
        <v>1407</v>
      </c>
      <c r="D428" t="s">
        <v>1408</v>
      </c>
      <c r="E428" t="str">
        <f>_xll.BDP($B428,"LEGAL_ENTITY_IDENTIFIER")</f>
        <v>#N/A N/A</v>
      </c>
      <c r="F428" t="s">
        <v>1409</v>
      </c>
      <c r="G428" t="str">
        <f>custodian!D428</f>
        <v>78488XAA2</v>
      </c>
      <c r="H428" t="str">
        <f>_xll.BDP($B428,"ID_ISIN")</f>
        <v>US78488XAA28</v>
      </c>
      <c r="I428" s="1"/>
      <c r="J428" t="str">
        <f>_xll.BDP($B428,"CNTRY_OF_DOMICILE")</f>
        <v>US</v>
      </c>
      <c r="K428" t="s">
        <v>626</v>
      </c>
      <c r="L428" t="s">
        <v>99</v>
      </c>
      <c r="O428" s="1"/>
      <c r="AQ428" s="1"/>
      <c r="AR428" s="1"/>
      <c r="AS428" s="1"/>
      <c r="AT428" t="str">
        <f>TEXT(_xll.BDP($B428,"MATURITY"),"yyyy-mm-dd")</f>
        <v>2031-03-01</v>
      </c>
      <c r="AU428" t="str">
        <f>_xll.BDP($B428,"CPN_TYP")</f>
        <v>FIXED</v>
      </c>
      <c r="AV428">
        <f>_xll.BDP($B428,"CPN")</f>
        <v>5.875</v>
      </c>
    </row>
    <row r="429" spans="1:48" x14ac:dyDescent="0.25">
      <c r="A429" t="s">
        <v>828</v>
      </c>
      <c r="B429" t="s">
        <v>1410</v>
      </c>
      <c r="C429" s="1" t="s">
        <v>1411</v>
      </c>
      <c r="D429" t="s">
        <v>1412</v>
      </c>
      <c r="E429" t="str">
        <f>_xll.BDP($B429,"LEGAL_ENTITY_IDENTIFIER")</f>
        <v>#N/A N/A</v>
      </c>
      <c r="F429" t="s">
        <v>1413</v>
      </c>
      <c r="G429" t="str">
        <f>custodian!D429</f>
        <v>78573XAA8</v>
      </c>
      <c r="H429" t="str">
        <f>_xll.BDP($B429,"ID_ISIN")</f>
        <v>US78573XAA81</v>
      </c>
      <c r="I429" s="1"/>
      <c r="J429" t="str">
        <f>_xll.BDP($B429,"CNTRY_OF_DOMICILE")</f>
        <v>US</v>
      </c>
      <c r="K429" t="s">
        <v>626</v>
      </c>
      <c r="L429" t="s">
        <v>99</v>
      </c>
      <c r="O429" s="1"/>
      <c r="AQ429" s="1"/>
      <c r="AR429" s="1"/>
      <c r="AS429" s="1"/>
      <c r="AT429" t="str">
        <f>TEXT(_xll.BDP($B429,"MATURITY"),"yyyy-mm-dd")</f>
        <v>2029-06-15</v>
      </c>
      <c r="AU429" t="str">
        <f>_xll.BDP($B429,"CPN_TYP")</f>
        <v>FIXED</v>
      </c>
      <c r="AV429">
        <f>_xll.BDP($B429,"CPN")</f>
        <v>11.125</v>
      </c>
    </row>
    <row r="430" spans="1:48" x14ac:dyDescent="0.25">
      <c r="A430" t="s">
        <v>828</v>
      </c>
      <c r="B430" t="s">
        <v>1414</v>
      </c>
      <c r="C430" s="1" t="s">
        <v>1415</v>
      </c>
      <c r="D430" t="s">
        <v>1416</v>
      </c>
      <c r="E430" t="str">
        <f>_xll.BDP($B430,"LEGAL_ENTITY_IDENTIFIER")</f>
        <v>549300LZPNZIXQGZPZ48</v>
      </c>
      <c r="F430" t="s">
        <v>1417</v>
      </c>
      <c r="G430" t="str">
        <f>custodian!D430</f>
        <v>808625AA5</v>
      </c>
      <c r="H430" t="str">
        <f>_xll.BDP($B430,"ID_ISIN")</f>
        <v>US808625AA58</v>
      </c>
      <c r="I430" s="1"/>
      <c r="J430" t="str">
        <f>_xll.BDP($B430,"CNTRY_OF_DOMICILE")</f>
        <v>US</v>
      </c>
      <c r="K430" t="s">
        <v>626</v>
      </c>
      <c r="L430" t="s">
        <v>99</v>
      </c>
      <c r="O430" s="1"/>
      <c r="AQ430" s="1"/>
      <c r="AR430" s="1"/>
      <c r="AS430" s="1"/>
      <c r="AT430" t="str">
        <f>TEXT(_xll.BDP($B430,"MATURITY"),"yyyy-mm-dd")</f>
        <v>2028-04-01</v>
      </c>
      <c r="AU430" t="str">
        <f>_xll.BDP($B430,"CPN_TYP")</f>
        <v>FIXED</v>
      </c>
      <c r="AV430">
        <f>_xll.BDP($B430,"CPN")</f>
        <v>4.875</v>
      </c>
    </row>
    <row r="431" spans="1:48" x14ac:dyDescent="0.25">
      <c r="A431" t="s">
        <v>828</v>
      </c>
      <c r="B431" t="s">
        <v>1418</v>
      </c>
      <c r="C431" s="1" t="s">
        <v>1419</v>
      </c>
      <c r="D431" t="s">
        <v>1420</v>
      </c>
      <c r="E431" t="str">
        <f>_xll.BDP($B431,"LEGAL_ENTITY_IDENTIFIER")</f>
        <v>RLTHESQ0RNFQJWPBJN60</v>
      </c>
      <c r="F431" t="s">
        <v>1421</v>
      </c>
      <c r="G431" t="str">
        <f>custodian!D431</f>
        <v>80874YBE9</v>
      </c>
      <c r="H431" t="str">
        <f>_xll.BDP($B431,"ID_ISIN")</f>
        <v>US80874YBE95</v>
      </c>
      <c r="I431" s="1"/>
      <c r="J431" t="str">
        <f>_xll.BDP($B431,"CNTRY_OF_DOMICILE")</f>
        <v>US</v>
      </c>
      <c r="K431" t="s">
        <v>626</v>
      </c>
      <c r="L431" t="s">
        <v>99</v>
      </c>
      <c r="O431" s="1"/>
      <c r="AQ431" s="1"/>
      <c r="AR431" s="1"/>
      <c r="AS431" s="1"/>
      <c r="AT431" t="str">
        <f>TEXT(_xll.BDP($B431,"MATURITY"),"yyyy-mm-dd")</f>
        <v>2029-11-15</v>
      </c>
      <c r="AU431" t="str">
        <f>_xll.BDP($B431,"CPN_TYP")</f>
        <v>FIXED</v>
      </c>
      <c r="AV431">
        <f>_xll.BDP($B431,"CPN")</f>
        <v>7.25</v>
      </c>
    </row>
    <row r="432" spans="1:48" x14ac:dyDescent="0.25">
      <c r="A432" t="s">
        <v>828</v>
      </c>
      <c r="B432" t="s">
        <v>1422</v>
      </c>
      <c r="C432" s="1" t="s">
        <v>1423</v>
      </c>
      <c r="D432" t="s">
        <v>1424</v>
      </c>
      <c r="E432" t="str">
        <f>_xll.BDP($B432,"LEGAL_ENTITY_IDENTIFIER")</f>
        <v>#N/A N/A</v>
      </c>
      <c r="F432" t="s">
        <v>1425</v>
      </c>
      <c r="G432" t="str">
        <f>custodian!D432</f>
        <v>81721MAM1</v>
      </c>
      <c r="H432" t="str">
        <f>_xll.BDP($B432,"ID_ISIN")</f>
        <v>US81721MAM10</v>
      </c>
      <c r="I432" s="1"/>
      <c r="J432" t="str">
        <f>_xll.BDP($B432,"CNTRY_OF_DOMICILE")</f>
        <v>US</v>
      </c>
      <c r="K432" t="s">
        <v>626</v>
      </c>
      <c r="L432" t="s">
        <v>99</v>
      </c>
      <c r="O432" s="1"/>
      <c r="AQ432" s="1"/>
      <c r="AR432" s="1"/>
      <c r="AS432" s="1"/>
      <c r="AT432" t="str">
        <f>TEXT(_xll.BDP($B432,"MATURITY"),"yyyy-mm-dd")</f>
        <v>2028-02-15</v>
      </c>
      <c r="AU432" t="str">
        <f>_xll.BDP($B432,"CPN_TYP")</f>
        <v>FIXED</v>
      </c>
      <c r="AV432">
        <f>_xll.BDP($B432,"CPN")</f>
        <v>4.75</v>
      </c>
    </row>
    <row r="433" spans="1:48" x14ac:dyDescent="0.25">
      <c r="A433" t="s">
        <v>828</v>
      </c>
      <c r="B433" t="s">
        <v>1426</v>
      </c>
      <c r="C433" s="1" t="s">
        <v>1427</v>
      </c>
      <c r="D433" t="s">
        <v>1428</v>
      </c>
      <c r="E433" t="str">
        <f>_xll.BDP($B433,"LEGAL_ENTITY_IDENTIFIER")</f>
        <v>529900IS770AG1K9QG27</v>
      </c>
      <c r="F433" t="s">
        <v>1429</v>
      </c>
      <c r="G433" t="str">
        <f>custodian!D433</f>
        <v>81761LAF9</v>
      </c>
      <c r="H433" t="str">
        <f>_xll.BDP($B433,"ID_ISIN")</f>
        <v>US81761LAF94</v>
      </c>
      <c r="I433" s="1"/>
      <c r="J433" t="str">
        <f>_xll.BDP($B433,"CNTRY_OF_DOMICILE")</f>
        <v>US</v>
      </c>
      <c r="K433" t="s">
        <v>626</v>
      </c>
      <c r="L433" t="s">
        <v>99</v>
      </c>
      <c r="O433" s="1"/>
      <c r="AQ433" s="1"/>
      <c r="AR433" s="1"/>
      <c r="AS433" s="1"/>
      <c r="AT433" t="str">
        <f>TEXT(_xll.BDP($B433,"MATURITY"),"yyyy-mm-dd")</f>
        <v>2027-09-30</v>
      </c>
      <c r="AU433" t="str">
        <f>_xll.BDP($B433,"CPN_TYP")</f>
        <v>ZERO COUPON</v>
      </c>
      <c r="AV433">
        <f>_xll.BDP($B433,"CPN")</f>
        <v>0</v>
      </c>
    </row>
    <row r="434" spans="1:48" x14ac:dyDescent="0.25">
      <c r="A434" t="s">
        <v>828</v>
      </c>
      <c r="B434" t="s">
        <v>1430</v>
      </c>
      <c r="C434" s="1" t="s">
        <v>1431</v>
      </c>
      <c r="D434" t="s">
        <v>1432</v>
      </c>
      <c r="E434" t="str">
        <f>_xll.BDP($B434,"LEGAL_ENTITY_IDENTIFIER")</f>
        <v>WP5O65E6BMU84LNO4227</v>
      </c>
      <c r="F434" t="s">
        <v>1433</v>
      </c>
      <c r="G434" t="str">
        <f>custodian!D434</f>
        <v>82967NBA5</v>
      </c>
      <c r="H434" t="str">
        <f>_xll.BDP($B434,"ID_ISIN")</f>
        <v>US82967NBA54</v>
      </c>
      <c r="I434" s="1"/>
      <c r="J434" t="str">
        <f>_xll.BDP($B434,"CNTRY_OF_DOMICILE")</f>
        <v>US</v>
      </c>
      <c r="K434" t="s">
        <v>626</v>
      </c>
      <c r="L434" t="s">
        <v>99</v>
      </c>
      <c r="O434" s="1"/>
      <c r="AQ434" s="1"/>
      <c r="AR434" s="1"/>
      <c r="AS434" s="1"/>
      <c r="AT434" t="str">
        <f>TEXT(_xll.BDP($B434,"MATURITY"),"yyyy-mm-dd")</f>
        <v>2027-08-01</v>
      </c>
      <c r="AU434" t="str">
        <f>_xll.BDP($B434,"CPN_TYP")</f>
        <v>FIXED</v>
      </c>
      <c r="AV434">
        <f>_xll.BDP($B434,"CPN")</f>
        <v>5</v>
      </c>
    </row>
    <row r="435" spans="1:48" x14ac:dyDescent="0.25">
      <c r="A435" t="s">
        <v>828</v>
      </c>
      <c r="B435" t="s">
        <v>1434</v>
      </c>
      <c r="C435" s="1" t="s">
        <v>1435</v>
      </c>
      <c r="D435" t="s">
        <v>1436</v>
      </c>
      <c r="E435" t="str">
        <f>_xll.BDP($B435,"LEGAL_ENTITY_IDENTIFIER")</f>
        <v>529900AS2CYWYFHRS781</v>
      </c>
      <c r="F435" t="s">
        <v>1437</v>
      </c>
      <c r="G435" t="str">
        <f>custodian!D435</f>
        <v>83001AAD4</v>
      </c>
      <c r="H435" t="str">
        <f>_xll.BDP($B435,"ID_ISIN")</f>
        <v>US83001AAD46</v>
      </c>
      <c r="I435" s="1"/>
      <c r="J435" t="str">
        <f>_xll.BDP($B435,"CNTRY_OF_DOMICILE")</f>
        <v>US</v>
      </c>
      <c r="K435" t="s">
        <v>626</v>
      </c>
      <c r="L435" t="s">
        <v>99</v>
      </c>
      <c r="O435" s="1"/>
      <c r="AQ435" s="1"/>
      <c r="AR435" s="1"/>
      <c r="AS435" s="1"/>
      <c r="AT435" t="str">
        <f>TEXT(_xll.BDP($B435,"MATURITY"),"yyyy-mm-dd")</f>
        <v>2031-05-15</v>
      </c>
      <c r="AU435" t="str">
        <f>_xll.BDP($B435,"CPN_TYP")</f>
        <v>FIXED</v>
      </c>
      <c r="AV435">
        <f>_xll.BDP($B435,"CPN")</f>
        <v>7.25</v>
      </c>
    </row>
    <row r="436" spans="1:48" x14ac:dyDescent="0.25">
      <c r="A436" t="s">
        <v>828</v>
      </c>
      <c r="B436" t="s">
        <v>1438</v>
      </c>
      <c r="C436" s="1" t="s">
        <v>1439</v>
      </c>
      <c r="D436" t="s">
        <v>1440</v>
      </c>
      <c r="E436" t="str">
        <f>_xll.BDP($B436,"LEGAL_ENTITY_IDENTIFIER")</f>
        <v>#N/A N/A</v>
      </c>
      <c r="F436" t="s">
        <v>1441</v>
      </c>
      <c r="G436" t="str">
        <f>custodian!D436</f>
        <v>83419YAA4</v>
      </c>
      <c r="H436" t="str">
        <f>_xll.BDP($B436,"ID_ISIN")</f>
        <v>US83419YAA47</v>
      </c>
      <c r="I436" s="1"/>
      <c r="J436" t="str">
        <f>_xll.BDP($B436,"CNTRY_OF_DOMICILE")</f>
        <v>US</v>
      </c>
      <c r="K436" t="s">
        <v>626</v>
      </c>
      <c r="L436" t="s">
        <v>99</v>
      </c>
      <c r="O436" s="1"/>
      <c r="AQ436" s="1"/>
      <c r="AR436" s="1"/>
      <c r="AS436" s="1"/>
      <c r="AT436" t="str">
        <f>TEXT(_xll.BDP($B436,"MATURITY"),"yyyy-mm-dd")</f>
        <v>2031-05-15</v>
      </c>
      <c r="AU436" t="str">
        <f>_xll.BDP($B436,"CPN_TYP")</f>
        <v>FIXED</v>
      </c>
      <c r="AV436">
        <f>_xll.BDP($B436,"CPN")</f>
        <v>6.375</v>
      </c>
    </row>
    <row r="437" spans="1:48" x14ac:dyDescent="0.25">
      <c r="A437" t="s">
        <v>828</v>
      </c>
      <c r="B437" t="s">
        <v>1442</v>
      </c>
      <c r="C437" s="1" t="s">
        <v>1443</v>
      </c>
      <c r="D437" t="s">
        <v>1444</v>
      </c>
      <c r="E437" t="str">
        <f>_xll.BDP($B437,"LEGAL_ENTITY_IDENTIFIER")</f>
        <v>549300P5BAAMQQ7VL735</v>
      </c>
      <c r="F437" t="s">
        <v>1444</v>
      </c>
      <c r="G437" t="str">
        <f>custodian!D437</f>
        <v>835898AJ6</v>
      </c>
      <c r="H437" t="str">
        <f>_xll.BDP($B437,"ID_ISIN")</f>
        <v>US835898AJ60</v>
      </c>
      <c r="I437" s="1"/>
      <c r="J437" t="str">
        <f>_xll.BDP($B437,"CNTRY_OF_DOMICILE")</f>
        <v>US</v>
      </c>
      <c r="K437" t="s">
        <v>626</v>
      </c>
      <c r="L437" t="s">
        <v>99</v>
      </c>
      <c r="O437" s="1"/>
      <c r="AQ437" s="1"/>
      <c r="AR437" s="1"/>
      <c r="AS437" s="1"/>
      <c r="AT437" t="str">
        <f>TEXT(_xll.BDP($B437,"MATURITY"),"yyyy-mm-dd")</f>
        <v>2031-04-15</v>
      </c>
      <c r="AU437" t="str">
        <f>_xll.BDP($B437,"CPN_TYP")</f>
        <v>FIXED</v>
      </c>
      <c r="AV437">
        <f>_xll.BDP($B437,"CPN")</f>
        <v>8.25</v>
      </c>
    </row>
    <row r="438" spans="1:48" x14ac:dyDescent="0.25">
      <c r="A438" t="s">
        <v>828</v>
      </c>
      <c r="B438" t="s">
        <v>1445</v>
      </c>
      <c r="C438" s="1" t="s">
        <v>1446</v>
      </c>
      <c r="D438" t="s">
        <v>1447</v>
      </c>
      <c r="E438" t="str">
        <f>_xll.BDP($B438,"LEGAL_ENTITY_IDENTIFIER")</f>
        <v>#N/A N/A</v>
      </c>
      <c r="F438" t="s">
        <v>1448</v>
      </c>
      <c r="G438" t="str">
        <f>custodian!D438</f>
        <v>84779MAA2</v>
      </c>
      <c r="H438" t="str">
        <f>_xll.BDP($B438,"ID_ISIN")</f>
        <v>US84779MAA27</v>
      </c>
      <c r="I438" s="1"/>
      <c r="J438" t="str">
        <f>_xll.BDP($B438,"CNTRY_OF_DOMICILE")</f>
        <v>US</v>
      </c>
      <c r="K438" t="s">
        <v>626</v>
      </c>
      <c r="L438" t="s">
        <v>99</v>
      </c>
      <c r="O438" s="1"/>
      <c r="AQ438" s="1"/>
      <c r="AR438" s="1"/>
      <c r="AS438" s="1"/>
      <c r="AT438" t="str">
        <f>TEXT(_xll.BDP($B438,"MATURITY"),"yyyy-mm-dd")</f>
        <v>2027-11-01</v>
      </c>
      <c r="AU438" t="str">
        <f>_xll.BDP($B438,"CPN_TYP")</f>
        <v>FIXED</v>
      </c>
      <c r="AV438">
        <f>_xll.BDP($B438,"CPN")</f>
        <v>4.875</v>
      </c>
    </row>
    <row r="439" spans="1:48" x14ac:dyDescent="0.25">
      <c r="A439" t="s">
        <v>828</v>
      </c>
      <c r="B439" t="s">
        <v>1449</v>
      </c>
      <c r="C439" s="1" t="s">
        <v>1450</v>
      </c>
      <c r="D439" t="s">
        <v>1451</v>
      </c>
      <c r="E439" t="str">
        <f>_xll.BDP($B439,"LEGAL_ENTITY_IDENTIFIER")</f>
        <v>5493008I795YYBFWFU90</v>
      </c>
      <c r="F439" t="s">
        <v>1452</v>
      </c>
      <c r="G439" t="str">
        <f>custodian!D439</f>
        <v>85172FAR0</v>
      </c>
      <c r="H439" t="str">
        <f>_xll.BDP($B439,"ID_ISIN")</f>
        <v>US85172FAR01</v>
      </c>
      <c r="I439" s="1"/>
      <c r="J439" t="str">
        <f>_xll.BDP($B439,"CNTRY_OF_DOMICILE")</f>
        <v>US</v>
      </c>
      <c r="K439" t="s">
        <v>626</v>
      </c>
      <c r="L439" t="s">
        <v>99</v>
      </c>
      <c r="O439" s="1"/>
      <c r="AQ439" s="1"/>
      <c r="AR439" s="1"/>
      <c r="AS439" s="1"/>
      <c r="AT439" t="str">
        <f>TEXT(_xll.BDP($B439,"MATURITY"),"yyyy-mm-dd")</f>
        <v>2029-11-15</v>
      </c>
      <c r="AU439" t="str">
        <f>_xll.BDP($B439,"CPN_TYP")</f>
        <v>FIXED</v>
      </c>
      <c r="AV439">
        <f>_xll.BDP($B439,"CPN")</f>
        <v>5.375</v>
      </c>
    </row>
    <row r="440" spans="1:48" x14ac:dyDescent="0.25">
      <c r="A440" t="s">
        <v>828</v>
      </c>
      <c r="B440" t="s">
        <v>1453</v>
      </c>
      <c r="C440" s="1" t="s">
        <v>1454</v>
      </c>
      <c r="D440" t="s">
        <v>1455</v>
      </c>
      <c r="E440" t="str">
        <f>_xll.BDP($B440,"LEGAL_ENTITY_IDENTIFIER")</f>
        <v>549300OHIIUWSTIZME52</v>
      </c>
      <c r="F440" t="s">
        <v>1455</v>
      </c>
      <c r="G440" t="str">
        <f>custodian!D440</f>
        <v>852234AT0</v>
      </c>
      <c r="H440" t="str">
        <f>_xll.BDP($B440,"ID_ISIN")</f>
        <v>US852234AT09</v>
      </c>
      <c r="I440" s="1"/>
      <c r="J440" t="str">
        <f>_xll.BDP($B440,"CNTRY_OF_DOMICILE")</f>
        <v>US</v>
      </c>
      <c r="K440" t="s">
        <v>626</v>
      </c>
      <c r="L440" t="s">
        <v>99</v>
      </c>
      <c r="O440" s="1"/>
      <c r="AQ440" s="1"/>
      <c r="AR440" s="1"/>
      <c r="AS440" s="1"/>
      <c r="AT440" t="str">
        <f>TEXT(_xll.BDP($B440,"MATURITY"),"yyyy-mm-dd")</f>
        <v>2030-08-15</v>
      </c>
      <c r="AU440" t="str">
        <f>_xll.BDP($B440,"CPN_TYP")</f>
        <v>FIXED</v>
      </c>
      <c r="AV440">
        <f>_xll.BDP($B440,"CPN")</f>
        <v>5.625</v>
      </c>
    </row>
    <row r="441" spans="1:48" x14ac:dyDescent="0.25">
      <c r="A441" t="s">
        <v>828</v>
      </c>
      <c r="B441" t="s">
        <v>1456</v>
      </c>
      <c r="C441" s="1" t="s">
        <v>1457</v>
      </c>
      <c r="D441" t="s">
        <v>1458</v>
      </c>
      <c r="E441" t="str">
        <f>_xll.BDP($B441,"LEGAL_ENTITY_IDENTIFIER")</f>
        <v>549300S7RFWHQFOIOY93</v>
      </c>
      <c r="F441" t="s">
        <v>1459</v>
      </c>
      <c r="G441" t="str">
        <f>custodian!D441</f>
        <v>85236FAA1</v>
      </c>
      <c r="H441" t="str">
        <f>_xll.BDP($B441,"ID_ISIN")</f>
        <v>US85236FAA12</v>
      </c>
      <c r="I441" s="1"/>
      <c r="J441" t="str">
        <f>_xll.BDP($B441,"CNTRY_OF_DOMICILE")</f>
        <v>US</v>
      </c>
      <c r="K441" t="s">
        <v>626</v>
      </c>
      <c r="L441" t="s">
        <v>99</v>
      </c>
      <c r="O441" s="1"/>
      <c r="AQ441" s="1"/>
      <c r="AR441" s="1"/>
      <c r="AS441" s="1"/>
      <c r="AT441" t="str">
        <f>TEXT(_xll.BDP($B441,"MATURITY"),"yyyy-mm-dd")</f>
        <v>2028-11-01</v>
      </c>
      <c r="AU441" t="str">
        <f>_xll.BDP($B441,"CPN_TYP")</f>
        <v>FIXED</v>
      </c>
      <c r="AV441">
        <f>_xll.BDP($B441,"CPN")</f>
        <v>6</v>
      </c>
    </row>
    <row r="442" spans="1:48" x14ac:dyDescent="0.25">
      <c r="A442" t="s">
        <v>828</v>
      </c>
      <c r="B442" t="s">
        <v>1460</v>
      </c>
      <c r="C442" s="1" t="s">
        <v>1461</v>
      </c>
      <c r="D442" t="s">
        <v>1462</v>
      </c>
      <c r="E442" t="str">
        <f>_xll.BDP($B442,"LEGAL_ENTITY_IDENTIFIER")</f>
        <v>#N/A N/A</v>
      </c>
      <c r="F442" t="s">
        <v>1463</v>
      </c>
      <c r="G442" t="str">
        <f>custodian!D442</f>
        <v>853496AG2</v>
      </c>
      <c r="H442" t="str">
        <f>_xll.BDP($B442,"ID_ISIN")</f>
        <v>US853496AG21</v>
      </c>
      <c r="I442" s="1"/>
      <c r="J442" t="str">
        <f>_xll.BDP($B442,"CNTRY_OF_DOMICILE")</f>
        <v>US</v>
      </c>
      <c r="K442" t="s">
        <v>626</v>
      </c>
      <c r="L442" t="s">
        <v>99</v>
      </c>
      <c r="O442" s="1"/>
      <c r="AQ442" s="1"/>
      <c r="AR442" s="1"/>
      <c r="AS442" s="1"/>
      <c r="AT442" t="str">
        <f>TEXT(_xll.BDP($B442,"MATURITY"),"yyyy-mm-dd")</f>
        <v>2030-07-15</v>
      </c>
      <c r="AU442" t="str">
        <f>_xll.BDP($B442,"CPN_TYP")</f>
        <v>FIXED</v>
      </c>
      <c r="AV442">
        <f>_xll.BDP($B442,"CPN")</f>
        <v>4.375</v>
      </c>
    </row>
    <row r="443" spans="1:48" x14ac:dyDescent="0.25">
      <c r="A443" t="s">
        <v>828</v>
      </c>
      <c r="B443" t="s">
        <v>1464</v>
      </c>
      <c r="C443" s="1" t="s">
        <v>1465</v>
      </c>
      <c r="D443" t="s">
        <v>1466</v>
      </c>
      <c r="E443" t="str">
        <f>_xll.BDP($B443,"LEGAL_ENTITY_IDENTIFIER")</f>
        <v>BUGSFQZERKRBFWIG5267</v>
      </c>
      <c r="F443" t="s">
        <v>1467</v>
      </c>
      <c r="G443" t="str">
        <f>custodian!D443</f>
        <v>85571BBB0</v>
      </c>
      <c r="H443" t="str">
        <f>_xll.BDP($B443,"ID_ISIN")</f>
        <v>US85571BBB09</v>
      </c>
      <c r="I443" s="1"/>
      <c r="J443" t="str">
        <f>_xll.BDP($B443,"CNTRY_OF_DOMICILE")</f>
        <v>US</v>
      </c>
      <c r="K443" t="s">
        <v>626</v>
      </c>
      <c r="L443" t="s">
        <v>99</v>
      </c>
      <c r="O443" s="1"/>
      <c r="AQ443" s="1"/>
      <c r="AR443" s="1"/>
      <c r="AS443" s="1"/>
      <c r="AT443" t="str">
        <f>TEXT(_xll.BDP($B443,"MATURITY"),"yyyy-mm-dd")</f>
        <v>2029-04-01</v>
      </c>
      <c r="AU443" t="str">
        <f>_xll.BDP($B443,"CPN_TYP")</f>
        <v>FIXED</v>
      </c>
      <c r="AV443">
        <f>_xll.BDP($B443,"CPN")</f>
        <v>7.25</v>
      </c>
    </row>
    <row r="444" spans="1:48" x14ac:dyDescent="0.25">
      <c r="A444" t="s">
        <v>828</v>
      </c>
      <c r="B444" t="s">
        <v>1468</v>
      </c>
      <c r="C444" s="1" t="s">
        <v>1469</v>
      </c>
      <c r="D444" t="s">
        <v>1470</v>
      </c>
      <c r="E444" t="str">
        <f>_xll.BDP($B444,"LEGAL_ENTITY_IDENTIFIER")</f>
        <v>984500A76E25968C4F70</v>
      </c>
      <c r="F444" t="s">
        <v>1471</v>
      </c>
      <c r="G444" t="str">
        <f>custodian!D444</f>
        <v>86177CAA7</v>
      </c>
      <c r="H444" t="str">
        <f>_xll.BDP($B444,"ID_ISIN")</f>
        <v>US86177CAA71</v>
      </c>
      <c r="I444" s="1"/>
      <c r="J444" t="str">
        <f>_xll.BDP($B444,"CNTRY_OF_DOMICILE")</f>
        <v>US</v>
      </c>
      <c r="K444" t="s">
        <v>626</v>
      </c>
      <c r="L444" t="s">
        <v>99</v>
      </c>
      <c r="O444" s="1"/>
      <c r="AQ444" s="1"/>
      <c r="AR444" s="1"/>
      <c r="AS444" s="1"/>
      <c r="AT444" t="str">
        <f>TEXT(_xll.BDP($B444,"MATURITY"),"yyyy-mm-dd")</f>
        <v>2030-12-15</v>
      </c>
      <c r="AU444" t="str">
        <f>_xll.BDP($B444,"CPN_TYP")</f>
        <v>FIXED</v>
      </c>
      <c r="AV444">
        <f>_xll.BDP($B444,"CPN")</f>
        <v>8.125</v>
      </c>
    </row>
    <row r="445" spans="1:48" x14ac:dyDescent="0.25">
      <c r="A445" t="s">
        <v>828</v>
      </c>
      <c r="B445" t="s">
        <v>1472</v>
      </c>
      <c r="C445" s="1" t="s">
        <v>1473</v>
      </c>
      <c r="D445" t="s">
        <v>1474</v>
      </c>
      <c r="E445" t="str">
        <f>_xll.BDP($B445,"LEGAL_ENTITY_IDENTIFIER")</f>
        <v>#N/A N/A</v>
      </c>
      <c r="F445" t="s">
        <v>1474</v>
      </c>
      <c r="G445" t="str">
        <f>custodian!D445</f>
        <v>86184WAA4</v>
      </c>
      <c r="H445" t="str">
        <f>_xll.BDP($B445,"ID_ISIN")</f>
        <v>US86184WAA45</v>
      </c>
      <c r="I445" s="1"/>
      <c r="J445" t="str">
        <f>_xll.BDP($B445,"CNTRY_OF_DOMICILE")</f>
        <v>US</v>
      </c>
      <c r="K445" t="s">
        <v>626</v>
      </c>
      <c r="L445" t="s">
        <v>99</v>
      </c>
      <c r="O445" s="1"/>
      <c r="AQ445" s="1"/>
      <c r="AR445" s="1"/>
      <c r="AS445" s="1"/>
      <c r="AT445" t="str">
        <f>TEXT(_xll.BDP($B445,"MATURITY"),"yyyy-mm-dd")</f>
        <v>2029-05-15</v>
      </c>
      <c r="AU445" t="str">
        <f>_xll.BDP($B445,"CPN_TYP")</f>
        <v>FIXED</v>
      </c>
      <c r="AV445">
        <f>_xll.BDP($B445,"CPN")</f>
        <v>8.5</v>
      </c>
    </row>
    <row r="446" spans="1:48" x14ac:dyDescent="0.25">
      <c r="A446" t="s">
        <v>828</v>
      </c>
      <c r="B446" t="s">
        <v>1475</v>
      </c>
      <c r="C446" s="1" t="s">
        <v>1476</v>
      </c>
      <c r="D446" t="s">
        <v>1477</v>
      </c>
      <c r="E446" t="str">
        <f>_xll.BDP($B446,"LEGAL_ENTITY_IDENTIFIER")</f>
        <v>549300JUF07L8VF02M60</v>
      </c>
      <c r="F446" t="s">
        <v>1478</v>
      </c>
      <c r="G446" t="str">
        <f>custodian!D446</f>
        <v>861896AA6</v>
      </c>
      <c r="H446" t="str">
        <f>_xll.BDP($B446,"ID_ISIN")</f>
        <v>US861896AA67</v>
      </c>
      <c r="I446" s="1"/>
      <c r="J446" t="str">
        <f>_xll.BDP($B446,"CNTRY_OF_DOMICILE")</f>
        <v>US</v>
      </c>
      <c r="K446" t="s">
        <v>626</v>
      </c>
      <c r="L446" t="s">
        <v>99</v>
      </c>
      <c r="O446" s="1"/>
      <c r="AQ446" s="1"/>
      <c r="AR446" s="1"/>
      <c r="AS446" s="1"/>
      <c r="AT446" t="str">
        <f>TEXT(_xll.BDP($B446,"MATURITY"),"yyyy-mm-dd")</f>
        <v>2031-03-01</v>
      </c>
      <c r="AU446" t="str">
        <f>_xll.BDP($B446,"CPN_TYP")</f>
        <v>FIXED</v>
      </c>
      <c r="AV446">
        <f>_xll.BDP($B446,"CPN")</f>
        <v>7.875</v>
      </c>
    </row>
    <row r="447" spans="1:48" x14ac:dyDescent="0.25">
      <c r="A447" t="s">
        <v>828</v>
      </c>
      <c r="B447" t="s">
        <v>1479</v>
      </c>
      <c r="C447" s="1" t="s">
        <v>1480</v>
      </c>
      <c r="D447" t="s">
        <v>1481</v>
      </c>
      <c r="E447" t="str">
        <f>_xll.BDP($B447,"LEGAL_ENTITY_IDENTIFIER")</f>
        <v>#N/A N/A</v>
      </c>
      <c r="F447" t="s">
        <v>1482</v>
      </c>
      <c r="G447" t="str">
        <f>custodian!D447</f>
        <v>86614JAA3</v>
      </c>
      <c r="H447" t="str">
        <f>_xll.BDP($B447,"ID_ISIN")</f>
        <v>US86614JAA34</v>
      </c>
      <c r="I447" s="1"/>
      <c r="J447" t="str">
        <f>_xll.BDP($B447,"CNTRY_OF_DOMICILE")</f>
        <v>US</v>
      </c>
      <c r="K447" t="s">
        <v>626</v>
      </c>
      <c r="L447" t="s">
        <v>99</v>
      </c>
      <c r="O447" s="1"/>
      <c r="AQ447" s="1"/>
      <c r="AR447" s="1"/>
      <c r="AS447" s="1"/>
      <c r="AT447" t="str">
        <f>TEXT(_xll.BDP($B447,"MATURITY"),"yyyy-mm-dd")</f>
        <v>2029-10-31</v>
      </c>
      <c r="AU447" t="str">
        <f>_xll.BDP($B447,"CPN_TYP")</f>
        <v>FIXED</v>
      </c>
      <c r="AV447">
        <f>_xll.BDP($B447,"CPN")</f>
        <v>8.625</v>
      </c>
    </row>
    <row r="448" spans="1:48" x14ac:dyDescent="0.25">
      <c r="A448" t="s">
        <v>828</v>
      </c>
      <c r="B448" t="s">
        <v>1483</v>
      </c>
      <c r="C448" s="1" t="s">
        <v>1484</v>
      </c>
      <c r="D448" t="s">
        <v>1485</v>
      </c>
      <c r="E448" t="str">
        <f>_xll.BDP($B448,"LEGAL_ENTITY_IDENTIFIER")</f>
        <v>#N/A N/A</v>
      </c>
      <c r="F448" t="s">
        <v>1486</v>
      </c>
      <c r="G448" t="str">
        <f>custodian!D448</f>
        <v>86765KAA7</v>
      </c>
      <c r="H448" t="str">
        <f>_xll.BDP($B448,"ID_ISIN")</f>
        <v>US86765KAA79</v>
      </c>
      <c r="I448" s="1"/>
      <c r="J448" t="str">
        <f>_xll.BDP($B448,"CNTRY_OF_DOMICILE")</f>
        <v>US</v>
      </c>
      <c r="K448" t="s">
        <v>626</v>
      </c>
      <c r="L448" t="s">
        <v>99</v>
      </c>
      <c r="O448" s="1"/>
      <c r="AQ448" s="1"/>
      <c r="AR448" s="1"/>
      <c r="AS448" s="1"/>
      <c r="AT448" t="str">
        <f>TEXT(_xll.BDP($B448,"MATURITY"),"yyyy-mm-dd")</f>
        <v>2028-09-15</v>
      </c>
      <c r="AU448" t="str">
        <f>_xll.BDP($B448,"CPN_TYP")</f>
        <v>FIXED</v>
      </c>
      <c r="AV448">
        <f>_xll.BDP($B448,"CPN")</f>
        <v>7</v>
      </c>
    </row>
    <row r="449" spans="1:48" x14ac:dyDescent="0.25">
      <c r="A449" t="s">
        <v>828</v>
      </c>
      <c r="B449" t="s">
        <v>1487</v>
      </c>
      <c r="C449" s="1" t="s">
        <v>1488</v>
      </c>
      <c r="D449" t="s">
        <v>1489</v>
      </c>
      <c r="E449" t="str">
        <f>_xll.BDP($B449,"LEGAL_ENTITY_IDENTIFIER")</f>
        <v>549300RS7EWPM9MA6C78</v>
      </c>
      <c r="F449" t="s">
        <v>1490</v>
      </c>
      <c r="G449" t="str">
        <f>custodian!D449</f>
        <v>87165BAP8</v>
      </c>
      <c r="H449" t="str">
        <f>_xll.BDP($B449,"ID_ISIN")</f>
        <v>US87165BAP85</v>
      </c>
      <c r="I449" s="1"/>
      <c r="J449" t="str">
        <f>_xll.BDP($B449,"CNTRY_OF_DOMICILE")</f>
        <v>US</v>
      </c>
      <c r="K449" t="s">
        <v>626</v>
      </c>
      <c r="L449" t="s">
        <v>99</v>
      </c>
      <c r="O449" s="1"/>
      <c r="AQ449" s="1"/>
      <c r="AR449" s="1"/>
      <c r="AS449" s="1"/>
      <c r="AT449" t="str">
        <f>TEXT(_xll.BDP($B449,"MATURITY"),"yyyy-mm-dd")</f>
        <v>2029-03-19</v>
      </c>
      <c r="AU449" t="str">
        <f>_xll.BDP($B449,"CPN_TYP")</f>
        <v>FIXED</v>
      </c>
      <c r="AV449">
        <f>_xll.BDP($B449,"CPN")</f>
        <v>5.15</v>
      </c>
    </row>
    <row r="450" spans="1:48" x14ac:dyDescent="0.25">
      <c r="A450" t="s">
        <v>828</v>
      </c>
      <c r="B450" t="s">
        <v>1491</v>
      </c>
      <c r="C450" s="1" t="s">
        <v>1492</v>
      </c>
      <c r="D450" t="s">
        <v>1493</v>
      </c>
      <c r="E450" t="str">
        <f>_xll.BDP($B450,"LEGAL_ENTITY_IDENTIFIER")</f>
        <v>#N/A N/A</v>
      </c>
      <c r="F450" t="s">
        <v>1494</v>
      </c>
      <c r="G450" t="str">
        <f>custodian!D450</f>
        <v>87256YAG8</v>
      </c>
      <c r="H450" t="str">
        <f>_xll.BDP($B450,"ID_ISIN")</f>
        <v>US87256YAG89</v>
      </c>
      <c r="I450" s="1"/>
      <c r="J450" t="str">
        <f>_xll.BDP($B450,"CNTRY_OF_DOMICILE")</f>
        <v>US</v>
      </c>
      <c r="K450" t="s">
        <v>626</v>
      </c>
      <c r="L450" t="s">
        <v>99</v>
      </c>
      <c r="O450" s="1"/>
      <c r="AQ450" s="1"/>
      <c r="AR450" s="1"/>
      <c r="AS450" s="1"/>
      <c r="AT450" t="str">
        <f>TEXT(_xll.BDP($B450,"MATURITY"),"yyyy-mm-dd")</f>
        <v>2031-02-15</v>
      </c>
      <c r="AU450" t="str">
        <f>_xll.BDP($B450,"CPN_TYP")</f>
        <v>FIXED</v>
      </c>
      <c r="AV450">
        <f>_xll.BDP($B450,"CPN")</f>
        <v>12</v>
      </c>
    </row>
    <row r="451" spans="1:48" x14ac:dyDescent="0.25">
      <c r="A451" t="s">
        <v>828</v>
      </c>
      <c r="B451" t="s">
        <v>1495</v>
      </c>
      <c r="C451" s="1" t="s">
        <v>1496</v>
      </c>
      <c r="D451" t="s">
        <v>1497</v>
      </c>
      <c r="E451" t="str">
        <f>_xll.BDP($B451,"LEGAL_ENTITY_IDENTIFIER")</f>
        <v>#N/A N/A</v>
      </c>
      <c r="F451" t="s">
        <v>1498</v>
      </c>
      <c r="G451" t="str">
        <f>custodian!D451</f>
        <v>87265HAF6</v>
      </c>
      <c r="H451" t="str">
        <f>_xll.BDP($B451,"ID_ISIN")</f>
        <v>US87265HAF64</v>
      </c>
      <c r="I451" s="1"/>
      <c r="J451" t="str">
        <f>_xll.BDP($B451,"CNTRY_OF_DOMICILE")</f>
        <v>US</v>
      </c>
      <c r="K451" t="s">
        <v>626</v>
      </c>
      <c r="L451" t="s">
        <v>99</v>
      </c>
      <c r="O451" s="1"/>
      <c r="AQ451" s="1"/>
      <c r="AR451" s="1"/>
      <c r="AS451" s="1"/>
      <c r="AT451" t="str">
        <f>TEXT(_xll.BDP($B451,"MATURITY"),"yyyy-mm-dd")</f>
        <v>2027-06-01</v>
      </c>
      <c r="AU451" t="str">
        <f>_xll.BDP($B451,"CPN_TYP")</f>
        <v>FIXED</v>
      </c>
      <c r="AV451">
        <f>_xll.BDP($B451,"CPN")</f>
        <v>5.25</v>
      </c>
    </row>
    <row r="452" spans="1:48" x14ac:dyDescent="0.25">
      <c r="A452" t="s">
        <v>828</v>
      </c>
      <c r="B452" t="s">
        <v>1499</v>
      </c>
      <c r="C452" s="1" t="s">
        <v>1500</v>
      </c>
      <c r="D452" t="s">
        <v>1501</v>
      </c>
      <c r="E452" t="str">
        <f>_xll.BDP($B452,"LEGAL_ENTITY_IDENTIFIER")</f>
        <v>K5K33XN0PQAU1XF7NN66</v>
      </c>
      <c r="F452" t="s">
        <v>1502</v>
      </c>
      <c r="G452" t="str">
        <f>custodian!D452</f>
        <v>87422VAQ1</v>
      </c>
      <c r="H452" t="str">
        <f>_xll.BDP($B452,"ID_ISIN")</f>
        <v>US87422VAQ14</v>
      </c>
      <c r="I452" s="1"/>
      <c r="J452" t="str">
        <f>_xll.BDP($B452,"CNTRY_OF_DOMICILE")</f>
        <v>US</v>
      </c>
      <c r="K452" t="s">
        <v>626</v>
      </c>
      <c r="L452" t="s">
        <v>99</v>
      </c>
      <c r="O452" s="1"/>
      <c r="AQ452" s="1"/>
      <c r="AR452" s="1"/>
      <c r="AS452" s="1"/>
      <c r="AT452" t="str">
        <f>TEXT(_xll.BDP($B452,"MATURITY"),"yyyy-mm-dd")</f>
        <v>2031-05-01</v>
      </c>
      <c r="AU452" t="str">
        <f>_xll.BDP($B452,"CPN_TYP")</f>
        <v>FIXED</v>
      </c>
      <c r="AV452">
        <f>_xll.BDP($B452,"CPN")</f>
        <v>6.125</v>
      </c>
    </row>
    <row r="453" spans="1:48" x14ac:dyDescent="0.25">
      <c r="A453" t="s">
        <v>828</v>
      </c>
      <c r="B453" t="s">
        <v>1503</v>
      </c>
      <c r="C453" s="1" t="s">
        <v>1504</v>
      </c>
      <c r="D453" t="s">
        <v>1505</v>
      </c>
      <c r="E453" t="str">
        <f>_xll.BDP($B453,"LEGAL_ENTITY_IDENTIFIER")</f>
        <v>549300HFEKVR3US71V91</v>
      </c>
      <c r="F453" t="s">
        <v>1506</v>
      </c>
      <c r="G453" t="str">
        <f>custodian!D453</f>
        <v>88023UAH4</v>
      </c>
      <c r="H453" t="str">
        <f>_xll.BDP($B453,"ID_ISIN")</f>
        <v>US88023UAH41</v>
      </c>
      <c r="I453" s="1"/>
      <c r="J453" t="str">
        <f>_xll.BDP($B453,"CNTRY_OF_DOMICILE")</f>
        <v>US</v>
      </c>
      <c r="K453" t="s">
        <v>626</v>
      </c>
      <c r="L453" t="s">
        <v>99</v>
      </c>
      <c r="O453" s="1"/>
      <c r="AQ453" s="1"/>
      <c r="AR453" s="1"/>
      <c r="AS453" s="1"/>
      <c r="AT453" t="str">
        <f>TEXT(_xll.BDP($B453,"MATURITY"),"yyyy-mm-dd")</f>
        <v>2029-04-15</v>
      </c>
      <c r="AU453" t="str">
        <f>_xll.BDP($B453,"CPN_TYP")</f>
        <v>FIXED</v>
      </c>
      <c r="AV453">
        <f>_xll.BDP($B453,"CPN")</f>
        <v>4</v>
      </c>
    </row>
    <row r="454" spans="1:48" x14ac:dyDescent="0.25">
      <c r="A454" t="s">
        <v>828</v>
      </c>
      <c r="B454" t="s">
        <v>1507</v>
      </c>
      <c r="C454" s="1" t="s">
        <v>1508</v>
      </c>
      <c r="D454" t="s">
        <v>1509</v>
      </c>
      <c r="E454" t="str">
        <f>_xll.BDP($B454,"LEGAL_ENTITY_IDENTIFIER")</f>
        <v>0W9AIBT6U6ADJ2I8HK17</v>
      </c>
      <c r="F454" t="s">
        <v>1510</v>
      </c>
      <c r="G454" t="str">
        <f>custodian!D454</f>
        <v>88033GDK3</v>
      </c>
      <c r="H454" t="str">
        <f>_xll.BDP($B454,"ID_ISIN")</f>
        <v>US88033GDK31</v>
      </c>
      <c r="I454" s="1"/>
      <c r="J454" t="str">
        <f>_xll.BDP($B454,"CNTRY_OF_DOMICILE")</f>
        <v>US</v>
      </c>
      <c r="K454" t="s">
        <v>626</v>
      </c>
      <c r="L454" t="s">
        <v>99</v>
      </c>
      <c r="O454" s="1"/>
      <c r="AQ454" s="1"/>
      <c r="AR454" s="1"/>
      <c r="AS454" s="1"/>
      <c r="AT454" t="str">
        <f>TEXT(_xll.BDP($B454,"MATURITY"),"yyyy-mm-dd")</f>
        <v>2028-10-01</v>
      </c>
      <c r="AU454" t="str">
        <f>_xll.BDP($B454,"CPN_TYP")</f>
        <v>FIXED</v>
      </c>
      <c r="AV454">
        <f>_xll.BDP($B454,"CPN")</f>
        <v>6.125</v>
      </c>
    </row>
    <row r="455" spans="1:48" x14ac:dyDescent="0.25">
      <c r="A455" t="s">
        <v>828</v>
      </c>
      <c r="B455" t="s">
        <v>1511</v>
      </c>
      <c r="C455" s="1" t="s">
        <v>1512</v>
      </c>
      <c r="D455" t="s">
        <v>1513</v>
      </c>
      <c r="E455" t="str">
        <f>_xll.BDP($B455,"LEGAL_ENTITY_IDENTIFIER")</f>
        <v>549300U0EXXFAQFAD785</v>
      </c>
      <c r="F455" t="s">
        <v>1513</v>
      </c>
      <c r="G455" t="str">
        <f>custodian!D455</f>
        <v>880349AU9</v>
      </c>
      <c r="H455" t="str">
        <f>_xll.BDP($B455,"ID_ISIN")</f>
        <v>US880349AU90</v>
      </c>
      <c r="I455" s="1"/>
      <c r="J455" t="str">
        <f>_xll.BDP($B455,"CNTRY_OF_DOMICILE")</f>
        <v>US</v>
      </c>
      <c r="K455" t="s">
        <v>626</v>
      </c>
      <c r="L455" t="s">
        <v>99</v>
      </c>
      <c r="O455" s="1"/>
      <c r="AQ455" s="1"/>
      <c r="AR455" s="1"/>
      <c r="AS455" s="1"/>
      <c r="AT455" t="str">
        <f>TEXT(_xll.BDP($B455,"MATURITY"),"yyyy-mm-dd")</f>
        <v>2028-11-17</v>
      </c>
      <c r="AU455" t="str">
        <f>_xll.BDP($B455,"CPN_TYP")</f>
        <v>FIXED</v>
      </c>
      <c r="AV455">
        <f>_xll.BDP($B455,"CPN")</f>
        <v>8</v>
      </c>
    </row>
    <row r="456" spans="1:48" x14ac:dyDescent="0.25">
      <c r="A456" t="s">
        <v>828</v>
      </c>
      <c r="B456" t="s">
        <v>1514</v>
      </c>
      <c r="C456" s="1" t="s">
        <v>1515</v>
      </c>
      <c r="D456" t="s">
        <v>1516</v>
      </c>
      <c r="E456" t="str">
        <f>_xll.BDP($B456,"LEGAL_ENTITY_IDENTIFIER")</f>
        <v>2549000JA5GRUPLMUH98</v>
      </c>
      <c r="F456" t="s">
        <v>1517</v>
      </c>
      <c r="G456" t="str">
        <f>custodian!D456</f>
        <v>88642RAE9</v>
      </c>
      <c r="H456" t="str">
        <f>_xll.BDP($B456,"ID_ISIN")</f>
        <v>US88642RAE99</v>
      </c>
      <c r="I456" s="1"/>
      <c r="J456" t="str">
        <f>_xll.BDP($B456,"CNTRY_OF_DOMICILE")</f>
        <v>US</v>
      </c>
      <c r="K456" t="s">
        <v>626</v>
      </c>
      <c r="L456" t="s">
        <v>99</v>
      </c>
      <c r="O456" s="1"/>
      <c r="AQ456" s="1"/>
      <c r="AR456" s="1"/>
      <c r="AS456" s="1"/>
      <c r="AT456" t="str">
        <f>TEXT(_xll.BDP($B456,"MATURITY"),"yyyy-mm-dd")</f>
        <v>2030-07-15</v>
      </c>
      <c r="AU456" t="str">
        <f>_xll.BDP($B456,"CPN_TYP")</f>
        <v>FIXED</v>
      </c>
      <c r="AV456">
        <f>_xll.BDP($B456,"CPN")</f>
        <v>9.125</v>
      </c>
    </row>
    <row r="457" spans="1:48" x14ac:dyDescent="0.25">
      <c r="A457" t="s">
        <v>828</v>
      </c>
      <c r="B457" t="s">
        <v>1518</v>
      </c>
      <c r="C457" s="1" t="s">
        <v>1519</v>
      </c>
      <c r="D457" t="s">
        <v>1520</v>
      </c>
      <c r="E457" t="str">
        <f>_xll.BDP($B457,"LEGAL_ENTITY_IDENTIFIER")</f>
        <v>88Q84GB3X55CF5OC7582</v>
      </c>
      <c r="F457" t="s">
        <v>1521</v>
      </c>
      <c r="G457" t="str">
        <f>custodian!D457</f>
        <v>893647BU0</v>
      </c>
      <c r="H457" t="str">
        <f>_xll.BDP($B457,"ID_ISIN")</f>
        <v>US893647BU00</v>
      </c>
      <c r="I457" s="1"/>
      <c r="J457" t="str">
        <f>_xll.BDP($B457,"CNTRY_OF_DOMICILE")</f>
        <v>US</v>
      </c>
      <c r="K457" t="s">
        <v>626</v>
      </c>
      <c r="L457" t="s">
        <v>99</v>
      </c>
      <c r="O457" s="1"/>
      <c r="AQ457" s="1"/>
      <c r="AR457" s="1"/>
      <c r="AS457" s="1"/>
      <c r="AT457" t="str">
        <f>TEXT(_xll.BDP($B457,"MATURITY"),"yyyy-mm-dd")</f>
        <v>2029-03-01</v>
      </c>
      <c r="AU457" t="str">
        <f>_xll.BDP($B457,"CPN_TYP")</f>
        <v>FIXED</v>
      </c>
      <c r="AV457">
        <f>_xll.BDP($B457,"CPN")</f>
        <v>6.375</v>
      </c>
    </row>
    <row r="458" spans="1:48" x14ac:dyDescent="0.25">
      <c r="A458" t="s">
        <v>828</v>
      </c>
      <c r="B458" t="s">
        <v>1522</v>
      </c>
      <c r="C458" s="1" t="s">
        <v>1523</v>
      </c>
      <c r="D458" t="s">
        <v>1524</v>
      </c>
      <c r="E458" t="str">
        <f>_xll.BDP($B458,"LEGAL_ENTITY_IDENTIFIER")</f>
        <v>DOL4HJ22ADYSIWES4H94</v>
      </c>
      <c r="F458" t="s">
        <v>1525</v>
      </c>
      <c r="G458" t="str">
        <f>custodian!D458</f>
        <v>893830BY4</v>
      </c>
      <c r="H458" t="str">
        <f>_xll.BDP($B458,"ID_ISIN")</f>
        <v>US893830BY45</v>
      </c>
      <c r="I458" s="1"/>
      <c r="J458" t="str">
        <f>_xll.BDP($B458,"CNTRY_OF_DOMICILE")</f>
        <v>BM</v>
      </c>
      <c r="K458" t="s">
        <v>626</v>
      </c>
      <c r="L458" t="s">
        <v>99</v>
      </c>
      <c r="O458" s="1"/>
      <c r="AQ458" s="1"/>
      <c r="AR458" s="1"/>
      <c r="AS458" s="1"/>
      <c r="AT458" t="str">
        <f>TEXT(_xll.BDP($B458,"MATURITY"),"yyyy-mm-dd")</f>
        <v>2029-05-15</v>
      </c>
      <c r="AU458" t="str">
        <f>_xll.BDP($B458,"CPN_TYP")</f>
        <v>FIXED</v>
      </c>
      <c r="AV458">
        <f>_xll.BDP($B458,"CPN")</f>
        <v>8.25</v>
      </c>
    </row>
    <row r="459" spans="1:48" x14ac:dyDescent="0.25">
      <c r="A459" t="s">
        <v>828</v>
      </c>
      <c r="B459" t="s">
        <v>1526</v>
      </c>
      <c r="C459" s="1" t="s">
        <v>1527</v>
      </c>
      <c r="D459" t="s">
        <v>1528</v>
      </c>
      <c r="E459" t="str">
        <f>_xll.BDP($B459,"LEGAL_ENTITY_IDENTIFIER")</f>
        <v>549300O5C25A0MMHHU33</v>
      </c>
      <c r="F459" t="s">
        <v>1528</v>
      </c>
      <c r="G459" t="str">
        <f>custodian!D459</f>
        <v>902104AC2</v>
      </c>
      <c r="H459" t="str">
        <f>_xll.BDP($B459,"ID_ISIN")</f>
        <v>US902104AC24</v>
      </c>
      <c r="I459" s="1"/>
      <c r="J459" t="str">
        <f>_xll.BDP($B459,"CNTRY_OF_DOMICILE")</f>
        <v>US</v>
      </c>
      <c r="K459" t="s">
        <v>626</v>
      </c>
      <c r="L459" t="s">
        <v>99</v>
      </c>
      <c r="O459" s="1"/>
      <c r="AQ459" s="1"/>
      <c r="AR459" s="1"/>
      <c r="AS459" s="1"/>
      <c r="AT459" t="str">
        <f>TEXT(_xll.BDP($B459,"MATURITY"),"yyyy-mm-dd")</f>
        <v>2029-12-15</v>
      </c>
      <c r="AU459" t="str">
        <f>_xll.BDP($B459,"CPN_TYP")</f>
        <v>FIXED</v>
      </c>
      <c r="AV459">
        <f>_xll.BDP($B459,"CPN")</f>
        <v>5</v>
      </c>
    </row>
    <row r="460" spans="1:48" x14ac:dyDescent="0.25">
      <c r="A460" t="s">
        <v>828</v>
      </c>
      <c r="B460" t="s">
        <v>1529</v>
      </c>
      <c r="C460" s="1" t="s">
        <v>1530</v>
      </c>
      <c r="D460" t="s">
        <v>1531</v>
      </c>
      <c r="E460" t="str">
        <f>_xll.BDP($B460,"LEGAL_ENTITY_IDENTIFIER")</f>
        <v>529900FKHWSTQ1GXK240</v>
      </c>
      <c r="F460" t="s">
        <v>1531</v>
      </c>
      <c r="G460" t="str">
        <f>custodian!D460</f>
        <v>90279XAA0</v>
      </c>
      <c r="H460" t="str">
        <f>_xll.BDP($B460,"ID_ISIN")</f>
        <v>US90279XAA00</v>
      </c>
      <c r="I460" s="1"/>
      <c r="J460" t="str">
        <f>_xll.BDP($B460,"CNTRY_OF_DOMICILE")</f>
        <v>US</v>
      </c>
      <c r="K460" t="s">
        <v>626</v>
      </c>
      <c r="L460" t="s">
        <v>99</v>
      </c>
      <c r="O460" s="1"/>
      <c r="AQ460" s="1"/>
      <c r="AR460" s="1"/>
      <c r="AS460" s="1"/>
      <c r="AT460" t="str">
        <f>TEXT(_xll.BDP($B460,"MATURITY"),"yyyy-mm-dd")</f>
        <v>2031-02-01</v>
      </c>
      <c r="AU460" t="str">
        <f>_xll.BDP($B460,"CPN_TYP")</f>
        <v>FIXED</v>
      </c>
      <c r="AV460">
        <f>_xll.BDP($B460,"CPN")</f>
        <v>6.875</v>
      </c>
    </row>
    <row r="461" spans="1:48" x14ac:dyDescent="0.25">
      <c r="A461" t="s">
        <v>828</v>
      </c>
      <c r="B461" t="s">
        <v>1532</v>
      </c>
      <c r="C461" s="1" t="s">
        <v>1533</v>
      </c>
      <c r="D461" t="s">
        <v>1534</v>
      </c>
      <c r="E461" t="str">
        <f>_xll.BDP($B461,"LEGAL_ENTITY_IDENTIFIER")</f>
        <v>98450079DA0B78DD6764</v>
      </c>
      <c r="F461" t="s">
        <v>1535</v>
      </c>
      <c r="G461" t="str">
        <f>custodian!D461</f>
        <v>910047AM1</v>
      </c>
      <c r="H461" t="str">
        <f>_xll.BDP($B461,"ID_ISIN")</f>
        <v>US910047AM17</v>
      </c>
      <c r="I461" s="1"/>
      <c r="J461" t="str">
        <f>_xll.BDP($B461,"CNTRY_OF_DOMICILE")</f>
        <v>US</v>
      </c>
      <c r="K461" t="s">
        <v>626</v>
      </c>
      <c r="L461" t="s">
        <v>99</v>
      </c>
      <c r="O461" s="1"/>
      <c r="AQ461" s="1"/>
      <c r="AR461" s="1"/>
      <c r="AS461" s="1"/>
      <c r="AT461" t="str">
        <f>TEXT(_xll.BDP($B461,"MATURITY"),"yyyy-mm-dd")</f>
        <v>2029-03-01</v>
      </c>
      <c r="AU461" t="str">
        <f>_xll.BDP($B461,"CPN_TYP")</f>
        <v>FIXED</v>
      </c>
      <c r="AV461">
        <f>_xll.BDP($B461,"CPN")</f>
        <v>4.875</v>
      </c>
    </row>
    <row r="462" spans="1:48" x14ac:dyDescent="0.25">
      <c r="A462" t="s">
        <v>828</v>
      </c>
      <c r="B462" t="s">
        <v>1536</v>
      </c>
      <c r="C462" s="1" t="s">
        <v>1537</v>
      </c>
      <c r="D462" t="s">
        <v>1538</v>
      </c>
      <c r="E462" t="str">
        <f>_xll.BDP($B462,"LEGAL_ENTITY_IDENTIFIER")</f>
        <v>549300YQDE2JSGTL8V47</v>
      </c>
      <c r="F462" t="s">
        <v>1539</v>
      </c>
      <c r="G462" t="str">
        <f>custodian!D462</f>
        <v>914906AX0</v>
      </c>
      <c r="H462" t="str">
        <f>_xll.BDP($B462,"ID_ISIN")</f>
        <v>US914906AX08</v>
      </c>
      <c r="I462" s="1"/>
      <c r="J462" t="str">
        <f>_xll.BDP($B462,"CNTRY_OF_DOMICILE")</f>
        <v>US</v>
      </c>
      <c r="K462" t="s">
        <v>626</v>
      </c>
      <c r="L462" t="s">
        <v>99</v>
      </c>
      <c r="O462" s="1"/>
      <c r="AQ462" s="1"/>
      <c r="AR462" s="1"/>
      <c r="AS462" s="1"/>
      <c r="AT462" t="str">
        <f>TEXT(_xll.BDP($B462,"MATURITY"),"yyyy-mm-dd")</f>
        <v>2030-06-30</v>
      </c>
      <c r="AU462" t="str">
        <f>_xll.BDP($B462,"CPN_TYP")</f>
        <v>FIXED</v>
      </c>
      <c r="AV462">
        <f>_xll.BDP($B462,"CPN")</f>
        <v>7.375</v>
      </c>
    </row>
    <row r="463" spans="1:48" x14ac:dyDescent="0.25">
      <c r="A463" t="s">
        <v>828</v>
      </c>
      <c r="B463" t="s">
        <v>1540</v>
      </c>
      <c r="C463" s="1" t="s">
        <v>1541</v>
      </c>
      <c r="D463" t="s">
        <v>1542</v>
      </c>
      <c r="E463" t="str">
        <f>_xll.BDP($B463,"LEGAL_ENTITY_IDENTIFIER")</f>
        <v>CWAJJ9DJ5Z7P057HV541</v>
      </c>
      <c r="F463" t="s">
        <v>1542</v>
      </c>
      <c r="G463" t="str">
        <f>custodian!D463</f>
        <v>918204BC1</v>
      </c>
      <c r="H463" t="str">
        <f>_xll.BDP($B463,"ID_ISIN")</f>
        <v>US918204BC10</v>
      </c>
      <c r="I463" s="1"/>
      <c r="J463" t="str">
        <f>_xll.BDP($B463,"CNTRY_OF_DOMICILE")</f>
        <v>US</v>
      </c>
      <c r="K463" t="s">
        <v>626</v>
      </c>
      <c r="L463" t="s">
        <v>99</v>
      </c>
      <c r="O463" s="1"/>
      <c r="AQ463" s="1"/>
      <c r="AR463" s="1"/>
      <c r="AS463" s="1"/>
      <c r="AT463" t="str">
        <f>TEXT(_xll.BDP($B463,"MATURITY"),"yyyy-mm-dd")</f>
        <v>2030-04-23</v>
      </c>
      <c r="AU463" t="str">
        <f>_xll.BDP($B463,"CPN_TYP")</f>
        <v>FIXED</v>
      </c>
      <c r="AV463">
        <f>_xll.BDP($B463,"CPN")</f>
        <v>2.95</v>
      </c>
    </row>
    <row r="464" spans="1:48" x14ac:dyDescent="0.25">
      <c r="A464" t="s">
        <v>828</v>
      </c>
      <c r="B464" t="s">
        <v>1543</v>
      </c>
      <c r="C464" s="1" t="s">
        <v>1544</v>
      </c>
      <c r="D464" t="s">
        <v>1545</v>
      </c>
      <c r="E464" t="str">
        <f>_xll.BDP($B464,"LEGAL_ENTITY_IDENTIFIER")</f>
        <v>KOO0397YRO83WY5MGD97</v>
      </c>
      <c r="F464" t="s">
        <v>1546</v>
      </c>
      <c r="G464" t="str">
        <f>custodian!D464</f>
        <v>91911XAW4</v>
      </c>
      <c r="H464" t="str">
        <f>_xll.BDP($B464,"ID_ISIN")</f>
        <v>US91911XAW48</v>
      </c>
      <c r="I464" s="1"/>
      <c r="J464" t="str">
        <f>_xll.BDP($B464,"CNTRY_OF_DOMICILE")</f>
        <v>US</v>
      </c>
      <c r="K464" t="s">
        <v>626</v>
      </c>
      <c r="L464" t="s">
        <v>99</v>
      </c>
      <c r="O464" s="1"/>
      <c r="AQ464" s="1"/>
      <c r="AR464" s="1"/>
      <c r="AS464" s="1"/>
      <c r="AT464" t="str">
        <f>TEXT(_xll.BDP($B464,"MATURITY"),"yyyy-mm-dd")</f>
        <v>2027-01-31</v>
      </c>
      <c r="AU464" t="str">
        <f>_xll.BDP($B464,"CPN_TYP")</f>
        <v>FIXED</v>
      </c>
      <c r="AV464">
        <f>_xll.BDP($B464,"CPN")</f>
        <v>8.5</v>
      </c>
    </row>
    <row r="465" spans="1:48" x14ac:dyDescent="0.25">
      <c r="A465" t="s">
        <v>828</v>
      </c>
      <c r="B465" t="s">
        <v>1547</v>
      </c>
      <c r="C465" s="1" t="s">
        <v>1548</v>
      </c>
      <c r="D465" t="s">
        <v>1549</v>
      </c>
      <c r="E465" t="str">
        <f>_xll.BDP($B465,"LEGAL_ENTITY_IDENTIFIER")</f>
        <v>549300TKP4I6OJ02BF90</v>
      </c>
      <c r="F465" t="s">
        <v>1550</v>
      </c>
      <c r="G465" t="str">
        <f>custodian!D465</f>
        <v>922966AE6</v>
      </c>
      <c r="H465" t="str">
        <f>_xll.BDP($B465,"ID_ISIN")</f>
        <v>US922966AE68</v>
      </c>
      <c r="I465" s="1"/>
      <c r="J465" t="str">
        <f>_xll.BDP($B465,"CNTRY_OF_DOMICILE")</f>
        <v>US</v>
      </c>
      <c r="K465" t="s">
        <v>626</v>
      </c>
      <c r="L465" t="s">
        <v>99</v>
      </c>
      <c r="O465" s="1"/>
      <c r="AQ465" s="1"/>
      <c r="AR465" s="1"/>
      <c r="AS465" s="1"/>
      <c r="AT465" t="str">
        <f>TEXT(_xll.BDP($B465,"MATURITY"),"yyyy-mm-dd")</f>
        <v>2030-12-15</v>
      </c>
      <c r="AU465" t="str">
        <f>_xll.BDP($B465,"CPN_TYP")</f>
        <v>FIXED</v>
      </c>
      <c r="AV465">
        <f>_xll.BDP($B465,"CPN")</f>
        <v>6.125</v>
      </c>
    </row>
    <row r="466" spans="1:48" x14ac:dyDescent="0.25">
      <c r="A466" t="s">
        <v>828</v>
      </c>
      <c r="B466" t="s">
        <v>1551</v>
      </c>
      <c r="C466" s="1" t="s">
        <v>1552</v>
      </c>
      <c r="D466" t="s">
        <v>1553</v>
      </c>
      <c r="E466" t="str">
        <f>_xll.BDP($B466,"LEGAL_ENTITY_IDENTIFIER")</f>
        <v>2138001LVYC87DDHT482</v>
      </c>
      <c r="F466" t="s">
        <v>1554</v>
      </c>
      <c r="G466" t="str">
        <f>custodian!D466</f>
        <v>92769VAJ8</v>
      </c>
      <c r="H466" t="str">
        <f>_xll.BDP($B466,"ID_ISIN")</f>
        <v>US92769VAJ89</v>
      </c>
      <c r="I466" s="1"/>
      <c r="J466" t="str">
        <f>_xll.BDP($B466,"CNTRY_OF_DOMICILE")</f>
        <v>GB</v>
      </c>
      <c r="K466" t="s">
        <v>626</v>
      </c>
      <c r="L466" t="s">
        <v>99</v>
      </c>
      <c r="O466" s="1"/>
      <c r="AQ466" s="1"/>
      <c r="AR466" s="1"/>
      <c r="AS466" s="1"/>
      <c r="AT466" t="str">
        <f>TEXT(_xll.BDP($B466,"MATURITY"),"yyyy-mm-dd")</f>
        <v>2030-07-15</v>
      </c>
      <c r="AU466" t="str">
        <f>_xll.BDP($B466,"CPN_TYP")</f>
        <v>FIXED</v>
      </c>
      <c r="AV466">
        <f>_xll.BDP($B466,"CPN")</f>
        <v>5</v>
      </c>
    </row>
    <row r="467" spans="1:48" x14ac:dyDescent="0.25">
      <c r="A467" t="s">
        <v>828</v>
      </c>
      <c r="B467" t="s">
        <v>1555</v>
      </c>
      <c r="C467" s="1" t="s">
        <v>1556</v>
      </c>
      <c r="D467" t="s">
        <v>1557</v>
      </c>
      <c r="E467" t="str">
        <f>_xll.BDP($B467,"LEGAL_ENTITY_IDENTIFIER")</f>
        <v>#N/A N/A</v>
      </c>
      <c r="F467" t="s">
        <v>1558</v>
      </c>
      <c r="G467" t="str">
        <f>custodian!D467</f>
        <v>92840JAB5</v>
      </c>
      <c r="H467" t="str">
        <f>_xll.BDP($B467,"ID_ISIN")</f>
        <v>US92840JAB52</v>
      </c>
      <c r="I467" s="1"/>
      <c r="J467" t="str">
        <f>_xll.BDP($B467,"CNTRY_OF_DOMICILE")</f>
        <v>MT</v>
      </c>
      <c r="K467" t="s">
        <v>626</v>
      </c>
      <c r="L467" t="s">
        <v>99</v>
      </c>
      <c r="O467" s="1"/>
      <c r="AQ467" s="1"/>
      <c r="AR467" s="1"/>
      <c r="AS467" s="1"/>
      <c r="AT467" t="str">
        <f>TEXT(_xll.BDP($B467,"MATURITY"),"yyyy-mm-dd")</f>
        <v>2030-02-01</v>
      </c>
      <c r="AU467" t="str">
        <f>_xll.BDP($B467,"CPN_TYP")</f>
        <v>FIXED</v>
      </c>
      <c r="AV467">
        <f>_xll.BDP($B467,"CPN")</f>
        <v>6.375</v>
      </c>
    </row>
    <row r="468" spans="1:48" x14ac:dyDescent="0.25">
      <c r="A468" t="s">
        <v>828</v>
      </c>
      <c r="B468" t="s">
        <v>1559</v>
      </c>
      <c r="C468" s="1" t="s">
        <v>1560</v>
      </c>
      <c r="D468" t="s">
        <v>1561</v>
      </c>
      <c r="E468" t="str">
        <f>_xll.BDP($B468,"LEGAL_ENTITY_IDENTIFIER")</f>
        <v>254900R5BEUGIKK1FM03</v>
      </c>
      <c r="F468" t="s">
        <v>1562</v>
      </c>
      <c r="G468" t="str">
        <f>custodian!D468</f>
        <v>92874BAA3</v>
      </c>
      <c r="H468" t="str">
        <f>_xll.BDP($B468,"ID_ISIN")</f>
        <v>US92874BAA35</v>
      </c>
      <c r="I468" s="1"/>
      <c r="J468" t="str">
        <f>_xll.BDP($B468,"CNTRY_OF_DOMICILE")</f>
        <v>US</v>
      </c>
      <c r="K468" t="s">
        <v>626</v>
      </c>
      <c r="L468" t="s">
        <v>99</v>
      </c>
      <c r="O468" s="1"/>
      <c r="AQ468" s="1"/>
      <c r="AR468" s="1"/>
      <c r="AS468" s="1"/>
      <c r="AT468" t="str">
        <f>TEXT(_xll.BDP($B468,"MATURITY"),"yyyy-mm-dd")</f>
        <v>2030-11-01</v>
      </c>
      <c r="AU468" t="str">
        <f>_xll.BDP($B468,"CPN_TYP")</f>
        <v>FIXED</v>
      </c>
      <c r="AV468">
        <f>_xll.BDP($B468,"CPN")</f>
        <v>7.375</v>
      </c>
    </row>
    <row r="469" spans="1:48" x14ac:dyDescent="0.25">
      <c r="A469" t="s">
        <v>828</v>
      </c>
      <c r="B469" t="s">
        <v>1563</v>
      </c>
      <c r="C469" s="1" t="s">
        <v>1564</v>
      </c>
      <c r="D469" t="s">
        <v>1565</v>
      </c>
      <c r="E469" t="str">
        <f>_xll.BDP($B469,"LEGAL_ENTITY_IDENTIFIER")</f>
        <v>#N/A N/A</v>
      </c>
      <c r="F469" t="s">
        <v>1566</v>
      </c>
      <c r="G469" t="str">
        <f>custodian!D469</f>
        <v>982911AA7</v>
      </c>
      <c r="H469" t="str">
        <f>_xll.BDP($B469,"ID_ISIN")</f>
        <v>US982911AA70</v>
      </c>
      <c r="I469" s="1"/>
      <c r="J469" t="str">
        <f>_xll.BDP($B469,"CNTRY_OF_DOMICILE")</f>
        <v>US</v>
      </c>
      <c r="K469" t="s">
        <v>626</v>
      </c>
      <c r="L469" t="s">
        <v>99</v>
      </c>
      <c r="O469" s="1"/>
      <c r="AQ469" s="1"/>
      <c r="AR469" s="1"/>
      <c r="AS469" s="1"/>
      <c r="AT469" t="str">
        <f>TEXT(_xll.BDP($B469,"MATURITY"),"yyyy-mm-dd")</f>
        <v>2030-10-15</v>
      </c>
      <c r="AU469" t="str">
        <f>_xll.BDP($B469,"CPN_TYP")</f>
        <v>FIXED</v>
      </c>
      <c r="AV469">
        <f>_xll.BDP($B469,"CPN")</f>
        <v>7.75</v>
      </c>
    </row>
    <row r="470" spans="1:48" x14ac:dyDescent="0.25">
      <c r="A470" t="s">
        <v>828</v>
      </c>
      <c r="B470" t="s">
        <v>1567</v>
      </c>
      <c r="C470" s="1" t="s">
        <v>1568</v>
      </c>
      <c r="D470" t="s">
        <v>1569</v>
      </c>
      <c r="E470" t="str">
        <f>_xll.BDP($B470,"LEGAL_ENTITY_IDENTIFIER")</f>
        <v>#N/A N/A</v>
      </c>
      <c r="F470" t="s">
        <v>1570</v>
      </c>
      <c r="G470" t="str">
        <f>custodian!D470</f>
        <v>983133AC3</v>
      </c>
      <c r="H470" t="str">
        <f>_xll.BDP($B470,"ID_ISIN")</f>
        <v>US983133AC37</v>
      </c>
      <c r="I470" s="1"/>
      <c r="J470" t="str">
        <f>_xll.BDP($B470,"CNTRY_OF_DOMICILE")</f>
        <v>US</v>
      </c>
      <c r="K470" t="s">
        <v>626</v>
      </c>
      <c r="L470" t="s">
        <v>99</v>
      </c>
      <c r="O470" s="1"/>
      <c r="AQ470" s="1"/>
      <c r="AR470" s="1"/>
      <c r="AS470" s="1"/>
      <c r="AT470" t="str">
        <f>TEXT(_xll.BDP($B470,"MATURITY"),"yyyy-mm-dd")</f>
        <v>2031-02-15</v>
      </c>
      <c r="AU470" t="str">
        <f>_xll.BDP($B470,"CPN_TYP")</f>
        <v>FIXED</v>
      </c>
      <c r="AV470">
        <f>_xll.BDP($B470,"CPN")</f>
        <v>7.125</v>
      </c>
    </row>
    <row r="471" spans="1:48" x14ac:dyDescent="0.25">
      <c r="A471" t="s">
        <v>828</v>
      </c>
      <c r="B471" t="s">
        <v>77</v>
      </c>
      <c r="C471" s="1" t="s">
        <v>78</v>
      </c>
      <c r="D471" t="s">
        <v>79</v>
      </c>
      <c r="E471" t="str">
        <f>_xll.BDP($B471,"LEGAL_ENTITY_IDENTIFIER")</f>
        <v>549300R5MYM6VZF1RM44</v>
      </c>
      <c r="F471" t="s">
        <v>80</v>
      </c>
      <c r="G471" t="str">
        <f>custodian!D471</f>
        <v>31846V336</v>
      </c>
      <c r="H471" t="str">
        <f>_xll.BDP($B471,"ID_ISIN")</f>
        <v>US31846V3362</v>
      </c>
      <c r="I471" s="1" t="s">
        <v>78</v>
      </c>
      <c r="J471" t="str">
        <f>_xll.BDP($B471,"CNTRY_OF_DOMICILE")</f>
        <v>US</v>
      </c>
      <c r="K471" t="s">
        <v>81</v>
      </c>
      <c r="L471" t="s">
        <v>82</v>
      </c>
      <c r="O471" s="1"/>
      <c r="AQ471" s="1"/>
      <c r="AR471" s="1"/>
      <c r="AS471" s="1"/>
    </row>
    <row r="472" spans="1:48" x14ac:dyDescent="0.25">
      <c r="A472" t="s">
        <v>828</v>
      </c>
      <c r="C472" s="1" t="s">
        <v>52</v>
      </c>
      <c r="E472" s="1"/>
      <c r="G472" t="str">
        <f>custodian!D472</f>
        <v>Cash&amp;Other</v>
      </c>
      <c r="H472" s="1"/>
      <c r="I472" s="1"/>
      <c r="O472" s="1"/>
      <c r="AQ472" s="1"/>
      <c r="AR472" s="1"/>
      <c r="AS472" s="1"/>
    </row>
    <row r="473" spans="1:48" x14ac:dyDescent="0.25">
      <c r="A473" t="s">
        <v>1571</v>
      </c>
      <c r="B473" t="s">
        <v>1572</v>
      </c>
      <c r="C473" s="1" t="s">
        <v>1573</v>
      </c>
      <c r="D473" t="s">
        <v>1574</v>
      </c>
      <c r="E473" t="str">
        <f>_xll.BDP($B473,"LEGAL_ENTITY_IDENTIFIER")</f>
        <v>254900HROIFWPRGM1V77</v>
      </c>
      <c r="F473" t="s">
        <v>1575</v>
      </c>
      <c r="G473" t="str">
        <f>custodian!D473</f>
        <v>912810FM5</v>
      </c>
      <c r="H473" t="str">
        <f>_xll.BDP($B473,"ID_ISIN")</f>
        <v>US912810FM54</v>
      </c>
      <c r="I473" s="1"/>
      <c r="J473" t="str">
        <f>_xll.BDP($B473,"CNTRY_OF_DOMICILE")</f>
        <v>US</v>
      </c>
      <c r="K473" t="s">
        <v>626</v>
      </c>
      <c r="L473" t="s">
        <v>627</v>
      </c>
      <c r="O473" s="1"/>
      <c r="AQ473" s="1"/>
      <c r="AR473" s="1"/>
      <c r="AS473" s="1"/>
      <c r="AT473" t="str">
        <f>TEXT(_xll.BDP($B473,"MATURITY"),"yyyy-mm-dd")</f>
        <v>2030-05-15</v>
      </c>
      <c r="AU473" t="str">
        <f>_xll.BDP($B473,"CPN_TYP")</f>
        <v>FIXED</v>
      </c>
      <c r="AV473">
        <f>_xll.BDP($B473,"CPN")</f>
        <v>6.25</v>
      </c>
    </row>
    <row r="474" spans="1:48" x14ac:dyDescent="0.25">
      <c r="A474" t="s">
        <v>1571</v>
      </c>
      <c r="B474" t="s">
        <v>1576</v>
      </c>
      <c r="C474" s="1" t="s">
        <v>1577</v>
      </c>
      <c r="D474" t="s">
        <v>1574</v>
      </c>
      <c r="E474" t="str">
        <f>_xll.BDP($B474,"LEGAL_ENTITY_IDENTIFIER")</f>
        <v>254900HROIFWPRGM1V77</v>
      </c>
      <c r="F474" t="s">
        <v>1578</v>
      </c>
      <c r="G474" t="str">
        <f>custodian!D474</f>
        <v>912810FP8</v>
      </c>
      <c r="H474" t="str">
        <f>_xll.BDP($B474,"ID_ISIN")</f>
        <v>US912810FP85</v>
      </c>
      <c r="I474" s="1"/>
      <c r="J474" t="str">
        <f>_xll.BDP($B474,"CNTRY_OF_DOMICILE")</f>
        <v>US</v>
      </c>
      <c r="K474" t="s">
        <v>626</v>
      </c>
      <c r="L474" t="s">
        <v>627</v>
      </c>
      <c r="O474" s="1"/>
      <c r="AQ474" s="1"/>
      <c r="AR474" s="1"/>
      <c r="AS474" s="1"/>
      <c r="AT474" t="str">
        <f>TEXT(_xll.BDP($B474,"MATURITY"),"yyyy-mm-dd")</f>
        <v>2031-02-15</v>
      </c>
      <c r="AU474" t="str">
        <f>_xll.BDP($B474,"CPN_TYP")</f>
        <v>FIXED</v>
      </c>
      <c r="AV474">
        <f>_xll.BDP($B474,"CPN")</f>
        <v>5.375</v>
      </c>
    </row>
    <row r="475" spans="1:48" x14ac:dyDescent="0.25">
      <c r="A475" t="s">
        <v>1571</v>
      </c>
      <c r="B475" t="s">
        <v>1579</v>
      </c>
      <c r="C475" s="1" t="s">
        <v>1580</v>
      </c>
      <c r="D475" t="s">
        <v>1574</v>
      </c>
      <c r="E475" t="str">
        <f>_xll.BDP($B475,"LEGAL_ENTITY_IDENTIFIER")</f>
        <v>254900HROIFWPRGM1V77</v>
      </c>
      <c r="F475" t="s">
        <v>1581</v>
      </c>
      <c r="G475" t="str">
        <f>custodian!D475</f>
        <v>912828YB0</v>
      </c>
      <c r="H475" t="str">
        <f>_xll.BDP($B475,"ID_ISIN")</f>
        <v>US912828YB05</v>
      </c>
      <c r="I475" s="1"/>
      <c r="J475" t="str">
        <f>_xll.BDP($B475,"CNTRY_OF_DOMICILE")</f>
        <v>US</v>
      </c>
      <c r="K475" t="s">
        <v>626</v>
      </c>
      <c r="L475" t="s">
        <v>627</v>
      </c>
      <c r="O475" s="1"/>
      <c r="AQ475" s="1"/>
      <c r="AR475" s="1"/>
      <c r="AS475" s="1"/>
      <c r="AT475" t="str">
        <f>TEXT(_xll.BDP($B475,"MATURITY"),"yyyy-mm-dd")</f>
        <v>2029-08-15</v>
      </c>
      <c r="AU475" t="str">
        <f>_xll.BDP($B475,"CPN_TYP")</f>
        <v>FIXED</v>
      </c>
      <c r="AV475">
        <f>_xll.BDP($B475,"CPN")</f>
        <v>1.625</v>
      </c>
    </row>
    <row r="476" spans="1:48" x14ac:dyDescent="0.25">
      <c r="A476" t="s">
        <v>1571</v>
      </c>
      <c r="B476" t="s">
        <v>1582</v>
      </c>
      <c r="C476" s="1" t="s">
        <v>1583</v>
      </c>
      <c r="D476" t="s">
        <v>1574</v>
      </c>
      <c r="E476" t="str">
        <f>_xll.BDP($B476,"LEGAL_ENTITY_IDENTIFIER")</f>
        <v>254900HROIFWPRGM1V77</v>
      </c>
      <c r="F476" t="s">
        <v>1584</v>
      </c>
      <c r="G476" t="str">
        <f>custodian!D476</f>
        <v>912828YS3</v>
      </c>
      <c r="H476" t="str">
        <f>_xll.BDP($B476,"ID_ISIN")</f>
        <v>US912828YS30</v>
      </c>
      <c r="I476" s="1"/>
      <c r="J476" t="str">
        <f>_xll.BDP($B476,"CNTRY_OF_DOMICILE")</f>
        <v>US</v>
      </c>
      <c r="K476" t="s">
        <v>626</v>
      </c>
      <c r="L476" t="s">
        <v>627</v>
      </c>
      <c r="O476" s="1"/>
      <c r="AQ476" s="1"/>
      <c r="AR476" s="1"/>
      <c r="AS476" s="1"/>
      <c r="AT476" t="str">
        <f>TEXT(_xll.BDP($B476,"MATURITY"),"yyyy-mm-dd")</f>
        <v>2029-11-15</v>
      </c>
      <c r="AU476" t="str">
        <f>_xll.BDP($B476,"CPN_TYP")</f>
        <v>FIXED</v>
      </c>
      <c r="AV476">
        <f>_xll.BDP($B476,"CPN")</f>
        <v>1.75</v>
      </c>
    </row>
    <row r="477" spans="1:48" x14ac:dyDescent="0.25">
      <c r="A477" t="s">
        <v>1571</v>
      </c>
      <c r="B477" t="s">
        <v>1585</v>
      </c>
      <c r="C477" s="1" t="s">
        <v>1586</v>
      </c>
      <c r="D477" t="s">
        <v>1574</v>
      </c>
      <c r="E477" t="str">
        <f>_xll.BDP($B477,"LEGAL_ENTITY_IDENTIFIER")</f>
        <v>254900HROIFWPRGM1V77</v>
      </c>
      <c r="F477" t="s">
        <v>1587</v>
      </c>
      <c r="G477" t="str">
        <f>custodian!D477</f>
        <v>912828Z94</v>
      </c>
      <c r="H477" t="str">
        <f>_xll.BDP($B477,"ID_ISIN")</f>
        <v>US912828Z948</v>
      </c>
      <c r="I477" s="1"/>
      <c r="J477" t="str">
        <f>_xll.BDP($B477,"CNTRY_OF_DOMICILE")</f>
        <v>US</v>
      </c>
      <c r="K477" t="s">
        <v>626</v>
      </c>
      <c r="L477" t="s">
        <v>627</v>
      </c>
      <c r="O477" s="1"/>
      <c r="AQ477" s="1"/>
      <c r="AR477" s="1"/>
      <c r="AS477" s="1"/>
      <c r="AT477" t="str">
        <f>TEXT(_xll.BDP($B477,"MATURITY"),"yyyy-mm-dd")</f>
        <v>2030-02-15</v>
      </c>
      <c r="AU477" t="str">
        <f>_xll.BDP($B477,"CPN_TYP")</f>
        <v>FIXED</v>
      </c>
      <c r="AV477">
        <f>_xll.BDP($B477,"CPN")</f>
        <v>1.5</v>
      </c>
    </row>
    <row r="478" spans="1:48" x14ac:dyDescent="0.25">
      <c r="A478" t="s">
        <v>1571</v>
      </c>
      <c r="B478" t="s">
        <v>1588</v>
      </c>
      <c r="C478" s="1" t="s">
        <v>1589</v>
      </c>
      <c r="D478" t="s">
        <v>1574</v>
      </c>
      <c r="E478" t="str">
        <f>_xll.BDP($B478,"LEGAL_ENTITY_IDENTIFIER")</f>
        <v>254900HROIFWPRGM1V77</v>
      </c>
      <c r="F478" t="s">
        <v>1590</v>
      </c>
      <c r="G478" t="str">
        <f>custodian!D478</f>
        <v>912828ZQ6</v>
      </c>
      <c r="H478" t="str">
        <f>_xll.BDP($B478,"ID_ISIN")</f>
        <v>US912828ZQ64</v>
      </c>
      <c r="I478" s="1"/>
      <c r="J478" t="str">
        <f>_xll.BDP($B478,"CNTRY_OF_DOMICILE")</f>
        <v>US</v>
      </c>
      <c r="K478" t="s">
        <v>626</v>
      </c>
      <c r="L478" t="s">
        <v>627</v>
      </c>
      <c r="O478" s="1"/>
      <c r="AQ478" s="1"/>
      <c r="AR478" s="1"/>
      <c r="AS478" s="1"/>
      <c r="AT478" t="str">
        <f>TEXT(_xll.BDP($B478,"MATURITY"),"yyyy-mm-dd")</f>
        <v>2030-05-15</v>
      </c>
      <c r="AU478" t="str">
        <f>_xll.BDP($B478,"CPN_TYP")</f>
        <v>FIXED</v>
      </c>
      <c r="AV478">
        <f>_xll.BDP($B478,"CPN")</f>
        <v>0.625</v>
      </c>
    </row>
    <row r="479" spans="1:48" x14ac:dyDescent="0.25">
      <c r="A479" t="s">
        <v>1571</v>
      </c>
      <c r="B479" t="s">
        <v>1591</v>
      </c>
      <c r="C479" s="1" t="s">
        <v>1592</v>
      </c>
      <c r="D479" t="s">
        <v>1574</v>
      </c>
      <c r="E479" t="str">
        <f>_xll.BDP($B479,"LEGAL_ENTITY_IDENTIFIER")</f>
        <v>254900HROIFWPRGM1V77</v>
      </c>
      <c r="F479" t="s">
        <v>1593</v>
      </c>
      <c r="G479" t="str">
        <f>custodian!D479</f>
        <v>91282CAE1</v>
      </c>
      <c r="H479" t="str">
        <f>_xll.BDP($B479,"ID_ISIN")</f>
        <v>US91282CAE12</v>
      </c>
      <c r="I479" s="1"/>
      <c r="J479" t="str">
        <f>_xll.BDP($B479,"CNTRY_OF_DOMICILE")</f>
        <v>US</v>
      </c>
      <c r="K479" t="s">
        <v>626</v>
      </c>
      <c r="L479" t="s">
        <v>627</v>
      </c>
      <c r="O479" s="1"/>
      <c r="AQ479" s="1"/>
      <c r="AR479" s="1"/>
      <c r="AS479" s="1"/>
      <c r="AT479" t="str">
        <f>TEXT(_xll.BDP($B479,"MATURITY"),"yyyy-mm-dd")</f>
        <v>2030-08-15</v>
      </c>
      <c r="AU479" t="str">
        <f>_xll.BDP($B479,"CPN_TYP")</f>
        <v>FIXED</v>
      </c>
      <c r="AV479">
        <f>_xll.BDP($B479,"CPN")</f>
        <v>0.625</v>
      </c>
    </row>
    <row r="480" spans="1:48" x14ac:dyDescent="0.25">
      <c r="A480" t="s">
        <v>1571</v>
      </c>
      <c r="B480" t="s">
        <v>1594</v>
      </c>
      <c r="C480" s="1" t="s">
        <v>1595</v>
      </c>
      <c r="D480" t="s">
        <v>1574</v>
      </c>
      <c r="E480" t="str">
        <f>_xll.BDP($B480,"LEGAL_ENTITY_IDENTIFIER")</f>
        <v>254900HROIFWPRGM1V77</v>
      </c>
      <c r="F480" t="s">
        <v>1596</v>
      </c>
      <c r="G480" t="str">
        <f>custodian!D480</f>
        <v>91282CAV3</v>
      </c>
      <c r="H480" t="str">
        <f>_xll.BDP($B480,"ID_ISIN")</f>
        <v>US91282CAV37</v>
      </c>
      <c r="I480" s="1"/>
      <c r="J480" t="str">
        <f>_xll.BDP($B480,"CNTRY_OF_DOMICILE")</f>
        <v>US</v>
      </c>
      <c r="K480" t="s">
        <v>626</v>
      </c>
      <c r="L480" t="s">
        <v>627</v>
      </c>
      <c r="O480" s="1"/>
      <c r="AQ480" s="1"/>
      <c r="AR480" s="1"/>
      <c r="AS480" s="1"/>
      <c r="AT480" t="str">
        <f>TEXT(_xll.BDP($B480,"MATURITY"),"yyyy-mm-dd")</f>
        <v>2030-11-15</v>
      </c>
      <c r="AU480" t="str">
        <f>_xll.BDP($B480,"CPN_TYP")</f>
        <v>FIXED</v>
      </c>
      <c r="AV480">
        <f>_xll.BDP($B480,"CPN")</f>
        <v>0.875</v>
      </c>
    </row>
    <row r="481" spans="1:48" x14ac:dyDescent="0.25">
      <c r="A481" t="s">
        <v>1571</v>
      </c>
      <c r="B481" t="s">
        <v>1597</v>
      </c>
      <c r="C481" s="1" t="s">
        <v>1598</v>
      </c>
      <c r="D481" t="s">
        <v>1574</v>
      </c>
      <c r="E481" t="str">
        <f>_xll.BDP($B481,"LEGAL_ENTITY_IDENTIFIER")</f>
        <v>254900HROIFWPRGM1V77</v>
      </c>
      <c r="F481" t="s">
        <v>1599</v>
      </c>
      <c r="G481" t="str">
        <f>custodian!D481</f>
        <v>91282CBL4</v>
      </c>
      <c r="H481" t="str">
        <f>_xll.BDP($B481,"ID_ISIN")</f>
        <v>US91282CBL46</v>
      </c>
      <c r="I481" s="1"/>
      <c r="J481" t="str">
        <f>_xll.BDP($B481,"CNTRY_OF_DOMICILE")</f>
        <v>US</v>
      </c>
      <c r="K481" t="s">
        <v>626</v>
      </c>
      <c r="L481" t="s">
        <v>627</v>
      </c>
      <c r="O481" s="1"/>
      <c r="AQ481" s="1"/>
      <c r="AR481" s="1"/>
      <c r="AS481" s="1"/>
      <c r="AT481" t="str">
        <f>TEXT(_xll.BDP($B481,"MATURITY"),"yyyy-mm-dd")</f>
        <v>2031-02-15</v>
      </c>
      <c r="AU481" t="str">
        <f>_xll.BDP($B481,"CPN_TYP")</f>
        <v>FIXED</v>
      </c>
      <c r="AV481">
        <f>_xll.BDP($B481,"CPN")</f>
        <v>1.125</v>
      </c>
    </row>
    <row r="482" spans="1:48" x14ac:dyDescent="0.25">
      <c r="A482" t="s">
        <v>1571</v>
      </c>
      <c r="B482" t="s">
        <v>1600</v>
      </c>
      <c r="C482" s="1" t="s">
        <v>1601</v>
      </c>
      <c r="D482" t="s">
        <v>1574</v>
      </c>
      <c r="E482" t="str">
        <f>_xll.BDP($B482,"LEGAL_ENTITY_IDENTIFIER")</f>
        <v>254900HROIFWPRGM1V77</v>
      </c>
      <c r="F482" t="s">
        <v>1602</v>
      </c>
      <c r="G482" t="str">
        <f>custodian!D482</f>
        <v>91282CCB5</v>
      </c>
      <c r="H482" t="str">
        <f>_xll.BDP($B482,"ID_ISIN")</f>
        <v>US91282CCB54</v>
      </c>
      <c r="I482" s="1"/>
      <c r="J482" t="str">
        <f>_xll.BDP($B482,"CNTRY_OF_DOMICILE")</f>
        <v>US</v>
      </c>
      <c r="K482" t="s">
        <v>626</v>
      </c>
      <c r="L482" t="s">
        <v>627</v>
      </c>
      <c r="O482" s="1"/>
      <c r="AQ482" s="1"/>
      <c r="AR482" s="1"/>
      <c r="AS482" s="1"/>
      <c r="AT482" t="str">
        <f>TEXT(_xll.BDP($B482,"MATURITY"),"yyyy-mm-dd")</f>
        <v>2031-05-15</v>
      </c>
      <c r="AU482" t="str">
        <f>_xll.BDP($B482,"CPN_TYP")</f>
        <v>FIXED</v>
      </c>
      <c r="AV482">
        <f>_xll.BDP($B482,"CPN")</f>
        <v>1.625</v>
      </c>
    </row>
    <row r="483" spans="1:48" x14ac:dyDescent="0.25">
      <c r="A483" t="s">
        <v>1571</v>
      </c>
      <c r="B483" t="s">
        <v>1603</v>
      </c>
      <c r="C483" s="1" t="s">
        <v>1604</v>
      </c>
      <c r="D483" t="s">
        <v>1574</v>
      </c>
      <c r="E483" t="str">
        <f>_xll.BDP($B483,"LEGAL_ENTITY_IDENTIFIER")</f>
        <v>254900HROIFWPRGM1V77</v>
      </c>
      <c r="F483" t="s">
        <v>1605</v>
      </c>
      <c r="G483" t="str">
        <f>custodian!D483</f>
        <v>91282CCS8</v>
      </c>
      <c r="H483" t="str">
        <f>_xll.BDP($B483,"ID_ISIN")</f>
        <v>US91282CCS89</v>
      </c>
      <c r="I483" s="1"/>
      <c r="J483" t="str">
        <f>_xll.BDP($B483,"CNTRY_OF_DOMICILE")</f>
        <v>US</v>
      </c>
      <c r="K483" t="s">
        <v>626</v>
      </c>
      <c r="L483" t="s">
        <v>627</v>
      </c>
      <c r="O483" s="1"/>
      <c r="AQ483" s="1"/>
      <c r="AR483" s="1"/>
      <c r="AS483" s="1"/>
      <c r="AT483" t="str">
        <f>TEXT(_xll.BDP($B483,"MATURITY"),"yyyy-mm-dd")</f>
        <v>2031-08-15</v>
      </c>
      <c r="AU483" t="str">
        <f>_xll.BDP($B483,"CPN_TYP")</f>
        <v>FIXED</v>
      </c>
      <c r="AV483">
        <f>_xll.BDP($B483,"CPN")</f>
        <v>1.25</v>
      </c>
    </row>
    <row r="484" spans="1:48" x14ac:dyDescent="0.25">
      <c r="A484" t="s">
        <v>1571</v>
      </c>
      <c r="B484" t="s">
        <v>1606</v>
      </c>
      <c r="C484" s="1" t="s">
        <v>1607</v>
      </c>
      <c r="D484" t="s">
        <v>1574</v>
      </c>
      <c r="E484" t="str">
        <f>_xll.BDP($B484,"LEGAL_ENTITY_IDENTIFIER")</f>
        <v>254900HROIFWPRGM1V77</v>
      </c>
      <c r="F484" t="s">
        <v>1608</v>
      </c>
      <c r="G484" t="str">
        <f>custodian!D484</f>
        <v>91282CDJ7</v>
      </c>
      <c r="H484" t="str">
        <f>_xll.BDP($B484,"ID_ISIN")</f>
        <v>US91282CDJ71</v>
      </c>
      <c r="I484" s="1"/>
      <c r="J484" t="str">
        <f>_xll.BDP($B484,"CNTRY_OF_DOMICILE")</f>
        <v>US</v>
      </c>
      <c r="K484" t="s">
        <v>626</v>
      </c>
      <c r="L484" t="s">
        <v>627</v>
      </c>
      <c r="O484" s="1"/>
      <c r="AQ484" s="1"/>
      <c r="AR484" s="1"/>
      <c r="AS484" s="1"/>
      <c r="AT484" t="str">
        <f>TEXT(_xll.BDP($B484,"MATURITY"),"yyyy-mm-dd")</f>
        <v>2031-11-15</v>
      </c>
      <c r="AU484" t="str">
        <f>_xll.BDP($B484,"CPN_TYP")</f>
        <v>FIXED</v>
      </c>
      <c r="AV484">
        <f>_xll.BDP($B484,"CPN")</f>
        <v>1.375</v>
      </c>
    </row>
    <row r="485" spans="1:48" x14ac:dyDescent="0.25">
      <c r="A485" t="s">
        <v>1571</v>
      </c>
      <c r="B485" t="s">
        <v>1609</v>
      </c>
      <c r="C485" s="1" t="s">
        <v>1610</v>
      </c>
      <c r="D485" t="s">
        <v>1574</v>
      </c>
      <c r="E485" t="str">
        <f>_xll.BDP($B485,"LEGAL_ENTITY_IDENTIFIER")</f>
        <v>254900HROIFWPRGM1V77</v>
      </c>
      <c r="F485" t="s">
        <v>1611</v>
      </c>
      <c r="G485" t="str">
        <f>custodian!D485</f>
        <v>91282CDY4</v>
      </c>
      <c r="H485" t="str">
        <f>_xll.BDP($B485,"ID_ISIN")</f>
        <v>US91282CDY49</v>
      </c>
      <c r="I485" s="1"/>
      <c r="J485" t="str">
        <f>_xll.BDP($B485,"CNTRY_OF_DOMICILE")</f>
        <v>US</v>
      </c>
      <c r="K485" t="s">
        <v>626</v>
      </c>
      <c r="L485" t="s">
        <v>627</v>
      </c>
      <c r="O485" s="1"/>
      <c r="AQ485" s="1"/>
      <c r="AR485" s="1"/>
      <c r="AS485" s="1"/>
      <c r="AT485" t="str">
        <f>TEXT(_xll.BDP($B485,"MATURITY"),"yyyy-mm-dd")</f>
        <v>2032-02-15</v>
      </c>
      <c r="AU485" t="str">
        <f>_xll.BDP($B485,"CPN_TYP")</f>
        <v>FIXED</v>
      </c>
      <c r="AV485">
        <f>_xll.BDP($B485,"CPN")</f>
        <v>1.875</v>
      </c>
    </row>
    <row r="486" spans="1:48" x14ac:dyDescent="0.25">
      <c r="A486" t="s">
        <v>1571</v>
      </c>
      <c r="B486" t="s">
        <v>1612</v>
      </c>
      <c r="C486" s="1" t="s">
        <v>1613</v>
      </c>
      <c r="D486" t="s">
        <v>1574</v>
      </c>
      <c r="E486" t="str">
        <f>_xll.BDP($B486,"LEGAL_ENTITY_IDENTIFIER")</f>
        <v>254900HROIFWPRGM1V77</v>
      </c>
      <c r="F486" t="s">
        <v>1614</v>
      </c>
      <c r="G486" t="str">
        <f>custodian!D486</f>
        <v>91282CEP2</v>
      </c>
      <c r="H486" t="str">
        <f>_xll.BDP($B486,"ID_ISIN")</f>
        <v>US91282CEP23</v>
      </c>
      <c r="I486" s="1"/>
      <c r="J486" t="str">
        <f>_xll.BDP($B486,"CNTRY_OF_DOMICILE")</f>
        <v>US</v>
      </c>
      <c r="K486" t="s">
        <v>626</v>
      </c>
      <c r="L486" t="s">
        <v>627</v>
      </c>
      <c r="O486" s="1"/>
      <c r="AQ486" s="1"/>
      <c r="AR486" s="1"/>
      <c r="AS486" s="1"/>
      <c r="AT486" t="str">
        <f>TEXT(_xll.BDP($B486,"MATURITY"),"yyyy-mm-dd")</f>
        <v>2032-05-15</v>
      </c>
      <c r="AU486" t="str">
        <f>_xll.BDP($B486,"CPN_TYP")</f>
        <v>FIXED</v>
      </c>
      <c r="AV486">
        <f>_xll.BDP($B486,"CPN")</f>
        <v>2.875</v>
      </c>
    </row>
    <row r="487" spans="1:48" x14ac:dyDescent="0.25">
      <c r="A487" t="s">
        <v>1571</v>
      </c>
      <c r="B487" t="s">
        <v>1615</v>
      </c>
      <c r="C487" s="1" t="s">
        <v>1616</v>
      </c>
      <c r="D487" t="s">
        <v>1574</v>
      </c>
      <c r="E487" t="str">
        <f>_xll.BDP($B487,"LEGAL_ENTITY_IDENTIFIER")</f>
        <v>254900HROIFWPRGM1V77</v>
      </c>
      <c r="F487" t="s">
        <v>1617</v>
      </c>
      <c r="G487" t="str">
        <f>custodian!D487</f>
        <v>91282CES6</v>
      </c>
      <c r="H487" t="str">
        <f>_xll.BDP($B487,"ID_ISIN")</f>
        <v>US91282CES61</v>
      </c>
      <c r="I487" s="1"/>
      <c r="J487" t="str">
        <f>_xll.BDP($B487,"CNTRY_OF_DOMICILE")</f>
        <v>US</v>
      </c>
      <c r="K487" t="s">
        <v>626</v>
      </c>
      <c r="L487" t="s">
        <v>627</v>
      </c>
      <c r="O487" s="1"/>
      <c r="AQ487" s="1"/>
      <c r="AR487" s="1"/>
      <c r="AS487" s="1"/>
      <c r="AT487" t="str">
        <f>TEXT(_xll.BDP($B487,"MATURITY"),"yyyy-mm-dd")</f>
        <v>2029-05-31</v>
      </c>
      <c r="AU487" t="str">
        <f>_xll.BDP($B487,"CPN_TYP")</f>
        <v>FIXED</v>
      </c>
      <c r="AV487">
        <f>_xll.BDP($B487,"CPN")</f>
        <v>2.75</v>
      </c>
    </row>
    <row r="488" spans="1:48" x14ac:dyDescent="0.25">
      <c r="A488" t="s">
        <v>1571</v>
      </c>
      <c r="B488" t="s">
        <v>1618</v>
      </c>
      <c r="C488" s="1" t="s">
        <v>1619</v>
      </c>
      <c r="D488" t="s">
        <v>1574</v>
      </c>
      <c r="E488" t="str">
        <f>_xll.BDP($B488,"LEGAL_ENTITY_IDENTIFIER")</f>
        <v>254900HROIFWPRGM1V77</v>
      </c>
      <c r="F488" t="s">
        <v>1620</v>
      </c>
      <c r="G488" t="str">
        <f>custodian!D488</f>
        <v>91282CEV9</v>
      </c>
      <c r="H488" t="str">
        <f>_xll.BDP($B488,"ID_ISIN")</f>
        <v>US91282CEV90</v>
      </c>
      <c r="I488" s="1"/>
      <c r="J488" t="str">
        <f>_xll.BDP($B488,"CNTRY_OF_DOMICILE")</f>
        <v>US</v>
      </c>
      <c r="K488" t="s">
        <v>626</v>
      </c>
      <c r="L488" t="s">
        <v>627</v>
      </c>
      <c r="O488" s="1"/>
      <c r="AQ488" s="1"/>
      <c r="AR488" s="1"/>
      <c r="AS488" s="1"/>
      <c r="AT488" t="str">
        <f>TEXT(_xll.BDP($B488,"MATURITY"),"yyyy-mm-dd")</f>
        <v>2029-06-30</v>
      </c>
      <c r="AU488" t="str">
        <f>_xll.BDP($B488,"CPN_TYP")</f>
        <v>FIXED</v>
      </c>
      <c r="AV488">
        <f>_xll.BDP($B488,"CPN")</f>
        <v>3.25</v>
      </c>
    </row>
    <row r="489" spans="1:48" x14ac:dyDescent="0.25">
      <c r="A489" t="s">
        <v>1571</v>
      </c>
      <c r="B489" t="s">
        <v>1621</v>
      </c>
      <c r="C489" s="1" t="s">
        <v>1622</v>
      </c>
      <c r="D489" t="s">
        <v>1574</v>
      </c>
      <c r="E489" t="str">
        <f>_xll.BDP($B489,"LEGAL_ENTITY_IDENTIFIER")</f>
        <v>254900HROIFWPRGM1V77</v>
      </c>
      <c r="F489" t="s">
        <v>1623</v>
      </c>
      <c r="G489" t="str">
        <f>custodian!D489</f>
        <v>91282CFC0</v>
      </c>
      <c r="H489" t="str">
        <f>_xll.BDP($B489,"ID_ISIN")</f>
        <v>US91282CFC01</v>
      </c>
      <c r="I489" s="1"/>
      <c r="J489" t="str">
        <f>_xll.BDP($B489,"CNTRY_OF_DOMICILE")</f>
        <v>US</v>
      </c>
      <c r="K489" t="s">
        <v>626</v>
      </c>
      <c r="L489" t="s">
        <v>627</v>
      </c>
      <c r="O489" s="1"/>
      <c r="AQ489" s="1"/>
      <c r="AR489" s="1"/>
      <c r="AS489" s="1"/>
      <c r="AT489" t="str">
        <f>TEXT(_xll.BDP($B489,"MATURITY"),"yyyy-mm-dd")</f>
        <v>2029-07-31</v>
      </c>
      <c r="AU489" t="str">
        <f>_xll.BDP($B489,"CPN_TYP")</f>
        <v>FIXED</v>
      </c>
      <c r="AV489">
        <f>_xll.BDP($B489,"CPN")</f>
        <v>2.625</v>
      </c>
    </row>
    <row r="490" spans="1:48" x14ac:dyDescent="0.25">
      <c r="A490" t="s">
        <v>1571</v>
      </c>
      <c r="B490" t="s">
        <v>1624</v>
      </c>
      <c r="C490" s="1" t="s">
        <v>1625</v>
      </c>
      <c r="D490" t="s">
        <v>1574</v>
      </c>
      <c r="E490" t="str">
        <f>_xll.BDP($B490,"LEGAL_ENTITY_IDENTIFIER")</f>
        <v>254900HROIFWPRGM1V77</v>
      </c>
      <c r="F490" t="s">
        <v>1626</v>
      </c>
      <c r="G490" t="str">
        <f>custodian!D490</f>
        <v>91282CFF3</v>
      </c>
      <c r="H490" t="str">
        <f>_xll.BDP($B490,"ID_ISIN")</f>
        <v>US91282CFF32</v>
      </c>
      <c r="I490" s="1"/>
      <c r="J490" t="str">
        <f>_xll.BDP($B490,"CNTRY_OF_DOMICILE")</f>
        <v>US</v>
      </c>
      <c r="K490" t="s">
        <v>626</v>
      </c>
      <c r="L490" t="s">
        <v>627</v>
      </c>
      <c r="O490" s="1"/>
      <c r="AQ490" s="1"/>
      <c r="AR490" s="1"/>
      <c r="AS490" s="1"/>
      <c r="AT490" t="str">
        <f>TEXT(_xll.BDP($B490,"MATURITY"),"yyyy-mm-dd")</f>
        <v>2032-08-15</v>
      </c>
      <c r="AU490" t="str">
        <f>_xll.BDP($B490,"CPN_TYP")</f>
        <v>FIXED</v>
      </c>
      <c r="AV490">
        <f>_xll.BDP($B490,"CPN")</f>
        <v>2.75</v>
      </c>
    </row>
    <row r="491" spans="1:48" x14ac:dyDescent="0.25">
      <c r="A491" t="s">
        <v>1571</v>
      </c>
      <c r="B491" t="s">
        <v>1627</v>
      </c>
      <c r="C491" s="1" t="s">
        <v>1628</v>
      </c>
      <c r="D491" t="s">
        <v>1574</v>
      </c>
      <c r="E491" t="str">
        <f>_xll.BDP($B491,"LEGAL_ENTITY_IDENTIFIER")</f>
        <v>254900HROIFWPRGM1V77</v>
      </c>
      <c r="F491" t="s">
        <v>1629</v>
      </c>
      <c r="G491" t="str">
        <f>custodian!D491</f>
        <v>91282CFJ5</v>
      </c>
      <c r="H491" t="str">
        <f>_xll.BDP($B491,"ID_ISIN")</f>
        <v>US91282CFJ53</v>
      </c>
      <c r="I491" s="1"/>
      <c r="J491" t="str">
        <f>_xll.BDP($B491,"CNTRY_OF_DOMICILE")</f>
        <v>US</v>
      </c>
      <c r="K491" t="s">
        <v>626</v>
      </c>
      <c r="L491" t="s">
        <v>627</v>
      </c>
      <c r="O491" s="1"/>
      <c r="AQ491" s="1"/>
      <c r="AR491" s="1"/>
      <c r="AS491" s="1"/>
      <c r="AT491" t="str">
        <f>TEXT(_xll.BDP($B491,"MATURITY"),"yyyy-mm-dd")</f>
        <v>2029-08-31</v>
      </c>
      <c r="AU491" t="str">
        <f>_xll.BDP($B491,"CPN_TYP")</f>
        <v>FIXED</v>
      </c>
      <c r="AV491">
        <f>_xll.BDP($B491,"CPN")</f>
        <v>3.125</v>
      </c>
    </row>
    <row r="492" spans="1:48" x14ac:dyDescent="0.25">
      <c r="A492" t="s">
        <v>1571</v>
      </c>
      <c r="B492" t="s">
        <v>1630</v>
      </c>
      <c r="C492" s="1" t="s">
        <v>1631</v>
      </c>
      <c r="D492" t="s">
        <v>1574</v>
      </c>
      <c r="E492" t="str">
        <f>_xll.BDP($B492,"LEGAL_ENTITY_IDENTIFIER")</f>
        <v>254900HROIFWPRGM1V77</v>
      </c>
      <c r="F492" t="s">
        <v>1632</v>
      </c>
      <c r="G492" t="str">
        <f>custodian!D492</f>
        <v>91282CFL0</v>
      </c>
      <c r="H492" t="str">
        <f>_xll.BDP($B492,"ID_ISIN")</f>
        <v>US91282CFL00</v>
      </c>
      <c r="I492" s="1"/>
      <c r="J492" t="str">
        <f>_xll.BDP($B492,"CNTRY_OF_DOMICILE")</f>
        <v>US</v>
      </c>
      <c r="K492" t="s">
        <v>626</v>
      </c>
      <c r="L492" t="s">
        <v>627</v>
      </c>
      <c r="O492" s="1"/>
      <c r="AQ492" s="1"/>
      <c r="AR492" s="1"/>
      <c r="AS492" s="1"/>
      <c r="AT492" t="str">
        <f>TEXT(_xll.BDP($B492,"MATURITY"),"yyyy-mm-dd")</f>
        <v>2029-09-30</v>
      </c>
      <c r="AU492" t="str">
        <f>_xll.BDP($B492,"CPN_TYP")</f>
        <v>FIXED</v>
      </c>
      <c r="AV492">
        <f>_xll.BDP($B492,"CPN")</f>
        <v>3.875</v>
      </c>
    </row>
    <row r="493" spans="1:48" x14ac:dyDescent="0.25">
      <c r="A493" t="s">
        <v>1571</v>
      </c>
      <c r="B493" t="s">
        <v>1633</v>
      </c>
      <c r="C493" s="1" t="s">
        <v>1634</v>
      </c>
      <c r="D493" t="s">
        <v>1574</v>
      </c>
      <c r="E493" t="str">
        <f>_xll.BDP($B493,"LEGAL_ENTITY_IDENTIFIER")</f>
        <v>254900HROIFWPRGM1V77</v>
      </c>
      <c r="F493" t="s">
        <v>1635</v>
      </c>
      <c r="G493" t="str">
        <f>custodian!D493</f>
        <v>91282CFT3</v>
      </c>
      <c r="H493" t="str">
        <f>_xll.BDP($B493,"ID_ISIN")</f>
        <v>US91282CFT36</v>
      </c>
      <c r="I493" s="1"/>
      <c r="J493" t="str">
        <f>_xll.BDP($B493,"CNTRY_OF_DOMICILE")</f>
        <v>US</v>
      </c>
      <c r="K493" t="s">
        <v>626</v>
      </c>
      <c r="L493" t="s">
        <v>627</v>
      </c>
      <c r="O493" s="1"/>
      <c r="AQ493" s="1"/>
      <c r="AR493" s="1"/>
      <c r="AS493" s="1"/>
      <c r="AT493" t="str">
        <f>TEXT(_xll.BDP($B493,"MATURITY"),"yyyy-mm-dd")</f>
        <v>2029-10-31</v>
      </c>
      <c r="AU493" t="str">
        <f>_xll.BDP($B493,"CPN_TYP")</f>
        <v>FIXED</v>
      </c>
      <c r="AV493">
        <f>_xll.BDP($B493,"CPN")</f>
        <v>4</v>
      </c>
    </row>
    <row r="494" spans="1:48" x14ac:dyDescent="0.25">
      <c r="A494" t="s">
        <v>1571</v>
      </c>
      <c r="B494" t="s">
        <v>1636</v>
      </c>
      <c r="C494" s="1" t="s">
        <v>1637</v>
      </c>
      <c r="D494" t="s">
        <v>1574</v>
      </c>
      <c r="E494" t="str">
        <f>_xll.BDP($B494,"LEGAL_ENTITY_IDENTIFIER")</f>
        <v>254900HROIFWPRGM1V77</v>
      </c>
      <c r="F494" t="s">
        <v>1638</v>
      </c>
      <c r="G494" t="str">
        <f>custodian!D494</f>
        <v>91282CFV8</v>
      </c>
      <c r="H494" t="str">
        <f>_xll.BDP($B494,"ID_ISIN")</f>
        <v>US91282CFV81</v>
      </c>
      <c r="I494" s="1"/>
      <c r="J494" t="str">
        <f>_xll.BDP($B494,"CNTRY_OF_DOMICILE")</f>
        <v>US</v>
      </c>
      <c r="K494" t="s">
        <v>626</v>
      </c>
      <c r="L494" t="s">
        <v>627</v>
      </c>
      <c r="O494" s="1"/>
      <c r="AQ494" s="1"/>
      <c r="AR494" s="1"/>
      <c r="AS494" s="1"/>
      <c r="AT494" t="str">
        <f>TEXT(_xll.BDP($B494,"MATURITY"),"yyyy-mm-dd")</f>
        <v>2032-11-15</v>
      </c>
      <c r="AU494" t="str">
        <f>_xll.BDP($B494,"CPN_TYP")</f>
        <v>FIXED</v>
      </c>
      <c r="AV494">
        <f>_xll.BDP($B494,"CPN")</f>
        <v>4.125</v>
      </c>
    </row>
    <row r="495" spans="1:48" x14ac:dyDescent="0.25">
      <c r="A495" t="s">
        <v>1571</v>
      </c>
      <c r="B495" t="s">
        <v>1639</v>
      </c>
      <c r="C495" s="1" t="s">
        <v>1640</v>
      </c>
      <c r="D495" t="s">
        <v>1574</v>
      </c>
      <c r="E495" t="str">
        <f>_xll.BDP($B495,"LEGAL_ENTITY_IDENTIFIER")</f>
        <v>254900HROIFWPRGM1V77</v>
      </c>
      <c r="F495" t="s">
        <v>1641</v>
      </c>
      <c r="G495" t="str">
        <f>custodian!D495</f>
        <v>91282CFY2</v>
      </c>
      <c r="H495" t="str">
        <f>_xll.BDP($B495,"ID_ISIN")</f>
        <v>US91282CFY21</v>
      </c>
      <c r="I495" s="1"/>
      <c r="J495" t="str">
        <f>_xll.BDP($B495,"CNTRY_OF_DOMICILE")</f>
        <v>US</v>
      </c>
      <c r="K495" t="s">
        <v>626</v>
      </c>
      <c r="L495" t="s">
        <v>627</v>
      </c>
      <c r="O495" s="1"/>
      <c r="AQ495" s="1"/>
      <c r="AR495" s="1"/>
      <c r="AS495" s="1"/>
      <c r="AT495" t="str">
        <f>TEXT(_xll.BDP($B495,"MATURITY"),"yyyy-mm-dd")</f>
        <v>2029-11-30</v>
      </c>
      <c r="AU495" t="str">
        <f>_xll.BDP($B495,"CPN_TYP")</f>
        <v>FIXED</v>
      </c>
      <c r="AV495">
        <f>_xll.BDP($B495,"CPN")</f>
        <v>3.875</v>
      </c>
    </row>
    <row r="496" spans="1:48" x14ac:dyDescent="0.25">
      <c r="A496" t="s">
        <v>1571</v>
      </c>
      <c r="B496" t="s">
        <v>1642</v>
      </c>
      <c r="C496" s="1" t="s">
        <v>1643</v>
      </c>
      <c r="D496" t="s">
        <v>1574</v>
      </c>
      <c r="E496" t="str">
        <f>_xll.BDP($B496,"LEGAL_ENTITY_IDENTIFIER")</f>
        <v>254900HROIFWPRGM1V77</v>
      </c>
      <c r="F496" t="s">
        <v>1644</v>
      </c>
      <c r="G496" t="str">
        <f>custodian!D496</f>
        <v>91282CGB1</v>
      </c>
      <c r="H496" t="str">
        <f>_xll.BDP($B496,"ID_ISIN")</f>
        <v>US91282CGB19</v>
      </c>
      <c r="I496" s="1"/>
      <c r="J496" t="str">
        <f>_xll.BDP($B496,"CNTRY_OF_DOMICILE")</f>
        <v>US</v>
      </c>
      <c r="K496" t="s">
        <v>626</v>
      </c>
      <c r="L496" t="s">
        <v>627</v>
      </c>
      <c r="O496" s="1"/>
      <c r="AQ496" s="1"/>
      <c r="AR496" s="1"/>
      <c r="AS496" s="1"/>
      <c r="AT496" t="str">
        <f>TEXT(_xll.BDP($B496,"MATURITY"),"yyyy-mm-dd")</f>
        <v>2029-12-31</v>
      </c>
      <c r="AU496" t="str">
        <f>_xll.BDP($B496,"CPN_TYP")</f>
        <v>FIXED</v>
      </c>
      <c r="AV496">
        <f>_xll.BDP($B496,"CPN")</f>
        <v>3.875</v>
      </c>
    </row>
    <row r="497" spans="1:48" x14ac:dyDescent="0.25">
      <c r="A497" t="s">
        <v>1571</v>
      </c>
      <c r="B497" t="s">
        <v>1645</v>
      </c>
      <c r="C497" s="1" t="s">
        <v>1646</v>
      </c>
      <c r="D497" t="s">
        <v>1574</v>
      </c>
      <c r="E497" t="str">
        <f>_xll.BDP($B497,"LEGAL_ENTITY_IDENTIFIER")</f>
        <v>254900HROIFWPRGM1V77</v>
      </c>
      <c r="F497" t="s">
        <v>1647</v>
      </c>
      <c r="G497" t="str">
        <f>custodian!D497</f>
        <v>91282CGJ4</v>
      </c>
      <c r="H497" t="str">
        <f>_xll.BDP($B497,"ID_ISIN")</f>
        <v>US91282CGJ45</v>
      </c>
      <c r="I497" s="1"/>
      <c r="J497" t="str">
        <f>_xll.BDP($B497,"CNTRY_OF_DOMICILE")</f>
        <v>US</v>
      </c>
      <c r="K497" t="s">
        <v>626</v>
      </c>
      <c r="L497" t="s">
        <v>627</v>
      </c>
      <c r="O497" s="1"/>
      <c r="AQ497" s="1"/>
      <c r="AR497" s="1"/>
      <c r="AS497" s="1"/>
      <c r="AT497" t="str">
        <f>TEXT(_xll.BDP($B497,"MATURITY"),"yyyy-mm-dd")</f>
        <v>2030-01-31</v>
      </c>
      <c r="AU497" t="str">
        <f>_xll.BDP($B497,"CPN_TYP")</f>
        <v>FIXED</v>
      </c>
      <c r="AV497">
        <f>_xll.BDP($B497,"CPN")</f>
        <v>3.5</v>
      </c>
    </row>
    <row r="498" spans="1:48" x14ac:dyDescent="0.25">
      <c r="A498" t="s">
        <v>1571</v>
      </c>
      <c r="B498" t="s">
        <v>1648</v>
      </c>
      <c r="C498" s="1" t="s">
        <v>1649</v>
      </c>
      <c r="D498" t="s">
        <v>1574</v>
      </c>
      <c r="E498" t="str">
        <f>_xll.BDP($B498,"LEGAL_ENTITY_IDENTIFIER")</f>
        <v>254900HROIFWPRGM1V77</v>
      </c>
      <c r="F498" t="s">
        <v>1650</v>
      </c>
      <c r="G498" t="str">
        <f>custodian!D498</f>
        <v>91282CGM7</v>
      </c>
      <c r="H498" t="str">
        <f>_xll.BDP($B498,"ID_ISIN")</f>
        <v>US91282CGM73</v>
      </c>
      <c r="I498" s="1"/>
      <c r="J498" t="str">
        <f>_xll.BDP($B498,"CNTRY_OF_DOMICILE")</f>
        <v>US</v>
      </c>
      <c r="K498" t="s">
        <v>626</v>
      </c>
      <c r="L498" t="s">
        <v>627</v>
      </c>
      <c r="O498" s="1"/>
      <c r="AQ498" s="1"/>
      <c r="AR498" s="1"/>
      <c r="AS498" s="1"/>
      <c r="AT498" t="str">
        <f>TEXT(_xll.BDP($B498,"MATURITY"),"yyyy-mm-dd")</f>
        <v>2033-02-15</v>
      </c>
      <c r="AU498" t="str">
        <f>_xll.BDP($B498,"CPN_TYP")</f>
        <v>FIXED</v>
      </c>
      <c r="AV498">
        <f>_xll.BDP($B498,"CPN")</f>
        <v>3.5</v>
      </c>
    </row>
    <row r="499" spans="1:48" x14ac:dyDescent="0.25">
      <c r="A499" t="s">
        <v>1571</v>
      </c>
      <c r="B499" t="s">
        <v>1651</v>
      </c>
      <c r="C499" s="1" t="s">
        <v>1652</v>
      </c>
      <c r="D499" t="s">
        <v>1574</v>
      </c>
      <c r="E499" t="str">
        <f>_xll.BDP($B499,"LEGAL_ENTITY_IDENTIFIER")</f>
        <v>254900HROIFWPRGM1V77</v>
      </c>
      <c r="F499" t="s">
        <v>1653</v>
      </c>
      <c r="G499" t="str">
        <f>custodian!D499</f>
        <v>91282CGQ8</v>
      </c>
      <c r="H499" t="str">
        <f>_xll.BDP($B499,"ID_ISIN")</f>
        <v>US91282CGQ87</v>
      </c>
      <c r="I499" s="1"/>
      <c r="J499" t="str">
        <f>_xll.BDP($B499,"CNTRY_OF_DOMICILE")</f>
        <v>US</v>
      </c>
      <c r="K499" t="s">
        <v>626</v>
      </c>
      <c r="L499" t="s">
        <v>627</v>
      </c>
      <c r="O499" s="1"/>
      <c r="AQ499" s="1"/>
      <c r="AR499" s="1"/>
      <c r="AS499" s="1"/>
      <c r="AT499" t="str">
        <f>TEXT(_xll.BDP($B499,"MATURITY"),"yyyy-mm-dd")</f>
        <v>2030-02-28</v>
      </c>
      <c r="AU499" t="str">
        <f>_xll.BDP($B499,"CPN_TYP")</f>
        <v>FIXED</v>
      </c>
      <c r="AV499">
        <f>_xll.BDP($B499,"CPN")</f>
        <v>4</v>
      </c>
    </row>
    <row r="500" spans="1:48" x14ac:dyDescent="0.25">
      <c r="A500" t="s">
        <v>1571</v>
      </c>
      <c r="B500" t="s">
        <v>1654</v>
      </c>
      <c r="C500" s="1" t="s">
        <v>1655</v>
      </c>
      <c r="D500" t="s">
        <v>1574</v>
      </c>
      <c r="E500" t="str">
        <f>_xll.BDP($B500,"LEGAL_ENTITY_IDENTIFIER")</f>
        <v>254900HROIFWPRGM1V77</v>
      </c>
      <c r="F500" t="s">
        <v>1656</v>
      </c>
      <c r="G500" t="str">
        <f>custodian!D500</f>
        <v>91282CGS4</v>
      </c>
      <c r="H500" t="str">
        <f>_xll.BDP($B500,"ID_ISIN")</f>
        <v>US91282CGS44</v>
      </c>
      <c r="I500" s="1"/>
      <c r="J500" t="str">
        <f>_xll.BDP($B500,"CNTRY_OF_DOMICILE")</f>
        <v>US</v>
      </c>
      <c r="K500" t="s">
        <v>626</v>
      </c>
      <c r="L500" t="s">
        <v>627</v>
      </c>
      <c r="O500" s="1"/>
      <c r="AQ500" s="1"/>
      <c r="AR500" s="1"/>
      <c r="AS500" s="1"/>
      <c r="AT500" t="str">
        <f>TEXT(_xll.BDP($B500,"MATURITY"),"yyyy-mm-dd")</f>
        <v>2030-03-31</v>
      </c>
      <c r="AU500" t="str">
        <f>_xll.BDP($B500,"CPN_TYP")</f>
        <v>FIXED</v>
      </c>
      <c r="AV500">
        <f>_xll.BDP($B500,"CPN")</f>
        <v>3.625</v>
      </c>
    </row>
    <row r="501" spans="1:48" x14ac:dyDescent="0.25">
      <c r="A501" t="s">
        <v>1571</v>
      </c>
      <c r="B501" t="s">
        <v>1657</v>
      </c>
      <c r="C501" s="1" t="s">
        <v>1658</v>
      </c>
      <c r="D501" t="s">
        <v>1574</v>
      </c>
      <c r="E501" t="str">
        <f>_xll.BDP($B501,"LEGAL_ENTITY_IDENTIFIER")</f>
        <v>254900HROIFWPRGM1V77</v>
      </c>
      <c r="F501" t="s">
        <v>1659</v>
      </c>
      <c r="G501" t="str">
        <f>custodian!D501</f>
        <v>91282CGZ8</v>
      </c>
      <c r="H501" t="str">
        <f>_xll.BDP($B501,"ID_ISIN")</f>
        <v>US91282CGZ86</v>
      </c>
      <c r="I501" s="1"/>
      <c r="J501" t="str">
        <f>_xll.BDP($B501,"CNTRY_OF_DOMICILE")</f>
        <v>US</v>
      </c>
      <c r="K501" t="s">
        <v>626</v>
      </c>
      <c r="L501" t="s">
        <v>627</v>
      </c>
      <c r="O501" s="1"/>
      <c r="AQ501" s="1"/>
      <c r="AR501" s="1"/>
      <c r="AS501" s="1"/>
      <c r="AT501" t="str">
        <f>TEXT(_xll.BDP($B501,"MATURITY"),"yyyy-mm-dd")</f>
        <v>2030-04-30</v>
      </c>
      <c r="AU501" t="str">
        <f>_xll.BDP($B501,"CPN_TYP")</f>
        <v>FIXED</v>
      </c>
      <c r="AV501">
        <f>_xll.BDP($B501,"CPN")</f>
        <v>3.5</v>
      </c>
    </row>
    <row r="502" spans="1:48" x14ac:dyDescent="0.25">
      <c r="A502" t="s">
        <v>1571</v>
      </c>
      <c r="B502" t="s">
        <v>1660</v>
      </c>
      <c r="C502" s="1" t="s">
        <v>1661</v>
      </c>
      <c r="D502" t="s">
        <v>1574</v>
      </c>
      <c r="E502" t="str">
        <f>_xll.BDP($B502,"LEGAL_ENTITY_IDENTIFIER")</f>
        <v>254900HROIFWPRGM1V77</v>
      </c>
      <c r="F502" t="s">
        <v>1662</v>
      </c>
      <c r="G502" t="str">
        <f>custodian!D502</f>
        <v>91282CHC8</v>
      </c>
      <c r="H502" t="str">
        <f>_xll.BDP($B502,"ID_ISIN")</f>
        <v>US91282CHC82</v>
      </c>
      <c r="I502" s="1"/>
      <c r="J502" t="str">
        <f>_xll.BDP($B502,"CNTRY_OF_DOMICILE")</f>
        <v>US</v>
      </c>
      <c r="K502" t="s">
        <v>626</v>
      </c>
      <c r="L502" t="s">
        <v>627</v>
      </c>
      <c r="O502" s="1"/>
      <c r="AQ502" s="1"/>
      <c r="AR502" s="1"/>
      <c r="AS502" s="1"/>
      <c r="AT502" t="str">
        <f>TEXT(_xll.BDP($B502,"MATURITY"),"yyyy-mm-dd")</f>
        <v>2033-05-15</v>
      </c>
      <c r="AU502" t="str">
        <f>_xll.BDP($B502,"CPN_TYP")</f>
        <v>FIXED</v>
      </c>
      <c r="AV502">
        <f>_xll.BDP($B502,"CPN")</f>
        <v>3.375</v>
      </c>
    </row>
    <row r="503" spans="1:48" x14ac:dyDescent="0.25">
      <c r="A503" t="s">
        <v>1571</v>
      </c>
      <c r="B503" t="s">
        <v>1663</v>
      </c>
      <c r="C503" s="1" t="s">
        <v>1664</v>
      </c>
      <c r="D503" t="s">
        <v>1574</v>
      </c>
      <c r="E503" t="str">
        <f>_xll.BDP($B503,"LEGAL_ENTITY_IDENTIFIER")</f>
        <v>254900HROIFWPRGM1V77</v>
      </c>
      <c r="F503" t="s">
        <v>1665</v>
      </c>
      <c r="G503" t="str">
        <f>custodian!D503</f>
        <v>91282CHF1</v>
      </c>
      <c r="H503" t="str">
        <f>_xll.BDP($B503,"ID_ISIN")</f>
        <v>US91282CHF14</v>
      </c>
      <c r="I503" s="1"/>
      <c r="J503" t="str">
        <f>_xll.BDP($B503,"CNTRY_OF_DOMICILE")</f>
        <v>US</v>
      </c>
      <c r="K503" t="s">
        <v>626</v>
      </c>
      <c r="L503" t="s">
        <v>627</v>
      </c>
      <c r="O503" s="1"/>
      <c r="AQ503" s="1"/>
      <c r="AR503" s="1"/>
      <c r="AS503" s="1"/>
      <c r="AT503" t="str">
        <f>TEXT(_xll.BDP($B503,"MATURITY"),"yyyy-mm-dd")</f>
        <v>2030-05-31</v>
      </c>
      <c r="AU503" t="str">
        <f>_xll.BDP($B503,"CPN_TYP")</f>
        <v>FIXED</v>
      </c>
      <c r="AV503">
        <f>_xll.BDP($B503,"CPN")</f>
        <v>3.75</v>
      </c>
    </row>
    <row r="504" spans="1:48" x14ac:dyDescent="0.25">
      <c r="A504" t="s">
        <v>1571</v>
      </c>
      <c r="B504" t="s">
        <v>1666</v>
      </c>
      <c r="C504" s="1" t="s">
        <v>1667</v>
      </c>
      <c r="D504" t="s">
        <v>1574</v>
      </c>
      <c r="E504" t="str">
        <f>_xll.BDP($B504,"LEGAL_ENTITY_IDENTIFIER")</f>
        <v>254900HROIFWPRGM1V77</v>
      </c>
      <c r="F504" t="s">
        <v>1668</v>
      </c>
      <c r="G504" t="str">
        <f>custodian!D504</f>
        <v>91282CHJ3</v>
      </c>
      <c r="H504" t="str">
        <f>_xll.BDP($B504,"ID_ISIN")</f>
        <v>US91282CHJ36</v>
      </c>
      <c r="I504" s="1"/>
      <c r="J504" t="str">
        <f>_xll.BDP($B504,"CNTRY_OF_DOMICILE")</f>
        <v>US</v>
      </c>
      <c r="K504" t="s">
        <v>626</v>
      </c>
      <c r="L504" t="s">
        <v>627</v>
      </c>
      <c r="O504" s="1"/>
      <c r="AQ504" s="1"/>
      <c r="AR504" s="1"/>
      <c r="AS504" s="1"/>
      <c r="AT504" t="str">
        <f>TEXT(_xll.BDP($B504,"MATURITY"),"yyyy-mm-dd")</f>
        <v>2030-06-30</v>
      </c>
      <c r="AU504" t="str">
        <f>_xll.BDP($B504,"CPN_TYP")</f>
        <v>FIXED</v>
      </c>
      <c r="AV504">
        <f>_xll.BDP($B504,"CPN")</f>
        <v>3.75</v>
      </c>
    </row>
    <row r="505" spans="1:48" x14ac:dyDescent="0.25">
      <c r="A505" t="s">
        <v>1571</v>
      </c>
      <c r="B505" t="s">
        <v>1669</v>
      </c>
      <c r="C505" s="1" t="s">
        <v>1670</v>
      </c>
      <c r="D505" t="s">
        <v>1574</v>
      </c>
      <c r="E505" t="str">
        <f>_xll.BDP($B505,"LEGAL_ENTITY_IDENTIFIER")</f>
        <v>254900HROIFWPRGM1V77</v>
      </c>
      <c r="F505" t="s">
        <v>1671</v>
      </c>
      <c r="G505" t="str">
        <f>custodian!D505</f>
        <v>91282CHR5</v>
      </c>
      <c r="H505" t="str">
        <f>_xll.BDP($B505,"ID_ISIN")</f>
        <v>US91282CHR51</v>
      </c>
      <c r="I505" s="1"/>
      <c r="J505" t="str">
        <f>_xll.BDP($B505,"CNTRY_OF_DOMICILE")</f>
        <v>US</v>
      </c>
      <c r="K505" t="s">
        <v>626</v>
      </c>
      <c r="L505" t="s">
        <v>627</v>
      </c>
      <c r="O505" s="1"/>
      <c r="AQ505" s="1"/>
      <c r="AR505" s="1"/>
      <c r="AS505" s="1"/>
      <c r="AT505" t="str">
        <f>TEXT(_xll.BDP($B505,"MATURITY"),"yyyy-mm-dd")</f>
        <v>2030-07-31</v>
      </c>
      <c r="AU505" t="str">
        <f>_xll.BDP($B505,"CPN_TYP")</f>
        <v>FIXED</v>
      </c>
      <c r="AV505">
        <f>_xll.BDP($B505,"CPN")</f>
        <v>4</v>
      </c>
    </row>
    <row r="506" spans="1:48" x14ac:dyDescent="0.25">
      <c r="A506" t="s">
        <v>1571</v>
      </c>
      <c r="B506" t="s">
        <v>1672</v>
      </c>
      <c r="C506" s="1" t="s">
        <v>1673</v>
      </c>
      <c r="D506" t="s">
        <v>1574</v>
      </c>
      <c r="E506" t="str">
        <f>_xll.BDP($B506,"LEGAL_ENTITY_IDENTIFIER")</f>
        <v>254900HROIFWPRGM1V77</v>
      </c>
      <c r="F506" t="s">
        <v>1674</v>
      </c>
      <c r="G506" t="str">
        <f>custodian!D506</f>
        <v>91282CHW4</v>
      </c>
      <c r="H506" t="str">
        <f>_xll.BDP($B506,"ID_ISIN")</f>
        <v>US91282CHW47</v>
      </c>
      <c r="I506" s="1"/>
      <c r="J506" t="str">
        <f>_xll.BDP($B506,"CNTRY_OF_DOMICILE")</f>
        <v>US</v>
      </c>
      <c r="K506" t="s">
        <v>626</v>
      </c>
      <c r="L506" t="s">
        <v>627</v>
      </c>
      <c r="O506" s="1"/>
      <c r="AQ506" s="1"/>
      <c r="AR506" s="1"/>
      <c r="AS506" s="1"/>
      <c r="AT506" t="str">
        <f>TEXT(_xll.BDP($B506,"MATURITY"),"yyyy-mm-dd")</f>
        <v>2030-08-31</v>
      </c>
      <c r="AU506" t="str">
        <f>_xll.BDP($B506,"CPN_TYP")</f>
        <v>FIXED</v>
      </c>
      <c r="AV506">
        <f>_xll.BDP($B506,"CPN")</f>
        <v>4.125</v>
      </c>
    </row>
    <row r="507" spans="1:48" x14ac:dyDescent="0.25">
      <c r="A507" t="s">
        <v>1571</v>
      </c>
      <c r="B507" t="s">
        <v>1675</v>
      </c>
      <c r="C507" s="1" t="s">
        <v>1676</v>
      </c>
      <c r="D507" t="s">
        <v>1574</v>
      </c>
      <c r="E507" t="str">
        <f>_xll.BDP($B507,"LEGAL_ENTITY_IDENTIFIER")</f>
        <v>254900HROIFWPRGM1V77</v>
      </c>
      <c r="F507" t="s">
        <v>1677</v>
      </c>
      <c r="G507" t="str">
        <f>custodian!D507</f>
        <v>91282CHZ7</v>
      </c>
      <c r="H507" t="str">
        <f>_xll.BDP($B507,"ID_ISIN")</f>
        <v>US91282CHZ77</v>
      </c>
      <c r="I507" s="1"/>
      <c r="J507" t="str">
        <f>_xll.BDP($B507,"CNTRY_OF_DOMICILE")</f>
        <v>US</v>
      </c>
      <c r="K507" t="s">
        <v>626</v>
      </c>
      <c r="L507" t="s">
        <v>627</v>
      </c>
      <c r="O507" s="1"/>
      <c r="AQ507" s="1"/>
      <c r="AR507" s="1"/>
      <c r="AS507" s="1"/>
      <c r="AT507" t="str">
        <f>TEXT(_xll.BDP($B507,"MATURITY"),"yyyy-mm-dd")</f>
        <v>2030-09-30</v>
      </c>
      <c r="AU507" t="str">
        <f>_xll.BDP($B507,"CPN_TYP")</f>
        <v>FIXED</v>
      </c>
      <c r="AV507">
        <f>_xll.BDP($B507,"CPN")</f>
        <v>4.625</v>
      </c>
    </row>
    <row r="508" spans="1:48" x14ac:dyDescent="0.25">
      <c r="A508" t="s">
        <v>1571</v>
      </c>
      <c r="B508" t="s">
        <v>1678</v>
      </c>
      <c r="C508" s="1" t="s">
        <v>1679</v>
      </c>
      <c r="D508" t="s">
        <v>1574</v>
      </c>
      <c r="E508" t="str">
        <f>_xll.BDP($B508,"LEGAL_ENTITY_IDENTIFIER")</f>
        <v>254900HROIFWPRGM1V77</v>
      </c>
      <c r="F508" t="s">
        <v>1680</v>
      </c>
      <c r="G508" t="str">
        <f>custodian!D508</f>
        <v>91282CJG7</v>
      </c>
      <c r="H508" t="str">
        <f>_xll.BDP($B508,"ID_ISIN")</f>
        <v>US91282CJG78</v>
      </c>
      <c r="I508" s="1"/>
      <c r="J508" t="str">
        <f>_xll.BDP($B508,"CNTRY_OF_DOMICILE")</f>
        <v>US</v>
      </c>
      <c r="K508" t="s">
        <v>626</v>
      </c>
      <c r="L508" t="s">
        <v>627</v>
      </c>
      <c r="O508" s="1"/>
      <c r="AQ508" s="1"/>
      <c r="AR508" s="1"/>
      <c r="AS508" s="1"/>
      <c r="AT508" t="str">
        <f>TEXT(_xll.BDP($B508,"MATURITY"),"yyyy-mm-dd")</f>
        <v>2030-10-31</v>
      </c>
      <c r="AU508" t="str">
        <f>_xll.BDP($B508,"CPN_TYP")</f>
        <v>FIXED</v>
      </c>
      <c r="AV508">
        <f>_xll.BDP($B508,"CPN")</f>
        <v>4.875</v>
      </c>
    </row>
    <row r="509" spans="1:48" x14ac:dyDescent="0.25">
      <c r="A509" t="s">
        <v>1571</v>
      </c>
      <c r="B509" t="s">
        <v>1681</v>
      </c>
      <c r="C509" s="1" t="s">
        <v>1682</v>
      </c>
      <c r="D509" t="s">
        <v>1574</v>
      </c>
      <c r="E509" t="str">
        <f>_xll.BDP($B509,"LEGAL_ENTITY_IDENTIFIER")</f>
        <v>254900HROIFWPRGM1V77</v>
      </c>
      <c r="F509" t="s">
        <v>1683</v>
      </c>
      <c r="G509" t="str">
        <f>custodian!D509</f>
        <v>91282CJM4</v>
      </c>
      <c r="H509" t="str">
        <f>_xll.BDP($B509,"ID_ISIN")</f>
        <v>US91282CJM47</v>
      </c>
      <c r="I509" s="1"/>
      <c r="J509" t="str">
        <f>_xll.BDP($B509,"CNTRY_OF_DOMICILE")</f>
        <v>US</v>
      </c>
      <c r="K509" t="s">
        <v>626</v>
      </c>
      <c r="L509" t="s">
        <v>627</v>
      </c>
      <c r="O509" s="1"/>
      <c r="AQ509" s="1"/>
      <c r="AR509" s="1"/>
      <c r="AS509" s="1"/>
      <c r="AT509" t="str">
        <f>TEXT(_xll.BDP($B509,"MATURITY"),"yyyy-mm-dd")</f>
        <v>2030-11-30</v>
      </c>
      <c r="AU509" t="str">
        <f>_xll.BDP($B509,"CPN_TYP")</f>
        <v>FIXED</v>
      </c>
      <c r="AV509">
        <f>_xll.BDP($B509,"CPN")</f>
        <v>4.375</v>
      </c>
    </row>
    <row r="510" spans="1:48" x14ac:dyDescent="0.25">
      <c r="A510" t="s">
        <v>1571</v>
      </c>
      <c r="B510" t="s">
        <v>1684</v>
      </c>
      <c r="C510" s="1" t="s">
        <v>1685</v>
      </c>
      <c r="D510" t="s">
        <v>1574</v>
      </c>
      <c r="E510" t="str">
        <f>_xll.BDP($B510,"LEGAL_ENTITY_IDENTIFIER")</f>
        <v>254900HROIFWPRGM1V77</v>
      </c>
      <c r="F510" t="s">
        <v>1686</v>
      </c>
      <c r="G510" t="str">
        <f>custodian!D510</f>
        <v>91282CJQ5</v>
      </c>
      <c r="H510" t="str">
        <f>_xll.BDP($B510,"ID_ISIN")</f>
        <v>US91282CJQ50</v>
      </c>
      <c r="I510" s="1"/>
      <c r="J510" t="str">
        <f>_xll.BDP($B510,"CNTRY_OF_DOMICILE")</f>
        <v>US</v>
      </c>
      <c r="K510" t="s">
        <v>626</v>
      </c>
      <c r="L510" t="s">
        <v>627</v>
      </c>
      <c r="O510" s="1"/>
      <c r="AQ510" s="1"/>
      <c r="AR510" s="1"/>
      <c r="AS510" s="1"/>
      <c r="AT510" t="str">
        <f>TEXT(_xll.BDP($B510,"MATURITY"),"yyyy-mm-dd")</f>
        <v>2030-12-31</v>
      </c>
      <c r="AU510" t="str">
        <f>_xll.BDP($B510,"CPN_TYP")</f>
        <v>FIXED</v>
      </c>
      <c r="AV510">
        <f>_xll.BDP($B510,"CPN")</f>
        <v>3.75</v>
      </c>
    </row>
    <row r="511" spans="1:48" x14ac:dyDescent="0.25">
      <c r="A511" t="s">
        <v>1571</v>
      </c>
      <c r="B511" t="s">
        <v>1687</v>
      </c>
      <c r="C511" s="1" t="s">
        <v>1688</v>
      </c>
      <c r="D511" t="s">
        <v>1574</v>
      </c>
      <c r="E511" t="str">
        <f>_xll.BDP($B511,"LEGAL_ENTITY_IDENTIFIER")</f>
        <v>254900HROIFWPRGM1V77</v>
      </c>
      <c r="F511" t="s">
        <v>1689</v>
      </c>
      <c r="G511" t="str">
        <f>custodian!D511</f>
        <v>91282CJX0</v>
      </c>
      <c r="H511" t="str">
        <f>_xll.BDP($B511,"ID_ISIN")</f>
        <v>US91282CJX02</v>
      </c>
      <c r="I511" s="1"/>
      <c r="J511" t="str">
        <f>_xll.BDP($B511,"CNTRY_OF_DOMICILE")</f>
        <v>US</v>
      </c>
      <c r="K511" t="s">
        <v>626</v>
      </c>
      <c r="L511" t="s">
        <v>627</v>
      </c>
      <c r="O511" s="1"/>
      <c r="AQ511" s="1"/>
      <c r="AR511" s="1"/>
      <c r="AS511" s="1"/>
      <c r="AT511" t="str">
        <f>TEXT(_xll.BDP($B511,"MATURITY"),"yyyy-mm-dd")</f>
        <v>2031-01-31</v>
      </c>
      <c r="AU511" t="str">
        <f>_xll.BDP($B511,"CPN_TYP")</f>
        <v>FIXED</v>
      </c>
      <c r="AV511">
        <f>_xll.BDP($B511,"CPN")</f>
        <v>4</v>
      </c>
    </row>
    <row r="512" spans="1:48" x14ac:dyDescent="0.25">
      <c r="A512" t="s">
        <v>1571</v>
      </c>
      <c r="B512" t="s">
        <v>1690</v>
      </c>
      <c r="C512" s="1" t="s">
        <v>1691</v>
      </c>
      <c r="D512" t="s">
        <v>1574</v>
      </c>
      <c r="E512" t="str">
        <f>_xll.BDP($B512,"LEGAL_ENTITY_IDENTIFIER")</f>
        <v>254900HROIFWPRGM1V77</v>
      </c>
      <c r="F512" t="s">
        <v>1692</v>
      </c>
      <c r="G512" t="str">
        <f>custodian!D512</f>
        <v>91282CKC4</v>
      </c>
      <c r="H512" t="str">
        <f>_xll.BDP($B512,"ID_ISIN")</f>
        <v>US91282CKC46</v>
      </c>
      <c r="I512" s="1"/>
      <c r="J512" t="str">
        <f>_xll.BDP($B512,"CNTRY_OF_DOMICILE")</f>
        <v>US</v>
      </c>
      <c r="K512" t="s">
        <v>626</v>
      </c>
      <c r="L512" t="s">
        <v>627</v>
      </c>
      <c r="O512" s="1"/>
      <c r="AQ512" s="1"/>
      <c r="AR512" s="1"/>
      <c r="AS512" s="1"/>
      <c r="AT512" t="str">
        <f>TEXT(_xll.BDP($B512,"MATURITY"),"yyyy-mm-dd")</f>
        <v>2031-02-28</v>
      </c>
      <c r="AU512" t="str">
        <f>_xll.BDP($B512,"CPN_TYP")</f>
        <v>FIXED</v>
      </c>
      <c r="AV512">
        <f>_xll.BDP($B512,"CPN")</f>
        <v>4.25</v>
      </c>
    </row>
    <row r="513" spans="1:48" x14ac:dyDescent="0.25">
      <c r="A513" t="s">
        <v>1571</v>
      </c>
      <c r="B513" t="s">
        <v>1693</v>
      </c>
      <c r="C513" s="1" t="s">
        <v>1694</v>
      </c>
      <c r="D513" t="s">
        <v>1574</v>
      </c>
      <c r="E513" t="str">
        <f>_xll.BDP($B513,"LEGAL_ENTITY_IDENTIFIER")</f>
        <v>254900HROIFWPRGM1V77</v>
      </c>
      <c r="F513" t="s">
        <v>1695</v>
      </c>
      <c r="G513" t="str">
        <f>custodian!D513</f>
        <v>91282CKF7</v>
      </c>
      <c r="H513" t="str">
        <f>_xll.BDP($B513,"ID_ISIN")</f>
        <v>US91282CKF76</v>
      </c>
      <c r="I513" s="1"/>
      <c r="J513" t="str">
        <f>_xll.BDP($B513,"CNTRY_OF_DOMICILE")</f>
        <v>US</v>
      </c>
      <c r="K513" t="s">
        <v>626</v>
      </c>
      <c r="L513" t="s">
        <v>627</v>
      </c>
      <c r="O513" s="1"/>
      <c r="AQ513" s="1"/>
      <c r="AR513" s="1"/>
      <c r="AS513" s="1"/>
      <c r="AT513" t="str">
        <f>TEXT(_xll.BDP($B513,"MATURITY"),"yyyy-mm-dd")</f>
        <v>2031-03-31</v>
      </c>
      <c r="AU513" t="str">
        <f>_xll.BDP($B513,"CPN_TYP")</f>
        <v>FIXED</v>
      </c>
      <c r="AV513">
        <f>_xll.BDP($B513,"CPN")</f>
        <v>4.125</v>
      </c>
    </row>
    <row r="514" spans="1:48" x14ac:dyDescent="0.25">
      <c r="A514" t="s">
        <v>1571</v>
      </c>
      <c r="B514" t="s">
        <v>1696</v>
      </c>
      <c r="C514" s="1" t="s">
        <v>1697</v>
      </c>
      <c r="D514" t="s">
        <v>1574</v>
      </c>
      <c r="E514" t="str">
        <f>_xll.BDP($B514,"LEGAL_ENTITY_IDENTIFIER")</f>
        <v>254900HROIFWPRGM1V77</v>
      </c>
      <c r="F514" t="s">
        <v>1698</v>
      </c>
      <c r="G514" t="str">
        <f>custodian!D514</f>
        <v>91282CKN0</v>
      </c>
      <c r="H514" t="str">
        <f>_xll.BDP($B514,"ID_ISIN")</f>
        <v>US91282CKN01</v>
      </c>
      <c r="I514" s="1"/>
      <c r="J514" t="str">
        <f>_xll.BDP($B514,"CNTRY_OF_DOMICILE")</f>
        <v>US</v>
      </c>
      <c r="K514" t="s">
        <v>626</v>
      </c>
      <c r="L514" t="s">
        <v>627</v>
      </c>
      <c r="O514" s="1"/>
      <c r="AQ514" s="1"/>
      <c r="AR514" s="1"/>
      <c r="AS514" s="1"/>
      <c r="AT514" t="str">
        <f>TEXT(_xll.BDP($B514,"MATURITY"),"yyyy-mm-dd")</f>
        <v>2031-04-30</v>
      </c>
      <c r="AU514" t="str">
        <f>_xll.BDP($B514,"CPN_TYP")</f>
        <v>FIXED</v>
      </c>
      <c r="AV514">
        <f>_xll.BDP($B514,"CPN")</f>
        <v>4.625</v>
      </c>
    </row>
    <row r="515" spans="1:48" x14ac:dyDescent="0.25">
      <c r="A515" t="s">
        <v>1571</v>
      </c>
      <c r="B515" t="s">
        <v>1699</v>
      </c>
      <c r="C515" s="1" t="s">
        <v>1700</v>
      </c>
      <c r="D515" t="s">
        <v>1574</v>
      </c>
      <c r="E515" t="str">
        <f>_xll.BDP($B515,"LEGAL_ENTITY_IDENTIFIER")</f>
        <v>254900HROIFWPRGM1V77</v>
      </c>
      <c r="F515" t="s">
        <v>1701</v>
      </c>
      <c r="G515" t="str">
        <f>custodian!D515</f>
        <v>91282CKT7</v>
      </c>
      <c r="H515" t="str">
        <f>_xll.BDP($B515,"ID_ISIN")</f>
        <v>US91282CKT70</v>
      </c>
      <c r="I515" s="1"/>
      <c r="J515" t="str">
        <f>_xll.BDP($B515,"CNTRY_OF_DOMICILE")</f>
        <v>US</v>
      </c>
      <c r="K515" t="s">
        <v>626</v>
      </c>
      <c r="L515" t="s">
        <v>627</v>
      </c>
      <c r="O515" s="1"/>
      <c r="AQ515" s="1"/>
      <c r="AR515" s="1"/>
      <c r="AS515" s="1"/>
      <c r="AT515" t="str">
        <f>TEXT(_xll.BDP($B515,"MATURITY"),"yyyy-mm-dd")</f>
        <v>2029-05-31</v>
      </c>
      <c r="AU515" t="str">
        <f>_xll.BDP($B515,"CPN_TYP")</f>
        <v>FIXED</v>
      </c>
      <c r="AV515">
        <f>_xll.BDP($B515,"CPN")</f>
        <v>4.5</v>
      </c>
    </row>
    <row r="516" spans="1:48" x14ac:dyDescent="0.25">
      <c r="A516" t="s">
        <v>1571</v>
      </c>
      <c r="B516" t="s">
        <v>1702</v>
      </c>
      <c r="C516" s="1" t="s">
        <v>1703</v>
      </c>
      <c r="D516" t="s">
        <v>1574</v>
      </c>
      <c r="E516" t="str">
        <f>_xll.BDP($B516,"LEGAL_ENTITY_IDENTIFIER")</f>
        <v>254900HROIFWPRGM1V77</v>
      </c>
      <c r="F516" t="s">
        <v>1704</v>
      </c>
      <c r="G516" t="str">
        <f>custodian!D516</f>
        <v>91282CKU4</v>
      </c>
      <c r="H516" t="str">
        <f>_xll.BDP($B516,"ID_ISIN")</f>
        <v>US91282CKU44</v>
      </c>
      <c r="I516" s="1"/>
      <c r="J516" t="str">
        <f>_xll.BDP($B516,"CNTRY_OF_DOMICILE")</f>
        <v>US</v>
      </c>
      <c r="K516" t="s">
        <v>626</v>
      </c>
      <c r="L516" t="s">
        <v>627</v>
      </c>
      <c r="O516" s="1"/>
      <c r="AQ516" s="1"/>
      <c r="AR516" s="1"/>
      <c r="AS516" s="1"/>
      <c r="AT516" t="str">
        <f>TEXT(_xll.BDP($B516,"MATURITY"),"yyyy-mm-dd")</f>
        <v>2031-05-31</v>
      </c>
      <c r="AU516" t="str">
        <f>_xll.BDP($B516,"CPN_TYP")</f>
        <v>FIXED</v>
      </c>
      <c r="AV516">
        <f>_xll.BDP($B516,"CPN")</f>
        <v>4.625</v>
      </c>
    </row>
    <row r="517" spans="1:48" x14ac:dyDescent="0.25">
      <c r="A517" t="s">
        <v>1571</v>
      </c>
      <c r="B517" t="s">
        <v>1705</v>
      </c>
      <c r="C517" s="1" t="s">
        <v>1706</v>
      </c>
      <c r="D517" t="s">
        <v>1574</v>
      </c>
      <c r="E517" t="str">
        <f>_xll.BDP($B517,"LEGAL_ENTITY_IDENTIFIER")</f>
        <v>254900HROIFWPRGM1V77</v>
      </c>
      <c r="F517" t="s">
        <v>1707</v>
      </c>
      <c r="G517" t="str">
        <f>custodian!D517</f>
        <v>91282CKW0</v>
      </c>
      <c r="H517" t="str">
        <f>_xll.BDP($B517,"ID_ISIN")</f>
        <v>US91282CKW00</v>
      </c>
      <c r="I517" s="1"/>
      <c r="J517" t="str">
        <f>_xll.BDP($B517,"CNTRY_OF_DOMICILE")</f>
        <v>US</v>
      </c>
      <c r="K517" t="s">
        <v>626</v>
      </c>
      <c r="L517" t="s">
        <v>627</v>
      </c>
      <c r="O517" s="1"/>
      <c r="AQ517" s="1"/>
      <c r="AR517" s="1"/>
      <c r="AS517" s="1"/>
      <c r="AT517" t="str">
        <f>TEXT(_xll.BDP($B517,"MATURITY"),"yyyy-mm-dd")</f>
        <v>2031-06-30</v>
      </c>
      <c r="AU517" t="str">
        <f>_xll.BDP($B517,"CPN_TYP")</f>
        <v>FIXED</v>
      </c>
      <c r="AV517">
        <f>_xll.BDP($B517,"CPN")</f>
        <v>4.25</v>
      </c>
    </row>
    <row r="518" spans="1:48" x14ac:dyDescent="0.25">
      <c r="A518" t="s">
        <v>1571</v>
      </c>
      <c r="B518" t="s">
        <v>1708</v>
      </c>
      <c r="C518" s="1" t="s">
        <v>1709</v>
      </c>
      <c r="D518" t="s">
        <v>1574</v>
      </c>
      <c r="E518" t="str">
        <f>_xll.BDP($B518,"LEGAL_ENTITY_IDENTIFIER")</f>
        <v>254900HROIFWPRGM1V77</v>
      </c>
      <c r="F518" t="s">
        <v>1710</v>
      </c>
      <c r="G518" t="str">
        <f>custodian!D518</f>
        <v>91282CKX8</v>
      </c>
      <c r="H518" t="str">
        <f>_xll.BDP($B518,"ID_ISIN")</f>
        <v>US91282CKX82</v>
      </c>
      <c r="I518" s="1"/>
      <c r="J518" t="str">
        <f>_xll.BDP($B518,"CNTRY_OF_DOMICILE")</f>
        <v>US</v>
      </c>
      <c r="K518" t="s">
        <v>626</v>
      </c>
      <c r="L518" t="s">
        <v>627</v>
      </c>
      <c r="O518" s="1"/>
      <c r="AQ518" s="1"/>
      <c r="AR518" s="1"/>
      <c r="AS518" s="1"/>
      <c r="AT518" t="str">
        <f>TEXT(_xll.BDP($B518,"MATURITY"),"yyyy-mm-dd")</f>
        <v>2029-06-30</v>
      </c>
      <c r="AU518" t="str">
        <f>_xll.BDP($B518,"CPN_TYP")</f>
        <v>FIXED</v>
      </c>
      <c r="AV518">
        <f>_xll.BDP($B518,"CPN")</f>
        <v>4.25</v>
      </c>
    </row>
    <row r="519" spans="1:48" x14ac:dyDescent="0.25">
      <c r="A519" t="s">
        <v>1571</v>
      </c>
      <c r="B519" t="s">
        <v>1711</v>
      </c>
      <c r="C519" s="1" t="s">
        <v>1712</v>
      </c>
      <c r="D519" t="s">
        <v>1574</v>
      </c>
      <c r="E519" t="str">
        <f>_xll.BDP($B519,"LEGAL_ENTITY_IDENTIFIER")</f>
        <v>254900HROIFWPRGM1V77</v>
      </c>
      <c r="F519" t="s">
        <v>1713</v>
      </c>
      <c r="G519" t="str">
        <f>custodian!D519</f>
        <v>91282CLC3</v>
      </c>
      <c r="H519" t="str">
        <f>_xll.BDP($B519,"ID_ISIN")</f>
        <v>US91282CLC37</v>
      </c>
      <c r="I519" s="1"/>
      <c r="J519" t="str">
        <f>_xll.BDP($B519,"CNTRY_OF_DOMICILE")</f>
        <v>US</v>
      </c>
      <c r="K519" t="s">
        <v>626</v>
      </c>
      <c r="L519" t="s">
        <v>627</v>
      </c>
      <c r="O519" s="1"/>
      <c r="AQ519" s="1"/>
      <c r="AR519" s="1"/>
      <c r="AS519" s="1"/>
      <c r="AT519" t="str">
        <f>TEXT(_xll.BDP($B519,"MATURITY"),"yyyy-mm-dd")</f>
        <v>2029-07-31</v>
      </c>
      <c r="AU519" t="str">
        <f>_xll.BDP($B519,"CPN_TYP")</f>
        <v>FIXED</v>
      </c>
      <c r="AV519">
        <f>_xll.BDP($B519,"CPN")</f>
        <v>4</v>
      </c>
    </row>
    <row r="520" spans="1:48" x14ac:dyDescent="0.25">
      <c r="A520" t="s">
        <v>1571</v>
      </c>
      <c r="B520" t="s">
        <v>1714</v>
      </c>
      <c r="C520" s="1" t="s">
        <v>1715</v>
      </c>
      <c r="D520" t="s">
        <v>1574</v>
      </c>
      <c r="E520" t="str">
        <f>_xll.BDP($B520,"LEGAL_ENTITY_IDENTIFIER")</f>
        <v>254900HROIFWPRGM1V77</v>
      </c>
      <c r="F520" t="s">
        <v>1716</v>
      </c>
      <c r="G520" t="str">
        <f>custodian!D520</f>
        <v>91282CLD1</v>
      </c>
      <c r="H520" t="str">
        <f>_xll.BDP($B520,"ID_ISIN")</f>
        <v>US91282CLD10</v>
      </c>
      <c r="I520" s="1"/>
      <c r="J520" t="str">
        <f>_xll.BDP($B520,"CNTRY_OF_DOMICILE")</f>
        <v>US</v>
      </c>
      <c r="K520" t="s">
        <v>626</v>
      </c>
      <c r="L520" t="s">
        <v>627</v>
      </c>
      <c r="O520" s="1"/>
      <c r="AQ520" s="1"/>
      <c r="AR520" s="1"/>
      <c r="AS520" s="1"/>
      <c r="AT520" t="str">
        <f>TEXT(_xll.BDP($B520,"MATURITY"),"yyyy-mm-dd")</f>
        <v>2031-07-31</v>
      </c>
      <c r="AU520" t="str">
        <f>_xll.BDP($B520,"CPN_TYP")</f>
        <v>FIXED</v>
      </c>
      <c r="AV520">
        <f>_xll.BDP($B520,"CPN")</f>
        <v>4.125</v>
      </c>
    </row>
    <row r="521" spans="1:48" x14ac:dyDescent="0.25">
      <c r="A521" t="s">
        <v>1571</v>
      </c>
      <c r="B521" t="s">
        <v>1717</v>
      </c>
      <c r="C521" s="1" t="s">
        <v>1718</v>
      </c>
      <c r="D521" t="s">
        <v>1574</v>
      </c>
      <c r="E521" t="str">
        <f>_xll.BDP($B521,"LEGAL_ENTITY_IDENTIFIER")</f>
        <v>254900HROIFWPRGM1V77</v>
      </c>
      <c r="F521" t="s">
        <v>1719</v>
      </c>
      <c r="G521" t="str">
        <f>custodian!D521</f>
        <v>91282CLJ8</v>
      </c>
      <c r="H521" t="str">
        <f>_xll.BDP($B521,"ID_ISIN")</f>
        <v>US91282CLJ89</v>
      </c>
      <c r="I521" s="1"/>
      <c r="J521" t="str">
        <f>_xll.BDP($B521,"CNTRY_OF_DOMICILE")</f>
        <v>US</v>
      </c>
      <c r="K521" t="s">
        <v>626</v>
      </c>
      <c r="L521" t="s">
        <v>627</v>
      </c>
      <c r="O521" s="1"/>
      <c r="AQ521" s="1"/>
      <c r="AR521" s="1"/>
      <c r="AS521" s="1"/>
      <c r="AT521" t="str">
        <f>TEXT(_xll.BDP($B521,"MATURITY"),"yyyy-mm-dd")</f>
        <v>2031-08-31</v>
      </c>
      <c r="AU521" t="str">
        <f>_xll.BDP($B521,"CPN_TYP")</f>
        <v>FIXED</v>
      </c>
      <c r="AV521">
        <f>_xll.BDP($B521,"CPN")</f>
        <v>3.75</v>
      </c>
    </row>
    <row r="522" spans="1:48" x14ac:dyDescent="0.25">
      <c r="A522" t="s">
        <v>1571</v>
      </c>
      <c r="B522" t="s">
        <v>1720</v>
      </c>
      <c r="C522" s="1" t="s">
        <v>1721</v>
      </c>
      <c r="D522" t="s">
        <v>1574</v>
      </c>
      <c r="E522" t="str">
        <f>_xll.BDP($B522,"LEGAL_ENTITY_IDENTIFIER")</f>
        <v>254900HROIFWPRGM1V77</v>
      </c>
      <c r="F522" t="s">
        <v>1722</v>
      </c>
      <c r="G522" t="str">
        <f>custodian!D522</f>
        <v>91282CLK5</v>
      </c>
      <c r="H522" t="str">
        <f>_xll.BDP($B522,"ID_ISIN")</f>
        <v>US91282CLK52</v>
      </c>
      <c r="I522" s="1"/>
      <c r="J522" t="str">
        <f>_xll.BDP($B522,"CNTRY_OF_DOMICILE")</f>
        <v>US</v>
      </c>
      <c r="K522" t="s">
        <v>626</v>
      </c>
      <c r="L522" t="s">
        <v>627</v>
      </c>
      <c r="O522" s="1"/>
      <c r="AQ522" s="1"/>
      <c r="AR522" s="1"/>
      <c r="AS522" s="1"/>
      <c r="AT522" t="str">
        <f>TEXT(_xll.BDP($B522,"MATURITY"),"yyyy-mm-dd")</f>
        <v>2029-08-31</v>
      </c>
      <c r="AU522" t="str">
        <f>_xll.BDP($B522,"CPN_TYP")</f>
        <v>FIXED</v>
      </c>
      <c r="AV522">
        <f>_xll.BDP($B522,"CPN")</f>
        <v>3.625</v>
      </c>
    </row>
    <row r="523" spans="1:48" x14ac:dyDescent="0.25">
      <c r="A523" t="s">
        <v>1571</v>
      </c>
      <c r="B523" t="s">
        <v>1723</v>
      </c>
      <c r="C523" s="1" t="s">
        <v>1724</v>
      </c>
      <c r="D523" t="s">
        <v>1574</v>
      </c>
      <c r="E523" t="str">
        <f>_xll.BDP($B523,"LEGAL_ENTITY_IDENTIFIER")</f>
        <v>254900HROIFWPRGM1V77</v>
      </c>
      <c r="F523" t="s">
        <v>1725</v>
      </c>
      <c r="G523" t="str">
        <f>custodian!D523</f>
        <v>91282CLM1</v>
      </c>
      <c r="H523" t="str">
        <f>_xll.BDP($B523,"ID_ISIN")</f>
        <v>US91282CLM19</v>
      </c>
      <c r="I523" s="1"/>
      <c r="J523" t="str">
        <f>_xll.BDP($B523,"CNTRY_OF_DOMICILE")</f>
        <v>US</v>
      </c>
      <c r="K523" t="s">
        <v>626</v>
      </c>
      <c r="L523" t="s">
        <v>627</v>
      </c>
      <c r="O523" s="1"/>
      <c r="AQ523" s="1"/>
      <c r="AR523" s="1"/>
      <c r="AS523" s="1"/>
      <c r="AT523" t="str">
        <f>TEXT(_xll.BDP($B523,"MATURITY"),"yyyy-mm-dd")</f>
        <v>2031-09-30</v>
      </c>
      <c r="AU523" t="str">
        <f>_xll.BDP($B523,"CPN_TYP")</f>
        <v>FIXED</v>
      </c>
      <c r="AV523">
        <f>_xll.BDP($B523,"CPN")</f>
        <v>3.625</v>
      </c>
    </row>
    <row r="524" spans="1:48" x14ac:dyDescent="0.25">
      <c r="A524" t="s">
        <v>1571</v>
      </c>
      <c r="B524" t="s">
        <v>1726</v>
      </c>
      <c r="C524" s="1" t="s">
        <v>1727</v>
      </c>
      <c r="D524" t="s">
        <v>1574</v>
      </c>
      <c r="E524" t="str">
        <f>_xll.BDP($B524,"LEGAL_ENTITY_IDENTIFIER")</f>
        <v>254900HROIFWPRGM1V77</v>
      </c>
      <c r="F524" t="s">
        <v>1728</v>
      </c>
      <c r="G524" t="str">
        <f>custodian!D524</f>
        <v>91282CLN9</v>
      </c>
      <c r="H524" t="str">
        <f>_xll.BDP($B524,"ID_ISIN")</f>
        <v>US91282CLN91</v>
      </c>
      <c r="I524" s="1"/>
      <c r="J524" t="str">
        <f>_xll.BDP($B524,"CNTRY_OF_DOMICILE")</f>
        <v>US</v>
      </c>
      <c r="K524" t="s">
        <v>626</v>
      </c>
      <c r="L524" t="s">
        <v>627</v>
      </c>
      <c r="O524" s="1"/>
      <c r="AQ524" s="1"/>
      <c r="AR524" s="1"/>
      <c r="AS524" s="1"/>
      <c r="AT524" t="str">
        <f>TEXT(_xll.BDP($B524,"MATURITY"),"yyyy-mm-dd")</f>
        <v>2029-09-30</v>
      </c>
      <c r="AU524" t="str">
        <f>_xll.BDP($B524,"CPN_TYP")</f>
        <v>FIXED</v>
      </c>
      <c r="AV524">
        <f>_xll.BDP($B524,"CPN")</f>
        <v>3.5</v>
      </c>
    </row>
    <row r="525" spans="1:48" x14ac:dyDescent="0.25">
      <c r="A525" t="s">
        <v>1571</v>
      </c>
      <c r="B525" t="s">
        <v>1729</v>
      </c>
      <c r="C525" s="1" t="s">
        <v>1730</v>
      </c>
      <c r="D525" t="s">
        <v>1574</v>
      </c>
      <c r="E525" t="str">
        <f>_xll.BDP($B525,"LEGAL_ENTITY_IDENTIFIER")</f>
        <v>254900HROIFWPRGM1V77</v>
      </c>
      <c r="F525" t="s">
        <v>1731</v>
      </c>
      <c r="G525" t="str">
        <f>custodian!D525</f>
        <v>91282CLR0</v>
      </c>
      <c r="H525" t="str">
        <f>_xll.BDP($B525,"ID_ISIN")</f>
        <v>US91282CLR06</v>
      </c>
      <c r="I525" s="1"/>
      <c r="J525" t="str">
        <f>_xll.BDP($B525,"CNTRY_OF_DOMICILE")</f>
        <v>US</v>
      </c>
      <c r="K525" t="s">
        <v>626</v>
      </c>
      <c r="L525" t="s">
        <v>627</v>
      </c>
      <c r="O525" s="1"/>
      <c r="AQ525" s="1"/>
      <c r="AR525" s="1"/>
      <c r="AS525" s="1"/>
      <c r="AT525" t="str">
        <f>TEXT(_xll.BDP($B525,"MATURITY"),"yyyy-mm-dd")</f>
        <v>2029-10-31</v>
      </c>
      <c r="AU525" t="str">
        <f>_xll.BDP($B525,"CPN_TYP")</f>
        <v>FIXED</v>
      </c>
      <c r="AV525">
        <f>_xll.BDP($B525,"CPN")</f>
        <v>4.125</v>
      </c>
    </row>
    <row r="526" spans="1:48" x14ac:dyDescent="0.25">
      <c r="A526" t="s">
        <v>1571</v>
      </c>
      <c r="B526" t="s">
        <v>1732</v>
      </c>
      <c r="C526" s="1" t="s">
        <v>1733</v>
      </c>
      <c r="D526" t="s">
        <v>1574</v>
      </c>
      <c r="E526" t="str">
        <f>_xll.BDP($B526,"LEGAL_ENTITY_IDENTIFIER")</f>
        <v>254900HROIFWPRGM1V77</v>
      </c>
      <c r="F526" t="s">
        <v>1734</v>
      </c>
      <c r="G526" t="str">
        <f>custodian!D526</f>
        <v>91282CLU3</v>
      </c>
      <c r="H526" t="str">
        <f>_xll.BDP($B526,"ID_ISIN")</f>
        <v>US91282CLU35</v>
      </c>
      <c r="I526" s="1"/>
      <c r="J526" t="str">
        <f>_xll.BDP($B526,"CNTRY_OF_DOMICILE")</f>
        <v>US</v>
      </c>
      <c r="K526" t="s">
        <v>626</v>
      </c>
      <c r="L526" t="s">
        <v>627</v>
      </c>
      <c r="O526" s="1"/>
      <c r="AQ526" s="1"/>
      <c r="AR526" s="1"/>
      <c r="AS526" s="1"/>
      <c r="AT526" t="str">
        <f>TEXT(_xll.BDP($B526,"MATURITY"),"yyyy-mm-dd")</f>
        <v>2031-10-31</v>
      </c>
      <c r="AU526" t="str">
        <f>_xll.BDP($B526,"CPN_TYP")</f>
        <v>FIXED</v>
      </c>
      <c r="AV526">
        <f>_xll.BDP($B526,"CPN")</f>
        <v>4.125</v>
      </c>
    </row>
    <row r="527" spans="1:48" x14ac:dyDescent="0.25">
      <c r="A527" t="s">
        <v>1571</v>
      </c>
      <c r="B527" t="s">
        <v>1735</v>
      </c>
      <c r="C527" s="1" t="s">
        <v>1736</v>
      </c>
      <c r="D527" t="s">
        <v>1574</v>
      </c>
      <c r="E527" t="str">
        <f>_xll.BDP($B527,"LEGAL_ENTITY_IDENTIFIER")</f>
        <v>254900HROIFWPRGM1V77</v>
      </c>
      <c r="F527" t="s">
        <v>1737</v>
      </c>
      <c r="G527" t="str">
        <f>custodian!D527</f>
        <v>91282CLZ2</v>
      </c>
      <c r="H527" t="str">
        <f>_xll.BDP($B527,"ID_ISIN")</f>
        <v>US91282CLZ22</v>
      </c>
      <c r="I527" s="1"/>
      <c r="J527" t="str">
        <f>_xll.BDP($B527,"CNTRY_OF_DOMICILE")</f>
        <v>US</v>
      </c>
      <c r="K527" t="s">
        <v>626</v>
      </c>
      <c r="L527" t="s">
        <v>627</v>
      </c>
      <c r="O527" s="1"/>
      <c r="AQ527" s="1"/>
      <c r="AR527" s="1"/>
      <c r="AS527" s="1"/>
      <c r="AT527" t="str">
        <f>TEXT(_xll.BDP($B527,"MATURITY"),"yyyy-mm-dd")</f>
        <v>2031-11-30</v>
      </c>
      <c r="AU527" t="str">
        <f>_xll.BDP($B527,"CPN_TYP")</f>
        <v>FIXED</v>
      </c>
      <c r="AV527">
        <f>_xll.BDP($B527,"CPN")</f>
        <v>4.125</v>
      </c>
    </row>
    <row r="528" spans="1:48" x14ac:dyDescent="0.25">
      <c r="A528" t="s">
        <v>1571</v>
      </c>
      <c r="B528" t="s">
        <v>1738</v>
      </c>
      <c r="C528" s="1" t="s">
        <v>1739</v>
      </c>
      <c r="D528" t="s">
        <v>1574</v>
      </c>
      <c r="E528" t="str">
        <f>_xll.BDP($B528,"LEGAL_ENTITY_IDENTIFIER")</f>
        <v>254900HROIFWPRGM1V77</v>
      </c>
      <c r="F528" t="s">
        <v>1740</v>
      </c>
      <c r="G528" t="str">
        <f>custodian!D528</f>
        <v>91282CMA6</v>
      </c>
      <c r="H528" t="str">
        <f>_xll.BDP($B528,"ID_ISIN")</f>
        <v>US91282CMA61</v>
      </c>
      <c r="I528" s="1"/>
      <c r="J528" t="str">
        <f>_xll.BDP($B528,"CNTRY_OF_DOMICILE")</f>
        <v>US</v>
      </c>
      <c r="K528" t="s">
        <v>626</v>
      </c>
      <c r="L528" t="s">
        <v>627</v>
      </c>
      <c r="O528" s="1"/>
      <c r="AQ528" s="1"/>
      <c r="AR528" s="1"/>
      <c r="AS528" s="1"/>
      <c r="AT528" t="str">
        <f>TEXT(_xll.BDP($B528,"MATURITY"),"yyyy-mm-dd")</f>
        <v>2029-11-30</v>
      </c>
      <c r="AU528" t="str">
        <f>_xll.BDP($B528,"CPN_TYP")</f>
        <v>FIXED</v>
      </c>
      <c r="AV528">
        <f>_xll.BDP($B528,"CPN")</f>
        <v>4.125</v>
      </c>
    </row>
    <row r="529" spans="1:48" x14ac:dyDescent="0.25">
      <c r="A529" t="s">
        <v>1571</v>
      </c>
      <c r="B529" t="s">
        <v>1741</v>
      </c>
      <c r="C529" s="1" t="s">
        <v>1742</v>
      </c>
      <c r="D529" t="s">
        <v>1574</v>
      </c>
      <c r="E529" t="str">
        <f>_xll.BDP($B529,"LEGAL_ENTITY_IDENTIFIER")</f>
        <v>254900HROIFWPRGM1V77</v>
      </c>
      <c r="F529" t="s">
        <v>1743</v>
      </c>
      <c r="G529" t="str">
        <f>custodian!D529</f>
        <v>91282CMC2</v>
      </c>
      <c r="H529" t="str">
        <f>_xll.BDP($B529,"ID_ISIN")</f>
        <v>US91282CMC28</v>
      </c>
      <c r="I529" s="1"/>
      <c r="J529" t="str">
        <f>_xll.BDP($B529,"CNTRY_OF_DOMICILE")</f>
        <v>US</v>
      </c>
      <c r="K529" t="s">
        <v>626</v>
      </c>
      <c r="L529" t="s">
        <v>627</v>
      </c>
      <c r="O529" s="1"/>
      <c r="AQ529" s="1"/>
      <c r="AR529" s="1"/>
      <c r="AS529" s="1"/>
      <c r="AT529" t="str">
        <f>TEXT(_xll.BDP($B529,"MATURITY"),"yyyy-mm-dd")</f>
        <v>2031-12-31</v>
      </c>
      <c r="AU529" t="str">
        <f>_xll.BDP($B529,"CPN_TYP")</f>
        <v>FIXED</v>
      </c>
      <c r="AV529">
        <f>_xll.BDP($B529,"CPN")</f>
        <v>4.5</v>
      </c>
    </row>
    <row r="530" spans="1:48" x14ac:dyDescent="0.25">
      <c r="A530" t="s">
        <v>1571</v>
      </c>
      <c r="B530" t="s">
        <v>1744</v>
      </c>
      <c r="C530" s="1" t="s">
        <v>1745</v>
      </c>
      <c r="D530" t="s">
        <v>1574</v>
      </c>
      <c r="E530" t="str">
        <f>_xll.BDP($B530,"LEGAL_ENTITY_IDENTIFIER")</f>
        <v>254900HROIFWPRGM1V77</v>
      </c>
      <c r="F530" t="s">
        <v>1746</v>
      </c>
      <c r="G530" t="str">
        <f>custodian!D530</f>
        <v>91282CMD0</v>
      </c>
      <c r="H530" t="str">
        <f>_xll.BDP($B530,"ID_ISIN")</f>
        <v>US91282CMD01</v>
      </c>
      <c r="I530" s="1"/>
      <c r="J530" t="str">
        <f>_xll.BDP($B530,"CNTRY_OF_DOMICILE")</f>
        <v>US</v>
      </c>
      <c r="K530" t="s">
        <v>626</v>
      </c>
      <c r="L530" t="s">
        <v>627</v>
      </c>
      <c r="O530" s="1"/>
      <c r="AQ530" s="1"/>
      <c r="AR530" s="1"/>
      <c r="AS530" s="1"/>
      <c r="AT530" t="str">
        <f>TEXT(_xll.BDP($B530,"MATURITY"),"yyyy-mm-dd")</f>
        <v>2029-12-31</v>
      </c>
      <c r="AU530" t="str">
        <f>_xll.BDP($B530,"CPN_TYP")</f>
        <v>FIXED</v>
      </c>
      <c r="AV530">
        <f>_xll.BDP($B530,"CPN")</f>
        <v>4.375</v>
      </c>
    </row>
    <row r="531" spans="1:48" x14ac:dyDescent="0.25">
      <c r="A531" t="s">
        <v>1571</v>
      </c>
      <c r="B531" t="s">
        <v>1747</v>
      </c>
      <c r="C531" s="1" t="s">
        <v>1748</v>
      </c>
      <c r="D531" t="s">
        <v>1574</v>
      </c>
      <c r="E531" t="str">
        <f>_xll.BDP($B531,"LEGAL_ENTITY_IDENTIFIER")</f>
        <v>254900HROIFWPRGM1V77</v>
      </c>
      <c r="F531" t="s">
        <v>1749</v>
      </c>
      <c r="G531" t="str">
        <f>custodian!D531</f>
        <v>91282CMG3</v>
      </c>
      <c r="H531" t="str">
        <f>_xll.BDP($B531,"ID_ISIN")</f>
        <v>US91282CMG32</v>
      </c>
      <c r="I531" s="1"/>
      <c r="J531" t="str">
        <f>_xll.BDP($B531,"CNTRY_OF_DOMICILE")</f>
        <v>US</v>
      </c>
      <c r="K531" t="s">
        <v>626</v>
      </c>
      <c r="L531" t="s">
        <v>627</v>
      </c>
      <c r="O531" s="1"/>
      <c r="AQ531" s="1"/>
      <c r="AR531" s="1"/>
      <c r="AS531" s="1"/>
      <c r="AT531" t="str">
        <f>TEXT(_xll.BDP($B531,"MATURITY"),"yyyy-mm-dd")</f>
        <v>2030-01-31</v>
      </c>
      <c r="AU531" t="str">
        <f>_xll.BDP($B531,"CPN_TYP")</f>
        <v>FIXED</v>
      </c>
      <c r="AV531">
        <f>_xll.BDP($B531,"CPN")</f>
        <v>4.25</v>
      </c>
    </row>
    <row r="532" spans="1:48" x14ac:dyDescent="0.25">
      <c r="A532" t="s">
        <v>1571</v>
      </c>
      <c r="B532" t="s">
        <v>1750</v>
      </c>
      <c r="C532" s="1" t="s">
        <v>1751</v>
      </c>
      <c r="D532" t="s">
        <v>1574</v>
      </c>
      <c r="E532" t="str">
        <f>_xll.BDP($B532,"LEGAL_ENTITY_IDENTIFIER")</f>
        <v>254900HROIFWPRGM1V77</v>
      </c>
      <c r="F532" t="s">
        <v>1752</v>
      </c>
      <c r="G532" t="str">
        <f>custodian!D532</f>
        <v>91282CMK4</v>
      </c>
      <c r="H532" t="str">
        <f>_xll.BDP($B532,"ID_ISIN")</f>
        <v>US91282CMK44</v>
      </c>
      <c r="I532" s="1"/>
      <c r="J532" t="str">
        <f>_xll.BDP($B532,"CNTRY_OF_DOMICILE")</f>
        <v>US</v>
      </c>
      <c r="K532" t="s">
        <v>626</v>
      </c>
      <c r="L532" t="s">
        <v>627</v>
      </c>
      <c r="O532" s="1"/>
      <c r="AQ532" s="1"/>
      <c r="AR532" s="1"/>
      <c r="AS532" s="1"/>
      <c r="AT532" t="str">
        <f>TEXT(_xll.BDP($B532,"MATURITY"),"yyyy-mm-dd")</f>
        <v>2032-01-31</v>
      </c>
      <c r="AU532" t="str">
        <f>_xll.BDP($B532,"CPN_TYP")</f>
        <v>FIXED</v>
      </c>
      <c r="AV532">
        <f>_xll.BDP($B532,"CPN")</f>
        <v>4.375</v>
      </c>
    </row>
    <row r="533" spans="1:48" x14ac:dyDescent="0.25">
      <c r="A533" t="s">
        <v>1571</v>
      </c>
      <c r="B533" t="s">
        <v>1753</v>
      </c>
      <c r="C533" s="1" t="s">
        <v>1754</v>
      </c>
      <c r="D533" t="s">
        <v>1574</v>
      </c>
      <c r="E533" t="str">
        <f>_xll.BDP($B533,"LEGAL_ENTITY_IDENTIFIER")</f>
        <v>254900HROIFWPRGM1V77</v>
      </c>
      <c r="F533" t="s">
        <v>1755</v>
      </c>
      <c r="G533" t="str">
        <f>custodian!D533</f>
        <v>91282CMR9</v>
      </c>
      <c r="H533" t="str">
        <f>_xll.BDP($B533,"ID_ISIN")</f>
        <v>US91282CMR96</v>
      </c>
      <c r="I533" s="1"/>
      <c r="J533" t="str">
        <f>_xll.BDP($B533,"CNTRY_OF_DOMICILE")</f>
        <v>US</v>
      </c>
      <c r="K533" t="s">
        <v>626</v>
      </c>
      <c r="L533" t="s">
        <v>627</v>
      </c>
      <c r="O533" s="1"/>
      <c r="AQ533" s="1"/>
      <c r="AR533" s="1"/>
      <c r="AS533" s="1"/>
      <c r="AT533" t="str">
        <f>TEXT(_xll.BDP($B533,"MATURITY"),"yyyy-mm-dd")</f>
        <v>2032-02-29</v>
      </c>
      <c r="AU533" t="str">
        <f>_xll.BDP($B533,"CPN_TYP")</f>
        <v>FIXED</v>
      </c>
      <c r="AV533">
        <f>_xll.BDP($B533,"CPN")</f>
        <v>4.125</v>
      </c>
    </row>
    <row r="534" spans="1:48" x14ac:dyDescent="0.25">
      <c r="A534" t="s">
        <v>1571</v>
      </c>
      <c r="B534" t="s">
        <v>1756</v>
      </c>
      <c r="C534" s="1" t="s">
        <v>1757</v>
      </c>
      <c r="D534" t="s">
        <v>1574</v>
      </c>
      <c r="E534" t="str">
        <f>_xll.BDP($B534,"LEGAL_ENTITY_IDENTIFIER")</f>
        <v>254900HROIFWPRGM1V77</v>
      </c>
      <c r="F534" t="s">
        <v>1758</v>
      </c>
      <c r="G534" t="str">
        <f>custodian!D534</f>
        <v>91282CMT5</v>
      </c>
      <c r="H534" t="str">
        <f>_xll.BDP($B534,"ID_ISIN")</f>
        <v>US91282CMT52</v>
      </c>
      <c r="I534" s="1"/>
      <c r="J534" t="str">
        <f>_xll.BDP($B534,"CNTRY_OF_DOMICILE")</f>
        <v>US</v>
      </c>
      <c r="K534" t="s">
        <v>626</v>
      </c>
      <c r="L534" t="s">
        <v>627</v>
      </c>
      <c r="O534" s="1"/>
      <c r="AQ534" s="1"/>
      <c r="AR534" s="1"/>
      <c r="AS534" s="1"/>
      <c r="AT534" t="str">
        <f>TEXT(_xll.BDP($B534,"MATURITY"),"yyyy-mm-dd")</f>
        <v>2032-03-31</v>
      </c>
      <c r="AU534" t="str">
        <f>_xll.BDP($B534,"CPN_TYP")</f>
        <v>FIXED</v>
      </c>
      <c r="AV534">
        <f>_xll.BDP($B534,"CPN")</f>
        <v>4.125</v>
      </c>
    </row>
    <row r="535" spans="1:48" x14ac:dyDescent="0.25">
      <c r="A535" t="s">
        <v>1571</v>
      </c>
      <c r="B535" t="s">
        <v>1759</v>
      </c>
      <c r="C535" s="1" t="s">
        <v>1760</v>
      </c>
      <c r="D535" t="s">
        <v>1574</v>
      </c>
      <c r="E535" t="str">
        <f>_xll.BDP($B535,"LEGAL_ENTITY_IDENTIFIER")</f>
        <v>254900HROIFWPRGM1V77</v>
      </c>
      <c r="F535" t="s">
        <v>1761</v>
      </c>
      <c r="G535" t="str">
        <f>custodian!D535</f>
        <v>91282CMU2</v>
      </c>
      <c r="H535" t="str">
        <f>_xll.BDP($B535,"ID_ISIN")</f>
        <v>US91282CMU26</v>
      </c>
      <c r="I535" s="1"/>
      <c r="J535" t="str">
        <f>_xll.BDP($B535,"CNTRY_OF_DOMICILE")</f>
        <v>US</v>
      </c>
      <c r="K535" t="s">
        <v>626</v>
      </c>
      <c r="L535" t="s">
        <v>627</v>
      </c>
      <c r="O535" s="1"/>
      <c r="AQ535" s="1"/>
      <c r="AR535" s="1"/>
      <c r="AS535" s="1"/>
      <c r="AT535" t="str">
        <f>TEXT(_xll.BDP($B535,"MATURITY"),"yyyy-mm-dd")</f>
        <v>2030-03-31</v>
      </c>
      <c r="AU535" t="str">
        <f>_xll.BDP($B535,"CPN_TYP")</f>
        <v>FIXED</v>
      </c>
      <c r="AV535">
        <f>_xll.BDP($B535,"CPN")</f>
        <v>4</v>
      </c>
    </row>
    <row r="536" spans="1:48" x14ac:dyDescent="0.25">
      <c r="A536" t="s">
        <v>1571</v>
      </c>
      <c r="B536" t="s">
        <v>1762</v>
      </c>
      <c r="C536" s="1" t="s">
        <v>1763</v>
      </c>
      <c r="D536" t="s">
        <v>1574</v>
      </c>
      <c r="E536" t="str">
        <f>_xll.BDP($B536,"LEGAL_ENTITY_IDENTIFIER")</f>
        <v>254900HROIFWPRGM1V77</v>
      </c>
      <c r="F536" t="s">
        <v>1764</v>
      </c>
      <c r="G536" t="str">
        <f>custodian!D536</f>
        <v>91282CMZ1</v>
      </c>
      <c r="H536" t="str">
        <f>_xll.BDP($B536,"ID_ISIN")</f>
        <v>US91282CMZ13</v>
      </c>
      <c r="I536" s="1"/>
      <c r="J536" t="str">
        <f>_xll.BDP($B536,"CNTRY_OF_DOMICILE")</f>
        <v>US</v>
      </c>
      <c r="K536" t="s">
        <v>626</v>
      </c>
      <c r="L536" t="s">
        <v>627</v>
      </c>
      <c r="O536" s="1"/>
      <c r="AQ536" s="1"/>
      <c r="AR536" s="1"/>
      <c r="AS536" s="1"/>
      <c r="AT536" t="str">
        <f>TEXT(_xll.BDP($B536,"MATURITY"),"yyyy-mm-dd")</f>
        <v>2030-04-30</v>
      </c>
      <c r="AU536" t="str">
        <f>_xll.BDP($B536,"CPN_TYP")</f>
        <v>FIXED</v>
      </c>
      <c r="AV536">
        <f>_xll.BDP($B536,"CPN")</f>
        <v>3.875</v>
      </c>
    </row>
    <row r="537" spans="1:48" x14ac:dyDescent="0.25">
      <c r="A537" t="s">
        <v>1571</v>
      </c>
      <c r="B537" t="s">
        <v>1765</v>
      </c>
      <c r="C537" s="1" t="s">
        <v>1766</v>
      </c>
      <c r="D537" t="s">
        <v>1574</v>
      </c>
      <c r="E537" t="str">
        <f>_xll.BDP($B537,"LEGAL_ENTITY_IDENTIFIER")</f>
        <v>254900HROIFWPRGM1V77</v>
      </c>
      <c r="F537" t="s">
        <v>1767</v>
      </c>
      <c r="G537" t="str">
        <f>custodian!D537</f>
        <v>91282CNA5</v>
      </c>
      <c r="H537" t="str">
        <f>_xll.BDP($B537,"ID_ISIN")</f>
        <v>US91282CNA52</v>
      </c>
      <c r="I537" s="1"/>
      <c r="J537" t="str">
        <f>_xll.BDP($B537,"CNTRY_OF_DOMICILE")</f>
        <v>US</v>
      </c>
      <c r="K537" t="s">
        <v>626</v>
      </c>
      <c r="L537" t="s">
        <v>627</v>
      </c>
      <c r="O537" s="1"/>
      <c r="AQ537" s="1"/>
      <c r="AR537" s="1"/>
      <c r="AS537" s="1"/>
      <c r="AT537" t="str">
        <f>TEXT(_xll.BDP($B537,"MATURITY"),"yyyy-mm-dd")</f>
        <v>2032-04-30</v>
      </c>
      <c r="AU537" t="str">
        <f>_xll.BDP($B537,"CPN_TYP")</f>
        <v>FIXED</v>
      </c>
      <c r="AV537">
        <f>_xll.BDP($B537,"CPN")</f>
        <v>4</v>
      </c>
    </row>
    <row r="538" spans="1:48" x14ac:dyDescent="0.25">
      <c r="A538" t="s">
        <v>1571</v>
      </c>
      <c r="B538" t="s">
        <v>1768</v>
      </c>
      <c r="C538" s="1" t="s">
        <v>1769</v>
      </c>
      <c r="D538" t="s">
        <v>1574</v>
      </c>
      <c r="E538" t="str">
        <f>_xll.BDP($B538,"LEGAL_ENTITY_IDENTIFIER")</f>
        <v>254900HROIFWPRGM1V77</v>
      </c>
      <c r="F538" t="s">
        <v>1770</v>
      </c>
      <c r="G538" t="str">
        <f>custodian!D538</f>
        <v>91282CNF4</v>
      </c>
      <c r="H538" t="str">
        <f>_xll.BDP($B538,"ID_ISIN")</f>
        <v>US91282CNF40</v>
      </c>
      <c r="I538" s="1"/>
      <c r="J538" t="str">
        <f>_xll.BDP($B538,"CNTRY_OF_DOMICILE")</f>
        <v>US</v>
      </c>
      <c r="K538" t="s">
        <v>626</v>
      </c>
      <c r="L538" t="s">
        <v>627</v>
      </c>
      <c r="O538" s="1"/>
      <c r="AQ538" s="1"/>
      <c r="AR538" s="1"/>
      <c r="AS538" s="1"/>
      <c r="AT538" t="str">
        <f>TEXT(_xll.BDP($B538,"MATURITY"),"yyyy-mm-dd")</f>
        <v>2032-05-31</v>
      </c>
      <c r="AU538" t="str">
        <f>_xll.BDP($B538,"CPN_TYP")</f>
        <v>FIXED</v>
      </c>
      <c r="AV538">
        <f>_xll.BDP($B538,"CPN")</f>
        <v>4.125</v>
      </c>
    </row>
    <row r="539" spans="1:48" x14ac:dyDescent="0.25">
      <c r="A539" t="s">
        <v>1571</v>
      </c>
      <c r="B539" t="s">
        <v>1771</v>
      </c>
      <c r="C539" s="1" t="s">
        <v>1772</v>
      </c>
      <c r="D539" t="s">
        <v>1574</v>
      </c>
      <c r="E539" t="str">
        <f>_xll.BDP($B539,"LEGAL_ENTITY_IDENTIFIER")</f>
        <v>254900HROIFWPRGM1V77</v>
      </c>
      <c r="F539" t="s">
        <v>1773</v>
      </c>
      <c r="G539" t="str">
        <f>custodian!D539</f>
        <v>91282CNG2</v>
      </c>
      <c r="H539" t="str">
        <f>_xll.BDP($B539,"ID_ISIN")</f>
        <v>US91282CNG23</v>
      </c>
      <c r="I539" s="1"/>
      <c r="J539" t="str">
        <f>_xll.BDP($B539,"CNTRY_OF_DOMICILE")</f>
        <v>US</v>
      </c>
      <c r="K539" t="s">
        <v>626</v>
      </c>
      <c r="L539" t="s">
        <v>627</v>
      </c>
      <c r="O539" s="1"/>
      <c r="AQ539" s="1"/>
      <c r="AR539" s="1"/>
      <c r="AS539" s="1"/>
      <c r="AT539" t="str">
        <f>TEXT(_xll.BDP($B539,"MATURITY"),"yyyy-mm-dd")</f>
        <v>2030-05-31</v>
      </c>
      <c r="AU539" t="str">
        <f>_xll.BDP($B539,"CPN_TYP")</f>
        <v>FIXED</v>
      </c>
      <c r="AV539">
        <f>_xll.BDP($B539,"CPN")</f>
        <v>4</v>
      </c>
    </row>
    <row r="540" spans="1:48" x14ac:dyDescent="0.25">
      <c r="A540" t="s">
        <v>1571</v>
      </c>
      <c r="B540" t="s">
        <v>1774</v>
      </c>
      <c r="C540" s="1" t="s">
        <v>1775</v>
      </c>
      <c r="D540" t="s">
        <v>1574</v>
      </c>
      <c r="E540" t="str">
        <f>_xll.BDP($B540,"LEGAL_ENTITY_IDENTIFIER")</f>
        <v>254900HROIFWPRGM1V77</v>
      </c>
      <c r="F540" t="s">
        <v>1776</v>
      </c>
      <c r="G540" t="str">
        <f>custodian!D540</f>
        <v>91282CNJ6</v>
      </c>
      <c r="H540" t="str">
        <f>_xll.BDP($B540,"ID_ISIN")</f>
        <v>US91282CNJ61</v>
      </c>
      <c r="I540" s="1"/>
      <c r="J540" t="str">
        <f>_xll.BDP($B540,"CNTRY_OF_DOMICILE")</f>
        <v>US</v>
      </c>
      <c r="K540" t="s">
        <v>626</v>
      </c>
      <c r="L540" t="s">
        <v>627</v>
      </c>
      <c r="O540" s="1"/>
      <c r="AQ540" s="1"/>
      <c r="AR540" s="1"/>
      <c r="AS540" s="1"/>
      <c r="AT540" t="str">
        <f>TEXT(_xll.BDP($B540,"MATURITY"),"yyyy-mm-dd")</f>
        <v>2032-06-30</v>
      </c>
      <c r="AU540" t="str">
        <f>_xll.BDP($B540,"CPN_TYP")</f>
        <v>FIXED</v>
      </c>
      <c r="AV540">
        <f>_xll.BDP($B540,"CPN")</f>
        <v>4</v>
      </c>
    </row>
    <row r="541" spans="1:48" x14ac:dyDescent="0.25">
      <c r="A541" t="s">
        <v>1571</v>
      </c>
      <c r="B541" t="s">
        <v>1777</v>
      </c>
      <c r="C541" s="1" t="s">
        <v>1778</v>
      </c>
      <c r="D541" t="s">
        <v>1574</v>
      </c>
      <c r="E541" t="str">
        <f>_xll.BDP($B541,"LEGAL_ENTITY_IDENTIFIER")</f>
        <v>254900HROIFWPRGM1V77</v>
      </c>
      <c r="F541" t="s">
        <v>1779</v>
      </c>
      <c r="G541" t="str">
        <f>custodian!D541</f>
        <v>91282CNK3</v>
      </c>
      <c r="H541" t="str">
        <f>_xll.BDP($B541,"ID_ISIN")</f>
        <v>US91282CNK35</v>
      </c>
      <c r="I541" s="1"/>
      <c r="J541" t="str">
        <f>_xll.BDP($B541,"CNTRY_OF_DOMICILE")</f>
        <v>US</v>
      </c>
      <c r="K541" t="s">
        <v>626</v>
      </c>
      <c r="L541" t="s">
        <v>627</v>
      </c>
      <c r="O541" s="1"/>
      <c r="AQ541" s="1"/>
      <c r="AR541" s="1"/>
      <c r="AS541" s="1"/>
      <c r="AT541" t="str">
        <f>TEXT(_xll.BDP($B541,"MATURITY"),"yyyy-mm-dd")</f>
        <v>2030-06-30</v>
      </c>
      <c r="AU541" t="str">
        <f>_xll.BDP($B541,"CPN_TYP")</f>
        <v>FIXED</v>
      </c>
      <c r="AV541">
        <f>_xll.BDP($B541,"CPN")</f>
        <v>3.875</v>
      </c>
    </row>
    <row r="542" spans="1:48" x14ac:dyDescent="0.25">
      <c r="A542" t="s">
        <v>1571</v>
      </c>
      <c r="B542" t="s">
        <v>1780</v>
      </c>
      <c r="C542" s="1" t="s">
        <v>1781</v>
      </c>
      <c r="D542" t="s">
        <v>1574</v>
      </c>
      <c r="E542" t="str">
        <f>_xll.BDP($B542,"LEGAL_ENTITY_IDENTIFIER")</f>
        <v>254900HROIFWPRGM1V77</v>
      </c>
      <c r="F542" t="s">
        <v>1782</v>
      </c>
      <c r="G542" t="str">
        <f>custodian!D542</f>
        <v>91282CNN7</v>
      </c>
      <c r="H542" t="str">
        <f>_xll.BDP($B542,"ID_ISIN")</f>
        <v>US91282CNN73</v>
      </c>
      <c r="I542" s="1"/>
      <c r="J542" t="str">
        <f>_xll.BDP($B542,"CNTRY_OF_DOMICILE")</f>
        <v>US</v>
      </c>
      <c r="K542" t="s">
        <v>626</v>
      </c>
      <c r="L542" t="s">
        <v>627</v>
      </c>
      <c r="O542" s="1"/>
      <c r="AQ542" s="1"/>
      <c r="AR542" s="1"/>
      <c r="AS542" s="1"/>
      <c r="AT542" t="str">
        <f>TEXT(_xll.BDP($B542,"MATURITY"),"yyyy-mm-dd")</f>
        <v>2030-07-31</v>
      </c>
      <c r="AU542" t="str">
        <f>_xll.BDP($B542,"CPN_TYP")</f>
        <v>FIXED</v>
      </c>
      <c r="AV542">
        <f>_xll.BDP($B542,"CPN")</f>
        <v>3.875</v>
      </c>
    </row>
    <row r="543" spans="1:48" x14ac:dyDescent="0.25">
      <c r="A543" t="s">
        <v>1571</v>
      </c>
      <c r="B543" t="s">
        <v>1783</v>
      </c>
      <c r="C543" s="1" t="s">
        <v>1784</v>
      </c>
      <c r="D543" t="s">
        <v>1574</v>
      </c>
      <c r="E543" t="str">
        <f>_xll.BDP($B543,"LEGAL_ENTITY_IDENTIFIER")</f>
        <v>254900HROIFWPRGM1V77</v>
      </c>
      <c r="F543" t="s">
        <v>1785</v>
      </c>
      <c r="G543" t="str">
        <f>custodian!D543</f>
        <v>91282CNR8</v>
      </c>
      <c r="H543" t="str">
        <f>_xll.BDP($B543,"ID_ISIN")</f>
        <v>US91282CNR87</v>
      </c>
      <c r="I543" s="1"/>
      <c r="J543" t="str">
        <f>_xll.BDP($B543,"CNTRY_OF_DOMICILE")</f>
        <v>US</v>
      </c>
      <c r="K543" t="s">
        <v>626</v>
      </c>
      <c r="L543" t="s">
        <v>627</v>
      </c>
      <c r="O543" s="1"/>
      <c r="AQ543" s="1"/>
      <c r="AR543" s="1"/>
      <c r="AS543" s="1"/>
      <c r="AT543" t="str">
        <f>TEXT(_xll.BDP($B543,"MATURITY"),"yyyy-mm-dd")</f>
        <v>2032-07-31</v>
      </c>
      <c r="AU543" t="str">
        <f>_xll.BDP($B543,"CPN_TYP")</f>
        <v>FIXED</v>
      </c>
      <c r="AV543">
        <f>_xll.BDP($B543,"CPN")</f>
        <v>4</v>
      </c>
    </row>
    <row r="544" spans="1:48" x14ac:dyDescent="0.25">
      <c r="A544" t="s">
        <v>1571</v>
      </c>
      <c r="B544" t="s">
        <v>1786</v>
      </c>
      <c r="C544" s="1" t="s">
        <v>1787</v>
      </c>
      <c r="D544" t="s">
        <v>1574</v>
      </c>
      <c r="E544" t="str">
        <f>_xll.BDP($B544,"LEGAL_ENTITY_IDENTIFIER")</f>
        <v>254900HROIFWPRGM1V77</v>
      </c>
      <c r="F544" t="s">
        <v>1788</v>
      </c>
      <c r="G544" t="str">
        <f>custodian!D544</f>
        <v>91282CNW7</v>
      </c>
      <c r="H544" t="str">
        <f>_xll.BDP($B544,"ID_ISIN")</f>
        <v>US91282CNW72</v>
      </c>
      <c r="I544" s="1"/>
      <c r="J544" t="str">
        <f>_xll.BDP($B544,"CNTRY_OF_DOMICILE")</f>
        <v>US</v>
      </c>
      <c r="K544" t="s">
        <v>626</v>
      </c>
      <c r="L544" t="s">
        <v>627</v>
      </c>
      <c r="O544" s="1"/>
      <c r="AQ544" s="1"/>
      <c r="AR544" s="1"/>
      <c r="AS544" s="1"/>
      <c r="AT544" t="str">
        <f>TEXT(_xll.BDP($B544,"MATURITY"),"yyyy-mm-dd")</f>
        <v>2032-08-31</v>
      </c>
      <c r="AU544" t="str">
        <f>_xll.BDP($B544,"CPN_TYP")</f>
        <v>FIXED</v>
      </c>
      <c r="AV544">
        <f>_xll.BDP($B544,"CPN")</f>
        <v>3.875</v>
      </c>
    </row>
    <row r="545" spans="1:48" x14ac:dyDescent="0.25">
      <c r="A545" t="s">
        <v>1571</v>
      </c>
      <c r="B545" t="s">
        <v>1789</v>
      </c>
      <c r="C545" s="1" t="s">
        <v>1790</v>
      </c>
      <c r="D545" t="s">
        <v>1574</v>
      </c>
      <c r="E545" t="str">
        <f>_xll.BDP($B545,"LEGAL_ENTITY_IDENTIFIER")</f>
        <v>254900HROIFWPRGM1V77</v>
      </c>
      <c r="F545" t="s">
        <v>1791</v>
      </c>
      <c r="G545" t="str">
        <f>custodian!D545</f>
        <v>91282CNX5</v>
      </c>
      <c r="H545" t="str">
        <f>_xll.BDP($B545,"ID_ISIN")</f>
        <v>US91282CNX55</v>
      </c>
      <c r="I545" s="1"/>
      <c r="J545" t="str">
        <f>_xll.BDP($B545,"CNTRY_OF_DOMICILE")</f>
        <v>US</v>
      </c>
      <c r="K545" t="s">
        <v>626</v>
      </c>
      <c r="L545" t="s">
        <v>627</v>
      </c>
      <c r="O545" s="1"/>
      <c r="AQ545" s="1"/>
      <c r="AR545" s="1"/>
      <c r="AS545" s="1"/>
      <c r="AT545" t="str">
        <f>TEXT(_xll.BDP($B545,"MATURITY"),"yyyy-mm-dd")</f>
        <v>2030-08-31</v>
      </c>
      <c r="AU545" t="str">
        <f>_xll.BDP($B545,"CPN_TYP")</f>
        <v>FIXED</v>
      </c>
      <c r="AV545">
        <f>_xll.BDP($B545,"CPN")</f>
        <v>3.625</v>
      </c>
    </row>
    <row r="546" spans="1:48" x14ac:dyDescent="0.25">
      <c r="A546" t="s">
        <v>1571</v>
      </c>
      <c r="B546" t="s">
        <v>1792</v>
      </c>
      <c r="C546" s="1" t="s">
        <v>1793</v>
      </c>
      <c r="D546" t="s">
        <v>1574</v>
      </c>
      <c r="E546" t="str">
        <f>_xll.BDP($B546,"LEGAL_ENTITY_IDENTIFIER")</f>
        <v>254900HROIFWPRGM1V77</v>
      </c>
      <c r="F546" t="s">
        <v>1794</v>
      </c>
      <c r="G546" t="str">
        <f>custodian!D546</f>
        <v>91282CNZ0</v>
      </c>
      <c r="H546" t="str">
        <f>_xll.BDP($B546,"ID_ISIN")</f>
        <v>US91282CNZ04</v>
      </c>
      <c r="I546" s="1"/>
      <c r="J546" t="str">
        <f>_xll.BDP($B546,"CNTRY_OF_DOMICILE")</f>
        <v>US</v>
      </c>
      <c r="K546" t="s">
        <v>626</v>
      </c>
      <c r="L546" t="s">
        <v>627</v>
      </c>
      <c r="O546" s="1"/>
      <c r="AQ546" s="1"/>
      <c r="AR546" s="1"/>
      <c r="AS546" s="1"/>
      <c r="AT546" t="str">
        <f>TEXT(_xll.BDP($B546,"MATURITY"),"yyyy-mm-dd")</f>
        <v>2032-09-30</v>
      </c>
      <c r="AU546" t="str">
        <f>_xll.BDP($B546,"CPN_TYP")</f>
        <v>FIXED</v>
      </c>
      <c r="AV546">
        <f>_xll.BDP($B546,"CPN")</f>
        <v>3.875</v>
      </c>
    </row>
    <row r="547" spans="1:48" x14ac:dyDescent="0.25">
      <c r="A547" t="s">
        <v>1571</v>
      </c>
      <c r="B547" t="s">
        <v>1795</v>
      </c>
      <c r="C547" s="1" t="s">
        <v>1796</v>
      </c>
      <c r="D547" t="s">
        <v>1574</v>
      </c>
      <c r="E547" t="str">
        <f>_xll.BDP($B547,"LEGAL_ENTITY_IDENTIFIER")</f>
        <v>254900HROIFWPRGM1V77</v>
      </c>
      <c r="F547" t="s">
        <v>1797</v>
      </c>
      <c r="G547" t="str">
        <f>custodian!D547</f>
        <v>91282CPA3</v>
      </c>
      <c r="H547" t="str">
        <f>_xll.BDP($B547,"ID_ISIN")</f>
        <v>US91282CPA35</v>
      </c>
      <c r="I547" s="1"/>
      <c r="J547" t="str">
        <f>_xll.BDP($B547,"CNTRY_OF_DOMICILE")</f>
        <v>US</v>
      </c>
      <c r="K547" t="s">
        <v>626</v>
      </c>
      <c r="L547" t="s">
        <v>627</v>
      </c>
      <c r="O547" s="1"/>
      <c r="AQ547" s="1"/>
      <c r="AR547" s="1"/>
      <c r="AS547" s="1"/>
      <c r="AT547" t="str">
        <f>TEXT(_xll.BDP($B547,"MATURITY"),"yyyy-mm-dd")</f>
        <v>2030-09-30</v>
      </c>
      <c r="AU547" t="str">
        <f>_xll.BDP($B547,"CPN_TYP")</f>
        <v>FIXED</v>
      </c>
      <c r="AV547">
        <f>_xll.BDP($B547,"CPN")</f>
        <v>3.625</v>
      </c>
    </row>
    <row r="548" spans="1:48" x14ac:dyDescent="0.25">
      <c r="A548" t="s">
        <v>1571</v>
      </c>
      <c r="B548" t="s">
        <v>1798</v>
      </c>
      <c r="C548" s="1" t="s">
        <v>1799</v>
      </c>
      <c r="D548" t="s">
        <v>1574</v>
      </c>
      <c r="E548" t="str">
        <f>_xll.BDP($B548,"LEGAL_ENTITY_IDENTIFIER")</f>
        <v>254900HROIFWPRGM1V77</v>
      </c>
      <c r="F548" t="s">
        <v>1800</v>
      </c>
      <c r="G548" t="str">
        <f>custodian!D548</f>
        <v>91282CPD7</v>
      </c>
      <c r="H548" t="str">
        <f>_xll.BDP($B548,"ID_ISIN")</f>
        <v>US91282CPD73</v>
      </c>
      <c r="I548" s="1"/>
      <c r="J548" t="str">
        <f>_xll.BDP($B548,"CNTRY_OF_DOMICILE")</f>
        <v>US</v>
      </c>
      <c r="K548" t="s">
        <v>626</v>
      </c>
      <c r="L548" t="s">
        <v>627</v>
      </c>
      <c r="O548" s="1"/>
      <c r="AQ548" s="1"/>
      <c r="AR548" s="1"/>
      <c r="AS548" s="1"/>
      <c r="AT548" t="str">
        <f>TEXT(_xll.BDP($B548,"MATURITY"),"yyyy-mm-dd")</f>
        <v>2030-10-31</v>
      </c>
      <c r="AU548" t="str">
        <f>_xll.BDP($B548,"CPN_TYP")</f>
        <v>FIXED</v>
      </c>
      <c r="AV548">
        <f>_xll.BDP($B548,"CPN")</f>
        <v>3.625</v>
      </c>
    </row>
    <row r="549" spans="1:48" x14ac:dyDescent="0.25">
      <c r="A549" t="s">
        <v>1571</v>
      </c>
      <c r="B549" t="s">
        <v>1801</v>
      </c>
      <c r="C549" s="1" t="s">
        <v>1802</v>
      </c>
      <c r="D549" t="s">
        <v>1574</v>
      </c>
      <c r="E549" t="str">
        <f>_xll.BDP($B549,"LEGAL_ENTITY_IDENTIFIER")</f>
        <v>254900HROIFWPRGM1V77</v>
      </c>
      <c r="F549" t="s">
        <v>1803</v>
      </c>
      <c r="G549" t="str">
        <f>custodian!D549</f>
        <v>91282CPF2</v>
      </c>
      <c r="H549" t="str">
        <f>_xll.BDP($B549,"ID_ISIN")</f>
        <v>US91282CPF22</v>
      </c>
      <c r="I549" s="1"/>
      <c r="J549" t="str">
        <f>_xll.BDP($B549,"CNTRY_OF_DOMICILE")</f>
        <v>US</v>
      </c>
      <c r="K549" t="s">
        <v>626</v>
      </c>
      <c r="L549" t="s">
        <v>627</v>
      </c>
      <c r="O549" s="1"/>
      <c r="AQ549" s="1"/>
      <c r="AR549" s="1"/>
      <c r="AS549" s="1"/>
      <c r="AT549" t="str">
        <f>TEXT(_xll.BDP($B549,"MATURITY"),"yyyy-mm-dd")</f>
        <v>2032-10-31</v>
      </c>
      <c r="AU549" t="str">
        <f>_xll.BDP($B549,"CPN_TYP")</f>
        <v>FIXED</v>
      </c>
      <c r="AV549">
        <f>_xll.BDP($B549,"CPN")</f>
        <v>3.75</v>
      </c>
    </row>
    <row r="550" spans="1:48" x14ac:dyDescent="0.25">
      <c r="A550" t="s">
        <v>1571</v>
      </c>
      <c r="B550" t="s">
        <v>1804</v>
      </c>
      <c r="C550" s="1" t="s">
        <v>1805</v>
      </c>
      <c r="D550" t="s">
        <v>1574</v>
      </c>
      <c r="E550" t="str">
        <f>_xll.BDP($B550,"LEGAL_ENTITY_IDENTIFIER")</f>
        <v>254900HROIFWPRGM1V77</v>
      </c>
      <c r="F550" t="s">
        <v>1806</v>
      </c>
      <c r="G550" t="str">
        <f>custodian!D550</f>
        <v>91282CPM7</v>
      </c>
      <c r="H550" t="str">
        <f>_xll.BDP($B550,"ID_ISIN")</f>
        <v>US91282CPM72</v>
      </c>
      <c r="I550" s="1"/>
      <c r="J550" t="str">
        <f>_xll.BDP($B550,"CNTRY_OF_DOMICILE")</f>
        <v>US</v>
      </c>
      <c r="K550" t="s">
        <v>626</v>
      </c>
      <c r="L550" t="s">
        <v>627</v>
      </c>
      <c r="O550" s="1"/>
      <c r="AQ550" s="1"/>
      <c r="AR550" s="1"/>
      <c r="AS550" s="1"/>
      <c r="AT550" t="str">
        <f>TEXT(_xll.BDP($B550,"MATURITY"),"yyyy-mm-dd")</f>
        <v>2032-11-30</v>
      </c>
      <c r="AU550" t="str">
        <f>_xll.BDP($B550,"CPN_TYP")</f>
        <v>FIXED</v>
      </c>
      <c r="AV550">
        <f>_xll.BDP($B550,"CPN")</f>
        <v>3.75</v>
      </c>
    </row>
    <row r="551" spans="1:48" x14ac:dyDescent="0.25">
      <c r="A551" t="s">
        <v>1571</v>
      </c>
      <c r="B551" t="s">
        <v>1807</v>
      </c>
      <c r="C551" s="1" t="s">
        <v>1808</v>
      </c>
      <c r="D551" t="s">
        <v>1574</v>
      </c>
      <c r="E551" t="str">
        <f>_xll.BDP($B551,"LEGAL_ENTITY_IDENTIFIER")</f>
        <v>254900HROIFWPRGM1V77</v>
      </c>
      <c r="F551" t="s">
        <v>1809</v>
      </c>
      <c r="G551" t="str">
        <f>custodian!D551</f>
        <v>91282CPN5</v>
      </c>
      <c r="H551" t="str">
        <f>_xll.BDP($B551,"ID_ISIN")</f>
        <v>US91282CPN55</v>
      </c>
      <c r="I551" s="1"/>
      <c r="J551" t="str">
        <f>_xll.BDP($B551,"CNTRY_OF_DOMICILE")</f>
        <v>US</v>
      </c>
      <c r="K551" t="s">
        <v>626</v>
      </c>
      <c r="L551" t="s">
        <v>627</v>
      </c>
      <c r="O551" s="1"/>
      <c r="AQ551" s="1"/>
      <c r="AR551" s="1"/>
      <c r="AS551" s="1"/>
      <c r="AT551" t="str">
        <f>TEXT(_xll.BDP($B551,"MATURITY"),"yyyy-mm-dd")</f>
        <v>2030-11-30</v>
      </c>
      <c r="AU551" t="str">
        <f>_xll.BDP($B551,"CPN_TYP")</f>
        <v>FIXED</v>
      </c>
      <c r="AV551">
        <f>_xll.BDP($B551,"CPN")</f>
        <v>3.5</v>
      </c>
    </row>
    <row r="552" spans="1:48" x14ac:dyDescent="0.25">
      <c r="A552" t="s">
        <v>1571</v>
      </c>
      <c r="B552" t="s">
        <v>1810</v>
      </c>
      <c r="C552" s="1" t="s">
        <v>1811</v>
      </c>
      <c r="D552" t="s">
        <v>1574</v>
      </c>
      <c r="E552" t="str">
        <f>_xll.BDP($B552,"LEGAL_ENTITY_IDENTIFIER")</f>
        <v>254900HROIFWPRGM1V77</v>
      </c>
      <c r="F552" t="s">
        <v>1812</v>
      </c>
      <c r="G552" t="str">
        <f>custodian!D552</f>
        <v>91282CPQ8</v>
      </c>
      <c r="H552" t="str">
        <f>_xll.BDP($B552,"ID_ISIN")</f>
        <v>US91282CPQ86</v>
      </c>
      <c r="I552" s="1"/>
      <c r="J552" t="str">
        <f>_xll.BDP($B552,"CNTRY_OF_DOMICILE")</f>
        <v>US</v>
      </c>
      <c r="K552" t="s">
        <v>626</v>
      </c>
      <c r="L552" t="s">
        <v>627</v>
      </c>
      <c r="O552" s="1"/>
      <c r="AQ552" s="1"/>
      <c r="AR552" s="1"/>
      <c r="AS552" s="1"/>
      <c r="AT552" t="str">
        <f>TEXT(_xll.BDP($B552,"MATURITY"),"yyyy-mm-dd")</f>
        <v>2032-12-31</v>
      </c>
      <c r="AU552" t="str">
        <f>_xll.BDP($B552,"CPN_TYP")</f>
        <v>FIXED</v>
      </c>
      <c r="AV552">
        <f>_xll.BDP($B552,"CPN")</f>
        <v>3.875</v>
      </c>
    </row>
    <row r="553" spans="1:48" x14ac:dyDescent="0.25">
      <c r="A553" t="s">
        <v>1571</v>
      </c>
      <c r="B553" t="s">
        <v>1813</v>
      </c>
      <c r="C553" s="1" t="s">
        <v>1814</v>
      </c>
      <c r="D553" t="s">
        <v>1574</v>
      </c>
      <c r="E553" t="str">
        <f>_xll.BDP($B553,"LEGAL_ENTITY_IDENTIFIER")</f>
        <v>254900HROIFWPRGM1V77</v>
      </c>
      <c r="F553" t="s">
        <v>1815</v>
      </c>
      <c r="G553" t="str">
        <f>custodian!D553</f>
        <v>91282CPR6</v>
      </c>
      <c r="H553" t="str">
        <f>_xll.BDP($B553,"ID_ISIN")</f>
        <v>US91282CPR69</v>
      </c>
      <c r="I553" s="1"/>
      <c r="J553" t="str">
        <f>_xll.BDP($B553,"CNTRY_OF_DOMICILE")</f>
        <v>US</v>
      </c>
      <c r="K553" t="s">
        <v>626</v>
      </c>
      <c r="L553" t="s">
        <v>627</v>
      </c>
      <c r="O553" s="1"/>
      <c r="AQ553" s="1"/>
      <c r="AR553" s="1"/>
      <c r="AS553" s="1"/>
      <c r="AT553" t="str">
        <f>TEXT(_xll.BDP($B553,"MATURITY"),"yyyy-mm-dd")</f>
        <v>2030-12-31</v>
      </c>
      <c r="AU553" t="str">
        <f>_xll.BDP($B553,"CPN_TYP")</f>
        <v>FIXED</v>
      </c>
      <c r="AV553">
        <f>_xll.BDP($B553,"CPN")</f>
        <v>3.625</v>
      </c>
    </row>
    <row r="554" spans="1:48" x14ac:dyDescent="0.25">
      <c r="A554" t="s">
        <v>1571</v>
      </c>
      <c r="B554" t="s">
        <v>1816</v>
      </c>
      <c r="C554" s="1" t="s">
        <v>1817</v>
      </c>
      <c r="D554" t="s">
        <v>1574</v>
      </c>
      <c r="E554" t="str">
        <f>_xll.BDP($B554,"LEGAL_ENTITY_IDENTIFIER")</f>
        <v>254900HROIFWPRGM1V77</v>
      </c>
      <c r="F554" t="s">
        <v>1818</v>
      </c>
      <c r="G554" t="str">
        <f>custodian!D554</f>
        <v>91282CPW5</v>
      </c>
      <c r="H554" t="str">
        <f>_xll.BDP($B554,"ID_ISIN")</f>
        <v>US91282CPW54</v>
      </c>
      <c r="I554" s="1"/>
      <c r="J554" t="str">
        <f>_xll.BDP($B554,"CNTRY_OF_DOMICILE")</f>
        <v>US</v>
      </c>
      <c r="K554" t="s">
        <v>626</v>
      </c>
      <c r="L554" t="s">
        <v>627</v>
      </c>
      <c r="O554" s="1"/>
      <c r="AQ554" s="1"/>
      <c r="AR554" s="1"/>
      <c r="AS554" s="1"/>
      <c r="AT554" t="str">
        <f>TEXT(_xll.BDP($B554,"MATURITY"),"yyyy-mm-dd")</f>
        <v>2031-01-31</v>
      </c>
      <c r="AU554" t="str">
        <f>_xll.BDP($B554,"CPN_TYP")</f>
        <v>FIXED</v>
      </c>
      <c r="AV554">
        <f>_xll.BDP($B554,"CPN")</f>
        <v>3.75</v>
      </c>
    </row>
    <row r="555" spans="1:48" x14ac:dyDescent="0.25">
      <c r="A555" t="s">
        <v>1571</v>
      </c>
      <c r="B555" t="s">
        <v>1819</v>
      </c>
      <c r="C555" s="1" t="s">
        <v>1820</v>
      </c>
      <c r="D555" t="s">
        <v>1574</v>
      </c>
      <c r="E555" t="str">
        <f>_xll.BDP($B555,"LEGAL_ENTITY_IDENTIFIER")</f>
        <v>254900HROIFWPRGM1V77</v>
      </c>
      <c r="F555" t="s">
        <v>1821</v>
      </c>
      <c r="G555" t="str">
        <f>custodian!D555</f>
        <v>91282CPY1</v>
      </c>
      <c r="H555" t="str">
        <f>_xll.BDP($B555,"ID_ISIN")</f>
        <v>US91282CPY11</v>
      </c>
      <c r="I555" s="1"/>
      <c r="J555" t="str">
        <f>_xll.BDP($B555,"CNTRY_OF_DOMICILE")</f>
        <v>US</v>
      </c>
      <c r="K555" t="s">
        <v>626</v>
      </c>
      <c r="L555" t="s">
        <v>627</v>
      </c>
      <c r="O555" s="1"/>
      <c r="AQ555" s="1"/>
      <c r="AR555" s="1"/>
      <c r="AS555" s="1"/>
      <c r="AT555" t="str">
        <f>TEXT(_xll.BDP($B555,"MATURITY"),"yyyy-mm-dd")</f>
        <v>2033-01-31</v>
      </c>
      <c r="AU555" t="str">
        <f>_xll.BDP($B555,"CPN_TYP")</f>
        <v>FIXED</v>
      </c>
      <c r="AV555">
        <f>_xll.BDP($B555,"CPN")</f>
        <v>4</v>
      </c>
    </row>
    <row r="556" spans="1:48" x14ac:dyDescent="0.25">
      <c r="A556" t="s">
        <v>1571</v>
      </c>
      <c r="B556" t="s">
        <v>1822</v>
      </c>
      <c r="C556" s="1" t="s">
        <v>1823</v>
      </c>
      <c r="D556" t="s">
        <v>1574</v>
      </c>
      <c r="E556" t="str">
        <f>_xll.BDP($B556,"LEGAL_ENTITY_IDENTIFIER")</f>
        <v>254900HROIFWPRGM1V77</v>
      </c>
      <c r="F556" t="s">
        <v>1824</v>
      </c>
      <c r="G556" t="str">
        <f>custodian!D556</f>
        <v>91282CQC8</v>
      </c>
      <c r="H556" t="str">
        <f>_xll.BDP($B556,"ID_ISIN")</f>
        <v>US91282CQC81</v>
      </c>
      <c r="I556" s="1"/>
      <c r="J556" t="str">
        <f>_xll.BDP($B556,"CNTRY_OF_DOMICILE")</f>
        <v>US</v>
      </c>
      <c r="K556" t="s">
        <v>626</v>
      </c>
      <c r="L556" t="s">
        <v>627</v>
      </c>
      <c r="O556" s="1"/>
      <c r="AQ556" s="1"/>
      <c r="AR556" s="1"/>
      <c r="AS556" s="1"/>
      <c r="AT556" t="str">
        <f>TEXT(_xll.BDP($B556,"MATURITY"),"yyyy-mm-dd")</f>
        <v>2033-02-28</v>
      </c>
      <c r="AU556" t="str">
        <f>_xll.BDP($B556,"CPN_TYP")</f>
        <v>FIXED</v>
      </c>
      <c r="AV556">
        <f>_xll.BDP($B556,"CPN")</f>
        <v>3.75</v>
      </c>
    </row>
    <row r="557" spans="1:48" x14ac:dyDescent="0.25">
      <c r="A557" t="s">
        <v>1571</v>
      </c>
      <c r="B557" t="s">
        <v>1825</v>
      </c>
      <c r="C557" s="1" t="s">
        <v>1826</v>
      </c>
      <c r="D557" t="s">
        <v>1574</v>
      </c>
      <c r="E557" t="str">
        <f>_xll.BDP($B557,"LEGAL_ENTITY_IDENTIFIER")</f>
        <v>254900HROIFWPRGM1V77</v>
      </c>
      <c r="F557" t="s">
        <v>1827</v>
      </c>
      <c r="G557" t="str">
        <f>custodian!D557</f>
        <v>91282CQD6</v>
      </c>
      <c r="H557" t="str">
        <f>_xll.BDP($B557,"ID_ISIN")</f>
        <v>US91282CQD64</v>
      </c>
      <c r="I557" s="1"/>
      <c r="J557" t="str">
        <f>_xll.BDP($B557,"CNTRY_OF_DOMICILE")</f>
        <v>US</v>
      </c>
      <c r="K557" t="s">
        <v>626</v>
      </c>
      <c r="L557" t="s">
        <v>627</v>
      </c>
      <c r="O557" s="1"/>
      <c r="AQ557" s="1"/>
      <c r="AR557" s="1"/>
      <c r="AS557" s="1"/>
      <c r="AT557" t="str">
        <f>TEXT(_xll.BDP($B557,"MATURITY"),"yyyy-mm-dd")</f>
        <v>2031-02-28</v>
      </c>
      <c r="AU557" t="str">
        <f>_xll.BDP($B557,"CPN_TYP")</f>
        <v>FIXED</v>
      </c>
      <c r="AV557">
        <f>_xll.BDP($B557,"CPN")</f>
        <v>3.5</v>
      </c>
    </row>
    <row r="558" spans="1:48" x14ac:dyDescent="0.25">
      <c r="A558" t="s">
        <v>1571</v>
      </c>
      <c r="B558" t="s">
        <v>1828</v>
      </c>
      <c r="C558" s="1" t="s">
        <v>1829</v>
      </c>
      <c r="D558" t="s">
        <v>1574</v>
      </c>
      <c r="E558" t="str">
        <f>_xll.BDP($B558,"LEGAL_ENTITY_IDENTIFIER")</f>
        <v>254900HROIFWPRGM1V77</v>
      </c>
      <c r="F558" t="s">
        <v>1830</v>
      </c>
      <c r="G558" t="str">
        <f>custodian!D558</f>
        <v>91282CQF1</v>
      </c>
      <c r="H558" t="str">
        <f>_xll.BDP($B558,"ID_ISIN")</f>
        <v>US91282CQF13</v>
      </c>
      <c r="I558" s="1"/>
      <c r="J558" t="str">
        <f>_xll.BDP($B558,"CNTRY_OF_DOMICILE")</f>
        <v>US</v>
      </c>
      <c r="K558" t="s">
        <v>626</v>
      </c>
      <c r="L558" t="s">
        <v>627</v>
      </c>
      <c r="O558" s="1"/>
      <c r="AQ558" s="1"/>
      <c r="AR558" s="1"/>
      <c r="AS558" s="1"/>
      <c r="AT558" t="str">
        <f>TEXT(_xll.BDP($B558,"MATURITY"),"yyyy-mm-dd")</f>
        <v>2033-03-31</v>
      </c>
      <c r="AU558" t="str">
        <f>_xll.BDP($B558,"CPN_TYP")</f>
        <v>FIXED</v>
      </c>
      <c r="AV558">
        <f>_xll.BDP($B558,"CPN")</f>
        <v>4.25</v>
      </c>
    </row>
    <row r="559" spans="1:48" x14ac:dyDescent="0.25">
      <c r="A559" t="s">
        <v>1571</v>
      </c>
      <c r="B559" t="s">
        <v>1831</v>
      </c>
      <c r="C559" s="1" t="s">
        <v>1832</v>
      </c>
      <c r="D559" t="s">
        <v>1574</v>
      </c>
      <c r="E559" t="str">
        <f>_xll.BDP($B559,"LEGAL_ENTITY_IDENTIFIER")</f>
        <v>254900HROIFWPRGM1V77</v>
      </c>
      <c r="F559" t="s">
        <v>1833</v>
      </c>
      <c r="G559" t="str">
        <f>custodian!D559</f>
        <v>91282CQG9</v>
      </c>
      <c r="H559" t="str">
        <f>_xll.BDP($B559,"ID_ISIN")</f>
        <v>US91282CQG95</v>
      </c>
      <c r="I559" s="1"/>
      <c r="J559" t="str">
        <f>_xll.BDP($B559,"CNTRY_OF_DOMICILE")</f>
        <v>US</v>
      </c>
      <c r="K559" t="s">
        <v>626</v>
      </c>
      <c r="L559" t="s">
        <v>627</v>
      </c>
      <c r="O559" s="1"/>
      <c r="AQ559" s="1"/>
      <c r="AR559" s="1"/>
      <c r="AS559" s="1"/>
      <c r="AT559" t="str">
        <f>TEXT(_xll.BDP($B559,"MATURITY"),"yyyy-mm-dd")</f>
        <v>2031-03-31</v>
      </c>
      <c r="AU559" t="str">
        <f>_xll.BDP($B559,"CPN_TYP")</f>
        <v>FIXED</v>
      </c>
      <c r="AV559">
        <f>_xll.BDP($B559,"CPN")</f>
        <v>3.875</v>
      </c>
    </row>
    <row r="560" spans="1:48" x14ac:dyDescent="0.25">
      <c r="A560" t="s">
        <v>1571</v>
      </c>
      <c r="B560" t="s">
        <v>1834</v>
      </c>
      <c r="C560" s="1" t="s">
        <v>1835</v>
      </c>
      <c r="D560" t="s">
        <v>1574</v>
      </c>
      <c r="E560" t="str">
        <f>_xll.BDP($B560,"LEGAL_ENTITY_IDENTIFIER")</f>
        <v>254900HROIFWPRGM1V77</v>
      </c>
      <c r="F560" t="s">
        <v>1836</v>
      </c>
      <c r="G560" t="str">
        <f>custodian!D560</f>
        <v>91282CQK0</v>
      </c>
      <c r="H560" t="str">
        <f>_xll.BDP($B560,"ID_ISIN")</f>
        <v>US91282CQK08</v>
      </c>
      <c r="I560" s="1"/>
      <c r="J560" t="str">
        <f>_xll.BDP($B560,"CNTRY_OF_DOMICILE")</f>
        <v>US</v>
      </c>
      <c r="K560" t="s">
        <v>626</v>
      </c>
      <c r="L560" t="s">
        <v>627</v>
      </c>
      <c r="O560" s="1"/>
      <c r="AQ560" s="1"/>
      <c r="AR560" s="1"/>
      <c r="AS560" s="1"/>
      <c r="AT560" t="str">
        <f>TEXT(_xll.BDP($B560,"MATURITY"),"yyyy-mm-dd")</f>
        <v>2031-04-30</v>
      </c>
      <c r="AU560" t="str">
        <f>_xll.BDP($B560,"CPN_TYP")</f>
        <v>FIXED</v>
      </c>
      <c r="AV560">
        <f>_xll.BDP($B560,"CPN")</f>
        <v>3.875</v>
      </c>
    </row>
    <row r="561" spans="1:48" x14ac:dyDescent="0.25">
      <c r="A561" t="s">
        <v>1571</v>
      </c>
      <c r="B561" t="s">
        <v>1837</v>
      </c>
      <c r="C561" s="1" t="s">
        <v>1838</v>
      </c>
      <c r="D561" t="s">
        <v>1574</v>
      </c>
      <c r="E561" t="str">
        <f>_xll.BDP($B561,"LEGAL_ENTITY_IDENTIFIER")</f>
        <v>254900HROIFWPRGM1V77</v>
      </c>
      <c r="F561" t="s">
        <v>1839</v>
      </c>
      <c r="G561" t="str">
        <f>custodian!D561</f>
        <v>91282CQN4</v>
      </c>
      <c r="H561" t="str">
        <f>_xll.BDP($B561,"ID_ISIN")</f>
        <v>US91282CQN47</v>
      </c>
      <c r="I561" s="1"/>
      <c r="J561" t="str">
        <f>_xll.BDP($B561,"CNTRY_OF_DOMICILE")</f>
        <v>US</v>
      </c>
      <c r="K561" t="s">
        <v>626</v>
      </c>
      <c r="L561" t="s">
        <v>627</v>
      </c>
      <c r="O561" s="1"/>
      <c r="AQ561" s="1"/>
      <c r="AR561" s="1"/>
      <c r="AS561" s="1"/>
      <c r="AT561" t="str">
        <f>TEXT(_xll.BDP($B561,"MATURITY"),"yyyy-mm-dd")</f>
        <v>2033-04-30</v>
      </c>
      <c r="AU561" t="str">
        <f>_xll.BDP($B561,"CPN_TYP")</f>
        <v>FIXED</v>
      </c>
      <c r="AV561">
        <f>_xll.BDP($B561,"CPN")</f>
        <v>4.125</v>
      </c>
    </row>
    <row r="562" spans="1:48" x14ac:dyDescent="0.25">
      <c r="A562" t="s">
        <v>1571</v>
      </c>
      <c r="B562" t="s">
        <v>77</v>
      </c>
      <c r="C562" s="1" t="s">
        <v>78</v>
      </c>
      <c r="D562" t="s">
        <v>79</v>
      </c>
      <c r="E562" t="str">
        <f>_xll.BDP($B562,"LEGAL_ENTITY_IDENTIFIER")</f>
        <v>549300R5MYM6VZF1RM44</v>
      </c>
      <c r="F562" t="s">
        <v>80</v>
      </c>
      <c r="G562" t="str">
        <f>custodian!D562</f>
        <v>31846V336</v>
      </c>
      <c r="H562" t="str">
        <f>_xll.BDP($B562,"ID_ISIN")</f>
        <v>US31846V3362</v>
      </c>
      <c r="I562" s="1" t="s">
        <v>78</v>
      </c>
      <c r="J562" t="str">
        <f>_xll.BDP($B562,"CNTRY_OF_DOMICILE")</f>
        <v>US</v>
      </c>
      <c r="K562" t="s">
        <v>81</v>
      </c>
      <c r="L562" t="s">
        <v>82</v>
      </c>
      <c r="O562" s="1"/>
      <c r="AQ562" s="1"/>
      <c r="AR562" s="1"/>
      <c r="AS562" s="1"/>
    </row>
    <row r="563" spans="1:48" x14ac:dyDescent="0.25">
      <c r="A563" t="s">
        <v>1571</v>
      </c>
      <c r="C563" s="1" t="s">
        <v>52</v>
      </c>
      <c r="E563" s="1"/>
      <c r="G563" t="str">
        <f>custodian!D563</f>
        <v>Cash&amp;Other</v>
      </c>
      <c r="H563" s="1"/>
      <c r="I563" s="1"/>
      <c r="O563" s="1"/>
      <c r="AQ563" s="1"/>
      <c r="AR563" s="1"/>
      <c r="AS563" s="1"/>
    </row>
    <row r="564" spans="1:48" x14ac:dyDescent="0.25">
      <c r="A564" t="s">
        <v>1840</v>
      </c>
      <c r="B564" t="s">
        <v>1841</v>
      </c>
      <c r="C564" s="1" t="s">
        <v>1842</v>
      </c>
      <c r="D564" t="s">
        <v>1843</v>
      </c>
      <c r="E564" t="str">
        <f>_xll.BDP($B564,"LEGAL_ENTITY_IDENTIFIER")</f>
        <v>549300Z40J86GGSTL398</v>
      </c>
      <c r="F564" t="s">
        <v>1843</v>
      </c>
      <c r="G564" t="str">
        <f>custodian!D564</f>
        <v>00206RKG6</v>
      </c>
      <c r="H564" t="str">
        <f>_xll.BDP($B564,"ID_ISIN")</f>
        <v>US00206RKG64</v>
      </c>
      <c r="I564" s="1"/>
      <c r="J564" t="str">
        <f>_xll.BDP($B564,"CNTRY_OF_DOMICILE")</f>
        <v>US</v>
      </c>
      <c r="K564" t="s">
        <v>626</v>
      </c>
      <c r="L564" t="s">
        <v>99</v>
      </c>
      <c r="O564" s="1"/>
      <c r="AQ564" s="1"/>
      <c r="AR564" s="1"/>
      <c r="AS564" s="1"/>
      <c r="AT564" t="str">
        <f>TEXT(_xll.BDP($B564,"MATURITY"),"yyyy-mm-dd")</f>
        <v>2028-02-01</v>
      </c>
      <c r="AU564" t="str">
        <f>_xll.BDP($B564,"CPN_TYP")</f>
        <v>FIXED</v>
      </c>
      <c r="AV564">
        <f>_xll.BDP($B564,"CPN")</f>
        <v>1.65</v>
      </c>
    </row>
    <row r="565" spans="1:48" x14ac:dyDescent="0.25">
      <c r="A565" t="s">
        <v>1840</v>
      </c>
      <c r="B565" t="s">
        <v>1844</v>
      </c>
      <c r="C565" s="1" t="s">
        <v>1845</v>
      </c>
      <c r="D565" t="s">
        <v>1846</v>
      </c>
      <c r="E565" t="str">
        <f>_xll.BDP($B565,"LEGAL_ENTITY_IDENTIFIER")</f>
        <v>HQD377W2YR662HK5JX27</v>
      </c>
      <c r="F565" t="s">
        <v>1847</v>
      </c>
      <c r="G565" t="str">
        <f>custodian!D565</f>
        <v>002824BS8</v>
      </c>
      <c r="H565" t="str">
        <f>_xll.BDP($B565,"ID_ISIN")</f>
        <v>US002824BS80</v>
      </c>
      <c r="I565" s="1"/>
      <c r="J565" t="str">
        <f>_xll.BDP($B565,"CNTRY_OF_DOMICILE")</f>
        <v>US</v>
      </c>
      <c r="K565" t="s">
        <v>626</v>
      </c>
      <c r="L565" t="s">
        <v>99</v>
      </c>
      <c r="O565" s="1"/>
      <c r="AQ565" s="1"/>
      <c r="AR565" s="1"/>
      <c r="AS565" s="1"/>
      <c r="AT565" t="str">
        <f>TEXT(_xll.BDP($B565,"MATURITY"),"yyyy-mm-dd")</f>
        <v>2031-03-15</v>
      </c>
      <c r="AU565" t="str">
        <f>_xll.BDP($B565,"CPN_TYP")</f>
        <v>FIXED</v>
      </c>
      <c r="AV565">
        <f>_xll.BDP($B565,"CPN")</f>
        <v>4</v>
      </c>
    </row>
    <row r="566" spans="1:48" x14ac:dyDescent="0.25">
      <c r="A566" t="s">
        <v>1840</v>
      </c>
      <c r="B566" t="s">
        <v>1848</v>
      </c>
      <c r="C566" s="1" t="s">
        <v>1849</v>
      </c>
      <c r="D566" t="s">
        <v>1850</v>
      </c>
      <c r="E566" t="str">
        <f>_xll.BDP($B566,"LEGAL_ENTITY_IDENTIFIER")</f>
        <v>FR5LCKFTG8054YNNRU85</v>
      </c>
      <c r="F566" t="s">
        <v>1850</v>
      </c>
      <c r="G566" t="str">
        <f>custodian!D566</f>
        <v>00287YBX6</v>
      </c>
      <c r="H566" t="str">
        <f>_xll.BDP($B566,"ID_ISIN")</f>
        <v>US00287YBX67</v>
      </c>
      <c r="I566" s="1"/>
      <c r="J566" t="str">
        <f>_xll.BDP($B566,"CNTRY_OF_DOMICILE")</f>
        <v>US</v>
      </c>
      <c r="K566" t="s">
        <v>626</v>
      </c>
      <c r="L566" t="s">
        <v>99</v>
      </c>
      <c r="O566" s="1"/>
      <c r="AQ566" s="1"/>
      <c r="AR566" s="1"/>
      <c r="AS566" s="1"/>
      <c r="AT566" t="str">
        <f>TEXT(_xll.BDP($B566,"MATURITY"),"yyyy-mm-dd")</f>
        <v>2029-11-21</v>
      </c>
      <c r="AU566" t="str">
        <f>_xll.BDP($B566,"CPN_TYP")</f>
        <v>FIXED</v>
      </c>
      <c r="AV566">
        <f>_xll.BDP($B566,"CPN")</f>
        <v>3.2</v>
      </c>
    </row>
    <row r="567" spans="1:48" x14ac:dyDescent="0.25">
      <c r="A567" t="s">
        <v>1840</v>
      </c>
      <c r="B567" t="s">
        <v>1851</v>
      </c>
      <c r="C567" s="1" t="s">
        <v>1852</v>
      </c>
      <c r="D567" t="s">
        <v>1853</v>
      </c>
      <c r="E567" t="str">
        <f>_xll.BDP($B567,"LEGAL_ENTITY_IDENTIFIER")</f>
        <v>FU4LY2G4933NH2E1CP29</v>
      </c>
      <c r="F567" t="s">
        <v>1853</v>
      </c>
      <c r="G567" t="str">
        <f>custodian!D567</f>
        <v>00724PAD1</v>
      </c>
      <c r="H567" t="str">
        <f>_xll.BDP($B567,"ID_ISIN")</f>
        <v>US00724PAD15</v>
      </c>
      <c r="I567" s="1"/>
      <c r="J567" t="str">
        <f>_xll.BDP($B567,"CNTRY_OF_DOMICILE")</f>
        <v>US</v>
      </c>
      <c r="K567" t="s">
        <v>626</v>
      </c>
      <c r="L567" t="s">
        <v>99</v>
      </c>
      <c r="O567" s="1"/>
      <c r="AQ567" s="1"/>
      <c r="AR567" s="1"/>
      <c r="AS567" s="1"/>
      <c r="AT567" t="str">
        <f>TEXT(_xll.BDP($B567,"MATURITY"),"yyyy-mm-dd")</f>
        <v>2030-02-01</v>
      </c>
      <c r="AU567" t="str">
        <f>_xll.BDP($B567,"CPN_TYP")</f>
        <v>FIXED</v>
      </c>
      <c r="AV567">
        <f>_xll.BDP($B567,"CPN")</f>
        <v>2.2999999999999998</v>
      </c>
    </row>
    <row r="568" spans="1:48" x14ac:dyDescent="0.25">
      <c r="A568" t="s">
        <v>1840</v>
      </c>
      <c r="B568" t="s">
        <v>1854</v>
      </c>
      <c r="C568" s="1" t="s">
        <v>1855</v>
      </c>
      <c r="D568" t="s">
        <v>1856</v>
      </c>
      <c r="E568" t="str">
        <f>_xll.BDP($B568,"LEGAL_ENTITY_IDENTIFIER")</f>
        <v>MGCJBT4MKTQBVLNUIS88</v>
      </c>
      <c r="F568" t="s">
        <v>1857</v>
      </c>
      <c r="G568" t="str">
        <f>custodian!D568</f>
        <v>015271AU3</v>
      </c>
      <c r="H568" t="str">
        <f>_xll.BDP($B568,"ID_ISIN")</f>
        <v>US015271AU38</v>
      </c>
      <c r="I568" s="1"/>
      <c r="J568" t="str">
        <f>_xll.BDP($B568,"CNTRY_OF_DOMICILE")</f>
        <v>US</v>
      </c>
      <c r="K568" t="s">
        <v>626</v>
      </c>
      <c r="L568" t="s">
        <v>99</v>
      </c>
      <c r="O568" s="1"/>
      <c r="AQ568" s="1"/>
      <c r="AR568" s="1"/>
      <c r="AS568" s="1"/>
      <c r="AT568" t="str">
        <f>TEXT(_xll.BDP($B568,"MATURITY"),"yyyy-mm-dd")</f>
        <v>2030-12-15</v>
      </c>
      <c r="AU568" t="str">
        <f>_xll.BDP($B568,"CPN_TYP")</f>
        <v>FIXED</v>
      </c>
      <c r="AV568">
        <f>_xll.BDP($B568,"CPN")</f>
        <v>4.9000000000000004</v>
      </c>
    </row>
    <row r="569" spans="1:48" x14ac:dyDescent="0.25">
      <c r="A569" t="s">
        <v>1840</v>
      </c>
      <c r="B569" t="s">
        <v>1858</v>
      </c>
      <c r="C569" s="1" t="s">
        <v>1859</v>
      </c>
      <c r="D569" t="s">
        <v>1860</v>
      </c>
      <c r="E569" t="str">
        <f>_xll.BDP($B569,"LEGAL_ENTITY_IDENTIFIER")</f>
        <v>5493001NTNQJDH60PM02</v>
      </c>
      <c r="F569" t="s">
        <v>1861</v>
      </c>
      <c r="G569" t="str">
        <f>custodian!D569</f>
        <v>01609WAT9</v>
      </c>
      <c r="H569" t="str">
        <f>_xll.BDP($B569,"ID_ISIN")</f>
        <v>US01609WAT99</v>
      </c>
      <c r="I569" s="1"/>
      <c r="J569" t="str">
        <f>_xll.BDP($B569,"CNTRY_OF_DOMICILE")</f>
        <v>HK</v>
      </c>
      <c r="K569" t="s">
        <v>626</v>
      </c>
      <c r="L569" t="s">
        <v>99</v>
      </c>
      <c r="O569" s="1"/>
      <c r="AQ569" s="1"/>
      <c r="AR569" s="1"/>
      <c r="AS569" s="1"/>
      <c r="AT569" t="str">
        <f>TEXT(_xll.BDP($B569,"MATURITY"),"yyyy-mm-dd")</f>
        <v>2027-12-06</v>
      </c>
      <c r="AU569" t="str">
        <f>_xll.BDP($B569,"CPN_TYP")</f>
        <v>FIXED</v>
      </c>
      <c r="AV569">
        <f>_xll.BDP($B569,"CPN")</f>
        <v>3.4</v>
      </c>
    </row>
    <row r="570" spans="1:48" x14ac:dyDescent="0.25">
      <c r="A570" t="s">
        <v>1840</v>
      </c>
      <c r="B570" t="s">
        <v>1862</v>
      </c>
      <c r="C570" s="1" t="s">
        <v>1863</v>
      </c>
      <c r="D570" t="s">
        <v>1864</v>
      </c>
      <c r="E570" t="str">
        <f>_xll.BDP($B570,"LEGAL_ENTITY_IDENTIFIER")</f>
        <v>549300DCJE6AYX159479</v>
      </c>
      <c r="F570" t="s">
        <v>1865</v>
      </c>
      <c r="G570" t="str">
        <f>custodian!D570</f>
        <v>017175AE0</v>
      </c>
      <c r="H570" t="str">
        <f>_xll.BDP($B570,"ID_ISIN")</f>
        <v>US017175AE07</v>
      </c>
      <c r="I570" s="1"/>
      <c r="J570" t="str">
        <f>_xll.BDP($B570,"CNTRY_OF_DOMICILE")</f>
        <v>US</v>
      </c>
      <c r="K570" t="s">
        <v>626</v>
      </c>
      <c r="L570" t="s">
        <v>99</v>
      </c>
      <c r="O570" s="1"/>
      <c r="AQ570" s="1"/>
      <c r="AR570" s="1"/>
      <c r="AS570" s="1"/>
      <c r="AT570" t="str">
        <f>TEXT(_xll.BDP($B570,"MATURITY"),"yyyy-mm-dd")</f>
        <v>2030-05-15</v>
      </c>
      <c r="AU570" t="str">
        <f>_xll.BDP($B570,"CPN_TYP")</f>
        <v>FIXED</v>
      </c>
      <c r="AV570">
        <f>_xll.BDP($B570,"CPN")</f>
        <v>3.625</v>
      </c>
    </row>
    <row r="571" spans="1:48" x14ac:dyDescent="0.25">
      <c r="A571" t="s">
        <v>1840</v>
      </c>
      <c r="B571" t="s">
        <v>1866</v>
      </c>
      <c r="C571" s="1" t="s">
        <v>1867</v>
      </c>
      <c r="D571" t="s">
        <v>1868</v>
      </c>
      <c r="E571" t="str">
        <f>_xll.BDP($B571,"LEGAL_ENTITY_IDENTIFIER")</f>
        <v>5493006MHB84DD0ZWV18</v>
      </c>
      <c r="F571" t="s">
        <v>1868</v>
      </c>
      <c r="G571" t="str">
        <f>custodian!D571</f>
        <v>02079KBK2</v>
      </c>
      <c r="H571" t="str">
        <f>_xll.BDP($B571,"ID_ISIN")</f>
        <v>US02079KBK25</v>
      </c>
      <c r="I571" s="1"/>
      <c r="J571" t="str">
        <f>_xll.BDP($B571,"CNTRY_OF_DOMICILE")</f>
        <v>US</v>
      </c>
      <c r="K571" t="s">
        <v>626</v>
      </c>
      <c r="L571" t="s">
        <v>99</v>
      </c>
      <c r="O571" s="1"/>
      <c r="AQ571" s="1"/>
      <c r="AR571" s="1"/>
      <c r="AS571" s="1"/>
      <c r="AT571" t="str">
        <f>TEXT(_xll.BDP($B571,"MATURITY"),"yyyy-mm-dd")</f>
        <v>2031-02-15</v>
      </c>
      <c r="AU571" t="str">
        <f>_xll.BDP($B571,"CPN_TYP")</f>
        <v>FIXED</v>
      </c>
      <c r="AV571">
        <f>_xll.BDP($B571,"CPN")</f>
        <v>4.0999999999999996</v>
      </c>
    </row>
    <row r="572" spans="1:48" x14ac:dyDescent="0.25">
      <c r="A572" t="s">
        <v>1840</v>
      </c>
      <c r="B572" t="s">
        <v>1869</v>
      </c>
      <c r="C572" s="1" t="s">
        <v>1870</v>
      </c>
      <c r="D572" t="s">
        <v>1871</v>
      </c>
      <c r="E572" t="str">
        <f>_xll.BDP($B572,"LEGAL_ENTITY_IDENTIFIER")</f>
        <v>XSGZFLO9YTNO9VCQV219</v>
      </c>
      <c r="F572" t="s">
        <v>1872</v>
      </c>
      <c r="G572" t="str">
        <f>custodian!D572</f>
        <v>02209SBD4</v>
      </c>
      <c r="H572" t="str">
        <f>_xll.BDP($B572,"ID_ISIN")</f>
        <v>US02209SBD45</v>
      </c>
      <c r="I572" s="1"/>
      <c r="J572" t="str">
        <f>_xll.BDP($B572,"CNTRY_OF_DOMICILE")</f>
        <v>US</v>
      </c>
      <c r="K572" t="s">
        <v>626</v>
      </c>
      <c r="L572" t="s">
        <v>99</v>
      </c>
      <c r="O572" s="1"/>
      <c r="AQ572" s="1"/>
      <c r="AR572" s="1"/>
      <c r="AS572" s="1"/>
      <c r="AT572" t="str">
        <f>TEXT(_xll.BDP($B572,"MATURITY"),"yyyy-mm-dd")</f>
        <v>2029-02-14</v>
      </c>
      <c r="AU572" t="str">
        <f>_xll.BDP($B572,"CPN_TYP")</f>
        <v>FIXED</v>
      </c>
      <c r="AV572">
        <f>_xll.BDP($B572,"CPN")</f>
        <v>4.8</v>
      </c>
    </row>
    <row r="573" spans="1:48" x14ac:dyDescent="0.25">
      <c r="A573" t="s">
        <v>1840</v>
      </c>
      <c r="B573" t="s">
        <v>1873</v>
      </c>
      <c r="C573" s="1" t="s">
        <v>1874</v>
      </c>
      <c r="D573" t="s">
        <v>1875</v>
      </c>
      <c r="E573" t="str">
        <f>_xll.BDP($B573,"LEGAL_ENTITY_IDENTIFIER")</f>
        <v>ZXTILKJKG63JELOEG630</v>
      </c>
      <c r="F573" t="s">
        <v>1876</v>
      </c>
      <c r="G573" t="str">
        <f>custodian!D573</f>
        <v>023135DD5</v>
      </c>
      <c r="H573" t="str">
        <f>_xll.BDP($B573,"ID_ISIN")</f>
        <v>US023135DD51</v>
      </c>
      <c r="I573" s="1"/>
      <c r="J573" t="str">
        <f>_xll.BDP($B573,"CNTRY_OF_DOMICILE")</f>
        <v>US</v>
      </c>
      <c r="K573" t="s">
        <v>626</v>
      </c>
      <c r="L573" t="s">
        <v>99</v>
      </c>
      <c r="O573" s="1"/>
      <c r="AQ573" s="1"/>
      <c r="AR573" s="1"/>
      <c r="AS573" s="1"/>
      <c r="AT573" t="str">
        <f>TEXT(_xll.BDP($B573,"MATURITY"),"yyyy-mm-dd")</f>
        <v>2031-03-13</v>
      </c>
      <c r="AU573" t="str">
        <f>_xll.BDP($B573,"CPN_TYP")</f>
        <v>FIXED</v>
      </c>
      <c r="AV573">
        <f>_xll.BDP($B573,"CPN")</f>
        <v>4.25</v>
      </c>
    </row>
    <row r="574" spans="1:48" x14ac:dyDescent="0.25">
      <c r="A574" t="s">
        <v>1840</v>
      </c>
      <c r="B574" t="s">
        <v>1877</v>
      </c>
      <c r="C574" s="1" t="s">
        <v>1878</v>
      </c>
      <c r="D574" t="s">
        <v>1879</v>
      </c>
      <c r="E574" t="str">
        <f>_xll.BDP($B574,"LEGAL_ENTITY_IDENTIFIER")</f>
        <v>R4PP93JZOLY261QX3811</v>
      </c>
      <c r="F574" t="s">
        <v>1880</v>
      </c>
      <c r="G574" t="str">
        <f>custodian!D574</f>
        <v>025816ED7</v>
      </c>
      <c r="H574" t="str">
        <f>_xll.BDP($B574,"ID_ISIN")</f>
        <v>US025816ED77</v>
      </c>
      <c r="I574" s="1"/>
      <c r="J574" t="str">
        <f>_xll.BDP($B574,"CNTRY_OF_DOMICILE")</f>
        <v>US</v>
      </c>
      <c r="K574" t="s">
        <v>626</v>
      </c>
      <c r="L574" t="s">
        <v>99</v>
      </c>
      <c r="O574" s="1"/>
      <c r="AQ574" s="1"/>
      <c r="AR574" s="1"/>
      <c r="AS574" s="1"/>
      <c r="AT574" t="str">
        <f>TEXT(_xll.BDP($B574,"MATURITY"),"yyyy-mm-dd")</f>
        <v>2029-04-25</v>
      </c>
      <c r="AU574" t="str">
        <f>_xll.BDP($B574,"CPN_TYP")</f>
        <v>VARIABLE</v>
      </c>
      <c r="AV574">
        <f>_xll.BDP($B574,"CPN")</f>
        <v>4.7309999999999999</v>
      </c>
    </row>
    <row r="575" spans="1:48" x14ac:dyDescent="0.25">
      <c r="A575" t="s">
        <v>1840</v>
      </c>
      <c r="B575" t="s">
        <v>1881</v>
      </c>
      <c r="C575" s="1" t="s">
        <v>1882</v>
      </c>
      <c r="D575" t="s">
        <v>1883</v>
      </c>
      <c r="E575" t="str">
        <f>_xll.BDP($B575,"LEGAL_ENTITY_IDENTIFIER")</f>
        <v>5IDHQUFVC8Q2KIBBFF06</v>
      </c>
      <c r="F575" t="s">
        <v>1884</v>
      </c>
      <c r="G575" t="str">
        <f>custodian!D575</f>
        <v>03040WAS4</v>
      </c>
      <c r="H575" t="str">
        <f>_xll.BDP($B575,"ID_ISIN")</f>
        <v>US03040WAS44</v>
      </c>
      <c r="I575" s="1"/>
      <c r="J575" t="str">
        <f>_xll.BDP($B575,"CNTRY_OF_DOMICILE")</f>
        <v>US</v>
      </c>
      <c r="K575" t="s">
        <v>626</v>
      </c>
      <c r="L575" t="s">
        <v>99</v>
      </c>
      <c r="O575" s="1"/>
      <c r="AQ575" s="1"/>
      <c r="AR575" s="1"/>
      <c r="AS575" s="1"/>
      <c r="AT575" t="str">
        <f>TEXT(_xll.BDP($B575,"MATURITY"),"yyyy-mm-dd")</f>
        <v>2028-09-01</v>
      </c>
      <c r="AU575" t="str">
        <f>_xll.BDP($B575,"CPN_TYP")</f>
        <v>FIXED</v>
      </c>
      <c r="AV575">
        <f>_xll.BDP($B575,"CPN")</f>
        <v>3.75</v>
      </c>
    </row>
    <row r="576" spans="1:48" x14ac:dyDescent="0.25">
      <c r="A576" t="s">
        <v>1840</v>
      </c>
      <c r="B576" t="s">
        <v>1885</v>
      </c>
      <c r="C576" s="1" t="s">
        <v>1886</v>
      </c>
      <c r="D576" t="s">
        <v>1887</v>
      </c>
      <c r="E576" t="str">
        <f>_xll.BDP($B576,"LEGAL_ENTITY_IDENTIFIER")</f>
        <v>62QBXGPJ34PQ72Z12S66</v>
      </c>
      <c r="F576" t="s">
        <v>1887</v>
      </c>
      <c r="G576" t="str">
        <f>custodian!D576</f>
        <v>031162DP2</v>
      </c>
      <c r="H576" t="str">
        <f>_xll.BDP($B576,"ID_ISIN")</f>
        <v>US031162DP23</v>
      </c>
      <c r="I576" s="1"/>
      <c r="J576" t="str">
        <f>_xll.BDP($B576,"CNTRY_OF_DOMICILE")</f>
        <v>US</v>
      </c>
      <c r="K576" t="s">
        <v>626</v>
      </c>
      <c r="L576" t="s">
        <v>99</v>
      </c>
      <c r="O576" s="1"/>
      <c r="AQ576" s="1"/>
      <c r="AR576" s="1"/>
      <c r="AS576" s="1"/>
      <c r="AT576" t="str">
        <f>TEXT(_xll.BDP($B576,"MATURITY"),"yyyy-mm-dd")</f>
        <v>2028-03-02</v>
      </c>
      <c r="AU576" t="str">
        <f>_xll.BDP($B576,"CPN_TYP")</f>
        <v>FIXED</v>
      </c>
      <c r="AV576">
        <f>_xll.BDP($B576,"CPN")</f>
        <v>5.15</v>
      </c>
    </row>
    <row r="577" spans="1:48" x14ac:dyDescent="0.25">
      <c r="A577" t="s">
        <v>1840</v>
      </c>
      <c r="B577" t="s">
        <v>1888</v>
      </c>
      <c r="C577" s="1" t="s">
        <v>1889</v>
      </c>
      <c r="D577" t="s">
        <v>1890</v>
      </c>
      <c r="E577" t="str">
        <f>_xll.BDP($B577,"LEGAL_ENTITY_IDENTIFIER")</f>
        <v>549300D3L3G0R4U4VT04</v>
      </c>
      <c r="F577" t="s">
        <v>1891</v>
      </c>
      <c r="G577" t="str">
        <f>custodian!D577</f>
        <v>032095AT8</v>
      </c>
      <c r="H577" t="str">
        <f>_xll.BDP($B577,"ID_ISIN")</f>
        <v>US032095AT89</v>
      </c>
      <c r="I577" s="1"/>
      <c r="J577" t="str">
        <f>_xll.BDP($B577,"CNTRY_OF_DOMICILE")</f>
        <v>US</v>
      </c>
      <c r="K577" t="s">
        <v>626</v>
      </c>
      <c r="L577" t="s">
        <v>99</v>
      </c>
      <c r="O577" s="1"/>
      <c r="AQ577" s="1"/>
      <c r="AR577" s="1"/>
      <c r="AS577" s="1"/>
      <c r="AT577" t="str">
        <f>TEXT(_xll.BDP($B577,"MATURITY"),"yyyy-mm-dd")</f>
        <v>2028-06-12</v>
      </c>
      <c r="AU577" t="str">
        <f>_xll.BDP($B577,"CPN_TYP")</f>
        <v>FIXED</v>
      </c>
      <c r="AV577">
        <f>_xll.BDP($B577,"CPN")</f>
        <v>4.375</v>
      </c>
    </row>
    <row r="578" spans="1:48" x14ac:dyDescent="0.25">
      <c r="A578" t="s">
        <v>1840</v>
      </c>
      <c r="B578" t="s">
        <v>1892</v>
      </c>
      <c r="C578" s="1" t="s">
        <v>1893</v>
      </c>
      <c r="D578" t="s">
        <v>1894</v>
      </c>
      <c r="E578" t="str">
        <f>_xll.BDP($B578,"LEGAL_ENTITY_IDENTIFIER")</f>
        <v>549300CRGMZK3K53BF92</v>
      </c>
      <c r="F578" t="s">
        <v>1895</v>
      </c>
      <c r="G578" t="str">
        <f>custodian!D578</f>
        <v>035240AV2</v>
      </c>
      <c r="H578" t="str">
        <f>_xll.BDP($B578,"ID_ISIN")</f>
        <v>US035240AV25</v>
      </c>
      <c r="I578" s="1"/>
      <c r="J578" t="str">
        <f>_xll.BDP($B578,"CNTRY_OF_DOMICILE")</f>
        <v>US</v>
      </c>
      <c r="K578" t="s">
        <v>626</v>
      </c>
      <c r="L578" t="s">
        <v>99</v>
      </c>
      <c r="O578" s="1"/>
      <c r="AQ578" s="1"/>
      <c r="AR578" s="1"/>
      <c r="AS578" s="1"/>
      <c r="AT578" t="str">
        <f>TEXT(_xll.BDP($B578,"MATURITY"),"yyyy-mm-dd")</f>
        <v>2030-06-01</v>
      </c>
      <c r="AU578" t="str">
        <f>_xll.BDP($B578,"CPN_TYP")</f>
        <v>FIXED</v>
      </c>
      <c r="AV578">
        <f>_xll.BDP($B578,"CPN")</f>
        <v>3.5</v>
      </c>
    </row>
    <row r="579" spans="1:48" x14ac:dyDescent="0.25">
      <c r="A579" t="s">
        <v>1840</v>
      </c>
      <c r="B579" t="s">
        <v>1896</v>
      </c>
      <c r="C579" s="1" t="s">
        <v>1897</v>
      </c>
      <c r="D579" t="s">
        <v>1898</v>
      </c>
      <c r="E579" t="str">
        <f>_xll.BDP($B579,"LEGAL_ENTITY_IDENTIFIER")</f>
        <v>8MYN82XMYQH89CTMTH67</v>
      </c>
      <c r="F579" t="s">
        <v>1899</v>
      </c>
      <c r="G579" t="str">
        <f>custodian!D579</f>
        <v>036752AP8</v>
      </c>
      <c r="H579" t="str">
        <f>_xll.BDP($B579,"ID_ISIN")</f>
        <v>US036752AP88</v>
      </c>
      <c r="I579" s="1"/>
      <c r="J579" t="str">
        <f>_xll.BDP($B579,"CNTRY_OF_DOMICILE")</f>
        <v>US</v>
      </c>
      <c r="K579" t="s">
        <v>626</v>
      </c>
      <c r="L579" t="s">
        <v>99</v>
      </c>
      <c r="O579" s="1"/>
      <c r="AQ579" s="1"/>
      <c r="AR579" s="1"/>
      <c r="AS579" s="1"/>
      <c r="AT579" t="str">
        <f>TEXT(_xll.BDP($B579,"MATURITY"),"yyyy-mm-dd")</f>
        <v>2031-03-15</v>
      </c>
      <c r="AU579" t="str">
        <f>_xll.BDP($B579,"CPN_TYP")</f>
        <v>FIXED</v>
      </c>
      <c r="AV579">
        <f>_xll.BDP($B579,"CPN")</f>
        <v>2.5499999999999998</v>
      </c>
    </row>
    <row r="580" spans="1:48" x14ac:dyDescent="0.25">
      <c r="A580" t="s">
        <v>1840</v>
      </c>
      <c r="B580" t="s">
        <v>1900</v>
      </c>
      <c r="C580" s="1" t="s">
        <v>1901</v>
      </c>
      <c r="D580" t="s">
        <v>1902</v>
      </c>
      <c r="E580" t="str">
        <f>_xll.BDP($B580,"LEGAL_ENTITY_IDENTIFIER")</f>
        <v>HWUPKR0MPOU8FGXBT394</v>
      </c>
      <c r="F580" t="s">
        <v>1902</v>
      </c>
      <c r="G580" t="str">
        <f>custodian!D580</f>
        <v>037833ED8</v>
      </c>
      <c r="H580" t="str">
        <f>_xll.BDP($B580,"ID_ISIN")</f>
        <v>US037833ED89</v>
      </c>
      <c r="I580" s="1"/>
      <c r="J580" t="str">
        <f>_xll.BDP($B580,"CNTRY_OF_DOMICILE")</f>
        <v>US</v>
      </c>
      <c r="K580" t="s">
        <v>626</v>
      </c>
      <c r="L580" t="s">
        <v>99</v>
      </c>
      <c r="O580" s="1"/>
      <c r="AQ580" s="1"/>
      <c r="AR580" s="1"/>
      <c r="AS580" s="1"/>
      <c r="AT580" t="str">
        <f>TEXT(_xll.BDP($B580,"MATURITY"),"yyyy-mm-dd")</f>
        <v>2031-02-08</v>
      </c>
      <c r="AU580" t="str">
        <f>_xll.BDP($B580,"CPN_TYP")</f>
        <v>FIXED</v>
      </c>
      <c r="AV580">
        <f>_xll.BDP($B580,"CPN")</f>
        <v>1.65</v>
      </c>
    </row>
    <row r="581" spans="1:48" x14ac:dyDescent="0.25">
      <c r="A581" t="s">
        <v>1840</v>
      </c>
      <c r="B581" t="s">
        <v>1903</v>
      </c>
      <c r="C581" s="1" t="s">
        <v>1904</v>
      </c>
      <c r="D581" t="s">
        <v>1905</v>
      </c>
      <c r="E581" t="str">
        <f>_xll.BDP($B581,"LEGAL_ENTITY_IDENTIFIER")</f>
        <v>WEQ82666OJYSI5GUAB47</v>
      </c>
      <c r="F581" t="s">
        <v>1906</v>
      </c>
      <c r="G581" t="str">
        <f>custodian!D581</f>
        <v>04010LBB8</v>
      </c>
      <c r="H581" t="str">
        <f>_xll.BDP($B581,"ID_ISIN")</f>
        <v>US04010LBB80</v>
      </c>
      <c r="I581" s="1"/>
      <c r="J581" t="str">
        <f>_xll.BDP($B581,"CNTRY_OF_DOMICILE")</f>
        <v>US</v>
      </c>
      <c r="K581" t="s">
        <v>626</v>
      </c>
      <c r="L581" t="s">
        <v>99</v>
      </c>
      <c r="O581" s="1"/>
      <c r="AQ581" s="1"/>
      <c r="AR581" s="1"/>
      <c r="AS581" s="1"/>
      <c r="AT581" t="str">
        <f>TEXT(_xll.BDP($B581,"MATURITY"),"yyyy-mm-dd")</f>
        <v>2028-06-15</v>
      </c>
      <c r="AU581" t="str">
        <f>_xll.BDP($B581,"CPN_TYP")</f>
        <v>FIXED</v>
      </c>
      <c r="AV581">
        <f>_xll.BDP($B581,"CPN")</f>
        <v>2.875</v>
      </c>
    </row>
    <row r="582" spans="1:48" x14ac:dyDescent="0.25">
      <c r="A582" t="s">
        <v>1840</v>
      </c>
      <c r="B582" t="s">
        <v>1907</v>
      </c>
      <c r="C582" s="1" t="s">
        <v>1908</v>
      </c>
      <c r="D582" t="s">
        <v>1909</v>
      </c>
      <c r="E582" t="str">
        <f>_xll.BDP($B582,"LEGAL_ENTITY_IDENTIFIER")</f>
        <v>WEQ82666OJYSI5GUAB47</v>
      </c>
      <c r="F582" t="s">
        <v>1910</v>
      </c>
      <c r="G582" t="str">
        <f>custodian!D582</f>
        <v>04010LBF9</v>
      </c>
      <c r="H582" t="str">
        <f>_xll.BDP($B582,"ID_ISIN")</f>
        <v>US04010LBF94</v>
      </c>
      <c r="I582" s="1"/>
      <c r="J582" t="str">
        <f>_xll.BDP($B582,"CNTRY_OF_DOMICILE")</f>
        <v>US</v>
      </c>
      <c r="K582" t="s">
        <v>626</v>
      </c>
      <c r="L582" t="s">
        <v>99</v>
      </c>
      <c r="O582" s="1"/>
      <c r="AQ582" s="1"/>
      <c r="AR582" s="1"/>
      <c r="AS582" s="1"/>
      <c r="AT582" t="str">
        <f>TEXT(_xll.BDP($B582,"MATURITY"),"yyyy-mm-dd")</f>
        <v>2029-03-01</v>
      </c>
      <c r="AU582" t="str">
        <f>_xll.BDP($B582,"CPN_TYP")</f>
        <v>FIXED</v>
      </c>
      <c r="AV582">
        <f>_xll.BDP($B582,"CPN")</f>
        <v>5.875</v>
      </c>
    </row>
    <row r="583" spans="1:48" x14ac:dyDescent="0.25">
      <c r="A583" t="s">
        <v>1840</v>
      </c>
      <c r="B583" t="s">
        <v>1911</v>
      </c>
      <c r="C583" s="1" t="s">
        <v>1912</v>
      </c>
      <c r="D583" t="s">
        <v>1913</v>
      </c>
      <c r="E583" t="str">
        <f>_xll.BDP($B583,"LEGAL_ENTITY_IDENTIFIER")</f>
        <v>549300C3HATU4Q460S18</v>
      </c>
      <c r="F583" t="s">
        <v>1914</v>
      </c>
      <c r="G583" t="str">
        <f>custodian!D583</f>
        <v>04636NAF0</v>
      </c>
      <c r="H583" t="str">
        <f>_xll.BDP($B583,"ID_ISIN")</f>
        <v>US04636NAF06</v>
      </c>
      <c r="I583" s="1"/>
      <c r="J583" t="str">
        <f>_xll.BDP($B583,"CNTRY_OF_DOMICILE")</f>
        <v>US</v>
      </c>
      <c r="K583" t="s">
        <v>626</v>
      </c>
      <c r="L583" t="s">
        <v>99</v>
      </c>
      <c r="O583" s="1"/>
      <c r="AQ583" s="1"/>
      <c r="AR583" s="1"/>
      <c r="AS583" s="1"/>
      <c r="AT583" t="str">
        <f>TEXT(_xll.BDP($B583,"MATURITY"),"yyyy-mm-dd")</f>
        <v>2028-03-03</v>
      </c>
      <c r="AU583" t="str">
        <f>_xll.BDP($B583,"CPN_TYP")</f>
        <v>FIXED</v>
      </c>
      <c r="AV583">
        <f>_xll.BDP($B583,"CPN")</f>
        <v>4.875</v>
      </c>
    </row>
    <row r="584" spans="1:48" x14ac:dyDescent="0.25">
      <c r="A584" t="s">
        <v>1840</v>
      </c>
      <c r="B584" t="s">
        <v>1915</v>
      </c>
      <c r="C584" s="1" t="s">
        <v>1916</v>
      </c>
      <c r="D584" t="s">
        <v>1917</v>
      </c>
      <c r="E584" t="str">
        <f>_xll.BDP($B584,"LEGAL_ENTITY_IDENTIFIER")</f>
        <v>#N/A N/A</v>
      </c>
      <c r="F584" t="s">
        <v>1918</v>
      </c>
      <c r="G584" t="str">
        <f>custodian!D584</f>
        <v>051473AD8</v>
      </c>
      <c r="H584" t="str">
        <f>_xll.BDP($B584,"ID_ISIN")</f>
        <v>US051473AD89</v>
      </c>
      <c r="I584" s="1"/>
      <c r="J584" t="str">
        <f>_xll.BDP($B584,"CNTRY_OF_DOMICILE")</f>
        <v>US</v>
      </c>
      <c r="K584" t="s">
        <v>626</v>
      </c>
      <c r="L584" t="s">
        <v>99</v>
      </c>
      <c r="O584" s="1"/>
      <c r="AQ584" s="1"/>
      <c r="AR584" s="1"/>
      <c r="AS584" s="1"/>
      <c r="AT584" t="str">
        <f>TEXT(_xll.BDP($B584,"MATURITY"),"yyyy-mm-dd")</f>
        <v>2031-03-23</v>
      </c>
      <c r="AU584" t="str">
        <f>_xll.BDP($B584,"CPN_TYP")</f>
        <v>FIXED</v>
      </c>
      <c r="AV584">
        <f>_xll.BDP($B584,"CPN")</f>
        <v>4.6559999999999997</v>
      </c>
    </row>
    <row r="585" spans="1:48" x14ac:dyDescent="0.25">
      <c r="A585" t="s">
        <v>1840</v>
      </c>
      <c r="B585" t="s">
        <v>1919</v>
      </c>
      <c r="C585" s="1" t="s">
        <v>1920</v>
      </c>
      <c r="D585" t="s">
        <v>1921</v>
      </c>
      <c r="E585" t="str">
        <f>_xll.BDP($B585,"LEGAL_ENTITY_IDENTIFIER")</f>
        <v>549300OX0Q38NLSKPB49</v>
      </c>
      <c r="F585" t="s">
        <v>1921</v>
      </c>
      <c r="G585" t="str">
        <f>custodian!D585</f>
        <v>05351WAB9</v>
      </c>
      <c r="H585" t="str">
        <f>_xll.BDP($B585,"ID_ISIN")</f>
        <v>US05351WAB90</v>
      </c>
      <c r="I585" s="1"/>
      <c r="J585" t="str">
        <f>_xll.BDP($B585,"CNTRY_OF_DOMICILE")</f>
        <v>US</v>
      </c>
      <c r="K585" t="s">
        <v>626</v>
      </c>
      <c r="L585" t="s">
        <v>99</v>
      </c>
      <c r="O585" s="1"/>
      <c r="AQ585" s="1"/>
      <c r="AR585" s="1"/>
      <c r="AS585" s="1"/>
      <c r="AT585" t="str">
        <f>TEXT(_xll.BDP($B585,"MATURITY"),"yyyy-mm-dd")</f>
        <v>2029-06-01</v>
      </c>
      <c r="AU585" t="str">
        <f>_xll.BDP($B585,"CPN_TYP")</f>
        <v>FIXED</v>
      </c>
      <c r="AV585">
        <f>_xll.BDP($B585,"CPN")</f>
        <v>3.8</v>
      </c>
    </row>
    <row r="586" spans="1:48" x14ac:dyDescent="0.25">
      <c r="A586" t="s">
        <v>1840</v>
      </c>
      <c r="B586" t="s">
        <v>1922</v>
      </c>
      <c r="C586" s="1" t="s">
        <v>1923</v>
      </c>
      <c r="D586" t="s">
        <v>1924</v>
      </c>
      <c r="E586" t="str">
        <f>_xll.BDP($B586,"LEGAL_ENTITY_IDENTIFIER")</f>
        <v>2138005GYEXN7XRHFA84</v>
      </c>
      <c r="F586" t="s">
        <v>1925</v>
      </c>
      <c r="G586" t="str">
        <f>custodian!D586</f>
        <v>054989AA6</v>
      </c>
      <c r="H586" t="str">
        <f>_xll.BDP($B586,"ID_ISIN")</f>
        <v>US054989AA67</v>
      </c>
      <c r="I586" s="1"/>
      <c r="J586" t="str">
        <f>_xll.BDP($B586,"CNTRY_OF_DOMICILE")</f>
        <v>US</v>
      </c>
      <c r="K586" t="s">
        <v>626</v>
      </c>
      <c r="L586" t="s">
        <v>99</v>
      </c>
      <c r="O586" s="1"/>
      <c r="AQ586" s="1"/>
      <c r="AR586" s="1"/>
      <c r="AS586" s="1"/>
      <c r="AT586" t="str">
        <f>TEXT(_xll.BDP($B586,"MATURITY"),"yyyy-mm-dd")</f>
        <v>2030-08-02</v>
      </c>
      <c r="AU586" t="str">
        <f>_xll.BDP($B586,"CPN_TYP")</f>
        <v>FIXED</v>
      </c>
      <c r="AV586">
        <f>_xll.BDP($B586,"CPN")</f>
        <v>6.343</v>
      </c>
    </row>
    <row r="587" spans="1:48" x14ac:dyDescent="0.25">
      <c r="A587" t="s">
        <v>1840</v>
      </c>
      <c r="B587" t="s">
        <v>1926</v>
      </c>
      <c r="C587" s="1" t="s">
        <v>1927</v>
      </c>
      <c r="D587" t="s">
        <v>1928</v>
      </c>
      <c r="E587" t="str">
        <f>_xll.BDP($B587,"LEGAL_ENTITY_IDENTIFIER")</f>
        <v>2549001IGRCG4F0RLD36</v>
      </c>
      <c r="F587" t="s">
        <v>1928</v>
      </c>
      <c r="G587" t="str">
        <f>custodian!D587</f>
        <v>05555LAD3</v>
      </c>
      <c r="H587" t="str">
        <f>_xll.BDP($B587,"ID_ISIN")</f>
        <v>US05555LAD38</v>
      </c>
      <c r="I587" s="1"/>
      <c r="J587" t="str">
        <f>_xll.BDP($B587,"CNTRY_OF_DOMICILE")</f>
        <v>US</v>
      </c>
      <c r="K587" t="s">
        <v>626</v>
      </c>
      <c r="L587" t="s">
        <v>99</v>
      </c>
      <c r="O587" s="1"/>
      <c r="AQ587" s="1"/>
      <c r="AR587" s="1"/>
      <c r="AS587" s="1"/>
      <c r="AT587" t="str">
        <f>TEXT(_xll.BDP($B587,"MATURITY"),"yyyy-mm-dd")</f>
        <v>2030-04-02</v>
      </c>
      <c r="AU587" t="str">
        <f>_xll.BDP($B587,"CPN_TYP")</f>
        <v>FIXED</v>
      </c>
      <c r="AV587">
        <f>_xll.BDP($B587,"CPN")</f>
        <v>6.15</v>
      </c>
    </row>
    <row r="588" spans="1:48" x14ac:dyDescent="0.25">
      <c r="A588" t="s">
        <v>1840</v>
      </c>
      <c r="B588" t="s">
        <v>1929</v>
      </c>
      <c r="C588" s="1" t="s">
        <v>1930</v>
      </c>
      <c r="D588" t="s">
        <v>1931</v>
      </c>
      <c r="E588" t="str">
        <f>_xll.BDP($B588,"LEGAL_ENTITY_IDENTIFIER")</f>
        <v>K8MS7FD7N5Z2WQ51AZ71</v>
      </c>
      <c r="F588" t="s">
        <v>1932</v>
      </c>
      <c r="G588" t="str">
        <f>custodian!D588</f>
        <v>05946KAX9</v>
      </c>
      <c r="H588" t="str">
        <f>_xll.BDP($B588,"ID_ISIN")</f>
        <v>US05946KAX90</v>
      </c>
      <c r="I588" s="1"/>
      <c r="J588" t="str">
        <f>_xll.BDP($B588,"CNTRY_OF_DOMICILE")</f>
        <v>ES</v>
      </c>
      <c r="K588" t="s">
        <v>626</v>
      </c>
      <c r="L588" t="s">
        <v>99</v>
      </c>
      <c r="O588" s="1"/>
      <c r="AQ588" s="1"/>
      <c r="AR588" s="1"/>
      <c r="AS588" s="1"/>
      <c r="AT588" t="str">
        <f>TEXT(_xll.BDP($B588,"MATURITY"),"yyyy-mm-dd")</f>
        <v>2031-05-08</v>
      </c>
      <c r="AU588" t="str">
        <f>_xll.BDP($B588,"CPN_TYP")</f>
        <v>FIXED</v>
      </c>
      <c r="AV588">
        <f>_xll.BDP($B588,"CPN")</f>
        <v>4.968</v>
      </c>
    </row>
    <row r="589" spans="1:48" x14ac:dyDescent="0.25">
      <c r="A589" t="s">
        <v>1840</v>
      </c>
      <c r="B589" t="s">
        <v>1933</v>
      </c>
      <c r="C589" s="1" t="s">
        <v>1934</v>
      </c>
      <c r="D589" t="s">
        <v>1935</v>
      </c>
      <c r="E589" t="str">
        <f>_xll.BDP($B589,"LEGAL_ENTITY_IDENTIFIER")</f>
        <v>9DJT3UXIJIZJI4WXO774</v>
      </c>
      <c r="F589" t="s">
        <v>1936</v>
      </c>
      <c r="G589" t="str">
        <f>custodian!D589</f>
        <v>06051GHD4</v>
      </c>
      <c r="H589" t="str">
        <f>_xll.BDP($B589,"ID_ISIN")</f>
        <v>US06051GHD43</v>
      </c>
      <c r="I589" s="1"/>
      <c r="J589" t="str">
        <f>_xll.BDP($B589,"CNTRY_OF_DOMICILE")</f>
        <v>US</v>
      </c>
      <c r="K589" t="s">
        <v>626</v>
      </c>
      <c r="L589" t="s">
        <v>99</v>
      </c>
      <c r="O589" s="1"/>
      <c r="AQ589" s="1"/>
      <c r="AR589" s="1"/>
      <c r="AS589" s="1"/>
      <c r="AT589" t="str">
        <f>TEXT(_xll.BDP($B589,"MATURITY"),"yyyy-mm-dd")</f>
        <v>2028-12-20</v>
      </c>
      <c r="AU589" t="str">
        <f>_xll.BDP($B589,"CPN_TYP")</f>
        <v>VARIABLE</v>
      </c>
      <c r="AV589">
        <f>_xll.BDP($B589,"CPN")</f>
        <v>3.419</v>
      </c>
    </row>
    <row r="590" spans="1:48" x14ac:dyDescent="0.25">
      <c r="A590" t="s">
        <v>1840</v>
      </c>
      <c r="B590" t="s">
        <v>1937</v>
      </c>
      <c r="C590" s="1" t="s">
        <v>1938</v>
      </c>
      <c r="D590" t="s">
        <v>1939</v>
      </c>
      <c r="E590" t="str">
        <f>_xll.BDP($B590,"LEGAL_ENTITY_IDENTIFIER")</f>
        <v>9DJT3UXIJIZJI4WXO774</v>
      </c>
      <c r="F590" t="s">
        <v>1940</v>
      </c>
      <c r="G590" t="str">
        <f>custodian!D590</f>
        <v>06051GJT7</v>
      </c>
      <c r="H590" t="str">
        <f>_xll.BDP($B590,"ID_ISIN")</f>
        <v>US06051GJT76</v>
      </c>
      <c r="I590" s="1"/>
      <c r="J590" t="str">
        <f>_xll.BDP($B590,"CNTRY_OF_DOMICILE")</f>
        <v>US</v>
      </c>
      <c r="K590" t="s">
        <v>626</v>
      </c>
      <c r="L590" t="s">
        <v>99</v>
      </c>
      <c r="O590" s="1"/>
      <c r="AQ590" s="1"/>
      <c r="AR590" s="1"/>
      <c r="AS590" s="1"/>
      <c r="AT590" t="str">
        <f>TEXT(_xll.BDP($B590,"MATURITY"),"yyyy-mm-dd")</f>
        <v>2032-04-22</v>
      </c>
      <c r="AU590" t="str">
        <f>_xll.BDP($B590,"CPN_TYP")</f>
        <v>VARIABLE</v>
      </c>
      <c r="AV590">
        <f>_xll.BDP($B590,"CPN")</f>
        <v>2.6869999999999998</v>
      </c>
    </row>
    <row r="591" spans="1:48" x14ac:dyDescent="0.25">
      <c r="A591" t="s">
        <v>1840</v>
      </c>
      <c r="B591" t="s">
        <v>1941</v>
      </c>
      <c r="C591" s="1" t="s">
        <v>1942</v>
      </c>
      <c r="D591" t="s">
        <v>1943</v>
      </c>
      <c r="E591" t="str">
        <f>_xll.BDP($B591,"LEGAL_ENTITY_IDENTIFIER")</f>
        <v>NQQ6HPCNCCU6TUTQYE16</v>
      </c>
      <c r="F591" t="s">
        <v>1944</v>
      </c>
      <c r="G591" t="str">
        <f>custodian!D591</f>
        <v>06368LGV2</v>
      </c>
      <c r="H591" t="str">
        <f>_xll.BDP($B591,"ID_ISIN")</f>
        <v>US06368LGV27</v>
      </c>
      <c r="I591" s="1"/>
      <c r="J591" t="str">
        <f>_xll.BDP($B591,"CNTRY_OF_DOMICILE")</f>
        <v>CA</v>
      </c>
      <c r="K591" t="s">
        <v>626</v>
      </c>
      <c r="L591" t="s">
        <v>99</v>
      </c>
      <c r="O591" s="1"/>
      <c r="AQ591" s="1"/>
      <c r="AR591" s="1"/>
      <c r="AS591" s="1"/>
      <c r="AT591" t="str">
        <f>TEXT(_xll.BDP($B591,"MATURITY"),"yyyy-mm-dd")</f>
        <v>2028-02-01</v>
      </c>
      <c r="AU591" t="str">
        <f>_xll.BDP($B591,"CPN_TYP")</f>
        <v>FIXED</v>
      </c>
      <c r="AV591">
        <f>_xll.BDP($B591,"CPN")</f>
        <v>5.2030000000000003</v>
      </c>
    </row>
    <row r="592" spans="1:48" x14ac:dyDescent="0.25">
      <c r="A592" t="s">
        <v>1840</v>
      </c>
      <c r="B592" t="s">
        <v>1945</v>
      </c>
      <c r="C592" s="1" t="s">
        <v>1946</v>
      </c>
      <c r="D592" t="s">
        <v>1947</v>
      </c>
      <c r="E592" t="str">
        <f>_xll.BDP($B592,"LEGAL_ENTITY_IDENTIFIER")</f>
        <v>WFLLPEPC7FZXENRZV188</v>
      </c>
      <c r="F592" t="s">
        <v>1948</v>
      </c>
      <c r="G592" t="str">
        <f>custodian!D592</f>
        <v>06406RCB1</v>
      </c>
      <c r="H592" t="str">
        <f>_xll.BDP($B592,"ID_ISIN")</f>
        <v>US06406RCB15</v>
      </c>
      <c r="I592" s="1"/>
      <c r="J592" t="str">
        <f>_xll.BDP($B592,"CNTRY_OF_DOMICILE")</f>
        <v>US</v>
      </c>
      <c r="K592" t="s">
        <v>626</v>
      </c>
      <c r="L592" t="s">
        <v>99</v>
      </c>
      <c r="O592" s="1"/>
      <c r="AQ592" s="1"/>
      <c r="AR592" s="1"/>
      <c r="AS592" s="1"/>
      <c r="AT592" t="str">
        <f>TEXT(_xll.BDP($B592,"MATURITY"),"yyyy-mm-dd")</f>
        <v>2031-02-11</v>
      </c>
      <c r="AU592" t="str">
        <f>_xll.BDP($B592,"CPN_TYP")</f>
        <v>VARIABLE</v>
      </c>
      <c r="AV592">
        <f>_xll.BDP($B592,"CPN")</f>
        <v>4.9420000000000002</v>
      </c>
    </row>
    <row r="593" spans="1:48" x14ac:dyDescent="0.25">
      <c r="A593" t="s">
        <v>1840</v>
      </c>
      <c r="B593" t="s">
        <v>1949</v>
      </c>
      <c r="C593" s="1" t="s">
        <v>1950</v>
      </c>
      <c r="D593" t="s">
        <v>1951</v>
      </c>
      <c r="E593" t="str">
        <f>_xll.BDP($B593,"LEGAL_ENTITY_IDENTIFIER")</f>
        <v>L3I9ZG2KFGXZ61BMYR72</v>
      </c>
      <c r="F593" t="s">
        <v>1952</v>
      </c>
      <c r="G593" t="str">
        <f>custodian!D593</f>
        <v>06418GAQ0</v>
      </c>
      <c r="H593" t="str">
        <f>_xll.BDP($B593,"ID_ISIN")</f>
        <v>US06418GAQ01</v>
      </c>
      <c r="I593" s="1"/>
      <c r="J593" t="str">
        <f>_xll.BDP($B593,"CNTRY_OF_DOMICILE")</f>
        <v>CA</v>
      </c>
      <c r="K593" t="s">
        <v>626</v>
      </c>
      <c r="L593" t="s">
        <v>99</v>
      </c>
      <c r="O593" s="1"/>
      <c r="AQ593" s="1"/>
      <c r="AR593" s="1"/>
      <c r="AS593" s="1"/>
      <c r="AT593" t="str">
        <f>TEXT(_xll.BDP($B593,"MATURITY"),"yyyy-mm-dd")</f>
        <v>2031-02-14</v>
      </c>
      <c r="AU593" t="str">
        <f>_xll.BDP($B593,"CPN_TYP")</f>
        <v>VARIABLE</v>
      </c>
      <c r="AV593">
        <f>_xll.BDP($B593,"CPN")</f>
        <v>5.13</v>
      </c>
    </row>
    <row r="594" spans="1:48" x14ac:dyDescent="0.25">
      <c r="A594" t="s">
        <v>1840</v>
      </c>
      <c r="B594" t="s">
        <v>1953</v>
      </c>
      <c r="C594" s="1" t="s">
        <v>1954</v>
      </c>
      <c r="D594" t="s">
        <v>1955</v>
      </c>
      <c r="E594" t="str">
        <f>_xll.BDP($B594,"LEGAL_ENTITY_IDENTIFIER")</f>
        <v>213800LBQA1Y9L22JB70</v>
      </c>
      <c r="F594" t="s">
        <v>1955</v>
      </c>
      <c r="G594" t="str">
        <f>custodian!D594</f>
        <v>06738ECY9</v>
      </c>
      <c r="H594" t="str">
        <f>_xll.BDP($B594,"ID_ISIN")</f>
        <v>US06738ECY95</v>
      </c>
      <c r="I594" s="1"/>
      <c r="J594" t="str">
        <f>_xll.BDP($B594,"CNTRY_OF_DOMICILE")</f>
        <v>GB</v>
      </c>
      <c r="K594" t="s">
        <v>626</v>
      </c>
      <c r="L594" t="s">
        <v>99</v>
      </c>
      <c r="O594" s="1"/>
      <c r="AQ594" s="1"/>
      <c r="AR594" s="1"/>
      <c r="AS594" s="1"/>
      <c r="AT594" t="str">
        <f>TEXT(_xll.BDP($B594,"MATURITY"),"yyyy-mm-dd")</f>
        <v>2031-02-25</v>
      </c>
      <c r="AU594" t="str">
        <f>_xll.BDP($B594,"CPN_TYP")</f>
        <v>VARIABLE</v>
      </c>
      <c r="AV594">
        <f>_xll.BDP($B594,"CPN")</f>
        <v>5.367</v>
      </c>
    </row>
    <row r="595" spans="1:48" x14ac:dyDescent="0.25">
      <c r="A595" t="s">
        <v>1840</v>
      </c>
      <c r="B595" t="s">
        <v>1956</v>
      </c>
      <c r="C595" s="1" t="s">
        <v>1957</v>
      </c>
      <c r="D595" t="s">
        <v>1958</v>
      </c>
      <c r="E595" t="str">
        <f>_xll.BDP($B595,"LEGAL_ENTITY_IDENTIFIER")</f>
        <v>529900VBK42Y5HHRMD23</v>
      </c>
      <c r="F595" t="s">
        <v>1958</v>
      </c>
      <c r="G595" t="str">
        <f>custodian!D595</f>
        <v>09247XAQ4</v>
      </c>
      <c r="H595" t="str">
        <f>_xll.BDP($B595,"ID_ISIN")</f>
        <v>US09247XAQ43</v>
      </c>
      <c r="I595" s="1"/>
      <c r="J595" t="str">
        <f>_xll.BDP($B595,"CNTRY_OF_DOMICILE")</f>
        <v>US</v>
      </c>
      <c r="K595" t="s">
        <v>626</v>
      </c>
      <c r="L595" t="s">
        <v>99</v>
      </c>
      <c r="O595" s="1"/>
      <c r="AQ595" s="1"/>
      <c r="AR595" s="1"/>
      <c r="AS595" s="1"/>
      <c r="AT595" t="str">
        <f>TEXT(_xll.BDP($B595,"MATURITY"),"yyyy-mm-dd")</f>
        <v>2030-04-30</v>
      </c>
      <c r="AU595" t="str">
        <f>_xll.BDP($B595,"CPN_TYP")</f>
        <v>FIXED</v>
      </c>
      <c r="AV595">
        <f>_xll.BDP($B595,"CPN")</f>
        <v>2.4</v>
      </c>
    </row>
    <row r="596" spans="1:48" x14ac:dyDescent="0.25">
      <c r="A596" t="s">
        <v>1840</v>
      </c>
      <c r="B596" t="s">
        <v>1959</v>
      </c>
      <c r="C596" s="1" t="s">
        <v>1960</v>
      </c>
      <c r="D596" t="s">
        <v>1961</v>
      </c>
      <c r="E596" t="str">
        <f>_xll.BDP($B596,"LEGAL_ENTITY_IDENTIFIER")</f>
        <v>549300ORP3TTCNXSYO43</v>
      </c>
      <c r="F596" t="s">
        <v>1962</v>
      </c>
      <c r="G596" t="str">
        <f>custodian!D596</f>
        <v>09261HCC9</v>
      </c>
      <c r="H596" t="str">
        <f>_xll.BDP($B596,"ID_ISIN")</f>
        <v>US09261HCC97</v>
      </c>
      <c r="I596" s="1"/>
      <c r="J596" t="str">
        <f>_xll.BDP($B596,"CNTRY_OF_DOMICILE")</f>
        <v>US</v>
      </c>
      <c r="K596" t="s">
        <v>626</v>
      </c>
      <c r="L596" t="s">
        <v>99</v>
      </c>
      <c r="O596" s="1"/>
      <c r="AQ596" s="1"/>
      <c r="AR596" s="1"/>
      <c r="AS596" s="1"/>
      <c r="AT596" t="str">
        <f>TEXT(_xll.BDP($B596,"MATURITY"),"yyyy-mm-dd")</f>
        <v>2031-05-15</v>
      </c>
      <c r="AU596" t="str">
        <f>_xll.BDP($B596,"CPN_TYP")</f>
        <v>FIXED</v>
      </c>
      <c r="AV596">
        <f>_xll.BDP($B596,"CPN")</f>
        <v>5.95</v>
      </c>
    </row>
    <row r="597" spans="1:48" x14ac:dyDescent="0.25">
      <c r="A597" t="s">
        <v>1840</v>
      </c>
      <c r="B597" t="s">
        <v>1963</v>
      </c>
      <c r="C597" s="1" t="s">
        <v>1964</v>
      </c>
      <c r="D597" t="s">
        <v>1965</v>
      </c>
      <c r="E597" t="str">
        <f>_xll.BDP($B597,"LEGAL_ENTITY_IDENTIFIER")</f>
        <v>549300KM7KWQHVBNH962</v>
      </c>
      <c r="F597" t="s">
        <v>1966</v>
      </c>
      <c r="G597" t="str">
        <f>custodian!D597</f>
        <v>09261XAJ1</v>
      </c>
      <c r="H597" t="str">
        <f>_xll.BDP($B597,"ID_ISIN")</f>
        <v>US09261XAJ19</v>
      </c>
      <c r="I597" s="1"/>
      <c r="J597" t="str">
        <f>_xll.BDP($B597,"CNTRY_OF_DOMICILE")</f>
        <v>US</v>
      </c>
      <c r="K597" t="s">
        <v>626</v>
      </c>
      <c r="L597" t="s">
        <v>99</v>
      </c>
      <c r="O597" s="1"/>
      <c r="AQ597" s="1"/>
      <c r="AR597" s="1"/>
      <c r="AS597" s="1"/>
      <c r="AT597" t="str">
        <f>TEXT(_xll.BDP($B597,"MATURITY"),"yyyy-mm-dd")</f>
        <v>2028-04-13</v>
      </c>
      <c r="AU597" t="str">
        <f>_xll.BDP($B597,"CPN_TYP")</f>
        <v>FIXED</v>
      </c>
      <c r="AV597">
        <f>_xll.BDP($B597,"CPN")</f>
        <v>5.35</v>
      </c>
    </row>
    <row r="598" spans="1:48" x14ac:dyDescent="0.25">
      <c r="A598" t="s">
        <v>1840</v>
      </c>
      <c r="B598" t="s">
        <v>1967</v>
      </c>
      <c r="C598" s="1" t="s">
        <v>1968</v>
      </c>
      <c r="D598" t="s">
        <v>1969</v>
      </c>
      <c r="E598" t="str">
        <f>_xll.BDP($B598,"LEGAL_ENTITY_IDENTIFIER")</f>
        <v>RVHJWBXLJ1RFUBSY1F30</v>
      </c>
      <c r="F598" t="s">
        <v>1969</v>
      </c>
      <c r="G598" t="str">
        <f>custodian!D598</f>
        <v>097023CY9</v>
      </c>
      <c r="H598" t="str">
        <f>_xll.BDP($B598,"ID_ISIN")</f>
        <v>US097023CY98</v>
      </c>
      <c r="I598" s="1"/>
      <c r="J598" t="str">
        <f>_xll.BDP($B598,"CNTRY_OF_DOMICILE")</f>
        <v>US</v>
      </c>
      <c r="K598" t="s">
        <v>626</v>
      </c>
      <c r="L598" t="s">
        <v>99</v>
      </c>
      <c r="O598" s="1"/>
      <c r="AQ598" s="1"/>
      <c r="AR598" s="1"/>
      <c r="AS598" s="1"/>
      <c r="AT598" t="str">
        <f>TEXT(_xll.BDP($B598,"MATURITY"),"yyyy-mm-dd")</f>
        <v>2030-05-01</v>
      </c>
      <c r="AU598" t="str">
        <f>_xll.BDP($B598,"CPN_TYP")</f>
        <v>FIXED</v>
      </c>
      <c r="AV598">
        <f>_xll.BDP($B598,"CPN")</f>
        <v>5.15</v>
      </c>
    </row>
    <row r="599" spans="1:48" x14ac:dyDescent="0.25">
      <c r="A599" t="s">
        <v>1840</v>
      </c>
      <c r="B599" t="s">
        <v>1970</v>
      </c>
      <c r="C599" s="1" t="s">
        <v>1971</v>
      </c>
      <c r="D599" t="s">
        <v>1972</v>
      </c>
      <c r="E599" t="str">
        <f>_xll.BDP($B599,"LEGAL_ENTITY_IDENTIFIER")</f>
        <v>BVHHEFJI6SHNOKQT2572</v>
      </c>
      <c r="F599" t="s">
        <v>1973</v>
      </c>
      <c r="G599" t="str">
        <f>custodian!D599</f>
        <v>10112RBD5</v>
      </c>
      <c r="H599" t="str">
        <f>_xll.BDP($B599,"ID_ISIN")</f>
        <v>US10112RBD52</v>
      </c>
      <c r="I599" s="1"/>
      <c r="J599" t="str">
        <f>_xll.BDP($B599,"CNTRY_OF_DOMICILE")</f>
        <v>US</v>
      </c>
      <c r="K599" t="s">
        <v>626</v>
      </c>
      <c r="L599" t="s">
        <v>99</v>
      </c>
      <c r="O599" s="1"/>
      <c r="AQ599" s="1"/>
      <c r="AR599" s="1"/>
      <c r="AS599" s="1"/>
      <c r="AT599" t="str">
        <f>TEXT(_xll.BDP($B599,"MATURITY"),"yyyy-mm-dd")</f>
        <v>2031-01-30</v>
      </c>
      <c r="AU599" t="str">
        <f>_xll.BDP($B599,"CPN_TYP")</f>
        <v>FIXED</v>
      </c>
      <c r="AV599">
        <f>_xll.BDP($B599,"CPN")</f>
        <v>3.25</v>
      </c>
    </row>
    <row r="600" spans="1:48" x14ac:dyDescent="0.25">
      <c r="A600" t="s">
        <v>1840</v>
      </c>
      <c r="B600" t="s">
        <v>1974</v>
      </c>
      <c r="C600" s="1" t="s">
        <v>1975</v>
      </c>
      <c r="D600" t="s">
        <v>1976</v>
      </c>
      <c r="E600" t="str">
        <f>_xll.BDP($B600,"LEGAL_ENTITY_IDENTIFIER")</f>
        <v>5493009NTB34VXE1T760</v>
      </c>
      <c r="F600" t="s">
        <v>1977</v>
      </c>
      <c r="G600" t="str">
        <f>custodian!D600</f>
        <v>10373QAE0</v>
      </c>
      <c r="H600" t="str">
        <f>_xll.BDP($B600,"ID_ISIN")</f>
        <v>US10373QAE08</v>
      </c>
      <c r="I600" s="1"/>
      <c r="J600" t="str">
        <f>_xll.BDP($B600,"CNTRY_OF_DOMICILE")</f>
        <v>US</v>
      </c>
      <c r="K600" t="s">
        <v>626</v>
      </c>
      <c r="L600" t="s">
        <v>99</v>
      </c>
      <c r="O600" s="1"/>
      <c r="AQ600" s="1"/>
      <c r="AR600" s="1"/>
      <c r="AS600" s="1"/>
      <c r="AT600" t="str">
        <f>TEXT(_xll.BDP($B600,"MATURITY"),"yyyy-mm-dd")</f>
        <v>2028-11-06</v>
      </c>
      <c r="AU600" t="str">
        <f>_xll.BDP($B600,"CPN_TYP")</f>
        <v>FIXED</v>
      </c>
      <c r="AV600">
        <f>_xll.BDP($B600,"CPN")</f>
        <v>4.234</v>
      </c>
    </row>
    <row r="601" spans="1:48" x14ac:dyDescent="0.25">
      <c r="A601" t="s">
        <v>1840</v>
      </c>
      <c r="B601" t="s">
        <v>1978</v>
      </c>
      <c r="C601" s="1" t="s">
        <v>1979</v>
      </c>
      <c r="D601" t="s">
        <v>1980</v>
      </c>
      <c r="E601" t="str">
        <f>_xll.BDP($B601,"LEGAL_ENTITY_IDENTIFIER")</f>
        <v>549300OWFMSO9NYV4H90</v>
      </c>
      <c r="F601" t="s">
        <v>1981</v>
      </c>
      <c r="G601" t="str">
        <f>custodian!D601</f>
        <v>111021AE1</v>
      </c>
      <c r="H601" t="str">
        <f>_xll.BDP($B601,"ID_ISIN")</f>
        <v>US111021AE12</v>
      </c>
      <c r="I601" s="1"/>
      <c r="J601" t="str">
        <f>_xll.BDP($B601,"CNTRY_OF_DOMICILE")</f>
        <v>GB</v>
      </c>
      <c r="K601" t="s">
        <v>626</v>
      </c>
      <c r="L601" t="s">
        <v>99</v>
      </c>
      <c r="O601" s="1"/>
      <c r="AQ601" s="1"/>
      <c r="AR601" s="1"/>
      <c r="AS601" s="1"/>
      <c r="AT601" t="str">
        <f>TEXT(_xll.BDP($B601,"MATURITY"),"yyyy-mm-dd")</f>
        <v>2030-12-15</v>
      </c>
      <c r="AU601" t="str">
        <f>_xll.BDP($B601,"CPN_TYP")</f>
        <v>FIXED</v>
      </c>
      <c r="AV601">
        <f>_xll.BDP($B601,"CPN")</f>
        <v>9.625</v>
      </c>
    </row>
    <row r="602" spans="1:48" x14ac:dyDescent="0.25">
      <c r="A602" t="s">
        <v>1840</v>
      </c>
      <c r="B602" t="s">
        <v>1982</v>
      </c>
      <c r="C602" s="1" t="s">
        <v>1983</v>
      </c>
      <c r="D602" t="s">
        <v>1984</v>
      </c>
      <c r="E602" t="str">
        <f>_xll.BDP($B602,"LEGAL_ENTITY_IDENTIFIER")</f>
        <v>549300CJHBL7JBUA6503</v>
      </c>
      <c r="F602" t="s">
        <v>1985</v>
      </c>
      <c r="G602" t="str">
        <f>custodian!D602</f>
        <v>11120VAH6</v>
      </c>
      <c r="H602" t="str">
        <f>_xll.BDP($B602,"ID_ISIN")</f>
        <v>US11120VAH69</v>
      </c>
      <c r="I602" s="1"/>
      <c r="J602" t="str">
        <f>_xll.BDP($B602,"CNTRY_OF_DOMICILE")</f>
        <v>US</v>
      </c>
      <c r="K602" t="s">
        <v>626</v>
      </c>
      <c r="L602" t="s">
        <v>99</v>
      </c>
      <c r="O602" s="1"/>
      <c r="AQ602" s="1"/>
      <c r="AR602" s="1"/>
      <c r="AS602" s="1"/>
      <c r="AT602" t="str">
        <f>TEXT(_xll.BDP($B602,"MATURITY"),"yyyy-mm-dd")</f>
        <v>2029-05-15</v>
      </c>
      <c r="AU602" t="str">
        <f>_xll.BDP($B602,"CPN_TYP")</f>
        <v>FIXED</v>
      </c>
      <c r="AV602">
        <f>_xll.BDP($B602,"CPN")</f>
        <v>4.125</v>
      </c>
    </row>
    <row r="603" spans="1:48" x14ac:dyDescent="0.25">
      <c r="A603" t="s">
        <v>1840</v>
      </c>
      <c r="B603" t="s">
        <v>1986</v>
      </c>
      <c r="C603" s="1" t="s">
        <v>1987</v>
      </c>
      <c r="D603" t="s">
        <v>1988</v>
      </c>
      <c r="E603" t="str">
        <f>_xll.BDP($B603,"LEGAL_ENTITY_IDENTIFIER")</f>
        <v>549300WV6GIDOZJTV909</v>
      </c>
      <c r="F603" t="s">
        <v>1988</v>
      </c>
      <c r="G603" t="str">
        <f>custodian!D603</f>
        <v>11135FCB5</v>
      </c>
      <c r="H603" t="str">
        <f>_xll.BDP($B603,"ID_ISIN")</f>
        <v>US11135FCB58</v>
      </c>
      <c r="I603" s="1"/>
      <c r="J603" t="str">
        <f>_xll.BDP($B603,"CNTRY_OF_DOMICILE")</f>
        <v>US</v>
      </c>
      <c r="K603" t="s">
        <v>626</v>
      </c>
      <c r="L603" t="s">
        <v>99</v>
      </c>
      <c r="O603" s="1"/>
      <c r="AQ603" s="1"/>
      <c r="AR603" s="1"/>
      <c r="AS603" s="1"/>
      <c r="AT603" t="str">
        <f>TEXT(_xll.BDP($B603,"MATURITY"),"yyyy-mm-dd")</f>
        <v>2030-02-15</v>
      </c>
      <c r="AU603" t="str">
        <f>_xll.BDP($B603,"CPN_TYP")</f>
        <v>FIXED</v>
      </c>
      <c r="AV603">
        <f>_xll.BDP($B603,"CPN")</f>
        <v>4.3499999999999996</v>
      </c>
    </row>
    <row r="604" spans="1:48" x14ac:dyDescent="0.25">
      <c r="A604" t="s">
        <v>1840</v>
      </c>
      <c r="B604" t="s">
        <v>1989</v>
      </c>
      <c r="C604" s="1" t="s">
        <v>1990</v>
      </c>
      <c r="D604" t="s">
        <v>1991</v>
      </c>
      <c r="E604" t="str">
        <f>_xll.BDP($B604,"LEGAL_ENTITY_IDENTIFIER")</f>
        <v>529900WNWN5L0OVDHA79</v>
      </c>
      <c r="F604" t="s">
        <v>1992</v>
      </c>
      <c r="G604" t="str">
        <f>custodian!D604</f>
        <v>12541WAA8</v>
      </c>
      <c r="H604" t="str">
        <f>_xll.BDP($B604,"ID_ISIN")</f>
        <v>US12541WAA80</v>
      </c>
      <c r="I604" s="1"/>
      <c r="J604" t="str">
        <f>_xll.BDP($B604,"CNTRY_OF_DOMICILE")</f>
        <v>US</v>
      </c>
      <c r="K604" t="s">
        <v>626</v>
      </c>
      <c r="L604" t="s">
        <v>99</v>
      </c>
      <c r="O604" s="1"/>
      <c r="AQ604" s="1"/>
      <c r="AR604" s="1"/>
      <c r="AS604" s="1"/>
      <c r="AT604" t="str">
        <f>TEXT(_xll.BDP($B604,"MATURITY"),"yyyy-mm-dd")</f>
        <v>2028-04-15</v>
      </c>
      <c r="AU604" t="str">
        <f>_xll.BDP($B604,"CPN_TYP")</f>
        <v>FIXED</v>
      </c>
      <c r="AV604">
        <f>_xll.BDP($B604,"CPN")</f>
        <v>4.2</v>
      </c>
    </row>
    <row r="605" spans="1:48" x14ac:dyDescent="0.25">
      <c r="A605" t="s">
        <v>1840</v>
      </c>
      <c r="B605" t="s">
        <v>1993</v>
      </c>
      <c r="C605" s="1" t="s">
        <v>1994</v>
      </c>
      <c r="D605" t="s">
        <v>1995</v>
      </c>
      <c r="E605" t="str">
        <f>_xll.BDP($B605,"LEGAL_ENTITY_IDENTIFIER")</f>
        <v>549300VIWYMSIGT1U456</v>
      </c>
      <c r="F605" t="s">
        <v>1996</v>
      </c>
      <c r="G605" t="str">
        <f>custodian!D605</f>
        <v>125523AH3</v>
      </c>
      <c r="H605" t="str">
        <f>_xll.BDP($B605,"ID_ISIN")</f>
        <v>US125523AH38</v>
      </c>
      <c r="I605" s="1"/>
      <c r="J605" t="str">
        <f>_xll.BDP($B605,"CNTRY_OF_DOMICILE")</f>
        <v>US</v>
      </c>
      <c r="K605" t="s">
        <v>626</v>
      </c>
      <c r="L605" t="s">
        <v>99</v>
      </c>
      <c r="O605" s="1"/>
      <c r="AQ605" s="1"/>
      <c r="AR605" s="1"/>
      <c r="AS605" s="1"/>
      <c r="AT605" t="str">
        <f>TEXT(_xll.BDP($B605,"MATURITY"),"yyyy-mm-dd")</f>
        <v>2028-10-15</v>
      </c>
      <c r="AU605" t="str">
        <f>_xll.BDP($B605,"CPN_TYP")</f>
        <v>FIXED</v>
      </c>
      <c r="AV605">
        <f>_xll.BDP($B605,"CPN")</f>
        <v>4.375</v>
      </c>
    </row>
    <row r="606" spans="1:48" x14ac:dyDescent="0.25">
      <c r="A606" t="s">
        <v>1840</v>
      </c>
      <c r="B606" t="s">
        <v>1997</v>
      </c>
      <c r="C606" s="1" t="s">
        <v>1998</v>
      </c>
      <c r="D606" t="s">
        <v>1999</v>
      </c>
      <c r="E606" t="str">
        <f>_xll.BDP($B606,"LEGAL_ENTITY_IDENTIFIER")</f>
        <v>549300IA9XFBAGNIBW29</v>
      </c>
      <c r="F606" t="s">
        <v>2000</v>
      </c>
      <c r="G606" t="str">
        <f>custodian!D606</f>
        <v>125896BU3</v>
      </c>
      <c r="H606" t="str">
        <f>_xll.BDP($B606,"ID_ISIN")</f>
        <v>US125896BU39</v>
      </c>
      <c r="I606" s="1"/>
      <c r="J606" t="str">
        <f>_xll.BDP($B606,"CNTRY_OF_DOMICILE")</f>
        <v>US</v>
      </c>
      <c r="K606" t="s">
        <v>626</v>
      </c>
      <c r="L606" t="s">
        <v>99</v>
      </c>
      <c r="O606" s="1"/>
      <c r="AQ606" s="1"/>
      <c r="AR606" s="1"/>
      <c r="AS606" s="1"/>
      <c r="AT606" t="str">
        <f>TEXT(_xll.BDP($B606,"MATURITY"),"yyyy-mm-dd")</f>
        <v>2050-06-01</v>
      </c>
      <c r="AU606" t="str">
        <f>_xll.BDP($B606,"CPN_TYP")</f>
        <v>VARIABLE</v>
      </c>
      <c r="AV606">
        <f>_xll.BDP($B606,"CPN")</f>
        <v>4.75</v>
      </c>
    </row>
    <row r="607" spans="1:48" x14ac:dyDescent="0.25">
      <c r="A607" t="s">
        <v>1840</v>
      </c>
      <c r="B607" t="s">
        <v>2001</v>
      </c>
      <c r="C607" s="1" t="s">
        <v>2002</v>
      </c>
      <c r="D607" t="s">
        <v>2003</v>
      </c>
      <c r="E607" t="str">
        <f>_xll.BDP($B607,"LEGAL_ENTITY_IDENTIFIER")</f>
        <v>549300EJG376EN5NQE29</v>
      </c>
      <c r="F607" t="s">
        <v>2004</v>
      </c>
      <c r="G607" t="str">
        <f>custodian!D607</f>
        <v>126650CX6</v>
      </c>
      <c r="H607" t="str">
        <f>_xll.BDP($B607,"ID_ISIN")</f>
        <v>US126650CX62</v>
      </c>
      <c r="I607" s="1"/>
      <c r="J607" t="str">
        <f>_xll.BDP($B607,"CNTRY_OF_DOMICILE")</f>
        <v>US</v>
      </c>
      <c r="K607" t="s">
        <v>626</v>
      </c>
      <c r="L607" t="s">
        <v>99</v>
      </c>
      <c r="O607" s="1"/>
      <c r="AQ607" s="1"/>
      <c r="AR607" s="1"/>
      <c r="AS607" s="1"/>
      <c r="AT607" t="str">
        <f>TEXT(_xll.BDP($B607,"MATURITY"),"yyyy-mm-dd")</f>
        <v>2028-03-25</v>
      </c>
      <c r="AU607" t="str">
        <f>_xll.BDP($B607,"CPN_TYP")</f>
        <v>FIXED</v>
      </c>
      <c r="AV607">
        <f>_xll.BDP($B607,"CPN")</f>
        <v>4.3</v>
      </c>
    </row>
    <row r="608" spans="1:48" x14ac:dyDescent="0.25">
      <c r="A608" t="s">
        <v>1840</v>
      </c>
      <c r="B608" t="s">
        <v>2005</v>
      </c>
      <c r="C608" s="1" t="s">
        <v>2006</v>
      </c>
      <c r="D608" t="s">
        <v>2007</v>
      </c>
      <c r="E608" t="str">
        <f>_xll.BDP($B608,"LEGAL_ENTITY_IDENTIFIER")</f>
        <v>2IGI19DL77OX0HC3ZE78</v>
      </c>
      <c r="F608" t="s">
        <v>2008</v>
      </c>
      <c r="G608" t="str">
        <f>custodian!D608</f>
        <v>13607LNG4</v>
      </c>
      <c r="H608" t="str">
        <f>_xll.BDP($B608,"ID_ISIN")</f>
        <v>US13607LNG40</v>
      </c>
      <c r="I608" s="1"/>
      <c r="J608" t="str">
        <f>_xll.BDP($B608,"CNTRY_OF_DOMICILE")</f>
        <v>CA</v>
      </c>
      <c r="K608" t="s">
        <v>626</v>
      </c>
      <c r="L608" t="s">
        <v>99</v>
      </c>
      <c r="O608" s="1"/>
      <c r="AQ608" s="1"/>
      <c r="AR608" s="1"/>
      <c r="AS608" s="1"/>
      <c r="AT608" t="str">
        <f>TEXT(_xll.BDP($B608,"MATURITY"),"yyyy-mm-dd")</f>
        <v>2028-04-28</v>
      </c>
      <c r="AU608" t="str">
        <f>_xll.BDP($B608,"CPN_TYP")</f>
        <v>FIXED</v>
      </c>
      <c r="AV608">
        <f>_xll.BDP($B608,"CPN")</f>
        <v>5.0010000000000003</v>
      </c>
    </row>
    <row r="609" spans="1:48" x14ac:dyDescent="0.25">
      <c r="A609" t="s">
        <v>1840</v>
      </c>
      <c r="B609" t="s">
        <v>2009</v>
      </c>
      <c r="C609" s="1" t="s">
        <v>2010</v>
      </c>
      <c r="D609" t="s">
        <v>2007</v>
      </c>
      <c r="E609" t="str">
        <f>_xll.BDP($B609,"LEGAL_ENTITY_IDENTIFIER")</f>
        <v>2IGI19DL77OX0HC3ZE78</v>
      </c>
      <c r="F609" t="s">
        <v>2011</v>
      </c>
      <c r="G609" t="str">
        <f>custodian!D609</f>
        <v>13607QWB4</v>
      </c>
      <c r="H609" t="str">
        <f>_xll.BDP($B609,"ID_ISIN")</f>
        <v>US13607QWB49</v>
      </c>
      <c r="I609" s="1"/>
      <c r="J609" t="str">
        <f>_xll.BDP($B609,"CNTRY_OF_DOMICILE")</f>
        <v>CA</v>
      </c>
      <c r="K609" t="s">
        <v>626</v>
      </c>
      <c r="L609" t="s">
        <v>99</v>
      </c>
      <c r="O609" s="1"/>
      <c r="AQ609" s="1"/>
      <c r="AR609" s="1"/>
      <c r="AS609" s="1"/>
      <c r="AT609" t="str">
        <f>TEXT(_xll.BDP($B609,"MATURITY"),"yyyy-mm-dd")</f>
        <v>2030-01-29</v>
      </c>
      <c r="AU609" t="str">
        <f>_xll.BDP($B609,"CPN_TYP")</f>
        <v>VARIABLE</v>
      </c>
      <c r="AV609">
        <f>_xll.BDP($B609,"CPN")</f>
        <v>4.2830000000000004</v>
      </c>
    </row>
    <row r="610" spans="1:48" x14ac:dyDescent="0.25">
      <c r="A610" t="s">
        <v>1840</v>
      </c>
      <c r="B610" t="s">
        <v>2012</v>
      </c>
      <c r="C610" s="1" t="s">
        <v>2013</v>
      </c>
      <c r="D610" t="s">
        <v>2014</v>
      </c>
      <c r="E610" t="str">
        <f>_xll.BDP($B610,"LEGAL_ENTITY_IDENTIFIER")</f>
        <v>ZUE8T73ROZOF6FLBAR73</v>
      </c>
      <c r="F610" t="s">
        <v>2015</v>
      </c>
      <c r="G610" t="str">
        <f>custodian!D610</f>
        <v>14040HCN3</v>
      </c>
      <c r="H610" t="str">
        <f>_xll.BDP($B610,"ID_ISIN")</f>
        <v>US14040HCN35</v>
      </c>
      <c r="I610" s="1"/>
      <c r="J610" t="str">
        <f>_xll.BDP($B610,"CNTRY_OF_DOMICILE")</f>
        <v>US</v>
      </c>
      <c r="K610" t="s">
        <v>626</v>
      </c>
      <c r="L610" t="s">
        <v>99</v>
      </c>
      <c r="O610" s="1"/>
      <c r="AQ610" s="1"/>
      <c r="AR610" s="1"/>
      <c r="AS610" s="1"/>
      <c r="AT610" t="str">
        <f>TEXT(_xll.BDP($B610,"MATURITY"),"yyyy-mm-dd")</f>
        <v>2030-03-01</v>
      </c>
      <c r="AU610" t="str">
        <f>_xll.BDP($B610,"CPN_TYP")</f>
        <v>VARIABLE</v>
      </c>
      <c r="AV610">
        <f>_xll.BDP($B610,"CPN")</f>
        <v>3.2730000000000001</v>
      </c>
    </row>
    <row r="611" spans="1:48" x14ac:dyDescent="0.25">
      <c r="A611" t="s">
        <v>1840</v>
      </c>
      <c r="B611" t="s">
        <v>2016</v>
      </c>
      <c r="C611" s="1" t="s">
        <v>2017</v>
      </c>
      <c r="D611" t="s">
        <v>2018</v>
      </c>
      <c r="E611" t="str">
        <f>_xll.BDP($B611,"LEGAL_ENTITY_IDENTIFIER")</f>
        <v>ZUE8T73ROZOF6FLBAR73</v>
      </c>
      <c r="F611" t="s">
        <v>2019</v>
      </c>
      <c r="G611" t="str">
        <f>custodian!D611</f>
        <v>14040HCZ6</v>
      </c>
      <c r="H611" t="str">
        <f>_xll.BDP($B611,"ID_ISIN")</f>
        <v>US14040HCZ64</v>
      </c>
      <c r="I611" s="1"/>
      <c r="J611" t="str">
        <f>_xll.BDP($B611,"CNTRY_OF_DOMICILE")</f>
        <v>US</v>
      </c>
      <c r="K611" t="s">
        <v>626</v>
      </c>
      <c r="L611" t="s">
        <v>99</v>
      </c>
      <c r="O611" s="1"/>
      <c r="AQ611" s="1"/>
      <c r="AR611" s="1"/>
      <c r="AS611" s="1"/>
      <c r="AT611" t="str">
        <f>TEXT(_xll.BDP($B611,"MATURITY"),"yyyy-mm-dd")</f>
        <v>2029-06-08</v>
      </c>
      <c r="AU611" t="str">
        <f>_xll.BDP($B611,"CPN_TYP")</f>
        <v>VARIABLE</v>
      </c>
      <c r="AV611">
        <f>_xll.BDP($B611,"CPN")</f>
        <v>6.3120000000000003</v>
      </c>
    </row>
    <row r="612" spans="1:48" x14ac:dyDescent="0.25">
      <c r="A612" t="s">
        <v>1840</v>
      </c>
      <c r="B612" t="s">
        <v>2020</v>
      </c>
      <c r="C612" s="1" t="s">
        <v>2021</v>
      </c>
      <c r="D612" t="s">
        <v>2022</v>
      </c>
      <c r="E612" t="str">
        <f>_xll.BDP($B612,"LEGAL_ENTITY_IDENTIFIER")</f>
        <v>CCU46N3GJMF4OK4N7U60</v>
      </c>
      <c r="F612" t="s">
        <v>2023</v>
      </c>
      <c r="G612" t="str">
        <f>custodian!D612</f>
        <v>14149YBN7</v>
      </c>
      <c r="H612" t="str">
        <f>_xll.BDP($B612,"ID_ISIN")</f>
        <v>US14149YBN76</v>
      </c>
      <c r="I612" s="1"/>
      <c r="J612" t="str">
        <f>_xll.BDP($B612,"CNTRY_OF_DOMICILE")</f>
        <v>US</v>
      </c>
      <c r="K612" t="s">
        <v>626</v>
      </c>
      <c r="L612" t="s">
        <v>99</v>
      </c>
      <c r="O612" s="1"/>
      <c r="AQ612" s="1"/>
      <c r="AR612" s="1"/>
      <c r="AS612" s="1"/>
      <c r="AT612" t="str">
        <f>TEXT(_xll.BDP($B612,"MATURITY"),"yyyy-mm-dd")</f>
        <v>2029-02-15</v>
      </c>
      <c r="AU612" t="str">
        <f>_xll.BDP($B612,"CPN_TYP")</f>
        <v>FIXED</v>
      </c>
      <c r="AV612">
        <f>_xll.BDP($B612,"CPN")</f>
        <v>5.125</v>
      </c>
    </row>
    <row r="613" spans="1:48" x14ac:dyDescent="0.25">
      <c r="A613" t="s">
        <v>1840</v>
      </c>
      <c r="B613" t="s">
        <v>2024</v>
      </c>
      <c r="C613" s="1" t="s">
        <v>2025</v>
      </c>
      <c r="D613" t="s">
        <v>2026</v>
      </c>
      <c r="E613" t="str">
        <f>_xll.BDP($B613,"LEGAL_ENTITY_IDENTIFIER")</f>
        <v>EDBQKYOPJUCJKLOJDE72</v>
      </c>
      <c r="F613" t="s">
        <v>2027</v>
      </c>
      <c r="G613" t="str">
        <f>custodian!D613</f>
        <v>14913V2D9</v>
      </c>
      <c r="H613" t="str">
        <f>_xll.BDP($B613,"ID_ISIN")</f>
        <v>US14913V2D99</v>
      </c>
      <c r="I613" s="1"/>
      <c r="J613" t="str">
        <f>_xll.BDP($B613,"CNTRY_OF_DOMICILE")</f>
        <v>US</v>
      </c>
      <c r="K613" t="s">
        <v>626</v>
      </c>
      <c r="L613" t="s">
        <v>99</v>
      </c>
      <c r="O613" s="1"/>
      <c r="AQ613" s="1"/>
      <c r="AR613" s="1"/>
      <c r="AS613" s="1"/>
      <c r="AT613" t="str">
        <f>TEXT(_xll.BDP($B613,"MATURITY"),"yyyy-mm-dd")</f>
        <v>2031-05-15</v>
      </c>
      <c r="AU613" t="str">
        <f>_xll.BDP($B613,"CPN_TYP")</f>
        <v>FIXED</v>
      </c>
      <c r="AV613">
        <f>_xll.BDP($B613,"CPN")</f>
        <v>4.5</v>
      </c>
    </row>
    <row r="614" spans="1:48" x14ac:dyDescent="0.25">
      <c r="A614" t="s">
        <v>1840</v>
      </c>
      <c r="B614" t="s">
        <v>2028</v>
      </c>
      <c r="C614" s="1" t="s">
        <v>2029</v>
      </c>
      <c r="D614" t="s">
        <v>2030</v>
      </c>
      <c r="E614" t="str">
        <f>_xll.BDP($B614,"LEGAL_ENTITY_IDENTIFIER")</f>
        <v>#N/A N/A</v>
      </c>
      <c r="F614" t="s">
        <v>2030</v>
      </c>
      <c r="G614" t="str">
        <f>custodian!D614</f>
        <v>166764BY5</v>
      </c>
      <c r="H614" t="str">
        <f>_xll.BDP($B614,"ID_ISIN")</f>
        <v>US166764BY53</v>
      </c>
      <c r="I614" s="1"/>
      <c r="J614" t="str">
        <f>_xll.BDP($B614,"CNTRY_OF_DOMICILE")</f>
        <v>US</v>
      </c>
      <c r="K614" t="s">
        <v>626</v>
      </c>
      <c r="L614" t="s">
        <v>99</v>
      </c>
      <c r="O614" s="1"/>
      <c r="AQ614" s="1"/>
      <c r="AR614" s="1"/>
      <c r="AS614" s="1"/>
      <c r="AT614" t="str">
        <f>TEXT(_xll.BDP($B614,"MATURITY"),"yyyy-mm-dd")</f>
        <v>2030-05-11</v>
      </c>
      <c r="AU614" t="str">
        <f>_xll.BDP($B614,"CPN_TYP")</f>
        <v>FIXED</v>
      </c>
      <c r="AV614">
        <f>_xll.BDP($B614,"CPN")</f>
        <v>2.2360000000000002</v>
      </c>
    </row>
    <row r="615" spans="1:48" x14ac:dyDescent="0.25">
      <c r="A615" t="s">
        <v>1840</v>
      </c>
      <c r="B615" t="s">
        <v>2031</v>
      </c>
      <c r="C615" s="1" t="s">
        <v>2032</v>
      </c>
      <c r="D615" t="s">
        <v>2033</v>
      </c>
      <c r="E615" t="str">
        <f>_xll.BDP($B615,"LEGAL_ENTITY_IDENTIFIER")</f>
        <v>549300LKFJ962MZ46593</v>
      </c>
      <c r="F615" t="s">
        <v>2034</v>
      </c>
      <c r="G615" t="str">
        <f>custodian!D615</f>
        <v>17275RBR2</v>
      </c>
      <c r="H615" t="str">
        <f>_xll.BDP($B615,"ID_ISIN")</f>
        <v>US17275RBR21</v>
      </c>
      <c r="I615" s="1"/>
      <c r="J615" t="str">
        <f>_xll.BDP($B615,"CNTRY_OF_DOMICILE")</f>
        <v>US</v>
      </c>
      <c r="K615" t="s">
        <v>626</v>
      </c>
      <c r="L615" t="s">
        <v>99</v>
      </c>
      <c r="O615" s="1"/>
      <c r="AQ615" s="1"/>
      <c r="AR615" s="1"/>
      <c r="AS615" s="1"/>
      <c r="AT615" t="str">
        <f>TEXT(_xll.BDP($B615,"MATURITY"),"yyyy-mm-dd")</f>
        <v>2029-02-26</v>
      </c>
      <c r="AU615" t="str">
        <f>_xll.BDP($B615,"CPN_TYP")</f>
        <v>FIXED</v>
      </c>
      <c r="AV615">
        <f>_xll.BDP($B615,"CPN")</f>
        <v>4.8499999999999996</v>
      </c>
    </row>
    <row r="616" spans="1:48" x14ac:dyDescent="0.25">
      <c r="A616" t="s">
        <v>1840</v>
      </c>
      <c r="B616" t="s">
        <v>2035</v>
      </c>
      <c r="C616" s="1" t="s">
        <v>2036</v>
      </c>
      <c r="D616" t="s">
        <v>2037</v>
      </c>
      <c r="E616" t="str">
        <f>_xll.BDP($B616,"LEGAL_ENTITY_IDENTIFIER")</f>
        <v>549300LKFJ962MZ46593</v>
      </c>
      <c r="F616" t="s">
        <v>2038</v>
      </c>
      <c r="G616" t="str">
        <f>custodian!D616</f>
        <v>17275RBS0</v>
      </c>
      <c r="H616" t="str">
        <f>_xll.BDP($B616,"ID_ISIN")</f>
        <v>US17275RBS04</v>
      </c>
      <c r="I616" s="1"/>
      <c r="J616" t="str">
        <f>_xll.BDP($B616,"CNTRY_OF_DOMICILE")</f>
        <v>US</v>
      </c>
      <c r="K616" t="s">
        <v>626</v>
      </c>
      <c r="L616" t="s">
        <v>99</v>
      </c>
      <c r="O616" s="1"/>
      <c r="AQ616" s="1"/>
      <c r="AR616" s="1"/>
      <c r="AS616" s="1"/>
      <c r="AT616" t="str">
        <f>TEXT(_xll.BDP($B616,"MATURITY"),"yyyy-mm-dd")</f>
        <v>2031-02-26</v>
      </c>
      <c r="AU616" t="str">
        <f>_xll.BDP($B616,"CPN_TYP")</f>
        <v>FIXED</v>
      </c>
      <c r="AV616">
        <f>_xll.BDP($B616,"CPN")</f>
        <v>4.95</v>
      </c>
    </row>
    <row r="617" spans="1:48" x14ac:dyDescent="0.25">
      <c r="A617" t="s">
        <v>1840</v>
      </c>
      <c r="B617" t="s">
        <v>2039</v>
      </c>
      <c r="C617" s="1" t="s">
        <v>2040</v>
      </c>
      <c r="D617" t="s">
        <v>2041</v>
      </c>
      <c r="E617" t="str">
        <f>_xll.BDP($B617,"LEGAL_ENTITY_IDENTIFIER")</f>
        <v>6SHGI4ZSSLCXXQSBB395</v>
      </c>
      <c r="F617" t="s">
        <v>2041</v>
      </c>
      <c r="G617" t="str">
        <f>custodian!D617</f>
        <v>172967KA8</v>
      </c>
      <c r="H617" t="str">
        <f>_xll.BDP($B617,"ID_ISIN")</f>
        <v>US172967KA87</v>
      </c>
      <c r="I617" s="1"/>
      <c r="J617" t="str">
        <f>_xll.BDP($B617,"CNTRY_OF_DOMICILE")</f>
        <v>US</v>
      </c>
      <c r="K617" t="s">
        <v>626</v>
      </c>
      <c r="L617" t="s">
        <v>99</v>
      </c>
      <c r="O617" s="1"/>
      <c r="AQ617" s="1"/>
      <c r="AR617" s="1"/>
      <c r="AS617" s="1"/>
      <c r="AT617" t="str">
        <f>TEXT(_xll.BDP($B617,"MATURITY"),"yyyy-mm-dd")</f>
        <v>2027-09-29</v>
      </c>
      <c r="AU617" t="str">
        <f>_xll.BDP($B617,"CPN_TYP")</f>
        <v>FIXED</v>
      </c>
      <c r="AV617">
        <f>_xll.BDP($B617,"CPN")</f>
        <v>4.45</v>
      </c>
    </row>
    <row r="618" spans="1:48" x14ac:dyDescent="0.25">
      <c r="A618" t="s">
        <v>1840</v>
      </c>
      <c r="B618" t="s">
        <v>2042</v>
      </c>
      <c r="C618" s="1" t="s">
        <v>2043</v>
      </c>
      <c r="D618" t="s">
        <v>2044</v>
      </c>
      <c r="E618" t="str">
        <f>_xll.BDP($B618,"LEGAL_ENTITY_IDENTIFIER")</f>
        <v>6SHGI4ZSSLCXXQSBB395</v>
      </c>
      <c r="F618" t="s">
        <v>2045</v>
      </c>
      <c r="G618" t="str">
        <f>custodian!D618</f>
        <v>172967MP3</v>
      </c>
      <c r="H618" t="str">
        <f>_xll.BDP($B618,"ID_ISIN")</f>
        <v>US172967MP39</v>
      </c>
      <c r="I618" s="1"/>
      <c r="J618" t="str">
        <f>_xll.BDP($B618,"CNTRY_OF_DOMICILE")</f>
        <v>US</v>
      </c>
      <c r="K618" t="s">
        <v>626</v>
      </c>
      <c r="L618" t="s">
        <v>99</v>
      </c>
      <c r="O618" s="1"/>
      <c r="AQ618" s="1"/>
      <c r="AR618" s="1"/>
      <c r="AS618" s="1"/>
      <c r="AT618" t="str">
        <f>TEXT(_xll.BDP($B618,"MATURITY"),"yyyy-mm-dd")</f>
        <v>2031-03-31</v>
      </c>
      <c r="AU618" t="str">
        <f>_xll.BDP($B618,"CPN_TYP")</f>
        <v>VARIABLE</v>
      </c>
      <c r="AV618">
        <f>_xll.BDP($B618,"CPN")</f>
        <v>4.4119999999999999</v>
      </c>
    </row>
    <row r="619" spans="1:48" x14ac:dyDescent="0.25">
      <c r="A619" t="s">
        <v>1840</v>
      </c>
      <c r="B619" t="s">
        <v>2046</v>
      </c>
      <c r="C619" s="1" t="s">
        <v>2047</v>
      </c>
      <c r="D619" t="s">
        <v>2048</v>
      </c>
      <c r="E619" t="str">
        <f>_xll.BDP($B619,"LEGAL_ENTITY_IDENTIFIER")</f>
        <v>2138004JDDA4ZQUPFW65</v>
      </c>
      <c r="F619" t="s">
        <v>2049</v>
      </c>
      <c r="G619" t="str">
        <f>custodian!D619</f>
        <v>174610BF1</v>
      </c>
      <c r="H619" t="str">
        <f>_xll.BDP($B619,"ID_ISIN")</f>
        <v>US174610BF15</v>
      </c>
      <c r="I619" s="1"/>
      <c r="J619" t="str">
        <f>_xll.BDP($B619,"CNTRY_OF_DOMICILE")</f>
        <v>US</v>
      </c>
      <c r="K619" t="s">
        <v>626</v>
      </c>
      <c r="L619" t="s">
        <v>99</v>
      </c>
      <c r="O619" s="1"/>
      <c r="AQ619" s="1"/>
      <c r="AR619" s="1"/>
      <c r="AS619" s="1"/>
      <c r="AT619" t="str">
        <f>TEXT(_xll.BDP($B619,"MATURITY"),"yyyy-mm-dd")</f>
        <v>2030-01-23</v>
      </c>
      <c r="AU619" t="str">
        <f>_xll.BDP($B619,"CPN_TYP")</f>
        <v>VARIABLE</v>
      </c>
      <c r="AV619">
        <f>_xll.BDP($B619,"CPN")</f>
        <v>5.8410000000000002</v>
      </c>
    </row>
    <row r="620" spans="1:48" x14ac:dyDescent="0.25">
      <c r="A620" t="s">
        <v>1840</v>
      </c>
      <c r="B620" t="s">
        <v>2050</v>
      </c>
      <c r="C620" s="1" t="s">
        <v>2051</v>
      </c>
      <c r="D620" t="s">
        <v>2052</v>
      </c>
      <c r="E620" t="str">
        <f>_xll.BDP($B620,"LEGAL_ENTITY_IDENTIFIER")</f>
        <v>#N/A N/A</v>
      </c>
      <c r="F620" t="s">
        <v>2053</v>
      </c>
      <c r="G620" t="str">
        <f>custodian!D620</f>
        <v>200340AT4</v>
      </c>
      <c r="H620" t="str">
        <f>_xll.BDP($B620,"ID_ISIN")</f>
        <v>US200340AT44</v>
      </c>
      <c r="I620" s="1"/>
      <c r="J620" t="str">
        <f>_xll.BDP($B620,"CNTRY_OF_DOMICILE")</f>
        <v>US</v>
      </c>
      <c r="K620" t="s">
        <v>626</v>
      </c>
      <c r="L620" t="s">
        <v>99</v>
      </c>
      <c r="O620" s="1"/>
      <c r="AQ620" s="1"/>
      <c r="AR620" s="1"/>
      <c r="AS620" s="1"/>
      <c r="AT620" t="str">
        <f>TEXT(_xll.BDP($B620,"MATURITY"),"yyyy-mm-dd")</f>
        <v>2029-02-01</v>
      </c>
      <c r="AU620" t="str">
        <f>_xll.BDP($B620,"CPN_TYP")</f>
        <v>FIXED</v>
      </c>
      <c r="AV620">
        <f>_xll.BDP($B620,"CPN")</f>
        <v>4</v>
      </c>
    </row>
    <row r="621" spans="1:48" x14ac:dyDescent="0.25">
      <c r="A621" t="s">
        <v>1840</v>
      </c>
      <c r="B621" t="s">
        <v>2054</v>
      </c>
      <c r="C621" s="1" t="s">
        <v>2055</v>
      </c>
      <c r="D621" t="s">
        <v>2056</v>
      </c>
      <c r="E621" t="str">
        <f>_xll.BDP($B621,"LEGAL_ENTITY_IDENTIFIER")</f>
        <v>54930035UDEIH090K650</v>
      </c>
      <c r="F621" t="s">
        <v>2057</v>
      </c>
      <c r="G621" t="str">
        <f>custodian!D621</f>
        <v>205887CC4</v>
      </c>
      <c r="H621" t="str">
        <f>_xll.BDP($B621,"ID_ISIN")</f>
        <v>US205887CC49</v>
      </c>
      <c r="I621" s="1"/>
      <c r="J621" t="str">
        <f>_xll.BDP($B621,"CNTRY_OF_DOMICILE")</f>
        <v>US</v>
      </c>
      <c r="K621" t="s">
        <v>626</v>
      </c>
      <c r="L621" t="s">
        <v>99</v>
      </c>
      <c r="O621" s="1"/>
      <c r="AQ621" s="1"/>
      <c r="AR621" s="1"/>
      <c r="AS621" s="1"/>
      <c r="AT621" t="str">
        <f>TEXT(_xll.BDP($B621,"MATURITY"),"yyyy-mm-dd")</f>
        <v>2028-11-01</v>
      </c>
      <c r="AU621" t="str">
        <f>_xll.BDP($B621,"CPN_TYP")</f>
        <v>FIXED</v>
      </c>
      <c r="AV621">
        <f>_xll.BDP($B621,"CPN")</f>
        <v>4.8499999999999996</v>
      </c>
    </row>
    <row r="622" spans="1:48" x14ac:dyDescent="0.25">
      <c r="A622" t="s">
        <v>1840</v>
      </c>
      <c r="B622" t="s">
        <v>2058</v>
      </c>
      <c r="C622" s="1" t="s">
        <v>2059</v>
      </c>
      <c r="D622" t="s">
        <v>2060</v>
      </c>
      <c r="E622" t="str">
        <f>_xll.BDP($B622,"LEGAL_ENTITY_IDENTIFIER")</f>
        <v>549300SZJ9VS8SGXAN81</v>
      </c>
      <c r="F622" t="s">
        <v>2060</v>
      </c>
      <c r="G622" t="str">
        <f>custodian!D622</f>
        <v>225401AP3</v>
      </c>
      <c r="H622" t="str">
        <f>_xll.BDP($B622,"ID_ISIN")</f>
        <v>US225401AP33</v>
      </c>
      <c r="I622" s="1"/>
      <c r="J622" t="str">
        <f>_xll.BDP($B622,"CNTRY_OF_DOMICILE")</f>
        <v>CH</v>
      </c>
      <c r="K622" t="s">
        <v>626</v>
      </c>
      <c r="L622" t="s">
        <v>99</v>
      </c>
      <c r="O622" s="1"/>
      <c r="AQ622" s="1"/>
      <c r="AR622" s="1"/>
      <c r="AS622" s="1"/>
      <c r="AT622" t="str">
        <f>TEXT(_xll.BDP($B622,"MATURITY"),"yyyy-mm-dd")</f>
        <v>2031-04-01</v>
      </c>
      <c r="AU622" t="str">
        <f>_xll.BDP($B622,"CPN_TYP")</f>
        <v>VARIABLE</v>
      </c>
      <c r="AV622">
        <f>_xll.BDP($B622,"CPN")</f>
        <v>4.194</v>
      </c>
    </row>
    <row r="623" spans="1:48" x14ac:dyDescent="0.25">
      <c r="A623" t="s">
        <v>1840</v>
      </c>
      <c r="B623" t="s">
        <v>2061</v>
      </c>
      <c r="C623" s="1" t="s">
        <v>2062</v>
      </c>
      <c r="D623" t="s">
        <v>2063</v>
      </c>
      <c r="E623" t="str">
        <f>_xll.BDP($B623,"LEGAL_ENTITY_IDENTIFIER")</f>
        <v>54930012H97VSM0I2R19</v>
      </c>
      <c r="F623" t="s">
        <v>2064</v>
      </c>
      <c r="G623" t="str">
        <f>custodian!D623</f>
        <v>22822VAK7</v>
      </c>
      <c r="H623" t="str">
        <f>_xll.BDP($B623,"ID_ISIN")</f>
        <v>US22822VAK70</v>
      </c>
      <c r="I623" s="1"/>
      <c r="J623" t="str">
        <f>_xll.BDP($B623,"CNTRY_OF_DOMICILE")</f>
        <v>US</v>
      </c>
      <c r="K623" t="s">
        <v>626</v>
      </c>
      <c r="L623" t="s">
        <v>99</v>
      </c>
      <c r="O623" s="1"/>
      <c r="AQ623" s="1"/>
      <c r="AR623" s="1"/>
      <c r="AS623" s="1"/>
      <c r="AT623" t="str">
        <f>TEXT(_xll.BDP($B623,"MATURITY"),"yyyy-mm-dd")</f>
        <v>2028-02-15</v>
      </c>
      <c r="AU623" t="str">
        <f>_xll.BDP($B623,"CPN_TYP")</f>
        <v>FIXED</v>
      </c>
      <c r="AV623">
        <f>_xll.BDP($B623,"CPN")</f>
        <v>3.8</v>
      </c>
    </row>
    <row r="624" spans="1:48" x14ac:dyDescent="0.25">
      <c r="A624" t="s">
        <v>1840</v>
      </c>
      <c r="B624" t="s">
        <v>2065</v>
      </c>
      <c r="C624" s="1" t="s">
        <v>2066</v>
      </c>
      <c r="D624" t="s">
        <v>2067</v>
      </c>
      <c r="E624" t="str">
        <f>_xll.BDP($B624,"LEGAL_ENTITY_IDENTIFIER")</f>
        <v>549300IX8SD6XXD71I78</v>
      </c>
      <c r="F624" t="s">
        <v>2067</v>
      </c>
      <c r="G624" t="str">
        <f>custodian!D624</f>
        <v>233331BK2</v>
      </c>
      <c r="H624" t="str">
        <f>_xll.BDP($B624,"ID_ISIN")</f>
        <v>US233331BK28</v>
      </c>
      <c r="I624" s="1"/>
      <c r="J624" t="str">
        <f>_xll.BDP($B624,"CNTRY_OF_DOMICILE")</f>
        <v>US</v>
      </c>
      <c r="K624" t="s">
        <v>626</v>
      </c>
      <c r="L624" t="s">
        <v>99</v>
      </c>
      <c r="O624" s="1"/>
      <c r="AQ624" s="1"/>
      <c r="AR624" s="1"/>
      <c r="AS624" s="1"/>
      <c r="AT624" t="str">
        <f>TEXT(_xll.BDP($B624,"MATURITY"),"yyyy-mm-dd")</f>
        <v>2029-03-01</v>
      </c>
      <c r="AU624" t="str">
        <f>_xll.BDP($B624,"CPN_TYP")</f>
        <v>FIXED</v>
      </c>
      <c r="AV624">
        <f>_xll.BDP($B624,"CPN")</f>
        <v>5.0999999999999996</v>
      </c>
    </row>
    <row r="625" spans="1:48" x14ac:dyDescent="0.25">
      <c r="A625" t="s">
        <v>1840</v>
      </c>
      <c r="B625" t="s">
        <v>2068</v>
      </c>
      <c r="C625" s="1" t="s">
        <v>2069</v>
      </c>
      <c r="D625" t="s">
        <v>2070</v>
      </c>
      <c r="E625" t="str">
        <f>_xll.BDP($B625,"LEGAL_ENTITY_IDENTIFIER")</f>
        <v>E0KSF7PFQ210NWI8Z391</v>
      </c>
      <c r="F625" t="s">
        <v>2071</v>
      </c>
      <c r="G625" t="str">
        <f>custodian!D625</f>
        <v>24422EWR6</v>
      </c>
      <c r="H625" t="str">
        <f>_xll.BDP($B625,"ID_ISIN")</f>
        <v>US24422EWR60</v>
      </c>
      <c r="I625" s="1"/>
      <c r="J625" t="str">
        <f>_xll.BDP($B625,"CNTRY_OF_DOMICILE")</f>
        <v>US</v>
      </c>
      <c r="K625" t="s">
        <v>626</v>
      </c>
      <c r="L625" t="s">
        <v>99</v>
      </c>
      <c r="O625" s="1"/>
      <c r="AQ625" s="1"/>
      <c r="AR625" s="1"/>
      <c r="AS625" s="1"/>
      <c r="AT625" t="str">
        <f>TEXT(_xll.BDP($B625,"MATURITY"),"yyyy-mm-dd")</f>
        <v>2028-01-20</v>
      </c>
      <c r="AU625" t="str">
        <f>_xll.BDP($B625,"CPN_TYP")</f>
        <v>FIXED</v>
      </c>
      <c r="AV625">
        <f>_xll.BDP($B625,"CPN")</f>
        <v>4.75</v>
      </c>
    </row>
    <row r="626" spans="1:48" x14ac:dyDescent="0.25">
      <c r="A626" t="s">
        <v>1840</v>
      </c>
      <c r="B626" t="s">
        <v>2072</v>
      </c>
      <c r="C626" s="1" t="s">
        <v>2073</v>
      </c>
      <c r="D626" t="s">
        <v>2074</v>
      </c>
      <c r="E626" t="str">
        <f>_xll.BDP($B626,"LEGAL_ENTITY_IDENTIFIER")</f>
        <v>7LTWFZYICNSX8D621K86</v>
      </c>
      <c r="F626" t="s">
        <v>2075</v>
      </c>
      <c r="G626" t="str">
        <f>custodian!D626</f>
        <v>251526CU1</v>
      </c>
      <c r="H626" t="str">
        <f>_xll.BDP($B626,"ID_ISIN")</f>
        <v>US251526CU14</v>
      </c>
      <c r="I626" s="1"/>
      <c r="J626" t="str">
        <f>_xll.BDP($B626,"CNTRY_OF_DOMICILE")</f>
        <v>US</v>
      </c>
      <c r="K626" t="s">
        <v>626</v>
      </c>
      <c r="L626" t="s">
        <v>99</v>
      </c>
      <c r="O626" s="1"/>
      <c r="AQ626" s="1"/>
      <c r="AR626" s="1"/>
      <c r="AS626" s="1"/>
      <c r="AT626" t="str">
        <f>TEXT(_xll.BDP($B626,"MATURITY"),"yyyy-mm-dd")</f>
        <v>2029-11-20</v>
      </c>
      <c r="AU626" t="str">
        <f>_xll.BDP($B626,"CPN_TYP")</f>
        <v>VARIABLE</v>
      </c>
      <c r="AV626">
        <f>_xll.BDP($B626,"CPN")</f>
        <v>6.819</v>
      </c>
    </row>
    <row r="627" spans="1:48" x14ac:dyDescent="0.25">
      <c r="A627" t="s">
        <v>1840</v>
      </c>
      <c r="B627" t="s">
        <v>2076</v>
      </c>
      <c r="C627" s="1" t="s">
        <v>2077</v>
      </c>
      <c r="D627" t="s">
        <v>2078</v>
      </c>
      <c r="E627" t="str">
        <f>_xll.BDP($B627,"LEGAL_ENTITY_IDENTIFIER")</f>
        <v>549300GZKULIZ0WOW665</v>
      </c>
      <c r="F627" t="s">
        <v>2079</v>
      </c>
      <c r="G627" t="str">
        <f>custodian!D627</f>
        <v>254687FX9</v>
      </c>
      <c r="H627" t="str">
        <f>_xll.BDP($B627,"ID_ISIN")</f>
        <v>US254687FX90</v>
      </c>
      <c r="I627" s="1"/>
      <c r="J627" t="str">
        <f>_xll.BDP($B627,"CNTRY_OF_DOMICILE")</f>
        <v>US</v>
      </c>
      <c r="K627" t="s">
        <v>626</v>
      </c>
      <c r="L627" t="s">
        <v>99</v>
      </c>
      <c r="O627" s="1"/>
      <c r="AQ627" s="1"/>
      <c r="AR627" s="1"/>
      <c r="AS627" s="1"/>
      <c r="AT627" t="str">
        <f>TEXT(_xll.BDP($B627,"MATURITY"),"yyyy-mm-dd")</f>
        <v>2031-01-13</v>
      </c>
      <c r="AU627" t="str">
        <f>_xll.BDP($B627,"CPN_TYP")</f>
        <v>FIXED</v>
      </c>
      <c r="AV627">
        <f>_xll.BDP($B627,"CPN")</f>
        <v>2.65</v>
      </c>
    </row>
    <row r="628" spans="1:48" x14ac:dyDescent="0.25">
      <c r="A628" t="s">
        <v>1840</v>
      </c>
      <c r="B628" t="s">
        <v>2080</v>
      </c>
      <c r="C628" s="1" t="s">
        <v>2081</v>
      </c>
      <c r="D628" t="s">
        <v>2082</v>
      </c>
      <c r="E628" t="str">
        <f>_xll.BDP($B628,"LEGAL_ENTITY_IDENTIFIER")</f>
        <v>OPX52SQVOZI8IVSWYU66</v>
      </c>
      <c r="F628" t="s">
        <v>2083</v>
      </c>
      <c r="G628" t="str">
        <f>custodian!D628</f>
        <v>256677AG0</v>
      </c>
      <c r="H628" t="str">
        <f>_xll.BDP($B628,"ID_ISIN")</f>
        <v>US256677AG02</v>
      </c>
      <c r="I628" s="1"/>
      <c r="J628" t="str">
        <f>_xll.BDP($B628,"CNTRY_OF_DOMICILE")</f>
        <v>US</v>
      </c>
      <c r="K628" t="s">
        <v>626</v>
      </c>
      <c r="L628" t="s">
        <v>99</v>
      </c>
      <c r="O628" s="1"/>
      <c r="AQ628" s="1"/>
      <c r="AR628" s="1"/>
      <c r="AS628" s="1"/>
      <c r="AT628" t="str">
        <f>TEXT(_xll.BDP($B628,"MATURITY"),"yyyy-mm-dd")</f>
        <v>2030-04-03</v>
      </c>
      <c r="AU628" t="str">
        <f>_xll.BDP($B628,"CPN_TYP")</f>
        <v>FIXED</v>
      </c>
      <c r="AV628">
        <f>_xll.BDP($B628,"CPN")</f>
        <v>3.5</v>
      </c>
    </row>
    <row r="629" spans="1:48" x14ac:dyDescent="0.25">
      <c r="A629" t="s">
        <v>1840</v>
      </c>
      <c r="B629" t="s">
        <v>2084</v>
      </c>
      <c r="C629" s="1" t="s">
        <v>2085</v>
      </c>
      <c r="D629" t="s">
        <v>2086</v>
      </c>
      <c r="E629" t="str">
        <f>_xll.BDP($B629,"LEGAL_ENTITY_IDENTIFIER")</f>
        <v>549300PMSTQITB1WHR43</v>
      </c>
      <c r="F629" t="s">
        <v>2087</v>
      </c>
      <c r="G629" t="str">
        <f>custodian!D629</f>
        <v>256746AH1</v>
      </c>
      <c r="H629" t="str">
        <f>_xll.BDP($B629,"ID_ISIN")</f>
        <v>US256746AH16</v>
      </c>
      <c r="I629" s="1"/>
      <c r="J629" t="str">
        <f>_xll.BDP($B629,"CNTRY_OF_DOMICILE")</f>
        <v>US</v>
      </c>
      <c r="K629" t="s">
        <v>626</v>
      </c>
      <c r="L629" t="s">
        <v>99</v>
      </c>
      <c r="O629" s="1"/>
      <c r="AQ629" s="1"/>
      <c r="AR629" s="1"/>
      <c r="AS629" s="1"/>
      <c r="AT629" t="str">
        <f>TEXT(_xll.BDP($B629,"MATURITY"),"yyyy-mm-dd")</f>
        <v>2028-05-15</v>
      </c>
      <c r="AU629" t="str">
        <f>_xll.BDP($B629,"CPN_TYP")</f>
        <v>FIXED</v>
      </c>
      <c r="AV629">
        <f>_xll.BDP($B629,"CPN")</f>
        <v>4.2</v>
      </c>
    </row>
    <row r="630" spans="1:48" x14ac:dyDescent="0.25">
      <c r="A630" t="s">
        <v>1840</v>
      </c>
      <c r="B630" t="s">
        <v>2088</v>
      </c>
      <c r="C630" s="1" t="s">
        <v>2089</v>
      </c>
      <c r="D630" t="s">
        <v>2090</v>
      </c>
      <c r="E630" t="str">
        <f>_xll.BDP($B630,"LEGAL_ENTITY_IDENTIFIER")</f>
        <v>MWIUSDMN17TCR56VW396</v>
      </c>
      <c r="F630" t="s">
        <v>2091</v>
      </c>
      <c r="G630" t="str">
        <f>custodian!D630</f>
        <v>26442CAX2</v>
      </c>
      <c r="H630" t="str">
        <f>_xll.BDP($B630,"ID_ISIN")</f>
        <v>US26442CAX20</v>
      </c>
      <c r="I630" s="1"/>
      <c r="J630" t="str">
        <f>_xll.BDP($B630,"CNTRY_OF_DOMICILE")</f>
        <v>US</v>
      </c>
      <c r="K630" t="s">
        <v>626</v>
      </c>
      <c r="L630" t="s">
        <v>99</v>
      </c>
      <c r="O630" s="1"/>
      <c r="AQ630" s="1"/>
      <c r="AR630" s="1"/>
      <c r="AS630" s="1"/>
      <c r="AT630" t="str">
        <f>TEXT(_xll.BDP($B630,"MATURITY"),"yyyy-mm-dd")</f>
        <v>2028-11-15</v>
      </c>
      <c r="AU630" t="str">
        <f>_xll.BDP($B630,"CPN_TYP")</f>
        <v>FIXED</v>
      </c>
      <c r="AV630">
        <f>_xll.BDP($B630,"CPN")</f>
        <v>3.95</v>
      </c>
    </row>
    <row r="631" spans="1:48" x14ac:dyDescent="0.25">
      <c r="A631" t="s">
        <v>1840</v>
      </c>
      <c r="B631" t="s">
        <v>2092</v>
      </c>
      <c r="C631" s="1" t="s">
        <v>2093</v>
      </c>
      <c r="D631" t="s">
        <v>2094</v>
      </c>
      <c r="E631" t="str">
        <f>_xll.BDP($B631,"LEGAL_ENTITY_IDENTIFIER")</f>
        <v>4NT01YGM4X7ZX86ISY52</v>
      </c>
      <c r="F631" t="s">
        <v>2094</v>
      </c>
      <c r="G631" t="str">
        <f>custodian!D631</f>
        <v>26884LBD0</v>
      </c>
      <c r="H631" t="str">
        <f>_xll.BDP($B631,"ID_ISIN")</f>
        <v>US26884LBD01</v>
      </c>
      <c r="I631" s="1"/>
      <c r="J631" t="str">
        <f>_xll.BDP($B631,"CNTRY_OF_DOMICILE")</f>
        <v>US</v>
      </c>
      <c r="K631" t="s">
        <v>626</v>
      </c>
      <c r="L631" t="s">
        <v>99</v>
      </c>
      <c r="O631" s="1"/>
      <c r="AQ631" s="1"/>
      <c r="AR631" s="1"/>
      <c r="AS631" s="1"/>
      <c r="AT631" t="str">
        <f>TEXT(_xll.BDP($B631,"MATURITY"),"yyyy-mm-dd")</f>
        <v>2031-01-15</v>
      </c>
      <c r="AU631" t="str">
        <f>_xll.BDP($B631,"CPN_TYP")</f>
        <v>FIXED</v>
      </c>
      <c r="AV631">
        <f>_xll.BDP($B631,"CPN")</f>
        <v>4.75</v>
      </c>
    </row>
    <row r="632" spans="1:48" x14ac:dyDescent="0.25">
      <c r="A632" t="s">
        <v>1840</v>
      </c>
      <c r="B632" t="s">
        <v>2095</v>
      </c>
      <c r="C632" s="1" t="s">
        <v>2096</v>
      </c>
      <c r="D632" t="s">
        <v>2097</v>
      </c>
      <c r="E632" t="str">
        <f>_xll.BDP($B632,"LEGAL_ENTITY_IDENTIFIER")</f>
        <v>FDPVHDGJ1IQZFK9KH630</v>
      </c>
      <c r="F632" t="s">
        <v>2098</v>
      </c>
      <c r="G632" t="str">
        <f>custodian!D632</f>
        <v>277432AZ3</v>
      </c>
      <c r="H632" t="str">
        <f>_xll.BDP($B632,"ID_ISIN")</f>
        <v>US277432AZ35</v>
      </c>
      <c r="I632" s="1"/>
      <c r="J632" t="str">
        <f>_xll.BDP($B632,"CNTRY_OF_DOMICILE")</f>
        <v>US</v>
      </c>
      <c r="K632" t="s">
        <v>626</v>
      </c>
      <c r="L632" t="s">
        <v>99</v>
      </c>
      <c r="O632" s="1"/>
      <c r="AQ632" s="1"/>
      <c r="AR632" s="1"/>
      <c r="AS632" s="1"/>
      <c r="AT632" t="str">
        <f>TEXT(_xll.BDP($B632,"MATURITY"),"yyyy-mm-dd")</f>
        <v>2029-08-01</v>
      </c>
      <c r="AU632" t="str">
        <f>_xll.BDP($B632,"CPN_TYP")</f>
        <v>FIXED</v>
      </c>
      <c r="AV632">
        <f>_xll.BDP($B632,"CPN")</f>
        <v>5</v>
      </c>
    </row>
    <row r="633" spans="1:48" x14ac:dyDescent="0.25">
      <c r="A633" t="s">
        <v>1840</v>
      </c>
      <c r="B633" t="s">
        <v>2099</v>
      </c>
      <c r="C633" s="1" t="s">
        <v>2100</v>
      </c>
      <c r="D633" t="s">
        <v>2101</v>
      </c>
      <c r="E633" t="str">
        <f>_xll.BDP($B633,"LEGAL_ENTITY_IDENTIFIER")</f>
        <v>0NZWDMRCE180888QQE14</v>
      </c>
      <c r="F633" t="s">
        <v>2101</v>
      </c>
      <c r="G633" t="str">
        <f>custodian!D633</f>
        <v>278058DW9</v>
      </c>
      <c r="H633" t="str">
        <f>_xll.BDP($B633,"ID_ISIN")</f>
        <v>US278058DW93</v>
      </c>
      <c r="I633" s="1"/>
      <c r="J633" t="str">
        <f>_xll.BDP($B633,"CNTRY_OF_DOMICILE")</f>
        <v>US</v>
      </c>
      <c r="K633" t="s">
        <v>626</v>
      </c>
      <c r="L633" t="s">
        <v>99</v>
      </c>
      <c r="O633" s="1"/>
      <c r="AQ633" s="1"/>
      <c r="AR633" s="1"/>
      <c r="AS633" s="1"/>
      <c r="AT633" t="str">
        <f>TEXT(_xll.BDP($B633,"MATURITY"),"yyyy-mm-dd")</f>
        <v>2029-03-06</v>
      </c>
      <c r="AU633" t="str">
        <f>_xll.BDP($B633,"CPN_TYP")</f>
        <v>FIXED</v>
      </c>
      <c r="AV633">
        <f>_xll.BDP($B633,"CPN")</f>
        <v>3.95</v>
      </c>
    </row>
    <row r="634" spans="1:48" x14ac:dyDescent="0.25">
      <c r="A634" t="s">
        <v>1840</v>
      </c>
      <c r="B634" t="s">
        <v>2102</v>
      </c>
      <c r="C634" s="1" t="s">
        <v>2103</v>
      </c>
      <c r="D634" t="s">
        <v>2104</v>
      </c>
      <c r="E634" t="str">
        <f>_xll.BDP($B634,"LEGAL_ENTITY_IDENTIFIER")</f>
        <v>OML71K8X303XQONU6T67</v>
      </c>
      <c r="F634" t="s">
        <v>2104</v>
      </c>
      <c r="G634" t="str">
        <f>custodian!D634</f>
        <v>278642AW3</v>
      </c>
      <c r="H634" t="str">
        <f>_xll.BDP($B634,"ID_ISIN")</f>
        <v>US278642AW32</v>
      </c>
      <c r="I634" s="1"/>
      <c r="J634" t="str">
        <f>_xll.BDP($B634,"CNTRY_OF_DOMICILE")</f>
        <v>US</v>
      </c>
      <c r="K634" t="s">
        <v>626</v>
      </c>
      <c r="L634" t="s">
        <v>99</v>
      </c>
      <c r="O634" s="1"/>
      <c r="AQ634" s="1"/>
      <c r="AR634" s="1"/>
      <c r="AS634" s="1"/>
      <c r="AT634" t="str">
        <f>TEXT(_xll.BDP($B634,"MATURITY"),"yyyy-mm-dd")</f>
        <v>2030-03-11</v>
      </c>
      <c r="AU634" t="str">
        <f>_xll.BDP($B634,"CPN_TYP")</f>
        <v>FIXED</v>
      </c>
      <c r="AV634">
        <f>_xll.BDP($B634,"CPN")</f>
        <v>2.7</v>
      </c>
    </row>
    <row r="635" spans="1:48" x14ac:dyDescent="0.25">
      <c r="A635" t="s">
        <v>1840</v>
      </c>
      <c r="B635" t="s">
        <v>2105</v>
      </c>
      <c r="C635" s="1" t="s">
        <v>2106</v>
      </c>
      <c r="D635" t="s">
        <v>2107</v>
      </c>
      <c r="E635" t="str">
        <f>_xll.BDP($B635,"LEGAL_ENTITY_IDENTIFIER")</f>
        <v>9845003CA5664B741N19</v>
      </c>
      <c r="F635" t="s">
        <v>2108</v>
      </c>
      <c r="G635" t="str">
        <f>custodian!D635</f>
        <v>29249EAA7</v>
      </c>
      <c r="H635" t="str">
        <f>_xll.BDP($B635,"ID_ISIN")</f>
        <v>US29249EAA73</v>
      </c>
      <c r="I635" s="1"/>
      <c r="J635" t="str">
        <f>_xll.BDP($B635,"CNTRY_OF_DOMICILE")</f>
        <v>US</v>
      </c>
      <c r="K635" t="s">
        <v>626</v>
      </c>
      <c r="L635" t="s">
        <v>99</v>
      </c>
      <c r="O635" s="1"/>
      <c r="AQ635" s="1"/>
      <c r="AR635" s="1"/>
      <c r="AS635" s="1"/>
      <c r="AT635" t="str">
        <f>TEXT(_xll.BDP($B635,"MATURITY"),"yyyy-mm-dd")</f>
        <v>2029-05-28</v>
      </c>
      <c r="AU635" t="str">
        <f>_xll.BDP($B635,"CPN_TYP")</f>
        <v>FIXED</v>
      </c>
      <c r="AV635">
        <f>_xll.BDP($B635,"CPN")</f>
        <v>6.25</v>
      </c>
    </row>
    <row r="636" spans="1:48" x14ac:dyDescent="0.25">
      <c r="A636" t="s">
        <v>1840</v>
      </c>
      <c r="B636" t="s">
        <v>2109</v>
      </c>
      <c r="C636" s="1" t="s">
        <v>2110</v>
      </c>
      <c r="D636" t="s">
        <v>2111</v>
      </c>
      <c r="E636" t="str">
        <f>_xll.BDP($B636,"LEGAL_ENTITY_IDENTIFIER")</f>
        <v>549300YM5CWCAUVOPB53</v>
      </c>
      <c r="F636" t="s">
        <v>2112</v>
      </c>
      <c r="G636" t="str">
        <f>custodian!D636</f>
        <v>29278DAA3</v>
      </c>
      <c r="H636" t="str">
        <f>_xll.BDP($B636,"ID_ISIN")</f>
        <v>US29278DAA37</v>
      </c>
      <c r="I636" s="1"/>
      <c r="J636" t="str">
        <f>_xll.BDP($B636,"CNTRY_OF_DOMICILE")</f>
        <v>CL</v>
      </c>
      <c r="K636" t="s">
        <v>626</v>
      </c>
      <c r="L636" t="s">
        <v>99</v>
      </c>
      <c r="O636" s="1"/>
      <c r="AQ636" s="1"/>
      <c r="AR636" s="1"/>
      <c r="AS636" s="1"/>
      <c r="AT636" t="str">
        <f>TEXT(_xll.BDP($B636,"MATURITY"),"yyyy-mm-dd")</f>
        <v>2028-06-12</v>
      </c>
      <c r="AU636" t="str">
        <f>_xll.BDP($B636,"CPN_TYP")</f>
        <v>FIXED</v>
      </c>
      <c r="AV636">
        <f>_xll.BDP($B636,"CPN")</f>
        <v>4.875</v>
      </c>
    </row>
    <row r="637" spans="1:48" x14ac:dyDescent="0.25">
      <c r="A637" t="s">
        <v>1840</v>
      </c>
      <c r="B637" t="s">
        <v>2113</v>
      </c>
      <c r="C637" s="1" t="s">
        <v>2114</v>
      </c>
      <c r="D637" t="s">
        <v>2115</v>
      </c>
      <c r="E637" t="str">
        <f>_xll.BDP($B637,"LEGAL_ENTITY_IDENTIFIER")</f>
        <v>MTLVN9N7JE8MIBIJ1H73</v>
      </c>
      <c r="F637" t="s">
        <v>2116</v>
      </c>
      <c r="G637" t="str">
        <f>custodian!D637</f>
        <v>29278NAG8</v>
      </c>
      <c r="H637" t="str">
        <f>_xll.BDP($B637,"ID_ISIN")</f>
        <v>US29278NAG88</v>
      </c>
      <c r="I637" s="1"/>
      <c r="J637" t="str">
        <f>_xll.BDP($B637,"CNTRY_OF_DOMICILE")</f>
        <v>US</v>
      </c>
      <c r="K637" t="s">
        <v>626</v>
      </c>
      <c r="L637" t="s">
        <v>99</v>
      </c>
      <c r="O637" s="1"/>
      <c r="AQ637" s="1"/>
      <c r="AR637" s="1"/>
      <c r="AS637" s="1"/>
      <c r="AT637" t="str">
        <f>TEXT(_xll.BDP($B637,"MATURITY"),"yyyy-mm-dd")</f>
        <v>2029-04-15</v>
      </c>
      <c r="AU637" t="str">
        <f>_xll.BDP($B637,"CPN_TYP")</f>
        <v>FIXED</v>
      </c>
      <c r="AV637">
        <f>_xll.BDP($B637,"CPN")</f>
        <v>5.25</v>
      </c>
    </row>
    <row r="638" spans="1:48" x14ac:dyDescent="0.25">
      <c r="A638" t="s">
        <v>1840</v>
      </c>
      <c r="B638" t="s">
        <v>2117</v>
      </c>
      <c r="C638" s="1" t="s">
        <v>2118</v>
      </c>
      <c r="D638" t="s">
        <v>2119</v>
      </c>
      <c r="E638" t="str">
        <f>_xll.BDP($B638,"LEGAL_ENTITY_IDENTIFIER")</f>
        <v>5493004LGN656HWLDA30</v>
      </c>
      <c r="F638" t="s">
        <v>2120</v>
      </c>
      <c r="G638" t="str">
        <f>custodian!D638</f>
        <v>29379VBV4</v>
      </c>
      <c r="H638" t="str">
        <f>_xll.BDP($B638,"ID_ISIN")</f>
        <v>US29379VBV45</v>
      </c>
      <c r="I638" s="1"/>
      <c r="J638" t="str">
        <f>_xll.BDP($B638,"CNTRY_OF_DOMICILE")</f>
        <v>US</v>
      </c>
      <c r="K638" t="s">
        <v>626</v>
      </c>
      <c r="L638" t="s">
        <v>99</v>
      </c>
      <c r="O638" s="1"/>
      <c r="AQ638" s="1"/>
      <c r="AR638" s="1"/>
      <c r="AS638" s="1"/>
      <c r="AT638" t="str">
        <f>TEXT(_xll.BDP($B638,"MATURITY"),"yyyy-mm-dd")</f>
        <v>2029-07-31</v>
      </c>
      <c r="AU638" t="str">
        <f>_xll.BDP($B638,"CPN_TYP")</f>
        <v>FIXED</v>
      </c>
      <c r="AV638">
        <f>_xll.BDP($B638,"CPN")</f>
        <v>3.125</v>
      </c>
    </row>
    <row r="639" spans="1:48" x14ac:dyDescent="0.25">
      <c r="A639" t="s">
        <v>1840</v>
      </c>
      <c r="B639" t="s">
        <v>2121</v>
      </c>
      <c r="C639" s="1" t="s">
        <v>2122</v>
      </c>
      <c r="D639" t="s">
        <v>2123</v>
      </c>
      <c r="E639" t="str">
        <f>_xll.BDP($B639,"LEGAL_ENTITY_IDENTIFIER")</f>
        <v>SJ7XXD41SQU3ZNWUJ746</v>
      </c>
      <c r="F639" t="s">
        <v>2124</v>
      </c>
      <c r="G639" t="str">
        <f>custodian!D639</f>
        <v>30040WAT5</v>
      </c>
      <c r="H639" t="str">
        <f>_xll.BDP($B639,"ID_ISIN")</f>
        <v>US30040WAT53</v>
      </c>
      <c r="I639" s="1"/>
      <c r="J639" t="str">
        <f>_xll.BDP($B639,"CNTRY_OF_DOMICILE")</f>
        <v>US</v>
      </c>
      <c r="K639" t="s">
        <v>626</v>
      </c>
      <c r="L639" t="s">
        <v>99</v>
      </c>
      <c r="O639" s="1"/>
      <c r="AQ639" s="1"/>
      <c r="AR639" s="1"/>
      <c r="AS639" s="1"/>
      <c r="AT639" t="str">
        <f>TEXT(_xll.BDP($B639,"MATURITY"),"yyyy-mm-dd")</f>
        <v>2028-03-01</v>
      </c>
      <c r="AU639" t="str">
        <f>_xll.BDP($B639,"CPN_TYP")</f>
        <v>FIXED</v>
      </c>
      <c r="AV639">
        <f>_xll.BDP($B639,"CPN")</f>
        <v>5.45</v>
      </c>
    </row>
    <row r="640" spans="1:48" x14ac:dyDescent="0.25">
      <c r="A640" t="s">
        <v>1840</v>
      </c>
      <c r="B640" t="s">
        <v>2125</v>
      </c>
      <c r="C640" s="1" t="s">
        <v>2126</v>
      </c>
      <c r="D640" t="s">
        <v>2127</v>
      </c>
      <c r="E640" t="str">
        <f>_xll.BDP($B640,"LEGAL_ENTITY_IDENTIFIER")</f>
        <v>549300YNKSKNZFR8UC42</v>
      </c>
      <c r="F640" t="s">
        <v>2128</v>
      </c>
      <c r="G640" t="str">
        <f>custodian!D640</f>
        <v>30225VAK3</v>
      </c>
      <c r="H640" t="str">
        <f>_xll.BDP($B640,"ID_ISIN")</f>
        <v>US30225VAK35</v>
      </c>
      <c r="I640" s="1"/>
      <c r="J640" t="str">
        <f>_xll.BDP($B640,"CNTRY_OF_DOMICILE")</f>
        <v>US</v>
      </c>
      <c r="K640" t="s">
        <v>626</v>
      </c>
      <c r="L640" t="s">
        <v>99</v>
      </c>
      <c r="O640" s="1"/>
      <c r="AQ640" s="1"/>
      <c r="AR640" s="1"/>
      <c r="AS640" s="1"/>
      <c r="AT640" t="str">
        <f>TEXT(_xll.BDP($B640,"MATURITY"),"yyyy-mm-dd")</f>
        <v>2030-07-01</v>
      </c>
      <c r="AU640" t="str">
        <f>_xll.BDP($B640,"CPN_TYP")</f>
        <v>FIXED</v>
      </c>
      <c r="AV640">
        <f>_xll.BDP($B640,"CPN")</f>
        <v>5.5</v>
      </c>
    </row>
    <row r="641" spans="1:48" x14ac:dyDescent="0.25">
      <c r="A641" t="s">
        <v>1840</v>
      </c>
      <c r="B641" t="s">
        <v>2129</v>
      </c>
      <c r="C641" s="1" t="s">
        <v>2130</v>
      </c>
      <c r="D641" t="s">
        <v>2131</v>
      </c>
      <c r="E641" t="str">
        <f>_xll.BDP($B641,"LEGAL_ENTITY_IDENTIFIER")</f>
        <v>J3WHBG0MTS7O8ZVMDC91</v>
      </c>
      <c r="F641" t="s">
        <v>2132</v>
      </c>
      <c r="G641" t="str">
        <f>custodian!D641</f>
        <v>30231GBK7</v>
      </c>
      <c r="H641" t="str">
        <f>_xll.BDP($B641,"ID_ISIN")</f>
        <v>US30231GBK76</v>
      </c>
      <c r="I641" s="1"/>
      <c r="J641" t="str">
        <f>_xll.BDP($B641,"CNTRY_OF_DOMICILE")</f>
        <v>US</v>
      </c>
      <c r="K641" t="s">
        <v>626</v>
      </c>
      <c r="L641" t="s">
        <v>99</v>
      </c>
      <c r="O641" s="1"/>
      <c r="AQ641" s="1"/>
      <c r="AR641" s="1"/>
      <c r="AS641" s="1"/>
      <c r="AT641" t="str">
        <f>TEXT(_xll.BDP($B641,"MATURITY"),"yyyy-mm-dd")</f>
        <v>2030-03-19</v>
      </c>
      <c r="AU641" t="str">
        <f>_xll.BDP($B641,"CPN_TYP")</f>
        <v>FIXED</v>
      </c>
      <c r="AV641">
        <f>_xll.BDP($B641,"CPN")</f>
        <v>3.4820000000000002</v>
      </c>
    </row>
    <row r="642" spans="1:48" x14ac:dyDescent="0.25">
      <c r="A642" t="s">
        <v>1840</v>
      </c>
      <c r="B642" t="s">
        <v>2133</v>
      </c>
      <c r="C642" s="1" t="s">
        <v>2134</v>
      </c>
      <c r="D642" t="s">
        <v>2135</v>
      </c>
      <c r="E642" t="str">
        <f>_xll.BDP($B642,"LEGAL_ENTITY_IDENTIFIER")</f>
        <v>BQ4BKCS1HXDV9HN80Z93</v>
      </c>
      <c r="F642" t="s">
        <v>2136</v>
      </c>
      <c r="G642" t="str">
        <f>custodian!D642</f>
        <v>30303M8L9</v>
      </c>
      <c r="H642" t="str">
        <f>_xll.BDP($B642,"ID_ISIN")</f>
        <v>US30303M8L96</v>
      </c>
      <c r="I642" s="1"/>
      <c r="J642" t="str">
        <f>_xll.BDP($B642,"CNTRY_OF_DOMICILE")</f>
        <v>US</v>
      </c>
      <c r="K642" t="s">
        <v>626</v>
      </c>
      <c r="L642" t="s">
        <v>99</v>
      </c>
      <c r="O642" s="1"/>
      <c r="AQ642" s="1"/>
      <c r="AR642" s="1"/>
      <c r="AS642" s="1"/>
      <c r="AT642" t="str">
        <f>TEXT(_xll.BDP($B642,"MATURITY"),"yyyy-mm-dd")</f>
        <v>2028-05-15</v>
      </c>
      <c r="AU642" t="str">
        <f>_xll.BDP($B642,"CPN_TYP")</f>
        <v>FIXED</v>
      </c>
      <c r="AV642">
        <f>_xll.BDP($B642,"CPN")</f>
        <v>4.5999999999999996</v>
      </c>
    </row>
    <row r="643" spans="1:48" x14ac:dyDescent="0.25">
      <c r="A643" t="s">
        <v>1840</v>
      </c>
      <c r="B643" t="s">
        <v>2137</v>
      </c>
      <c r="C643" s="1" t="s">
        <v>2138</v>
      </c>
      <c r="D643" t="s">
        <v>2139</v>
      </c>
      <c r="E643" t="str">
        <f>_xll.BDP($B643,"LEGAL_ENTITY_IDENTIFIER")</f>
        <v>BQ4BKCS1HXDV9HN80Z93</v>
      </c>
      <c r="F643" t="s">
        <v>2140</v>
      </c>
      <c r="G643" t="str">
        <f>custodian!D643</f>
        <v>30303MAB8</v>
      </c>
      <c r="H643" t="str">
        <f>_xll.BDP($B643,"ID_ISIN")</f>
        <v>US30303MAB81</v>
      </c>
      <c r="I643" s="1"/>
      <c r="J643" t="str">
        <f>_xll.BDP($B643,"CNTRY_OF_DOMICILE")</f>
        <v>US</v>
      </c>
      <c r="K643" t="s">
        <v>626</v>
      </c>
      <c r="L643" t="s">
        <v>99</v>
      </c>
      <c r="O643" s="1"/>
      <c r="AQ643" s="1"/>
      <c r="AR643" s="1"/>
      <c r="AS643" s="1"/>
      <c r="AT643" t="str">
        <f>TEXT(_xll.BDP($B643,"MATURITY"),"yyyy-mm-dd")</f>
        <v>2030-11-15</v>
      </c>
      <c r="AU643" t="str">
        <f>_xll.BDP($B643,"CPN_TYP")</f>
        <v>FIXED</v>
      </c>
      <c r="AV643">
        <f>_xll.BDP($B643,"CPN")</f>
        <v>4.2</v>
      </c>
    </row>
    <row r="644" spans="1:48" x14ac:dyDescent="0.25">
      <c r="A644" t="s">
        <v>1840</v>
      </c>
      <c r="B644" t="s">
        <v>2141</v>
      </c>
      <c r="C644" s="1" t="s">
        <v>2142</v>
      </c>
      <c r="D644" t="s">
        <v>2143</v>
      </c>
      <c r="E644" t="str">
        <f>_xll.BDP($B644,"LEGAL_ENTITY_IDENTIFIER")</f>
        <v>2138003JYQMRP3SLX189</v>
      </c>
      <c r="F644" t="s">
        <v>2144</v>
      </c>
      <c r="G644" t="str">
        <f>custodian!D644</f>
        <v>31488VAB3</v>
      </c>
      <c r="H644" t="str">
        <f>_xll.BDP($B644,"ID_ISIN")</f>
        <v>US31488VAB36</v>
      </c>
      <c r="I644" s="1"/>
      <c r="J644" t="str">
        <f>_xll.BDP($B644,"CNTRY_OF_DOMICILE")</f>
        <v>US</v>
      </c>
      <c r="K644" t="s">
        <v>626</v>
      </c>
      <c r="L644" t="s">
        <v>99</v>
      </c>
      <c r="O644" s="1"/>
      <c r="AQ644" s="1"/>
      <c r="AR644" s="1"/>
      <c r="AS644" s="1"/>
      <c r="AT644" t="str">
        <f>TEXT(_xll.BDP($B644,"MATURITY"),"yyyy-mm-dd")</f>
        <v>2031-03-15</v>
      </c>
      <c r="AU644" t="str">
        <f>_xll.BDP($B644,"CPN_TYP")</f>
        <v>FIXED</v>
      </c>
      <c r="AV644">
        <f>_xll.BDP($B644,"CPN")</f>
        <v>4.3499999999999996</v>
      </c>
    </row>
    <row r="645" spans="1:48" x14ac:dyDescent="0.25">
      <c r="A645" t="s">
        <v>1840</v>
      </c>
      <c r="B645" t="s">
        <v>2145</v>
      </c>
      <c r="C645" s="1" t="s">
        <v>2146</v>
      </c>
      <c r="D645" t="s">
        <v>2147</v>
      </c>
      <c r="E645" t="str">
        <f>_xll.BDP($B645,"LEGAL_ENTITY_IDENTIFIER")</f>
        <v>6WQI0GK1PRFVBA061U48</v>
      </c>
      <c r="F645" t="s">
        <v>2148</v>
      </c>
      <c r="G645" t="str">
        <f>custodian!D645</f>
        <v>31620MCA2</v>
      </c>
      <c r="H645" t="str">
        <f>_xll.BDP($B645,"ID_ISIN")</f>
        <v>US31620MCA27</v>
      </c>
      <c r="I645" s="1"/>
      <c r="J645" t="str">
        <f>_xll.BDP($B645,"CNTRY_OF_DOMICILE")</f>
        <v>US</v>
      </c>
      <c r="K645" t="s">
        <v>626</v>
      </c>
      <c r="L645" t="s">
        <v>99</v>
      </c>
      <c r="O645" s="1"/>
      <c r="AQ645" s="1"/>
      <c r="AR645" s="1"/>
      <c r="AS645" s="1"/>
      <c r="AT645" t="str">
        <f>TEXT(_xll.BDP($B645,"MATURITY"),"yyyy-mm-dd")</f>
        <v>2028-03-10</v>
      </c>
      <c r="AU645" t="str">
        <f>_xll.BDP($B645,"CPN_TYP")</f>
        <v>FIXED</v>
      </c>
      <c r="AV645">
        <f>_xll.BDP($B645,"CPN")</f>
        <v>4.45</v>
      </c>
    </row>
    <row r="646" spans="1:48" x14ac:dyDescent="0.25">
      <c r="A646" t="s">
        <v>1840</v>
      </c>
      <c r="B646" t="s">
        <v>2149</v>
      </c>
      <c r="C646" s="1" t="s">
        <v>2150</v>
      </c>
      <c r="D646" t="s">
        <v>2147</v>
      </c>
      <c r="E646" t="str">
        <f>_xll.BDP($B646,"LEGAL_ENTITY_IDENTIFIER")</f>
        <v>6WQI0GK1PRFVBA061U48</v>
      </c>
      <c r="F646" t="s">
        <v>2151</v>
      </c>
      <c r="G646" t="str">
        <f>custodian!D646</f>
        <v>31620MCD6</v>
      </c>
      <c r="H646" t="str">
        <f>_xll.BDP($B646,"ID_ISIN")</f>
        <v>US31620MCD65</v>
      </c>
      <c r="I646" s="1"/>
      <c r="J646" t="str">
        <f>_xll.BDP($B646,"CNTRY_OF_DOMICILE")</f>
        <v>US</v>
      </c>
      <c r="K646" t="s">
        <v>626</v>
      </c>
      <c r="L646" t="s">
        <v>99</v>
      </c>
      <c r="O646" s="1"/>
      <c r="AQ646" s="1"/>
      <c r="AR646" s="1"/>
      <c r="AS646" s="1"/>
      <c r="AT646" t="str">
        <f>TEXT(_xll.BDP($B646,"MATURITY"),"yyyy-mm-dd")</f>
        <v>2029-03-10</v>
      </c>
      <c r="AU646" t="str">
        <f>_xll.BDP($B646,"CPN_TYP")</f>
        <v>FIXED</v>
      </c>
      <c r="AV646">
        <f>_xll.BDP($B646,"CPN")</f>
        <v>4.55</v>
      </c>
    </row>
    <row r="647" spans="1:48" x14ac:dyDescent="0.25">
      <c r="A647" t="s">
        <v>1840</v>
      </c>
      <c r="B647" t="s">
        <v>2152</v>
      </c>
      <c r="C647" s="1" t="s">
        <v>2153</v>
      </c>
      <c r="D647" t="s">
        <v>2154</v>
      </c>
      <c r="E647" t="str">
        <f>_xll.BDP($B647,"LEGAL_ENTITY_IDENTIFIER")</f>
        <v>TF3RXI1ZB1TQ30H9JV10</v>
      </c>
      <c r="F647" t="s">
        <v>2155</v>
      </c>
      <c r="G647" t="str">
        <f>custodian!D647</f>
        <v>320517AE5</v>
      </c>
      <c r="H647" t="str">
        <f>_xll.BDP($B647,"ID_ISIN")</f>
        <v>US320517AE51</v>
      </c>
      <c r="I647" s="1"/>
      <c r="J647" t="str">
        <f>_xll.BDP($B647,"CNTRY_OF_DOMICILE")</f>
        <v>US</v>
      </c>
      <c r="K647" t="s">
        <v>626</v>
      </c>
      <c r="L647" t="s">
        <v>99</v>
      </c>
      <c r="O647" s="1"/>
      <c r="AQ647" s="1"/>
      <c r="AR647" s="1"/>
      <c r="AS647" s="1"/>
      <c r="AT647" t="str">
        <f>TEXT(_xll.BDP($B647,"MATURITY"),"yyyy-mm-dd")</f>
        <v>2031-03-07</v>
      </c>
      <c r="AU647" t="str">
        <f>_xll.BDP($B647,"CPN_TYP")</f>
        <v>VARIABLE</v>
      </c>
      <c r="AV647">
        <f>_xll.BDP($B647,"CPN")</f>
        <v>5.5140000000000002</v>
      </c>
    </row>
    <row r="648" spans="1:48" x14ac:dyDescent="0.25">
      <c r="A648" t="s">
        <v>1840</v>
      </c>
      <c r="B648" t="s">
        <v>2156</v>
      </c>
      <c r="C648" s="1" t="s">
        <v>2157</v>
      </c>
      <c r="D648" t="s">
        <v>2158</v>
      </c>
      <c r="E648" t="str">
        <f>_xll.BDP($B648,"LEGAL_ENTITY_IDENTIFIER")</f>
        <v>GI7UBEJLXYLGR2C7GV83</v>
      </c>
      <c r="F648" t="s">
        <v>2158</v>
      </c>
      <c r="G648" t="str">
        <f>custodian!D648</f>
        <v>337738AU2</v>
      </c>
      <c r="H648" t="str">
        <f>_xll.BDP($B648,"ID_ISIN")</f>
        <v>US337738AU25</v>
      </c>
      <c r="I648" s="1"/>
      <c r="J648" t="str">
        <f>_xll.BDP($B648,"CNTRY_OF_DOMICILE")</f>
        <v>US</v>
      </c>
      <c r="K648" t="s">
        <v>626</v>
      </c>
      <c r="L648" t="s">
        <v>99</v>
      </c>
      <c r="O648" s="1"/>
      <c r="AQ648" s="1"/>
      <c r="AR648" s="1"/>
      <c r="AS648" s="1"/>
      <c r="AT648" t="str">
        <f>TEXT(_xll.BDP($B648,"MATURITY"),"yyyy-mm-dd")</f>
        <v>2029-07-01</v>
      </c>
      <c r="AU648" t="str">
        <f>_xll.BDP($B648,"CPN_TYP")</f>
        <v>FIXED</v>
      </c>
      <c r="AV648">
        <f>_xll.BDP($B648,"CPN")</f>
        <v>3.5</v>
      </c>
    </row>
    <row r="649" spans="1:48" x14ac:dyDescent="0.25">
      <c r="A649" t="s">
        <v>1840</v>
      </c>
      <c r="B649" t="s">
        <v>2159</v>
      </c>
      <c r="C649" s="1" t="s">
        <v>2160</v>
      </c>
      <c r="D649" t="s">
        <v>2161</v>
      </c>
      <c r="E649" t="str">
        <f>_xll.BDP($B649,"LEGAL_ENTITY_IDENTIFIER")</f>
        <v>UDSQCVRUX5BONN0VY111</v>
      </c>
      <c r="F649" t="s">
        <v>2162</v>
      </c>
      <c r="G649" t="str">
        <f>custodian!D649</f>
        <v>345397ZR7</v>
      </c>
      <c r="H649" t="str">
        <f>_xll.BDP($B649,"ID_ISIN")</f>
        <v>US345397ZR75</v>
      </c>
      <c r="I649" s="1"/>
      <c r="J649" t="str">
        <f>_xll.BDP($B649,"CNTRY_OF_DOMICILE")</f>
        <v>US</v>
      </c>
      <c r="K649" t="s">
        <v>626</v>
      </c>
      <c r="L649" t="s">
        <v>99</v>
      </c>
      <c r="O649" s="1"/>
      <c r="AQ649" s="1"/>
      <c r="AR649" s="1"/>
      <c r="AS649" s="1"/>
      <c r="AT649" t="str">
        <f>TEXT(_xll.BDP($B649,"MATURITY"),"yyyy-mm-dd")</f>
        <v>2029-05-03</v>
      </c>
      <c r="AU649" t="str">
        <f>_xll.BDP($B649,"CPN_TYP")</f>
        <v>FIXED</v>
      </c>
      <c r="AV649">
        <f>_xll.BDP($B649,"CPN")</f>
        <v>5.1130000000000004</v>
      </c>
    </row>
    <row r="650" spans="1:48" x14ac:dyDescent="0.25">
      <c r="A650" t="s">
        <v>1840</v>
      </c>
      <c r="B650" t="s">
        <v>2163</v>
      </c>
      <c r="C650" s="1" t="s">
        <v>2164</v>
      </c>
      <c r="D650" t="s">
        <v>2165</v>
      </c>
      <c r="E650" t="str">
        <f>_xll.BDP($B650,"LEGAL_ENTITY_IDENTIFIER")</f>
        <v>3C7474T6CDKPR9K6YT90</v>
      </c>
      <c r="F650" t="s">
        <v>2166</v>
      </c>
      <c r="G650" t="str">
        <f>custodian!D650</f>
        <v>369604BZ5</v>
      </c>
      <c r="H650" t="str">
        <f>_xll.BDP($B650,"ID_ISIN")</f>
        <v>US369604BZ56</v>
      </c>
      <c r="I650" s="1"/>
      <c r="J650" t="str">
        <f>_xll.BDP($B650,"CNTRY_OF_DOMICILE")</f>
        <v>US</v>
      </c>
      <c r="K650" t="s">
        <v>626</v>
      </c>
      <c r="L650" t="s">
        <v>99</v>
      </c>
      <c r="O650" s="1"/>
      <c r="AQ650" s="1"/>
      <c r="AR650" s="1"/>
      <c r="AS650" s="1"/>
      <c r="AT650" t="str">
        <f>TEXT(_xll.BDP($B650,"MATURITY"),"yyyy-mm-dd")</f>
        <v>2030-07-29</v>
      </c>
      <c r="AU650" t="str">
        <f>_xll.BDP($B650,"CPN_TYP")</f>
        <v>FIXED</v>
      </c>
      <c r="AV650">
        <f>_xll.BDP($B650,"CPN")</f>
        <v>4.3</v>
      </c>
    </row>
    <row r="651" spans="1:48" x14ac:dyDescent="0.25">
      <c r="A651" t="s">
        <v>1840</v>
      </c>
      <c r="B651" t="s">
        <v>2167</v>
      </c>
      <c r="C651" s="1" t="s">
        <v>2168</v>
      </c>
      <c r="D651" t="s">
        <v>2169</v>
      </c>
      <c r="E651" t="str">
        <f>_xll.BDP($B651,"LEGAL_ENTITY_IDENTIFIER")</f>
        <v>2TGYMUGI08PO8X8L6150</v>
      </c>
      <c r="F651" t="s">
        <v>2170</v>
      </c>
      <c r="G651" t="str">
        <f>custodian!D651</f>
        <v>370334CG7</v>
      </c>
      <c r="H651" t="str">
        <f>_xll.BDP($B651,"ID_ISIN")</f>
        <v>US370334CG79</v>
      </c>
      <c r="I651" s="1"/>
      <c r="J651" t="str">
        <f>_xll.BDP($B651,"CNTRY_OF_DOMICILE")</f>
        <v>US</v>
      </c>
      <c r="K651" t="s">
        <v>626</v>
      </c>
      <c r="L651" t="s">
        <v>99</v>
      </c>
      <c r="O651" s="1"/>
      <c r="AQ651" s="1"/>
      <c r="AR651" s="1"/>
      <c r="AS651" s="1"/>
      <c r="AT651" t="str">
        <f>TEXT(_xll.BDP($B651,"MATURITY"),"yyyy-mm-dd")</f>
        <v>2028-04-17</v>
      </c>
      <c r="AU651" t="str">
        <f>_xll.BDP($B651,"CPN_TYP")</f>
        <v>FIXED</v>
      </c>
      <c r="AV651">
        <f>_xll.BDP($B651,"CPN")</f>
        <v>4.2</v>
      </c>
    </row>
    <row r="652" spans="1:48" x14ac:dyDescent="0.25">
      <c r="A652" t="s">
        <v>1840</v>
      </c>
      <c r="B652" t="s">
        <v>2171</v>
      </c>
      <c r="C652" s="1" t="s">
        <v>2172</v>
      </c>
      <c r="D652" t="s">
        <v>2173</v>
      </c>
      <c r="E652" t="str">
        <f>_xll.BDP($B652,"LEGAL_ENTITY_IDENTIFIER")</f>
        <v>5493008B6JBRUJ90QL97</v>
      </c>
      <c r="F652" t="s">
        <v>2174</v>
      </c>
      <c r="G652" t="str">
        <f>custodian!D652</f>
        <v>37045XEB8</v>
      </c>
      <c r="H652" t="str">
        <f>_xll.BDP($B652,"ID_ISIN")</f>
        <v>US37045XEB82</v>
      </c>
      <c r="I652" s="1"/>
      <c r="J652" t="str">
        <f>_xll.BDP($B652,"CNTRY_OF_DOMICILE")</f>
        <v>US</v>
      </c>
      <c r="K652" t="s">
        <v>626</v>
      </c>
      <c r="L652" t="s">
        <v>99</v>
      </c>
      <c r="O652" s="1"/>
      <c r="AQ652" s="1"/>
      <c r="AR652" s="1"/>
      <c r="AS652" s="1"/>
      <c r="AT652" t="str">
        <f>TEXT(_xll.BDP($B652,"MATURITY"),"yyyy-mm-dd")</f>
        <v>2028-01-09</v>
      </c>
      <c r="AU652" t="str">
        <f>_xll.BDP($B652,"CPN_TYP")</f>
        <v>FIXED</v>
      </c>
      <c r="AV652">
        <f>_xll.BDP($B652,"CPN")</f>
        <v>6</v>
      </c>
    </row>
    <row r="653" spans="1:48" x14ac:dyDescent="0.25">
      <c r="A653" t="s">
        <v>1840</v>
      </c>
      <c r="B653" t="s">
        <v>2175</v>
      </c>
      <c r="C653" s="1" t="s">
        <v>2176</v>
      </c>
      <c r="D653" t="s">
        <v>2177</v>
      </c>
      <c r="E653" t="str">
        <f>_xll.BDP($B653,"LEGAL_ENTITY_IDENTIFIER")</f>
        <v>D981X4Z4RWS7PDMJUZ03</v>
      </c>
      <c r="F653" t="s">
        <v>2178</v>
      </c>
      <c r="G653" t="str">
        <f>custodian!D653</f>
        <v>373334KY6</v>
      </c>
      <c r="H653" t="str">
        <f>_xll.BDP($B653,"ID_ISIN")</f>
        <v>US373334KY63</v>
      </c>
      <c r="I653" s="1"/>
      <c r="J653" t="str">
        <f>_xll.BDP($B653,"CNTRY_OF_DOMICILE")</f>
        <v>US</v>
      </c>
      <c r="K653" t="s">
        <v>626</v>
      </c>
      <c r="L653" t="s">
        <v>99</v>
      </c>
      <c r="O653" s="1"/>
      <c r="AQ653" s="1"/>
      <c r="AR653" s="1"/>
      <c r="AS653" s="1"/>
      <c r="AT653" t="str">
        <f>TEXT(_xll.BDP($B653,"MATURITY"),"yyyy-mm-dd")</f>
        <v>2030-03-15</v>
      </c>
      <c r="AU653" t="str">
        <f>_xll.BDP($B653,"CPN_TYP")</f>
        <v>FIXED</v>
      </c>
      <c r="AV653">
        <f>_xll.BDP($B653,"CPN")</f>
        <v>4.55</v>
      </c>
    </row>
    <row r="654" spans="1:48" x14ac:dyDescent="0.25">
      <c r="A654" t="s">
        <v>1840</v>
      </c>
      <c r="B654" t="s">
        <v>2179</v>
      </c>
      <c r="C654" s="1" t="s">
        <v>2180</v>
      </c>
      <c r="D654" t="s">
        <v>2181</v>
      </c>
      <c r="E654" t="str">
        <f>_xll.BDP($B654,"LEGAL_ENTITY_IDENTIFIER")</f>
        <v>5493007Q8VD7Q3ZYZS59</v>
      </c>
      <c r="F654" t="s">
        <v>2182</v>
      </c>
      <c r="G654" t="str">
        <f>custodian!D654</f>
        <v>377372AN7</v>
      </c>
      <c r="H654" t="str">
        <f>_xll.BDP($B654,"ID_ISIN")</f>
        <v>US377372AN70</v>
      </c>
      <c r="I654" s="1"/>
      <c r="J654" t="str">
        <f>_xll.BDP($B654,"CNTRY_OF_DOMICILE")</f>
        <v>US</v>
      </c>
      <c r="K654" t="s">
        <v>626</v>
      </c>
      <c r="L654" t="s">
        <v>99</v>
      </c>
      <c r="O654" s="1"/>
      <c r="AQ654" s="1"/>
      <c r="AR654" s="1"/>
      <c r="AS654" s="1"/>
      <c r="AT654" t="str">
        <f>TEXT(_xll.BDP($B654,"MATURITY"),"yyyy-mm-dd")</f>
        <v>2028-05-15</v>
      </c>
      <c r="AU654" t="str">
        <f>_xll.BDP($B654,"CPN_TYP")</f>
        <v>FIXED</v>
      </c>
      <c r="AV654">
        <f>_xll.BDP($B654,"CPN")</f>
        <v>3.875</v>
      </c>
    </row>
    <row r="655" spans="1:48" x14ac:dyDescent="0.25">
      <c r="A655" t="s">
        <v>1840</v>
      </c>
      <c r="B655" t="s">
        <v>2183</v>
      </c>
      <c r="C655" s="1" t="s">
        <v>2184</v>
      </c>
      <c r="D655" t="s">
        <v>2185</v>
      </c>
      <c r="E655" t="str">
        <f>_xll.BDP($B655,"LEGAL_ENTITY_IDENTIFIER")</f>
        <v>784F5XWPLTWKTBV3E584</v>
      </c>
      <c r="F655" t="s">
        <v>2186</v>
      </c>
      <c r="G655" t="str">
        <f>custodian!D655</f>
        <v>38141GA87</v>
      </c>
      <c r="H655" t="str">
        <f>_xll.BDP($B655,"ID_ISIN")</f>
        <v>US38141GA872</v>
      </c>
      <c r="I655" s="1"/>
      <c r="J655" t="str">
        <f>_xll.BDP($B655,"CNTRY_OF_DOMICILE")</f>
        <v>US</v>
      </c>
      <c r="K655" t="s">
        <v>626</v>
      </c>
      <c r="L655" t="s">
        <v>99</v>
      </c>
      <c r="O655" s="1"/>
      <c r="AQ655" s="1"/>
      <c r="AR655" s="1"/>
      <c r="AS655" s="1"/>
      <c r="AT655" t="str">
        <f>TEXT(_xll.BDP($B655,"MATURITY"),"yyyy-mm-dd")</f>
        <v>2030-04-25</v>
      </c>
      <c r="AU655" t="str">
        <f>_xll.BDP($B655,"CPN_TYP")</f>
        <v>VARIABLE</v>
      </c>
      <c r="AV655">
        <f>_xll.BDP($B655,"CPN")</f>
        <v>5.7270000000000003</v>
      </c>
    </row>
    <row r="656" spans="1:48" x14ac:dyDescent="0.25">
      <c r="A656" t="s">
        <v>1840</v>
      </c>
      <c r="B656" t="s">
        <v>2187</v>
      </c>
      <c r="C656" s="1" t="s">
        <v>2188</v>
      </c>
      <c r="D656" t="s">
        <v>2189</v>
      </c>
      <c r="E656" t="str">
        <f>_xll.BDP($B656,"LEGAL_ENTITY_IDENTIFIER")</f>
        <v>784F5XWPLTWKTBV3E584</v>
      </c>
      <c r="F656" t="s">
        <v>2190</v>
      </c>
      <c r="G656" t="str">
        <f>custodian!D656</f>
        <v>38145GAP5</v>
      </c>
      <c r="H656" t="str">
        <f>_xll.BDP($B656,"ID_ISIN")</f>
        <v>US38145GAP54</v>
      </c>
      <c r="I656" s="1"/>
      <c r="J656" t="str">
        <f>_xll.BDP($B656,"CNTRY_OF_DOMICILE")</f>
        <v>US</v>
      </c>
      <c r="K656" t="s">
        <v>626</v>
      </c>
      <c r="L656" t="s">
        <v>99</v>
      </c>
      <c r="O656" s="1"/>
      <c r="AQ656" s="1"/>
      <c r="AR656" s="1"/>
      <c r="AS656" s="1"/>
      <c r="AT656" t="str">
        <f>TEXT(_xll.BDP($B656,"MATURITY"),"yyyy-mm-dd")</f>
        <v>2029-01-21</v>
      </c>
      <c r="AU656" t="str">
        <f>_xll.BDP($B656,"CPN_TYP")</f>
        <v>VARIABLE</v>
      </c>
      <c r="AV656">
        <f>_xll.BDP($B656,"CPN")</f>
        <v>4.1479999999999997</v>
      </c>
    </row>
    <row r="657" spans="1:48" x14ac:dyDescent="0.25">
      <c r="A657" t="s">
        <v>1840</v>
      </c>
      <c r="B657" t="s">
        <v>2191</v>
      </c>
      <c r="C657" s="1" t="s">
        <v>2192</v>
      </c>
      <c r="D657" t="s">
        <v>2193</v>
      </c>
      <c r="E657" t="str">
        <f>_xll.BDP($B657,"LEGAL_ENTITY_IDENTIFIER")</f>
        <v>549300TD27G6372IYJ65</v>
      </c>
      <c r="F657" t="s">
        <v>2194</v>
      </c>
      <c r="G657" t="str">
        <f>custodian!D657</f>
        <v>38152BAH4</v>
      </c>
      <c r="H657" t="str">
        <f>_xll.BDP($B657,"ID_ISIN")</f>
        <v>US38152BAH42</v>
      </c>
      <c r="I657" s="1"/>
      <c r="J657" t="str">
        <f>_xll.BDP($B657,"CNTRY_OF_DOMICILE")</f>
        <v>US</v>
      </c>
      <c r="K657" t="s">
        <v>626</v>
      </c>
      <c r="L657" t="s">
        <v>99</v>
      </c>
      <c r="O657" s="1"/>
      <c r="AQ657" s="1"/>
      <c r="AR657" s="1"/>
      <c r="AS657" s="1"/>
      <c r="AT657" t="str">
        <f>TEXT(_xll.BDP($B657,"MATURITY"),"yyyy-mm-dd")</f>
        <v>2031-01-31</v>
      </c>
      <c r="AU657" t="str">
        <f>_xll.BDP($B657,"CPN_TYP")</f>
        <v>FIXED</v>
      </c>
      <c r="AV657">
        <f>_xll.BDP($B657,"CPN")</f>
        <v>5.875</v>
      </c>
    </row>
    <row r="658" spans="1:48" x14ac:dyDescent="0.25">
      <c r="A658" t="s">
        <v>1840</v>
      </c>
      <c r="B658" t="s">
        <v>2195</v>
      </c>
      <c r="C658" s="1" t="s">
        <v>2196</v>
      </c>
      <c r="D658" t="s">
        <v>2197</v>
      </c>
      <c r="E658" t="str">
        <f>_xll.BDP($B658,"LEGAL_ENTITY_IDENTIFIER")</f>
        <v>L3CJ6J7LJ2DX62FTXD46</v>
      </c>
      <c r="F658" t="s">
        <v>2197</v>
      </c>
      <c r="G658" t="str">
        <f>custodian!D658</f>
        <v>404119CA5</v>
      </c>
      <c r="H658" t="str">
        <f>_xll.BDP($B658,"ID_ISIN")</f>
        <v>US404119CA57</v>
      </c>
      <c r="I658" s="1"/>
      <c r="J658" t="str">
        <f>_xll.BDP($B658,"CNTRY_OF_DOMICILE")</f>
        <v>US</v>
      </c>
      <c r="K658" t="s">
        <v>626</v>
      </c>
      <c r="L658" t="s">
        <v>99</v>
      </c>
      <c r="O658" s="1"/>
      <c r="AQ658" s="1"/>
      <c r="AR658" s="1"/>
      <c r="AS658" s="1"/>
      <c r="AT658" t="str">
        <f>TEXT(_xll.BDP($B658,"MATURITY"),"yyyy-mm-dd")</f>
        <v>2030-09-01</v>
      </c>
      <c r="AU658" t="str">
        <f>_xll.BDP($B658,"CPN_TYP")</f>
        <v>FIXED</v>
      </c>
      <c r="AV658">
        <f>_xll.BDP($B658,"CPN")</f>
        <v>3.5</v>
      </c>
    </row>
    <row r="659" spans="1:48" x14ac:dyDescent="0.25">
      <c r="A659" t="s">
        <v>1840</v>
      </c>
      <c r="B659" t="s">
        <v>2198</v>
      </c>
      <c r="C659" s="1" t="s">
        <v>2199</v>
      </c>
      <c r="D659" t="s">
        <v>2200</v>
      </c>
      <c r="E659" t="str">
        <f>_xll.BDP($B659,"LEGAL_ENTITY_IDENTIFIER")</f>
        <v>MLU0ZO3ML4LN2LL2TL39</v>
      </c>
      <c r="F659" t="s">
        <v>2201</v>
      </c>
      <c r="G659" t="str">
        <f>custodian!D659</f>
        <v>404280CC1</v>
      </c>
      <c r="H659" t="str">
        <f>_xll.BDP($B659,"ID_ISIN")</f>
        <v>US404280CC17</v>
      </c>
      <c r="I659" s="1"/>
      <c r="J659" t="str">
        <f>_xll.BDP($B659,"CNTRY_OF_DOMICILE")</f>
        <v>GB</v>
      </c>
      <c r="K659" t="s">
        <v>626</v>
      </c>
      <c r="L659" t="s">
        <v>99</v>
      </c>
      <c r="O659" s="1"/>
      <c r="AQ659" s="1"/>
      <c r="AR659" s="1"/>
      <c r="AS659" s="1"/>
      <c r="AT659" t="str">
        <f>TEXT(_xll.BDP($B659,"MATURITY"),"yyyy-mm-dd")</f>
        <v>2030-05-22</v>
      </c>
      <c r="AU659" t="str">
        <f>_xll.BDP($B659,"CPN_TYP")</f>
        <v>VARIABLE</v>
      </c>
      <c r="AV659">
        <f>_xll.BDP($B659,"CPN")</f>
        <v>3.9729999999999999</v>
      </c>
    </row>
    <row r="660" spans="1:48" x14ac:dyDescent="0.25">
      <c r="A660" t="s">
        <v>1840</v>
      </c>
      <c r="B660" t="s">
        <v>2202</v>
      </c>
      <c r="C660" s="1" t="s">
        <v>2203</v>
      </c>
      <c r="D660" t="s">
        <v>2204</v>
      </c>
      <c r="E660" t="str">
        <f>_xll.BDP($B660,"LEGAL_ENTITY_IDENTIFIER")</f>
        <v>MLU0ZO3ML4LN2LL2TL39</v>
      </c>
      <c r="F660" t="s">
        <v>2205</v>
      </c>
      <c r="G660" t="str">
        <f>custodian!D660</f>
        <v>404280CL1</v>
      </c>
      <c r="H660" t="str">
        <f>_xll.BDP($B660,"ID_ISIN")</f>
        <v>US404280CL16</v>
      </c>
      <c r="I660" s="1"/>
      <c r="J660" t="str">
        <f>_xll.BDP($B660,"CNTRY_OF_DOMICILE")</f>
        <v>GB</v>
      </c>
      <c r="K660" t="s">
        <v>626</v>
      </c>
      <c r="L660" t="s">
        <v>99</v>
      </c>
      <c r="O660" s="1"/>
      <c r="AQ660" s="1"/>
      <c r="AR660" s="1"/>
      <c r="AS660" s="1"/>
      <c r="AT660" t="str">
        <f>TEXT(_xll.BDP($B660,"MATURITY"),"yyyy-mm-dd")</f>
        <v>2028-09-22</v>
      </c>
      <c r="AU660" t="str">
        <f>_xll.BDP($B660,"CPN_TYP")</f>
        <v>VARIABLE</v>
      </c>
      <c r="AV660">
        <f>_xll.BDP($B660,"CPN")</f>
        <v>2.0129999999999999</v>
      </c>
    </row>
    <row r="661" spans="1:48" x14ac:dyDescent="0.25">
      <c r="A661" t="s">
        <v>1840</v>
      </c>
      <c r="B661" t="s">
        <v>2206</v>
      </c>
      <c r="C661" s="1" t="s">
        <v>2207</v>
      </c>
      <c r="D661" t="s">
        <v>2208</v>
      </c>
      <c r="E661" t="str">
        <f>_xll.BDP($B661,"LEGAL_ENTITY_IDENTIFIER")</f>
        <v>549300UTE50ZMDBG8A20</v>
      </c>
      <c r="F661" t="s">
        <v>2209</v>
      </c>
      <c r="G661" t="str">
        <f>custodian!D661</f>
        <v>413875AW5</v>
      </c>
      <c r="H661" t="str">
        <f>_xll.BDP($B661,"ID_ISIN")</f>
        <v>US413875AW58</v>
      </c>
      <c r="I661" s="1"/>
      <c r="J661" t="str">
        <f>_xll.BDP($B661,"CNTRY_OF_DOMICILE")</f>
        <v>US</v>
      </c>
      <c r="K661" t="s">
        <v>626</v>
      </c>
      <c r="L661" t="s">
        <v>99</v>
      </c>
      <c r="O661" s="1"/>
      <c r="AQ661" s="1"/>
      <c r="AR661" s="1"/>
      <c r="AS661" s="1"/>
      <c r="AT661" t="str">
        <f>TEXT(_xll.BDP($B661,"MATURITY"),"yyyy-mm-dd")</f>
        <v>2028-06-15</v>
      </c>
      <c r="AU661" t="str">
        <f>_xll.BDP($B661,"CPN_TYP")</f>
        <v>FIXED</v>
      </c>
      <c r="AV661">
        <f>_xll.BDP($B661,"CPN")</f>
        <v>4.4000000000000004</v>
      </c>
    </row>
    <row r="662" spans="1:48" x14ac:dyDescent="0.25">
      <c r="A662" t="s">
        <v>1840</v>
      </c>
      <c r="B662" t="s">
        <v>2210</v>
      </c>
      <c r="C662" s="1" t="s">
        <v>2211</v>
      </c>
      <c r="D662" t="s">
        <v>2212</v>
      </c>
      <c r="E662" t="str">
        <f>_xll.BDP($B662,"LEGAL_ENTITY_IDENTIFIER")</f>
        <v>549300BX44RGX6ANDV88</v>
      </c>
      <c r="F662" t="s">
        <v>2213</v>
      </c>
      <c r="G662" t="str">
        <f>custodian!D662</f>
        <v>42824CBT5</v>
      </c>
      <c r="H662" t="str">
        <f>_xll.BDP($B662,"ID_ISIN")</f>
        <v>US42824CBT53</v>
      </c>
      <c r="I662" s="1"/>
      <c r="J662" t="str">
        <f>_xll.BDP($B662,"CNTRY_OF_DOMICILE")</f>
        <v>US</v>
      </c>
      <c r="K662" t="s">
        <v>626</v>
      </c>
      <c r="L662" t="s">
        <v>99</v>
      </c>
      <c r="O662" s="1"/>
      <c r="AQ662" s="1"/>
      <c r="AR662" s="1"/>
      <c r="AS662" s="1"/>
      <c r="AT662" t="str">
        <f>TEXT(_xll.BDP($B662,"MATURITY"),"yyyy-mm-dd")</f>
        <v>2029-10-15</v>
      </c>
      <c r="AU662" t="str">
        <f>_xll.BDP($B662,"CPN_TYP")</f>
        <v>FIXED</v>
      </c>
      <c r="AV662">
        <f>_xll.BDP($B662,"CPN")</f>
        <v>4.55</v>
      </c>
    </row>
    <row r="663" spans="1:48" x14ac:dyDescent="0.25">
      <c r="A663" t="s">
        <v>1840</v>
      </c>
      <c r="B663" t="s">
        <v>2214</v>
      </c>
      <c r="C663" s="1" t="s">
        <v>2215</v>
      </c>
      <c r="D663" t="s">
        <v>2216</v>
      </c>
      <c r="E663" t="str">
        <f>_xll.BDP($B663,"LEGAL_ENTITY_IDENTIFIER")</f>
        <v>QEKMOTMBBKA8I816DO57</v>
      </c>
      <c r="F663" t="s">
        <v>2217</v>
      </c>
      <c r="G663" t="str">
        <f>custodian!D663</f>
        <v>437076BY7</v>
      </c>
      <c r="H663" t="str">
        <f>_xll.BDP($B663,"ID_ISIN")</f>
        <v>US437076BY77</v>
      </c>
      <c r="I663" s="1"/>
      <c r="J663" t="str">
        <f>_xll.BDP($B663,"CNTRY_OF_DOMICILE")</f>
        <v>US</v>
      </c>
      <c r="K663" t="s">
        <v>626</v>
      </c>
      <c r="L663" t="s">
        <v>99</v>
      </c>
      <c r="O663" s="1"/>
      <c r="AQ663" s="1"/>
      <c r="AR663" s="1"/>
      <c r="AS663" s="1"/>
      <c r="AT663" t="str">
        <f>TEXT(_xll.BDP($B663,"MATURITY"),"yyyy-mm-dd")</f>
        <v>2029-06-15</v>
      </c>
      <c r="AU663" t="str">
        <f>_xll.BDP($B663,"CPN_TYP")</f>
        <v>FIXED</v>
      </c>
      <c r="AV663">
        <f>_xll.BDP($B663,"CPN")</f>
        <v>2.95</v>
      </c>
    </row>
    <row r="664" spans="1:48" x14ac:dyDescent="0.25">
      <c r="A664" t="s">
        <v>1840</v>
      </c>
      <c r="B664" t="s">
        <v>2218</v>
      </c>
      <c r="C664" s="1" t="s">
        <v>2219</v>
      </c>
      <c r="D664" t="s">
        <v>2220</v>
      </c>
      <c r="E664" t="str">
        <f>_xll.BDP($B664,"LEGAL_ENTITY_IDENTIFIER")</f>
        <v>QEKMOTMBBKA8I816DO57</v>
      </c>
      <c r="F664" t="s">
        <v>2221</v>
      </c>
      <c r="G664" t="str">
        <f>custodian!D664</f>
        <v>437076CF7</v>
      </c>
      <c r="H664" t="str">
        <f>_xll.BDP($B664,"ID_ISIN")</f>
        <v>US437076CF79</v>
      </c>
      <c r="I664" s="1"/>
      <c r="J664" t="str">
        <f>_xll.BDP($B664,"CNTRY_OF_DOMICILE")</f>
        <v>US</v>
      </c>
      <c r="K664" t="s">
        <v>626</v>
      </c>
      <c r="L664" t="s">
        <v>99</v>
      </c>
      <c r="O664" s="1"/>
      <c r="AQ664" s="1"/>
      <c r="AR664" s="1"/>
      <c r="AS664" s="1"/>
      <c r="AT664" t="str">
        <f>TEXT(_xll.BDP($B664,"MATURITY"),"yyyy-mm-dd")</f>
        <v>2031-03-15</v>
      </c>
      <c r="AU664" t="str">
        <f>_xll.BDP($B664,"CPN_TYP")</f>
        <v>FIXED</v>
      </c>
      <c r="AV664">
        <f>_xll.BDP($B664,"CPN")</f>
        <v>1.375</v>
      </c>
    </row>
    <row r="665" spans="1:48" x14ac:dyDescent="0.25">
      <c r="A665" t="s">
        <v>1840</v>
      </c>
      <c r="B665" t="s">
        <v>2222</v>
      </c>
      <c r="C665" s="1" t="s">
        <v>2223</v>
      </c>
      <c r="D665" t="s">
        <v>2224</v>
      </c>
      <c r="E665" t="str">
        <f>_xll.BDP($B665,"LEGAL_ENTITY_IDENTIFIER")</f>
        <v>213800ZUAQRBYL67JS90</v>
      </c>
      <c r="F665" t="s">
        <v>2225</v>
      </c>
      <c r="G665" t="str">
        <f>custodian!D665</f>
        <v>43849RAE5</v>
      </c>
      <c r="H665" t="str">
        <f>_xll.BDP($B665,"ID_ISIN")</f>
        <v>US43849RAE53</v>
      </c>
      <c r="I665" s="1"/>
      <c r="J665" t="str">
        <f>_xll.BDP($B665,"CNTRY_OF_DOMICILE")</f>
        <v>US</v>
      </c>
      <c r="K665" t="s">
        <v>626</v>
      </c>
      <c r="L665" t="s">
        <v>99</v>
      </c>
      <c r="O665" s="1"/>
      <c r="AQ665" s="1"/>
      <c r="AR665" s="1"/>
      <c r="AS665" s="1"/>
      <c r="AT665" t="str">
        <f>TEXT(_xll.BDP($B665,"MATURITY"),"yyyy-mm-dd")</f>
        <v>2031-03-16</v>
      </c>
      <c r="AU665" t="str">
        <f>_xll.BDP($B665,"CPN_TYP")</f>
        <v>FIXED</v>
      </c>
      <c r="AV665">
        <f>_xll.BDP($B665,"CPN")</f>
        <v>4.3</v>
      </c>
    </row>
    <row r="666" spans="1:48" x14ac:dyDescent="0.25">
      <c r="A666" t="s">
        <v>1840</v>
      </c>
      <c r="B666" t="s">
        <v>2226</v>
      </c>
      <c r="C666" s="1" t="s">
        <v>2227</v>
      </c>
      <c r="D666" t="s">
        <v>2228</v>
      </c>
      <c r="E666" t="str">
        <f>_xll.BDP($B666,"LEGAL_ENTITY_IDENTIFIER")</f>
        <v>549300HO5WFZUT5N2T22</v>
      </c>
      <c r="F666" t="s">
        <v>2229</v>
      </c>
      <c r="G666" t="str">
        <f>custodian!D666</f>
        <v>443201AB4</v>
      </c>
      <c r="H666" t="str">
        <f>_xll.BDP($B666,"ID_ISIN")</f>
        <v>US443201AB48</v>
      </c>
      <c r="I666" s="1"/>
      <c r="J666" t="str">
        <f>_xll.BDP($B666,"CNTRY_OF_DOMICILE")</f>
        <v>US</v>
      </c>
      <c r="K666" t="s">
        <v>626</v>
      </c>
      <c r="L666" t="s">
        <v>99</v>
      </c>
      <c r="O666" s="1"/>
      <c r="AQ666" s="1"/>
      <c r="AR666" s="1"/>
      <c r="AS666" s="1"/>
      <c r="AT666" t="str">
        <f>TEXT(_xll.BDP($B666,"MATURITY"),"yyyy-mm-dd")</f>
        <v>2029-01-15</v>
      </c>
      <c r="AU666" t="str">
        <f>_xll.BDP($B666,"CPN_TYP")</f>
        <v>FIXED</v>
      </c>
      <c r="AV666">
        <f>_xll.BDP($B666,"CPN")</f>
        <v>3</v>
      </c>
    </row>
    <row r="667" spans="1:48" x14ac:dyDescent="0.25">
      <c r="A667" t="s">
        <v>1840</v>
      </c>
      <c r="B667" t="s">
        <v>2230</v>
      </c>
      <c r="C667" s="1" t="s">
        <v>2231</v>
      </c>
      <c r="D667" t="s">
        <v>2232</v>
      </c>
      <c r="E667" t="str">
        <f>_xll.BDP($B667,"LEGAL_ENTITY_IDENTIFIER")</f>
        <v>549300XTVCVV9I7B5T19</v>
      </c>
      <c r="F667" t="s">
        <v>2233</v>
      </c>
      <c r="G667" t="str">
        <f>custodian!D667</f>
        <v>446150BC7</v>
      </c>
      <c r="H667" t="str">
        <f>_xll.BDP($B667,"ID_ISIN")</f>
        <v>US446150BC73</v>
      </c>
      <c r="I667" s="1"/>
      <c r="J667" t="str">
        <f>_xll.BDP($B667,"CNTRY_OF_DOMICILE")</f>
        <v>US</v>
      </c>
      <c r="K667" t="s">
        <v>626</v>
      </c>
      <c r="L667" t="s">
        <v>99</v>
      </c>
      <c r="O667" s="1"/>
      <c r="AQ667" s="1"/>
      <c r="AR667" s="1"/>
      <c r="AS667" s="1"/>
      <c r="AT667" t="str">
        <f>TEXT(_xll.BDP($B667,"MATURITY"),"yyyy-mm-dd")</f>
        <v>2029-08-21</v>
      </c>
      <c r="AU667" t="str">
        <f>_xll.BDP($B667,"CPN_TYP")</f>
        <v>VARIABLE</v>
      </c>
      <c r="AV667">
        <f>_xll.BDP($B667,"CPN")</f>
        <v>6.2080000000000002</v>
      </c>
    </row>
    <row r="668" spans="1:48" x14ac:dyDescent="0.25">
      <c r="A668" t="s">
        <v>1840</v>
      </c>
      <c r="B668" t="s">
        <v>2234</v>
      </c>
      <c r="C668" s="1" t="s">
        <v>2235</v>
      </c>
      <c r="D668" t="s">
        <v>2236</v>
      </c>
      <c r="E668" t="str">
        <f>_xll.BDP($B668,"LEGAL_ENTITY_IDENTIFIER")</f>
        <v>549300NYKK9MWM7GGW15</v>
      </c>
      <c r="F668" t="s">
        <v>2236</v>
      </c>
      <c r="G668" t="str">
        <f>custodian!D668</f>
        <v>456837BU6</v>
      </c>
      <c r="H668" t="str">
        <f>_xll.BDP($B668,"ID_ISIN")</f>
        <v>US456837BU63</v>
      </c>
      <c r="I668" s="1"/>
      <c r="J668" t="str">
        <f>_xll.BDP($B668,"CNTRY_OF_DOMICILE")</f>
        <v>NL</v>
      </c>
      <c r="K668" t="s">
        <v>626</v>
      </c>
      <c r="L668" t="s">
        <v>99</v>
      </c>
      <c r="O668" s="1"/>
      <c r="AQ668" s="1"/>
      <c r="AR668" s="1"/>
      <c r="AS668" s="1"/>
      <c r="AT668" t="str">
        <f>TEXT(_xll.BDP($B668,"MATURITY"),"yyyy-mm-dd")</f>
        <v>2032-03-23</v>
      </c>
      <c r="AU668" t="str">
        <f>_xll.BDP($B668,"CPN_TYP")</f>
        <v>VARIABLE</v>
      </c>
      <c r="AV668">
        <f>_xll.BDP($B668,"CPN")</f>
        <v>4.8029999999999999</v>
      </c>
    </row>
    <row r="669" spans="1:48" x14ac:dyDescent="0.25">
      <c r="A669" t="s">
        <v>1840</v>
      </c>
      <c r="B669" t="s">
        <v>2237</v>
      </c>
      <c r="C669" s="1" t="s">
        <v>2238</v>
      </c>
      <c r="D669" t="s">
        <v>2239</v>
      </c>
      <c r="E669" t="str">
        <f>_xll.BDP($B669,"LEGAL_ENTITY_IDENTIFIER")</f>
        <v>5493000F4ZO33MV32P92</v>
      </c>
      <c r="F669" t="s">
        <v>2240</v>
      </c>
      <c r="G669" t="str">
        <f>custodian!D669</f>
        <v>45866FAV6</v>
      </c>
      <c r="H669" t="str">
        <f>_xll.BDP($B669,"ID_ISIN")</f>
        <v>US45866FAV67</v>
      </c>
      <c r="I669" s="1"/>
      <c r="J669" t="str">
        <f>_xll.BDP($B669,"CNTRY_OF_DOMICILE")</f>
        <v>US</v>
      </c>
      <c r="K669" t="s">
        <v>626</v>
      </c>
      <c r="L669" t="s">
        <v>99</v>
      </c>
      <c r="O669" s="1"/>
      <c r="AQ669" s="1"/>
      <c r="AR669" s="1"/>
      <c r="AS669" s="1"/>
      <c r="AT669" t="str">
        <f>TEXT(_xll.BDP($B669,"MATURITY"),"yyyy-mm-dd")</f>
        <v>2029-06-15</v>
      </c>
      <c r="AU669" t="str">
        <f>_xll.BDP($B669,"CPN_TYP")</f>
        <v>FIXED</v>
      </c>
      <c r="AV669">
        <f>_xll.BDP($B669,"CPN")</f>
        <v>4.3499999999999996</v>
      </c>
    </row>
    <row r="670" spans="1:48" x14ac:dyDescent="0.25">
      <c r="A670" t="s">
        <v>1840</v>
      </c>
      <c r="B670" t="s">
        <v>2241</v>
      </c>
      <c r="C670" s="1" t="s">
        <v>2242</v>
      </c>
      <c r="D670" t="s">
        <v>2243</v>
      </c>
      <c r="E670" t="str">
        <f>_xll.BDP($B670,"LEGAL_ENTITY_IDENTIFIER")</f>
        <v>VGRQXHF3J8VDLUA7XE92</v>
      </c>
      <c r="F670" t="s">
        <v>2244</v>
      </c>
      <c r="G670" t="str">
        <f>custodian!D670</f>
        <v>459200KA8</v>
      </c>
      <c r="H670" t="str">
        <f>_xll.BDP($B670,"ID_ISIN")</f>
        <v>US459200KA85</v>
      </c>
      <c r="I670" s="1"/>
      <c r="J670" t="str">
        <f>_xll.BDP($B670,"CNTRY_OF_DOMICILE")</f>
        <v>US</v>
      </c>
      <c r="K670" t="s">
        <v>626</v>
      </c>
      <c r="L670" t="s">
        <v>99</v>
      </c>
      <c r="O670" s="1"/>
      <c r="AQ670" s="1"/>
      <c r="AR670" s="1"/>
      <c r="AS670" s="1"/>
      <c r="AT670" t="str">
        <f>TEXT(_xll.BDP($B670,"MATURITY"),"yyyy-mm-dd")</f>
        <v>2029-05-15</v>
      </c>
      <c r="AU670" t="str">
        <f>_xll.BDP($B670,"CPN_TYP")</f>
        <v>FIXED</v>
      </c>
      <c r="AV670">
        <f>_xll.BDP($B670,"CPN")</f>
        <v>3.5</v>
      </c>
    </row>
    <row r="671" spans="1:48" x14ac:dyDescent="0.25">
      <c r="A671" t="s">
        <v>1840</v>
      </c>
      <c r="B671" t="s">
        <v>2245</v>
      </c>
      <c r="C671" s="1" t="s">
        <v>2246</v>
      </c>
      <c r="D671" t="s">
        <v>2247</v>
      </c>
      <c r="E671" t="str">
        <f>_xll.BDP($B671,"LEGAL_ENTITY_IDENTIFIER")</f>
        <v>8I5DZWZKVSZI1NUHU748</v>
      </c>
      <c r="F671" t="s">
        <v>2248</v>
      </c>
      <c r="G671" t="str">
        <f>custodian!D671</f>
        <v>46647PDG8</v>
      </c>
      <c r="H671" t="str">
        <f>_xll.BDP($B671,"ID_ISIN")</f>
        <v>US46647PDG81</v>
      </c>
      <c r="I671" s="1"/>
      <c r="J671" t="str">
        <f>_xll.BDP($B671,"CNTRY_OF_DOMICILE")</f>
        <v>US</v>
      </c>
      <c r="K671" t="s">
        <v>626</v>
      </c>
      <c r="L671" t="s">
        <v>99</v>
      </c>
      <c r="O671" s="1"/>
      <c r="AQ671" s="1"/>
      <c r="AR671" s="1"/>
      <c r="AS671" s="1"/>
      <c r="AT671" t="str">
        <f>TEXT(_xll.BDP($B671,"MATURITY"),"yyyy-mm-dd")</f>
        <v>2028-07-25</v>
      </c>
      <c r="AU671" t="str">
        <f>_xll.BDP($B671,"CPN_TYP")</f>
        <v>VARIABLE</v>
      </c>
      <c r="AV671">
        <f>_xll.BDP($B671,"CPN")</f>
        <v>4.851</v>
      </c>
    </row>
    <row r="672" spans="1:48" x14ac:dyDescent="0.25">
      <c r="A672" t="s">
        <v>1840</v>
      </c>
      <c r="B672" t="s">
        <v>2249</v>
      </c>
      <c r="C672" s="1" t="s">
        <v>2250</v>
      </c>
      <c r="D672" t="s">
        <v>2251</v>
      </c>
      <c r="E672" t="str">
        <f>_xll.BDP($B672,"LEGAL_ENTITY_IDENTIFIER")</f>
        <v>DYTQ8KRTKO7Y2BVU5K74</v>
      </c>
      <c r="F672" t="s">
        <v>2252</v>
      </c>
      <c r="G672" t="str">
        <f>custodian!D672</f>
        <v>49271VAF7</v>
      </c>
      <c r="H672" t="str">
        <f>_xll.BDP($B672,"ID_ISIN")</f>
        <v>US49271VAF76</v>
      </c>
      <c r="I672" s="1"/>
      <c r="J672" t="str">
        <f>_xll.BDP($B672,"CNTRY_OF_DOMICILE")</f>
        <v>US</v>
      </c>
      <c r="K672" t="s">
        <v>626</v>
      </c>
      <c r="L672" t="s">
        <v>99</v>
      </c>
      <c r="O672" s="1"/>
      <c r="AQ672" s="1"/>
      <c r="AR672" s="1"/>
      <c r="AS672" s="1"/>
      <c r="AT672" t="str">
        <f>TEXT(_xll.BDP($B672,"MATURITY"),"yyyy-mm-dd")</f>
        <v>2028-05-25</v>
      </c>
      <c r="AU672" t="str">
        <f>_xll.BDP($B672,"CPN_TYP")</f>
        <v>FIXED</v>
      </c>
      <c r="AV672">
        <f>_xll.BDP($B672,"CPN")</f>
        <v>4.5970000000000004</v>
      </c>
    </row>
    <row r="673" spans="1:48" x14ac:dyDescent="0.25">
      <c r="A673" t="s">
        <v>1840</v>
      </c>
      <c r="B673" t="s">
        <v>2253</v>
      </c>
      <c r="C673" s="1" t="s">
        <v>2254</v>
      </c>
      <c r="D673" t="s">
        <v>2255</v>
      </c>
      <c r="E673" t="str">
        <f>_xll.BDP($B673,"LEGAL_ENTITY_IDENTIFIER")</f>
        <v>DYTQ8KRTKO7Y2BVU5K74</v>
      </c>
      <c r="F673" t="s">
        <v>2256</v>
      </c>
      <c r="G673" t="str">
        <f>custodian!D673</f>
        <v>49271VAU4</v>
      </c>
      <c r="H673" t="str">
        <f>_xll.BDP($B673,"ID_ISIN")</f>
        <v>US49271VAU44</v>
      </c>
      <c r="I673" s="1"/>
      <c r="J673" t="str">
        <f>_xll.BDP($B673,"CNTRY_OF_DOMICILE")</f>
        <v>US</v>
      </c>
      <c r="K673" t="s">
        <v>626</v>
      </c>
      <c r="L673" t="s">
        <v>99</v>
      </c>
      <c r="O673" s="1"/>
      <c r="AQ673" s="1"/>
      <c r="AR673" s="1"/>
      <c r="AS673" s="1"/>
      <c r="AT673" t="str">
        <f>TEXT(_xll.BDP($B673,"MATURITY"),"yyyy-mm-dd")</f>
        <v>2031-03-15</v>
      </c>
      <c r="AU673" t="str">
        <f>_xll.BDP($B673,"CPN_TYP")</f>
        <v>FIXED</v>
      </c>
      <c r="AV673">
        <f>_xll.BDP($B673,"CPN")</f>
        <v>5.2</v>
      </c>
    </row>
    <row r="674" spans="1:48" x14ac:dyDescent="0.25">
      <c r="A674" t="s">
        <v>1840</v>
      </c>
      <c r="B674" t="s">
        <v>2257</v>
      </c>
      <c r="C674" s="1" t="s">
        <v>2258</v>
      </c>
      <c r="D674" t="s">
        <v>2259</v>
      </c>
      <c r="E674" t="str">
        <f>_xll.BDP($B674,"LEGAL_ENTITY_IDENTIFIER")</f>
        <v>RKPI3RZGV1V1FJTH5T61</v>
      </c>
      <c r="F674" t="s">
        <v>2259</v>
      </c>
      <c r="G674" t="str">
        <f>custodian!D674</f>
        <v>49326EEQ2</v>
      </c>
      <c r="H674" t="str">
        <f>_xll.BDP($B674,"ID_ISIN")</f>
        <v>US49326EEQ26</v>
      </c>
      <c r="I674" s="1"/>
      <c r="J674" t="str">
        <f>_xll.BDP($B674,"CNTRY_OF_DOMICILE")</f>
        <v>US</v>
      </c>
      <c r="K674" t="s">
        <v>626</v>
      </c>
      <c r="L674" t="s">
        <v>99</v>
      </c>
      <c r="O674" s="1"/>
      <c r="AQ674" s="1"/>
      <c r="AR674" s="1"/>
      <c r="AS674" s="1"/>
      <c r="AT674" t="str">
        <f>TEXT(_xll.BDP($B674,"MATURITY"),"yyyy-mm-dd")</f>
        <v>2031-04-04</v>
      </c>
      <c r="AU674" t="str">
        <f>_xll.BDP($B674,"CPN_TYP")</f>
        <v>VARIABLE</v>
      </c>
      <c r="AV674">
        <f>_xll.BDP($B674,"CPN")</f>
        <v>5.1210000000000004</v>
      </c>
    </row>
    <row r="675" spans="1:48" x14ac:dyDescent="0.25">
      <c r="A675" t="s">
        <v>1840</v>
      </c>
      <c r="B675" t="s">
        <v>2260</v>
      </c>
      <c r="C675" s="1" t="s">
        <v>2261</v>
      </c>
      <c r="D675" t="s">
        <v>2262</v>
      </c>
      <c r="E675" t="str">
        <f>_xll.BDP($B675,"LEGAL_ENTITY_IDENTIFIER")</f>
        <v>5493006I78VIN6J1BQ95</v>
      </c>
      <c r="F675" t="s">
        <v>2262</v>
      </c>
      <c r="G675" t="str">
        <f>custodian!D675</f>
        <v>52532XAH8</v>
      </c>
      <c r="H675" t="str">
        <f>_xll.BDP($B675,"ID_ISIN")</f>
        <v>US52532XAH89</v>
      </c>
      <c r="I675" s="1"/>
      <c r="J675" t="str">
        <f>_xll.BDP($B675,"CNTRY_OF_DOMICILE")</f>
        <v>US</v>
      </c>
      <c r="K675" t="s">
        <v>626</v>
      </c>
      <c r="L675" t="s">
        <v>99</v>
      </c>
      <c r="O675" s="1"/>
      <c r="AQ675" s="1"/>
      <c r="AR675" s="1"/>
      <c r="AS675" s="1"/>
      <c r="AT675" t="str">
        <f>TEXT(_xll.BDP($B675,"MATURITY"),"yyyy-mm-dd")</f>
        <v>2031-02-15</v>
      </c>
      <c r="AU675" t="str">
        <f>_xll.BDP($B675,"CPN_TYP")</f>
        <v>FIXED</v>
      </c>
      <c r="AV675">
        <f>_xll.BDP($B675,"CPN")</f>
        <v>2.2999999999999998</v>
      </c>
    </row>
    <row r="676" spans="1:48" x14ac:dyDescent="0.25">
      <c r="A676" t="s">
        <v>1840</v>
      </c>
      <c r="B676" t="s">
        <v>2263</v>
      </c>
      <c r="C676" s="1" t="s">
        <v>2264</v>
      </c>
      <c r="D676" t="s">
        <v>2265</v>
      </c>
      <c r="E676" t="str">
        <f>_xll.BDP($B676,"LEGAL_ENTITY_IDENTIFIER")</f>
        <v>549300PPXHEU2JF0AM85</v>
      </c>
      <c r="F676" t="s">
        <v>2266</v>
      </c>
      <c r="G676" t="str">
        <f>custodian!D676</f>
        <v>539439AQ2</v>
      </c>
      <c r="H676" t="str">
        <f>_xll.BDP($B676,"ID_ISIN")</f>
        <v>US539439AQ24</v>
      </c>
      <c r="I676" s="1"/>
      <c r="J676" t="str">
        <f>_xll.BDP($B676,"CNTRY_OF_DOMICILE")</f>
        <v>GB</v>
      </c>
      <c r="K676" t="s">
        <v>626</v>
      </c>
      <c r="L676" t="s">
        <v>99</v>
      </c>
      <c r="O676" s="1"/>
      <c r="AQ676" s="1"/>
      <c r="AR676" s="1"/>
      <c r="AS676" s="1"/>
      <c r="AT676" t="str">
        <f>TEXT(_xll.BDP($B676,"MATURITY"),"yyyy-mm-dd")</f>
        <v>2028-11-07</v>
      </c>
      <c r="AU676" t="str">
        <f>_xll.BDP($B676,"CPN_TYP")</f>
        <v>VARIABLE</v>
      </c>
      <c r="AV676">
        <f>_xll.BDP($B676,"CPN")</f>
        <v>3.5739999999999998</v>
      </c>
    </row>
    <row r="677" spans="1:48" x14ac:dyDescent="0.25">
      <c r="A677" t="s">
        <v>1840</v>
      </c>
      <c r="B677" t="s">
        <v>2267</v>
      </c>
      <c r="C677" s="1" t="s">
        <v>2268</v>
      </c>
      <c r="D677" t="s">
        <v>2269</v>
      </c>
      <c r="E677" t="str">
        <f>_xll.BDP($B677,"LEGAL_ENTITY_IDENTIFIER")</f>
        <v>WAFCR4OKGSC504WU3E95</v>
      </c>
      <c r="F677" t="s">
        <v>2270</v>
      </c>
      <c r="G677" t="str">
        <f>custodian!D677</f>
        <v>548661EA1</v>
      </c>
      <c r="H677" t="str">
        <f>_xll.BDP($B677,"ID_ISIN")</f>
        <v>US548661EA10</v>
      </c>
      <c r="I677" s="1"/>
      <c r="J677" t="str">
        <f>_xll.BDP($B677,"CNTRY_OF_DOMICILE")</f>
        <v>US</v>
      </c>
      <c r="K677" t="s">
        <v>626</v>
      </c>
      <c r="L677" t="s">
        <v>99</v>
      </c>
      <c r="O677" s="1"/>
      <c r="AQ677" s="1"/>
      <c r="AR677" s="1"/>
      <c r="AS677" s="1"/>
      <c r="AT677" t="str">
        <f>TEXT(_xll.BDP($B677,"MATURITY"),"yyyy-mm-dd")</f>
        <v>2031-04-01</v>
      </c>
      <c r="AU677" t="str">
        <f>_xll.BDP($B677,"CPN_TYP")</f>
        <v>FIXED</v>
      </c>
      <c r="AV677">
        <f>_xll.BDP($B677,"CPN")</f>
        <v>2.625</v>
      </c>
    </row>
    <row r="678" spans="1:48" x14ac:dyDescent="0.25">
      <c r="A678" t="s">
        <v>1840</v>
      </c>
      <c r="B678" t="s">
        <v>2271</v>
      </c>
      <c r="C678" s="1" t="s">
        <v>2272</v>
      </c>
      <c r="D678" t="s">
        <v>2273</v>
      </c>
      <c r="E678" t="str">
        <f>_xll.BDP($B678,"LEGAL_ENTITY_IDENTIFIER")</f>
        <v>549300WYXDDBYRASEG81</v>
      </c>
      <c r="F678" t="s">
        <v>2274</v>
      </c>
      <c r="G678" t="str">
        <f>custodian!D678</f>
        <v>55261FAS3</v>
      </c>
      <c r="H678" t="str">
        <f>_xll.BDP($B678,"ID_ISIN")</f>
        <v>US55261FAS39</v>
      </c>
      <c r="I678" s="1"/>
      <c r="J678" t="str">
        <f>_xll.BDP($B678,"CNTRY_OF_DOMICILE")</f>
        <v>US</v>
      </c>
      <c r="K678" t="s">
        <v>626</v>
      </c>
      <c r="L678" t="s">
        <v>99</v>
      </c>
      <c r="O678" s="1"/>
      <c r="AQ678" s="1"/>
      <c r="AR678" s="1"/>
      <c r="AS678" s="1"/>
      <c r="AT678" t="str">
        <f>TEXT(_xll.BDP($B678,"MATURITY"),"yyyy-mm-dd")</f>
        <v>2029-10-30</v>
      </c>
      <c r="AU678" t="str">
        <f>_xll.BDP($B678,"CPN_TYP")</f>
        <v>VARIABLE</v>
      </c>
      <c r="AV678">
        <f>_xll.BDP($B678,"CPN")</f>
        <v>7.4130000000000003</v>
      </c>
    </row>
    <row r="679" spans="1:48" x14ac:dyDescent="0.25">
      <c r="A679" t="s">
        <v>1840</v>
      </c>
      <c r="B679" t="s">
        <v>2275</v>
      </c>
      <c r="C679" s="1" t="s">
        <v>2276</v>
      </c>
      <c r="D679" t="s">
        <v>2277</v>
      </c>
      <c r="E679" t="str">
        <f>_xll.BDP($B679,"LEGAL_ENTITY_IDENTIFIER")</f>
        <v>549300WYXDDBYRASEG81</v>
      </c>
      <c r="F679" t="s">
        <v>2278</v>
      </c>
      <c r="G679" t="str">
        <f>custodian!D679</f>
        <v>55261FAT1</v>
      </c>
      <c r="H679" t="str">
        <f>_xll.BDP($B679,"ID_ISIN")</f>
        <v>US55261FAT12</v>
      </c>
      <c r="I679" s="1"/>
      <c r="J679" t="str">
        <f>_xll.BDP($B679,"CNTRY_OF_DOMICILE")</f>
        <v>US</v>
      </c>
      <c r="K679" t="s">
        <v>626</v>
      </c>
      <c r="L679" t="s">
        <v>99</v>
      </c>
      <c r="O679" s="1"/>
      <c r="AQ679" s="1"/>
      <c r="AR679" s="1"/>
      <c r="AS679" s="1"/>
      <c r="AT679" t="str">
        <f>TEXT(_xll.BDP($B679,"MATURITY"),"yyyy-mm-dd")</f>
        <v>2032-03-13</v>
      </c>
      <c r="AU679" t="str">
        <f>_xll.BDP($B679,"CPN_TYP")</f>
        <v>VARIABLE</v>
      </c>
      <c r="AV679">
        <f>_xll.BDP($B679,"CPN")</f>
        <v>6.0819999999999999</v>
      </c>
    </row>
    <row r="680" spans="1:48" x14ac:dyDescent="0.25">
      <c r="A680" t="s">
        <v>1840</v>
      </c>
      <c r="B680" t="s">
        <v>2279</v>
      </c>
      <c r="C680" s="1" t="s">
        <v>2280</v>
      </c>
      <c r="D680" t="s">
        <v>2281</v>
      </c>
      <c r="E680" t="str">
        <f>_xll.BDP($B680,"LEGAL_ENTITY_IDENTIFIER")</f>
        <v>5493000CZJ19CK4P3G36</v>
      </c>
      <c r="F680" t="s">
        <v>2281</v>
      </c>
      <c r="G680" t="str">
        <f>custodian!D680</f>
        <v>55336VCA6</v>
      </c>
      <c r="H680" t="str">
        <f>_xll.BDP($B680,"ID_ISIN")</f>
        <v>US55336VCA61</v>
      </c>
      <c r="I680" s="1"/>
      <c r="J680" t="str">
        <f>_xll.BDP($B680,"CNTRY_OF_DOMICILE")</f>
        <v>US</v>
      </c>
      <c r="K680" t="s">
        <v>626</v>
      </c>
      <c r="L680" t="s">
        <v>99</v>
      </c>
      <c r="O680" s="1"/>
      <c r="AQ680" s="1"/>
      <c r="AR680" s="1"/>
      <c r="AS680" s="1"/>
      <c r="AT680" t="str">
        <f>TEXT(_xll.BDP($B680,"MATURITY"),"yyyy-mm-dd")</f>
        <v>2031-02-15</v>
      </c>
      <c r="AU680" t="str">
        <f>_xll.BDP($B680,"CPN_TYP")</f>
        <v>FIXED</v>
      </c>
      <c r="AV680">
        <f>_xll.BDP($B680,"CPN")</f>
        <v>4.8</v>
      </c>
    </row>
    <row r="681" spans="1:48" x14ac:dyDescent="0.25">
      <c r="A681" t="s">
        <v>1840</v>
      </c>
      <c r="B681" t="s">
        <v>2282</v>
      </c>
      <c r="C681" s="1" t="s">
        <v>2283</v>
      </c>
      <c r="D681" t="s">
        <v>2284</v>
      </c>
      <c r="E681" t="str">
        <f>_xll.BDP($B681,"LEGAL_ENTITY_IDENTIFIER")</f>
        <v>549300XMP3KDCKJXIU47</v>
      </c>
      <c r="F681" t="s">
        <v>2285</v>
      </c>
      <c r="G681" t="str">
        <f>custodian!D681</f>
        <v>571748BG6</v>
      </c>
      <c r="H681" t="str">
        <f>_xll.BDP($B681,"ID_ISIN")</f>
        <v>US571748BG65</v>
      </c>
      <c r="I681" s="1"/>
      <c r="J681" t="str">
        <f>_xll.BDP($B681,"CNTRY_OF_DOMICILE")</f>
        <v>US</v>
      </c>
      <c r="K681" t="s">
        <v>626</v>
      </c>
      <c r="L681" t="s">
        <v>99</v>
      </c>
      <c r="O681" s="1"/>
      <c r="AQ681" s="1"/>
      <c r="AR681" s="1"/>
      <c r="AS681" s="1"/>
      <c r="AT681" t="str">
        <f>TEXT(_xll.BDP($B681,"MATURITY"),"yyyy-mm-dd")</f>
        <v>2029-03-15</v>
      </c>
      <c r="AU681" t="str">
        <f>_xll.BDP($B681,"CPN_TYP")</f>
        <v>FIXED</v>
      </c>
      <c r="AV681">
        <f>_xll.BDP($B681,"CPN")</f>
        <v>4.375</v>
      </c>
    </row>
    <row r="682" spans="1:48" x14ac:dyDescent="0.25">
      <c r="A682" t="s">
        <v>1840</v>
      </c>
      <c r="B682" t="s">
        <v>2286</v>
      </c>
      <c r="C682" s="1" t="s">
        <v>2287</v>
      </c>
      <c r="D682" t="s">
        <v>2288</v>
      </c>
      <c r="E682" t="str">
        <f>_xll.BDP($B682,"LEGAL_ENTITY_IDENTIFIER")</f>
        <v>225YDZ14ZO8E1TXUSU86</v>
      </c>
      <c r="F682" t="s">
        <v>2289</v>
      </c>
      <c r="G682" t="str">
        <f>custodian!D682</f>
        <v>571903BE2</v>
      </c>
      <c r="H682" t="str">
        <f>_xll.BDP($B682,"ID_ISIN")</f>
        <v>US571903BE27</v>
      </c>
      <c r="I682" s="1"/>
      <c r="J682" t="str">
        <f>_xll.BDP($B682,"CNTRY_OF_DOMICILE")</f>
        <v>US</v>
      </c>
      <c r="K682" t="s">
        <v>626</v>
      </c>
      <c r="L682" t="s">
        <v>99</v>
      </c>
      <c r="O682" s="1"/>
      <c r="AQ682" s="1"/>
      <c r="AR682" s="1"/>
      <c r="AS682" s="1"/>
      <c r="AT682" t="str">
        <f>TEXT(_xll.BDP($B682,"MATURITY"),"yyyy-mm-dd")</f>
        <v>2030-06-15</v>
      </c>
      <c r="AU682" t="str">
        <f>_xll.BDP($B682,"CPN_TYP")</f>
        <v>FIXED</v>
      </c>
      <c r="AV682">
        <f>_xll.BDP($B682,"CPN")</f>
        <v>4.625</v>
      </c>
    </row>
    <row r="683" spans="1:48" x14ac:dyDescent="0.25">
      <c r="A683" t="s">
        <v>1840</v>
      </c>
      <c r="B683" t="s">
        <v>2290</v>
      </c>
      <c r="C683" s="1" t="s">
        <v>2291</v>
      </c>
      <c r="D683" t="s">
        <v>2292</v>
      </c>
      <c r="E683" t="str">
        <f>_xll.BDP($B683,"LEGAL_ENTITY_IDENTIFIER")</f>
        <v>AR5L2ODV9HN37376R084</v>
      </c>
      <c r="F683" t="s">
        <v>2293</v>
      </c>
      <c r="G683" t="str">
        <f>custodian!D683</f>
        <v>57636QAM6</v>
      </c>
      <c r="H683" t="str">
        <f>_xll.BDP($B683,"ID_ISIN")</f>
        <v>US57636QAM69</v>
      </c>
      <c r="I683" s="1"/>
      <c r="J683" t="str">
        <f>_xll.BDP($B683,"CNTRY_OF_DOMICILE")</f>
        <v>US</v>
      </c>
      <c r="K683" t="s">
        <v>626</v>
      </c>
      <c r="L683" t="s">
        <v>99</v>
      </c>
      <c r="O683" s="1"/>
      <c r="AQ683" s="1"/>
      <c r="AR683" s="1"/>
      <c r="AS683" s="1"/>
      <c r="AT683" t="str">
        <f>TEXT(_xll.BDP($B683,"MATURITY"),"yyyy-mm-dd")</f>
        <v>2029-06-01</v>
      </c>
      <c r="AU683" t="str">
        <f>_xll.BDP($B683,"CPN_TYP")</f>
        <v>FIXED</v>
      </c>
      <c r="AV683">
        <f>_xll.BDP($B683,"CPN")</f>
        <v>2.95</v>
      </c>
    </row>
    <row r="684" spans="1:48" x14ac:dyDescent="0.25">
      <c r="A684" t="s">
        <v>1840</v>
      </c>
      <c r="B684" t="s">
        <v>2294</v>
      </c>
      <c r="C684" s="1" t="s">
        <v>2295</v>
      </c>
      <c r="D684" t="s">
        <v>2296</v>
      </c>
      <c r="E684" t="str">
        <f>_xll.BDP($B684,"LEGAL_ENTITY_IDENTIFIER")</f>
        <v>4YV9Y5M8S0BRK1RP0397</v>
      </c>
      <c r="F684" t="s">
        <v>2296</v>
      </c>
      <c r="G684" t="str">
        <f>custodian!D684</f>
        <v>58933YAX3</v>
      </c>
      <c r="H684" t="str">
        <f>_xll.BDP($B684,"ID_ISIN")</f>
        <v>US58933YAX31</v>
      </c>
      <c r="I684" s="1"/>
      <c r="J684" t="str">
        <f>_xll.BDP($B684,"CNTRY_OF_DOMICILE")</f>
        <v>US</v>
      </c>
      <c r="K684" t="s">
        <v>626</v>
      </c>
      <c r="L684" t="s">
        <v>99</v>
      </c>
      <c r="O684" s="1"/>
      <c r="AQ684" s="1"/>
      <c r="AR684" s="1"/>
      <c r="AS684" s="1"/>
      <c r="AT684" t="str">
        <f>TEXT(_xll.BDP($B684,"MATURITY"),"yyyy-mm-dd")</f>
        <v>2029-03-07</v>
      </c>
      <c r="AU684" t="str">
        <f>_xll.BDP($B684,"CPN_TYP")</f>
        <v>FIXED</v>
      </c>
      <c r="AV684">
        <f>_xll.BDP($B684,"CPN")</f>
        <v>3.4</v>
      </c>
    </row>
    <row r="685" spans="1:48" x14ac:dyDescent="0.25">
      <c r="A685" t="s">
        <v>1840</v>
      </c>
      <c r="B685" t="s">
        <v>2297</v>
      </c>
      <c r="C685" s="1" t="s">
        <v>2298</v>
      </c>
      <c r="D685" t="s">
        <v>2299</v>
      </c>
      <c r="E685" t="str">
        <f>_xll.BDP($B685,"LEGAL_ENTITY_IDENTIFIER")</f>
        <v>5493007PTFULNYZJ1R12</v>
      </c>
      <c r="F685" t="s">
        <v>2300</v>
      </c>
      <c r="G685" t="str">
        <f>custodian!D685</f>
        <v>595017BE3</v>
      </c>
      <c r="H685" t="str">
        <f>_xll.BDP($B685,"ID_ISIN")</f>
        <v>US595017BE37</v>
      </c>
      <c r="I685" s="1"/>
      <c r="J685" t="str">
        <f>_xll.BDP($B685,"CNTRY_OF_DOMICILE")</f>
        <v>US</v>
      </c>
      <c r="K685" t="s">
        <v>626</v>
      </c>
      <c r="L685" t="s">
        <v>99</v>
      </c>
      <c r="O685" s="1"/>
      <c r="AQ685" s="1"/>
      <c r="AR685" s="1"/>
      <c r="AS685" s="1"/>
      <c r="AT685" t="str">
        <f>TEXT(_xll.BDP($B685,"MATURITY"),"yyyy-mm-dd")</f>
        <v>2029-03-15</v>
      </c>
      <c r="AU685" t="str">
        <f>_xll.BDP($B685,"CPN_TYP")</f>
        <v>FIXED</v>
      </c>
      <c r="AV685">
        <f>_xll.BDP($B685,"CPN")</f>
        <v>5.05</v>
      </c>
    </row>
    <row r="686" spans="1:48" x14ac:dyDescent="0.25">
      <c r="A686" t="s">
        <v>1840</v>
      </c>
      <c r="B686" t="s">
        <v>2301</v>
      </c>
      <c r="C686" s="1" t="s">
        <v>2302</v>
      </c>
      <c r="D686" t="s">
        <v>2303</v>
      </c>
      <c r="E686" t="str">
        <f>_xll.BDP($B686,"LEGAL_ENTITY_IDENTIFIER")</f>
        <v>NINLOILYRTLIMK26MZ18</v>
      </c>
      <c r="F686" t="s">
        <v>2304</v>
      </c>
      <c r="G686" t="str">
        <f>custodian!D686</f>
        <v>595620AT2</v>
      </c>
      <c r="H686" t="str">
        <f>_xll.BDP($B686,"ID_ISIN")</f>
        <v>US595620AT22</v>
      </c>
      <c r="I686" s="1"/>
      <c r="J686" t="str">
        <f>_xll.BDP($B686,"CNTRY_OF_DOMICILE")</f>
        <v>US</v>
      </c>
      <c r="K686" t="s">
        <v>626</v>
      </c>
      <c r="L686" t="s">
        <v>99</v>
      </c>
      <c r="O686" s="1"/>
      <c r="AQ686" s="1"/>
      <c r="AR686" s="1"/>
      <c r="AS686" s="1"/>
      <c r="AT686" t="str">
        <f>TEXT(_xll.BDP($B686,"MATURITY"),"yyyy-mm-dd")</f>
        <v>2029-04-15</v>
      </c>
      <c r="AU686" t="str">
        <f>_xll.BDP($B686,"CPN_TYP")</f>
        <v>FIXED</v>
      </c>
      <c r="AV686">
        <f>_xll.BDP($B686,"CPN")</f>
        <v>3.65</v>
      </c>
    </row>
    <row r="687" spans="1:48" x14ac:dyDescent="0.25">
      <c r="A687" t="s">
        <v>1840</v>
      </c>
      <c r="B687" t="s">
        <v>2305</v>
      </c>
      <c r="C687" s="1" t="s">
        <v>2306</v>
      </c>
      <c r="D687" t="s">
        <v>2307</v>
      </c>
      <c r="E687" t="str">
        <f>_xll.BDP($B687,"LEGAL_ENTITY_IDENTIFIER")</f>
        <v>353800V2V8PUY9TK3E06</v>
      </c>
      <c r="F687" t="s">
        <v>2308</v>
      </c>
      <c r="G687" t="str">
        <f>custodian!D687</f>
        <v>606822BM5</v>
      </c>
      <c r="H687" t="str">
        <f>_xll.BDP($B687,"ID_ISIN")</f>
        <v>US606822BM52</v>
      </c>
      <c r="I687" s="1"/>
      <c r="J687" t="str">
        <f>_xll.BDP($B687,"CNTRY_OF_DOMICILE")</f>
        <v>JP</v>
      </c>
      <c r="K687" t="s">
        <v>626</v>
      </c>
      <c r="L687" t="s">
        <v>99</v>
      </c>
      <c r="O687" s="1"/>
      <c r="AQ687" s="1"/>
      <c r="AR687" s="1"/>
      <c r="AS687" s="1"/>
      <c r="AT687" t="str">
        <f>TEXT(_xll.BDP($B687,"MATURITY"),"yyyy-mm-dd")</f>
        <v>2029-07-18</v>
      </c>
      <c r="AU687" t="str">
        <f>_xll.BDP($B687,"CPN_TYP")</f>
        <v>FIXED</v>
      </c>
      <c r="AV687">
        <f>_xll.BDP($B687,"CPN")</f>
        <v>3.1949999999999998</v>
      </c>
    </row>
    <row r="688" spans="1:48" x14ac:dyDescent="0.25">
      <c r="A688" t="s">
        <v>1840</v>
      </c>
      <c r="B688" t="s">
        <v>2309</v>
      </c>
      <c r="C688" s="1" t="s">
        <v>2310</v>
      </c>
      <c r="D688" t="s">
        <v>2307</v>
      </c>
      <c r="E688" t="str">
        <f>_xll.BDP($B688,"LEGAL_ENTITY_IDENTIFIER")</f>
        <v>353800V2V8PUY9TK3E06</v>
      </c>
      <c r="F688" t="s">
        <v>2311</v>
      </c>
      <c r="G688" t="str">
        <f>custodian!D688</f>
        <v>606822DW1</v>
      </c>
      <c r="H688" t="str">
        <f>_xll.BDP($B688,"ID_ISIN")</f>
        <v>US606822DW17</v>
      </c>
      <c r="I688" s="1"/>
      <c r="J688" t="str">
        <f>_xll.BDP($B688,"CNTRY_OF_DOMICILE")</f>
        <v>JP</v>
      </c>
      <c r="K688" t="s">
        <v>626</v>
      </c>
      <c r="L688" t="s">
        <v>99</v>
      </c>
      <c r="O688" s="1"/>
      <c r="AQ688" s="1"/>
      <c r="AR688" s="1"/>
      <c r="AS688" s="1"/>
      <c r="AT688" t="str">
        <f>TEXT(_xll.BDP($B688,"MATURITY"),"yyyy-mm-dd")</f>
        <v>2032-04-21</v>
      </c>
      <c r="AU688" t="str">
        <f>_xll.BDP($B688,"CPN_TYP")</f>
        <v>VARIABLE</v>
      </c>
      <c r="AV688">
        <f>_xll.BDP($B688,"CPN")</f>
        <v>4.8470000000000004</v>
      </c>
    </row>
    <row r="689" spans="1:48" x14ac:dyDescent="0.25">
      <c r="A689" t="s">
        <v>1840</v>
      </c>
      <c r="B689" t="s">
        <v>2312</v>
      </c>
      <c r="C689" s="1" t="s">
        <v>2313</v>
      </c>
      <c r="D689" t="s">
        <v>2314</v>
      </c>
      <c r="E689" t="str">
        <f>_xll.BDP($B689,"LEGAL_ENTITY_IDENTIFIER")</f>
        <v>353800CI5L6DDAN5XZ33</v>
      </c>
      <c r="F689" t="s">
        <v>2315</v>
      </c>
      <c r="G689" t="str">
        <f>custodian!D689</f>
        <v>60687YCR8</v>
      </c>
      <c r="H689" t="str">
        <f>_xll.BDP($B689,"ID_ISIN")</f>
        <v>US60687YCR80</v>
      </c>
      <c r="I689" s="1"/>
      <c r="J689" t="str">
        <f>_xll.BDP($B689,"CNTRY_OF_DOMICILE")</f>
        <v>JP</v>
      </c>
      <c r="K689" t="s">
        <v>626</v>
      </c>
      <c r="L689" t="s">
        <v>99</v>
      </c>
      <c r="O689" s="1"/>
      <c r="AQ689" s="1"/>
      <c r="AR689" s="1"/>
      <c r="AS689" s="1"/>
      <c r="AT689" t="str">
        <f>TEXT(_xll.BDP($B689,"MATURITY"),"yyyy-mm-dd")</f>
        <v>2031-05-27</v>
      </c>
      <c r="AU689" t="str">
        <f>_xll.BDP($B689,"CPN_TYP")</f>
        <v>VARIABLE</v>
      </c>
      <c r="AV689">
        <f>_xll.BDP($B689,"CPN")</f>
        <v>5.7389999999999999</v>
      </c>
    </row>
    <row r="690" spans="1:48" x14ac:dyDescent="0.25">
      <c r="A690" t="s">
        <v>1840</v>
      </c>
      <c r="B690" t="s">
        <v>2316</v>
      </c>
      <c r="C690" s="1" t="s">
        <v>2317</v>
      </c>
      <c r="D690" t="s">
        <v>2318</v>
      </c>
      <c r="E690" t="str">
        <f>_xll.BDP($B690,"LEGAL_ENTITY_IDENTIFIER")</f>
        <v>IGJSJL3JD5P30I6NJZ34</v>
      </c>
      <c r="F690" t="s">
        <v>2319</v>
      </c>
      <c r="G690" t="str">
        <f>custodian!D690</f>
        <v>6174468G7</v>
      </c>
      <c r="H690" t="str">
        <f>_xll.BDP($B690,"ID_ISIN")</f>
        <v>US6174468G77</v>
      </c>
      <c r="I690" s="1"/>
      <c r="J690" t="str">
        <f>_xll.BDP($B690,"CNTRY_OF_DOMICILE")</f>
        <v>US</v>
      </c>
      <c r="K690" t="s">
        <v>626</v>
      </c>
      <c r="L690" t="s">
        <v>99</v>
      </c>
      <c r="O690" s="1"/>
      <c r="AQ690" s="1"/>
      <c r="AR690" s="1"/>
      <c r="AS690" s="1"/>
      <c r="AT690" t="str">
        <f>TEXT(_xll.BDP($B690,"MATURITY"),"yyyy-mm-dd")</f>
        <v>2030-01-23</v>
      </c>
      <c r="AU690" t="str">
        <f>_xll.BDP($B690,"CPN_TYP")</f>
        <v>VARIABLE</v>
      </c>
      <c r="AV690">
        <f>_xll.BDP($B690,"CPN")</f>
        <v>4.431</v>
      </c>
    </row>
    <row r="691" spans="1:48" x14ac:dyDescent="0.25">
      <c r="A691" t="s">
        <v>1840</v>
      </c>
      <c r="B691" t="s">
        <v>2320</v>
      </c>
      <c r="C691" s="1" t="s">
        <v>2321</v>
      </c>
      <c r="D691" t="s">
        <v>2322</v>
      </c>
      <c r="E691" t="str">
        <f>_xll.BDP($B691,"LEGAL_ENTITY_IDENTIFIER")</f>
        <v>IGJSJL3JD5P30I6NJZ34</v>
      </c>
      <c r="F691" t="s">
        <v>2323</v>
      </c>
      <c r="G691" t="str">
        <f>custodian!D691</f>
        <v>61744YAP3</v>
      </c>
      <c r="H691" t="str">
        <f>_xll.BDP($B691,"ID_ISIN")</f>
        <v>US61744YAP34</v>
      </c>
      <c r="I691" s="1"/>
      <c r="J691" t="str">
        <f>_xll.BDP($B691,"CNTRY_OF_DOMICILE")</f>
        <v>US</v>
      </c>
      <c r="K691" t="s">
        <v>626</v>
      </c>
      <c r="L691" t="s">
        <v>99</v>
      </c>
      <c r="O691" s="1"/>
      <c r="AQ691" s="1"/>
      <c r="AR691" s="1"/>
      <c r="AS691" s="1"/>
      <c r="AT691" t="str">
        <f>TEXT(_xll.BDP($B691,"MATURITY"),"yyyy-mm-dd")</f>
        <v>2029-01-24</v>
      </c>
      <c r="AU691" t="str">
        <f>_xll.BDP($B691,"CPN_TYP")</f>
        <v>VARIABLE</v>
      </c>
      <c r="AV691">
        <f>_xll.BDP($B691,"CPN")</f>
        <v>3.7719999999999998</v>
      </c>
    </row>
    <row r="692" spans="1:48" x14ac:dyDescent="0.25">
      <c r="A692" t="s">
        <v>1840</v>
      </c>
      <c r="B692" t="s">
        <v>2324</v>
      </c>
      <c r="C692" s="1" t="s">
        <v>2325</v>
      </c>
      <c r="D692" t="s">
        <v>2326</v>
      </c>
      <c r="E692" t="str">
        <f>_xll.BDP($B692,"LEGAL_ENTITY_IDENTIFIER")</f>
        <v>#N/A N/A</v>
      </c>
      <c r="F692" t="s">
        <v>2327</v>
      </c>
      <c r="G692" t="str">
        <f>custodian!D692</f>
        <v>62954HBA5</v>
      </c>
      <c r="H692" t="str">
        <f>_xll.BDP($B692,"ID_ISIN")</f>
        <v>US62954HBA59</v>
      </c>
      <c r="I692" s="1"/>
      <c r="J692" t="str">
        <f>_xll.BDP($B692,"CNTRY_OF_DOMICILE")</f>
        <v>NL</v>
      </c>
      <c r="K692" t="s">
        <v>626</v>
      </c>
      <c r="L692" t="s">
        <v>99</v>
      </c>
      <c r="O692" s="1"/>
      <c r="AQ692" s="1"/>
      <c r="AR692" s="1"/>
      <c r="AS692" s="1"/>
      <c r="AT692" t="str">
        <f>TEXT(_xll.BDP($B692,"MATURITY"),"yyyy-mm-dd")</f>
        <v>2031-05-11</v>
      </c>
      <c r="AU692" t="str">
        <f>_xll.BDP($B692,"CPN_TYP")</f>
        <v>FIXED</v>
      </c>
      <c r="AV692">
        <f>_xll.BDP($B692,"CPN")</f>
        <v>2.5</v>
      </c>
    </row>
    <row r="693" spans="1:48" x14ac:dyDescent="0.25">
      <c r="A693" t="s">
        <v>1840</v>
      </c>
      <c r="B693" t="s">
        <v>2328</v>
      </c>
      <c r="C693" s="1" t="s">
        <v>2329</v>
      </c>
      <c r="D693" t="s">
        <v>2330</v>
      </c>
      <c r="E693" t="str">
        <f>_xll.BDP($B693,"LEGAL_ENTITY_IDENTIFIER")</f>
        <v>4NYF266XZC35SCTGX023</v>
      </c>
      <c r="F693" t="s">
        <v>2331</v>
      </c>
      <c r="G693" t="str">
        <f>custodian!D693</f>
        <v>637432NP6</v>
      </c>
      <c r="H693" t="str">
        <f>_xll.BDP($B693,"ID_ISIN")</f>
        <v>US637432NP60</v>
      </c>
      <c r="I693" s="1"/>
      <c r="J693" t="str">
        <f>_xll.BDP($B693,"CNTRY_OF_DOMICILE")</f>
        <v>US</v>
      </c>
      <c r="K693" t="s">
        <v>626</v>
      </c>
      <c r="L693" t="s">
        <v>99</v>
      </c>
      <c r="O693" s="1"/>
      <c r="AQ693" s="1"/>
      <c r="AR693" s="1"/>
      <c r="AS693" s="1"/>
      <c r="AT693" t="str">
        <f>TEXT(_xll.BDP($B693,"MATURITY"),"yyyy-mm-dd")</f>
        <v>2028-02-07</v>
      </c>
      <c r="AU693" t="str">
        <f>_xll.BDP($B693,"CPN_TYP")</f>
        <v>FIXED</v>
      </c>
      <c r="AV693">
        <f>_xll.BDP($B693,"CPN")</f>
        <v>3.4</v>
      </c>
    </row>
    <row r="694" spans="1:48" x14ac:dyDescent="0.25">
      <c r="A694" t="s">
        <v>1840</v>
      </c>
      <c r="B694" t="s">
        <v>2332</v>
      </c>
      <c r="C694" s="1" t="s">
        <v>2333</v>
      </c>
      <c r="D694" t="s">
        <v>2334</v>
      </c>
      <c r="E694" t="str">
        <f>_xll.BDP($B694,"LEGAL_ENTITY_IDENTIFIER")</f>
        <v>2138005O9XJIJN4JPN90</v>
      </c>
      <c r="F694" t="s">
        <v>2335</v>
      </c>
      <c r="G694" t="str">
        <f>custodian!D694</f>
        <v>639057AK4</v>
      </c>
      <c r="H694" t="str">
        <f>_xll.BDP($B694,"ID_ISIN")</f>
        <v>US639057AK45</v>
      </c>
      <c r="I694" s="1"/>
      <c r="J694" t="str">
        <f>_xll.BDP($B694,"CNTRY_OF_DOMICILE")</f>
        <v>GB</v>
      </c>
      <c r="K694" t="s">
        <v>626</v>
      </c>
      <c r="L694" t="s">
        <v>99</v>
      </c>
      <c r="O694" s="1"/>
      <c r="AQ694" s="1"/>
      <c r="AR694" s="1"/>
      <c r="AS694" s="1"/>
      <c r="AT694" t="str">
        <f>TEXT(_xll.BDP($B694,"MATURITY"),"yyyy-mm-dd")</f>
        <v>2029-09-13</v>
      </c>
      <c r="AU694" t="str">
        <f>_xll.BDP($B694,"CPN_TYP")</f>
        <v>VARIABLE</v>
      </c>
      <c r="AV694">
        <f>_xll.BDP($B694,"CPN")</f>
        <v>5.8079999999999998</v>
      </c>
    </row>
    <row r="695" spans="1:48" x14ac:dyDescent="0.25">
      <c r="A695" t="s">
        <v>1840</v>
      </c>
      <c r="B695" t="s">
        <v>2336</v>
      </c>
      <c r="C695" s="1" t="s">
        <v>2337</v>
      </c>
      <c r="D695" t="s">
        <v>2338</v>
      </c>
      <c r="E695" t="str">
        <f>_xll.BDP($B695,"LEGAL_ENTITY_IDENTIFIER")</f>
        <v>UMI46YPGBLUE4VGNNT48</v>
      </c>
      <c r="F695" t="s">
        <v>2339</v>
      </c>
      <c r="G695" t="str">
        <f>custodian!D695</f>
        <v>65339KBR0</v>
      </c>
      <c r="H695" t="str">
        <f>_xll.BDP($B695,"ID_ISIN")</f>
        <v>US65339KBR05</v>
      </c>
      <c r="I695" s="1"/>
      <c r="J695" t="str">
        <f>_xll.BDP($B695,"CNTRY_OF_DOMICILE")</f>
        <v>US</v>
      </c>
      <c r="K695" t="s">
        <v>626</v>
      </c>
      <c r="L695" t="s">
        <v>99</v>
      </c>
      <c r="O695" s="1"/>
      <c r="AQ695" s="1"/>
      <c r="AR695" s="1"/>
      <c r="AS695" s="1"/>
      <c r="AT695" t="str">
        <f>TEXT(_xll.BDP($B695,"MATURITY"),"yyyy-mm-dd")</f>
        <v>2030-06-01</v>
      </c>
      <c r="AU695" t="str">
        <f>_xll.BDP($B695,"CPN_TYP")</f>
        <v>FIXED</v>
      </c>
      <c r="AV695">
        <f>_xll.BDP($B695,"CPN")</f>
        <v>2.25</v>
      </c>
    </row>
    <row r="696" spans="1:48" x14ac:dyDescent="0.25">
      <c r="A696" t="s">
        <v>1840</v>
      </c>
      <c r="B696" t="s">
        <v>2340</v>
      </c>
      <c r="C696" s="1" t="s">
        <v>2341</v>
      </c>
      <c r="D696" t="s">
        <v>2342</v>
      </c>
      <c r="E696" t="str">
        <f>_xll.BDP($B696,"LEGAL_ENTITY_IDENTIFIER")</f>
        <v>787RXPR0UX0O0XUXPZ81</v>
      </c>
      <c r="F696" t="s">
        <v>2342</v>
      </c>
      <c r="G696" t="str">
        <f>custodian!D696</f>
        <v>654106AK9</v>
      </c>
      <c r="H696" t="str">
        <f>_xll.BDP($B696,"ID_ISIN")</f>
        <v>US654106AK94</v>
      </c>
      <c r="I696" s="1"/>
      <c r="J696" t="str">
        <f>_xll.BDP($B696,"CNTRY_OF_DOMICILE")</f>
        <v>US</v>
      </c>
      <c r="K696" t="s">
        <v>626</v>
      </c>
      <c r="L696" t="s">
        <v>99</v>
      </c>
      <c r="O696" s="1"/>
      <c r="AQ696" s="1"/>
      <c r="AR696" s="1"/>
      <c r="AS696" s="1"/>
      <c r="AT696" t="str">
        <f>TEXT(_xll.BDP($B696,"MATURITY"),"yyyy-mm-dd")</f>
        <v>2030-03-27</v>
      </c>
      <c r="AU696" t="str">
        <f>_xll.BDP($B696,"CPN_TYP")</f>
        <v>FIXED</v>
      </c>
      <c r="AV696">
        <f>_xll.BDP($B696,"CPN")</f>
        <v>2.85</v>
      </c>
    </row>
    <row r="697" spans="1:48" x14ac:dyDescent="0.25">
      <c r="A697" t="s">
        <v>1840</v>
      </c>
      <c r="B697" t="s">
        <v>2343</v>
      </c>
      <c r="C697" s="1" t="s">
        <v>2344</v>
      </c>
      <c r="D697" t="s">
        <v>2345</v>
      </c>
      <c r="E697" t="str">
        <f>_xll.BDP($B697,"LEGAL_ENTITY_IDENTIFIER")</f>
        <v>549300GLF98S992BC502</v>
      </c>
      <c r="F697" t="s">
        <v>2346</v>
      </c>
      <c r="G697" t="str">
        <f>custodian!D697</f>
        <v>665859AU8</v>
      </c>
      <c r="H697" t="str">
        <f>_xll.BDP($B697,"ID_ISIN")</f>
        <v>US665859AU89</v>
      </c>
      <c r="I697" s="1"/>
      <c r="J697" t="str">
        <f>_xll.BDP($B697,"CNTRY_OF_DOMICILE")</f>
        <v>US</v>
      </c>
      <c r="K697" t="s">
        <v>626</v>
      </c>
      <c r="L697" t="s">
        <v>99</v>
      </c>
      <c r="O697" s="1"/>
      <c r="AQ697" s="1"/>
      <c r="AR697" s="1"/>
      <c r="AS697" s="1"/>
      <c r="AT697" t="str">
        <f>TEXT(_xll.BDP($B697,"MATURITY"),"yyyy-mm-dd")</f>
        <v>2029-05-03</v>
      </c>
      <c r="AU697" t="str">
        <f>_xll.BDP($B697,"CPN_TYP")</f>
        <v>FIXED</v>
      </c>
      <c r="AV697">
        <f>_xll.BDP($B697,"CPN")</f>
        <v>3.15</v>
      </c>
    </row>
    <row r="698" spans="1:48" x14ac:dyDescent="0.25">
      <c r="A698" t="s">
        <v>1840</v>
      </c>
      <c r="B698" t="s">
        <v>2347</v>
      </c>
      <c r="C698" s="1" t="s">
        <v>2348</v>
      </c>
      <c r="D698" t="s">
        <v>2349</v>
      </c>
      <c r="E698" t="str">
        <f>_xll.BDP($B698,"LEGAL_ENTITY_IDENTIFIER")</f>
        <v>RIMU48P07456QXSO0R61</v>
      </c>
      <c r="F698" t="s">
        <v>2350</v>
      </c>
      <c r="G698" t="str">
        <f>custodian!D698</f>
        <v>666807BN1</v>
      </c>
      <c r="H698" t="str">
        <f>_xll.BDP($B698,"ID_ISIN")</f>
        <v>US666807BN13</v>
      </c>
      <c r="I698" s="1"/>
      <c r="J698" t="str">
        <f>_xll.BDP($B698,"CNTRY_OF_DOMICILE")</f>
        <v>US</v>
      </c>
      <c r="K698" t="s">
        <v>626</v>
      </c>
      <c r="L698" t="s">
        <v>99</v>
      </c>
      <c r="O698" s="1"/>
      <c r="AQ698" s="1"/>
      <c r="AR698" s="1"/>
      <c r="AS698" s="1"/>
      <c r="AT698" t="str">
        <f>TEXT(_xll.BDP($B698,"MATURITY"),"yyyy-mm-dd")</f>
        <v>2028-01-15</v>
      </c>
      <c r="AU698" t="str">
        <f>_xll.BDP($B698,"CPN_TYP")</f>
        <v>FIXED</v>
      </c>
      <c r="AV698">
        <f>_xll.BDP($B698,"CPN")</f>
        <v>3.25</v>
      </c>
    </row>
    <row r="699" spans="1:48" x14ac:dyDescent="0.25">
      <c r="A699" t="s">
        <v>1840</v>
      </c>
      <c r="B699" t="s">
        <v>2351</v>
      </c>
      <c r="C699" s="1" t="s">
        <v>2352</v>
      </c>
      <c r="D699" t="s">
        <v>2353</v>
      </c>
      <c r="E699" t="str">
        <f>_xll.BDP($B699,"LEGAL_ENTITY_IDENTIFIER")</f>
        <v>5493002KF87V5RSRQS84</v>
      </c>
      <c r="F699" t="s">
        <v>2354</v>
      </c>
      <c r="G699" t="str">
        <f>custodian!D699</f>
        <v>66989HBF4</v>
      </c>
      <c r="H699" t="str">
        <f>_xll.BDP($B699,"ID_ISIN")</f>
        <v>US66989HBF47</v>
      </c>
      <c r="I699" s="1"/>
      <c r="J699" t="str">
        <f>_xll.BDP($B699,"CNTRY_OF_DOMICILE")</f>
        <v>US</v>
      </c>
      <c r="K699" t="s">
        <v>626</v>
      </c>
      <c r="L699" t="s">
        <v>99</v>
      </c>
      <c r="O699" s="1"/>
      <c r="AQ699" s="1"/>
      <c r="AR699" s="1"/>
      <c r="AS699" s="1"/>
      <c r="AT699" t="str">
        <f>TEXT(_xll.BDP($B699,"MATURITY"),"yyyy-mm-dd")</f>
        <v>2029-03-16</v>
      </c>
      <c r="AU699" t="str">
        <f>_xll.BDP($B699,"CPN_TYP")</f>
        <v>FIXED</v>
      </c>
      <c r="AV699">
        <f>_xll.BDP($B699,"CPN")</f>
        <v>4.0999999999999996</v>
      </c>
    </row>
    <row r="700" spans="1:48" x14ac:dyDescent="0.25">
      <c r="A700" t="s">
        <v>1840</v>
      </c>
      <c r="B700" t="s">
        <v>2355</v>
      </c>
      <c r="C700" s="1" t="s">
        <v>2356</v>
      </c>
      <c r="D700" t="s">
        <v>2357</v>
      </c>
      <c r="E700" t="str">
        <f>_xll.BDP($B700,"LEGAL_ENTITY_IDENTIFIER")</f>
        <v>2T3D6M0JSY48PSZI1Q41</v>
      </c>
      <c r="F700" t="s">
        <v>2357</v>
      </c>
      <c r="G700" t="str">
        <f>custodian!D700</f>
        <v>682680CB7</v>
      </c>
      <c r="H700" t="str">
        <f>_xll.BDP($B700,"ID_ISIN")</f>
        <v>US682680CB72</v>
      </c>
      <c r="I700" s="1"/>
      <c r="J700" t="str">
        <f>_xll.BDP($B700,"CNTRY_OF_DOMICILE")</f>
        <v>US</v>
      </c>
      <c r="K700" t="s">
        <v>626</v>
      </c>
      <c r="L700" t="s">
        <v>99</v>
      </c>
      <c r="O700" s="1"/>
      <c r="AQ700" s="1"/>
      <c r="AR700" s="1"/>
      <c r="AS700" s="1"/>
      <c r="AT700" t="str">
        <f>TEXT(_xll.BDP($B700,"MATURITY"),"yyyy-mm-dd")</f>
        <v>2027-09-24</v>
      </c>
      <c r="AU700" t="str">
        <f>_xll.BDP($B700,"CPN_TYP")</f>
        <v>FIXED</v>
      </c>
      <c r="AV700">
        <f>_xll.BDP($B700,"CPN")</f>
        <v>4.25</v>
      </c>
    </row>
    <row r="701" spans="1:48" x14ac:dyDescent="0.25">
      <c r="A701" t="s">
        <v>1840</v>
      </c>
      <c r="B701" t="s">
        <v>2358</v>
      </c>
      <c r="C701" s="1" t="s">
        <v>2359</v>
      </c>
      <c r="D701" t="s">
        <v>2360</v>
      </c>
      <c r="E701" t="str">
        <f>_xll.BDP($B701,"LEGAL_ENTITY_IDENTIFIER")</f>
        <v>1Z4GXXU7ZHVWFCD8TV52</v>
      </c>
      <c r="F701" t="s">
        <v>2360</v>
      </c>
      <c r="G701" t="str">
        <f>custodian!D701</f>
        <v>68389XCE3</v>
      </c>
      <c r="H701" t="str">
        <f>_xll.BDP($B701,"ID_ISIN")</f>
        <v>US68389XCE31</v>
      </c>
      <c r="I701" s="1"/>
      <c r="J701" t="str">
        <f>_xll.BDP($B701,"CNTRY_OF_DOMICILE")</f>
        <v>US</v>
      </c>
      <c r="K701" t="s">
        <v>626</v>
      </c>
      <c r="L701" t="s">
        <v>99</v>
      </c>
      <c r="O701" s="1"/>
      <c r="AQ701" s="1"/>
      <c r="AR701" s="1"/>
      <c r="AS701" s="1"/>
      <c r="AT701" t="str">
        <f>TEXT(_xll.BDP($B701,"MATURITY"),"yyyy-mm-dd")</f>
        <v>2031-03-25</v>
      </c>
      <c r="AU701" t="str">
        <f>_xll.BDP($B701,"CPN_TYP")</f>
        <v>FIXED</v>
      </c>
      <c r="AV701">
        <f>_xll.BDP($B701,"CPN")</f>
        <v>2.875</v>
      </c>
    </row>
    <row r="702" spans="1:48" x14ac:dyDescent="0.25">
      <c r="A702" t="s">
        <v>1840</v>
      </c>
      <c r="B702" t="s">
        <v>2361</v>
      </c>
      <c r="C702" s="1" t="s">
        <v>2362</v>
      </c>
      <c r="D702" t="s">
        <v>2363</v>
      </c>
      <c r="E702" t="str">
        <f>_xll.BDP($B702,"LEGAL_ENTITY_IDENTIFIER")</f>
        <v>2549000BD79OOCPF2L94</v>
      </c>
      <c r="F702" t="s">
        <v>2364</v>
      </c>
      <c r="G702" t="str">
        <f>custodian!D702</f>
        <v>69121KAH7</v>
      </c>
      <c r="H702" t="str">
        <f>_xll.BDP($B702,"ID_ISIN")</f>
        <v>US69121KAH77</v>
      </c>
      <c r="I702" s="1"/>
      <c r="J702" t="str">
        <f>_xll.BDP($B702,"CNTRY_OF_DOMICILE")</f>
        <v>US</v>
      </c>
      <c r="K702" t="s">
        <v>626</v>
      </c>
      <c r="L702" t="s">
        <v>99</v>
      </c>
      <c r="O702" s="1"/>
      <c r="AQ702" s="1"/>
      <c r="AR702" s="1"/>
      <c r="AS702" s="1"/>
      <c r="AT702" t="str">
        <f>TEXT(_xll.BDP($B702,"MATURITY"),"yyyy-mm-dd")</f>
        <v>2029-03-15</v>
      </c>
      <c r="AU702" t="str">
        <f>_xll.BDP($B702,"CPN_TYP")</f>
        <v>FIXED</v>
      </c>
      <c r="AV702">
        <f>_xll.BDP($B702,"CPN")</f>
        <v>5.95</v>
      </c>
    </row>
    <row r="703" spans="1:48" x14ac:dyDescent="0.25">
      <c r="A703" t="s">
        <v>1840</v>
      </c>
      <c r="B703" t="s">
        <v>2365</v>
      </c>
      <c r="C703" s="1" t="s">
        <v>2366</v>
      </c>
      <c r="D703" t="s">
        <v>2367</v>
      </c>
      <c r="E703" t="str">
        <f>_xll.BDP($B703,"LEGAL_ENTITY_IDENTIFIER")</f>
        <v>CFGNEKW0P8842LEUIA51</v>
      </c>
      <c r="F703" t="s">
        <v>2368</v>
      </c>
      <c r="G703" t="str">
        <f>custodian!D703</f>
        <v>693475BX2</v>
      </c>
      <c r="H703" t="str">
        <f>_xll.BDP($B703,"ID_ISIN")</f>
        <v>US693475BX24</v>
      </c>
      <c r="I703" s="1"/>
      <c r="J703" t="str">
        <f>_xll.BDP($B703,"CNTRY_OF_DOMICILE")</f>
        <v>US</v>
      </c>
      <c r="K703" t="s">
        <v>626</v>
      </c>
      <c r="L703" t="s">
        <v>99</v>
      </c>
      <c r="O703" s="1"/>
      <c r="AQ703" s="1"/>
      <c r="AR703" s="1"/>
      <c r="AS703" s="1"/>
      <c r="AT703" t="str">
        <f>TEXT(_xll.BDP($B703,"MATURITY"),"yyyy-mm-dd")</f>
        <v>2030-05-14</v>
      </c>
      <c r="AU703" t="str">
        <f>_xll.BDP($B703,"CPN_TYP")</f>
        <v>VARIABLE</v>
      </c>
      <c r="AV703">
        <f>_xll.BDP($B703,"CPN")</f>
        <v>5.492</v>
      </c>
    </row>
    <row r="704" spans="1:48" x14ac:dyDescent="0.25">
      <c r="A704" t="s">
        <v>1840</v>
      </c>
      <c r="B704" t="s">
        <v>2369</v>
      </c>
      <c r="C704" s="1" t="s">
        <v>2370</v>
      </c>
      <c r="D704" t="s">
        <v>2367</v>
      </c>
      <c r="E704" t="str">
        <f>_xll.BDP($B704,"LEGAL_ENTITY_IDENTIFIER")</f>
        <v>CFGNEKW0P8842LEUIA51</v>
      </c>
      <c r="F704" t="s">
        <v>2371</v>
      </c>
      <c r="G704" t="str">
        <f>custodian!D704</f>
        <v>693475CD5</v>
      </c>
      <c r="H704" t="str">
        <f>_xll.BDP($B704,"ID_ISIN")</f>
        <v>US693475CD50</v>
      </c>
      <c r="I704" s="1"/>
      <c r="J704" t="str">
        <f>_xll.BDP($B704,"CNTRY_OF_DOMICILE")</f>
        <v>US</v>
      </c>
      <c r="K704" t="s">
        <v>626</v>
      </c>
      <c r="L704" t="s">
        <v>99</v>
      </c>
      <c r="O704" s="1"/>
      <c r="AQ704" s="1"/>
      <c r="AR704" s="1"/>
      <c r="AS704" s="1"/>
      <c r="AT704" t="str">
        <f>TEXT(_xll.BDP($B704,"MATURITY"),"yyyy-mm-dd")</f>
        <v>2031-05-13</v>
      </c>
      <c r="AU704" t="str">
        <f>_xll.BDP($B704,"CPN_TYP")</f>
        <v>VARIABLE</v>
      </c>
      <c r="AV704">
        <f>_xll.BDP($B704,"CPN")</f>
        <v>4.899</v>
      </c>
    </row>
    <row r="705" spans="1:48" x14ac:dyDescent="0.25">
      <c r="A705" t="s">
        <v>1840</v>
      </c>
      <c r="B705" t="s">
        <v>2372</v>
      </c>
      <c r="C705" s="1" t="s">
        <v>2373</v>
      </c>
      <c r="D705" t="s">
        <v>2374</v>
      </c>
      <c r="E705" t="str">
        <f>_xll.BDP($B705,"LEGAL_ENTITY_IDENTIFIER")</f>
        <v>1HNPXZSMMB7HMBMVBS46</v>
      </c>
      <c r="F705" t="s">
        <v>2375</v>
      </c>
      <c r="G705" t="str">
        <f>custodian!D705</f>
        <v>694308JM0</v>
      </c>
      <c r="H705" t="str">
        <f>_xll.BDP($B705,"ID_ISIN")</f>
        <v>US694308JM04</v>
      </c>
      <c r="I705" s="1"/>
      <c r="J705" t="str">
        <f>_xll.BDP($B705,"CNTRY_OF_DOMICILE")</f>
        <v>US</v>
      </c>
      <c r="K705" t="s">
        <v>626</v>
      </c>
      <c r="L705" t="s">
        <v>99</v>
      </c>
      <c r="O705" s="1"/>
      <c r="AQ705" s="1"/>
      <c r="AR705" s="1"/>
      <c r="AS705" s="1"/>
      <c r="AT705" t="str">
        <f>TEXT(_xll.BDP($B705,"MATURITY"),"yyyy-mm-dd")</f>
        <v>2030-07-01</v>
      </c>
      <c r="AU705" t="str">
        <f>_xll.BDP($B705,"CPN_TYP")</f>
        <v>FIXED</v>
      </c>
      <c r="AV705">
        <f>_xll.BDP($B705,"CPN")</f>
        <v>4.55</v>
      </c>
    </row>
    <row r="706" spans="1:48" x14ac:dyDescent="0.25">
      <c r="A706" t="s">
        <v>1840</v>
      </c>
      <c r="B706" t="s">
        <v>2376</v>
      </c>
      <c r="C706" s="1" t="s">
        <v>2377</v>
      </c>
      <c r="D706" t="s">
        <v>2378</v>
      </c>
      <c r="E706" t="str">
        <f>_xll.BDP($B706,"LEGAL_ENTITY_IDENTIFIER")</f>
        <v>FJSUNZKFNQ5YPJ5OT455</v>
      </c>
      <c r="F706" t="s">
        <v>2378</v>
      </c>
      <c r="G706" t="str">
        <f>custodian!D706</f>
        <v>713448GA0</v>
      </c>
      <c r="H706" t="str">
        <f>_xll.BDP($B706,"ID_ISIN")</f>
        <v>US713448GA00</v>
      </c>
      <c r="I706" s="1"/>
      <c r="J706" t="str">
        <f>_xll.BDP($B706,"CNTRY_OF_DOMICILE")</f>
        <v>US</v>
      </c>
      <c r="K706" t="s">
        <v>626</v>
      </c>
      <c r="L706" t="s">
        <v>99</v>
      </c>
      <c r="O706" s="1"/>
      <c r="AQ706" s="1"/>
      <c r="AR706" s="1"/>
      <c r="AS706" s="1"/>
      <c r="AT706" t="str">
        <f>TEXT(_xll.BDP($B706,"MATURITY"),"yyyy-mm-dd")</f>
        <v>2028-02-07</v>
      </c>
      <c r="AU706" t="str">
        <f>_xll.BDP($B706,"CPN_TYP")</f>
        <v>FIXED</v>
      </c>
      <c r="AV706">
        <f>_xll.BDP($B706,"CPN")</f>
        <v>4.45</v>
      </c>
    </row>
    <row r="707" spans="1:48" x14ac:dyDescent="0.25">
      <c r="A707" t="s">
        <v>1840</v>
      </c>
      <c r="B707" t="s">
        <v>2379</v>
      </c>
      <c r="C707" s="1" t="s">
        <v>2380</v>
      </c>
      <c r="D707" t="s">
        <v>2381</v>
      </c>
      <c r="E707" t="str">
        <f>_xll.BDP($B707,"LEGAL_ENTITY_IDENTIFIER")</f>
        <v>5493000FQO8XF9C0RT95</v>
      </c>
      <c r="F707" t="s">
        <v>2382</v>
      </c>
      <c r="G707" t="str">
        <f>custodian!D707</f>
        <v>716973AD4</v>
      </c>
      <c r="H707" t="str">
        <f>_xll.BDP($B707,"ID_ISIN")</f>
        <v>US716973AD41</v>
      </c>
      <c r="I707" s="1"/>
      <c r="J707" t="str">
        <f>_xll.BDP($B707,"CNTRY_OF_DOMICILE")</f>
        <v>SG</v>
      </c>
      <c r="K707" t="s">
        <v>626</v>
      </c>
      <c r="L707" t="s">
        <v>99</v>
      </c>
      <c r="O707" s="1"/>
      <c r="AQ707" s="1"/>
      <c r="AR707" s="1"/>
      <c r="AS707" s="1"/>
      <c r="AT707" t="str">
        <f>TEXT(_xll.BDP($B707,"MATURITY"),"yyyy-mm-dd")</f>
        <v>2030-05-19</v>
      </c>
      <c r="AU707" t="str">
        <f>_xll.BDP($B707,"CPN_TYP")</f>
        <v>FIXED</v>
      </c>
      <c r="AV707">
        <f>_xll.BDP($B707,"CPN")</f>
        <v>4.6500000000000004</v>
      </c>
    </row>
    <row r="708" spans="1:48" x14ac:dyDescent="0.25">
      <c r="A708" t="s">
        <v>1840</v>
      </c>
      <c r="B708" t="s">
        <v>2383</v>
      </c>
      <c r="C708" s="1" t="s">
        <v>2384</v>
      </c>
      <c r="D708" t="s">
        <v>2385</v>
      </c>
      <c r="E708" t="str">
        <f>_xll.BDP($B708,"LEGAL_ENTITY_IDENTIFIER")</f>
        <v>765LHXWGK1KXCLTFYQ30</v>
      </c>
      <c r="F708" t="s">
        <v>2385</v>
      </c>
      <c r="G708" t="str">
        <f>custodian!D708</f>
        <v>717081EW9</v>
      </c>
      <c r="H708" t="str">
        <f>_xll.BDP($B708,"ID_ISIN")</f>
        <v>US717081EW90</v>
      </c>
      <c r="I708" s="1"/>
      <c r="J708" t="str">
        <f>_xll.BDP($B708,"CNTRY_OF_DOMICILE")</f>
        <v>US</v>
      </c>
      <c r="K708" t="s">
        <v>626</v>
      </c>
      <c r="L708" t="s">
        <v>99</v>
      </c>
      <c r="O708" s="1"/>
      <c r="AQ708" s="1"/>
      <c r="AR708" s="1"/>
      <c r="AS708" s="1"/>
      <c r="AT708" t="str">
        <f>TEXT(_xll.BDP($B708,"MATURITY"),"yyyy-mm-dd")</f>
        <v>2030-04-01</v>
      </c>
      <c r="AU708" t="str">
        <f>_xll.BDP($B708,"CPN_TYP")</f>
        <v>FIXED</v>
      </c>
      <c r="AV708">
        <f>_xll.BDP($B708,"CPN")</f>
        <v>2.625</v>
      </c>
    </row>
    <row r="709" spans="1:48" x14ac:dyDescent="0.25">
      <c r="A709" t="s">
        <v>1840</v>
      </c>
      <c r="B709" t="s">
        <v>2386</v>
      </c>
      <c r="C709" s="1" t="s">
        <v>2387</v>
      </c>
      <c r="D709" t="s">
        <v>2388</v>
      </c>
      <c r="E709" t="str">
        <f>_xll.BDP($B709,"LEGAL_ENTITY_IDENTIFIER")</f>
        <v>HL3H1H2BGXWVG3BSWR90</v>
      </c>
      <c r="F709" t="s">
        <v>2389</v>
      </c>
      <c r="G709" t="str">
        <f>custodian!D709</f>
        <v>718172DA4</v>
      </c>
      <c r="H709" t="str">
        <f>_xll.BDP($B709,"ID_ISIN")</f>
        <v>US718172DA46</v>
      </c>
      <c r="I709" s="1"/>
      <c r="J709" t="str">
        <f>_xll.BDP($B709,"CNTRY_OF_DOMICILE")</f>
        <v>US</v>
      </c>
      <c r="K709" t="s">
        <v>626</v>
      </c>
      <c r="L709" t="s">
        <v>99</v>
      </c>
      <c r="O709" s="1"/>
      <c r="AQ709" s="1"/>
      <c r="AR709" s="1"/>
      <c r="AS709" s="1"/>
      <c r="AT709" t="str">
        <f>TEXT(_xll.BDP($B709,"MATURITY"),"yyyy-mm-dd")</f>
        <v>2030-02-15</v>
      </c>
      <c r="AU709" t="str">
        <f>_xll.BDP($B709,"CPN_TYP")</f>
        <v>FIXED</v>
      </c>
      <c r="AV709">
        <f>_xll.BDP($B709,"CPN")</f>
        <v>5.125</v>
      </c>
    </row>
    <row r="710" spans="1:48" x14ac:dyDescent="0.25">
      <c r="A710" t="s">
        <v>1840</v>
      </c>
      <c r="B710" t="s">
        <v>2390</v>
      </c>
      <c r="C710" s="1" t="s">
        <v>2391</v>
      </c>
      <c r="D710" t="s">
        <v>2392</v>
      </c>
      <c r="E710" t="str">
        <f>_xll.BDP($B710,"LEGAL_ENTITY_IDENTIFIER")</f>
        <v>#N/A N/A</v>
      </c>
      <c r="F710" t="s">
        <v>2393</v>
      </c>
      <c r="G710" t="str">
        <f>custodian!D710</f>
        <v>72348NAA7</v>
      </c>
      <c r="H710" t="str">
        <f>_xll.BDP($B710,"ID_ISIN")</f>
        <v>US72348NAA72</v>
      </c>
      <c r="I710" s="1"/>
      <c r="J710" t="str">
        <f>_xll.BDP($B710,"CNTRY_OF_DOMICILE")</f>
        <v>US</v>
      </c>
      <c r="K710" t="s">
        <v>626</v>
      </c>
      <c r="L710" t="s">
        <v>99</v>
      </c>
      <c r="O710" s="1"/>
      <c r="AQ710" s="1"/>
      <c r="AR710" s="1"/>
      <c r="AS710" s="1"/>
      <c r="AT710" t="str">
        <f>TEXT(_xll.BDP($B710,"MATURITY"),"yyyy-mm-dd")</f>
        <v>2032-05-19</v>
      </c>
      <c r="AU710" t="str">
        <f>_xll.BDP($B710,"CPN_TYP")</f>
        <v>VARIABLE</v>
      </c>
      <c r="AV710">
        <f>_xll.BDP($B710,"CPN")</f>
        <v>5.5960000000000001</v>
      </c>
    </row>
    <row r="711" spans="1:48" x14ac:dyDescent="0.25">
      <c r="A711" t="s">
        <v>1840</v>
      </c>
      <c r="B711" t="s">
        <v>2394</v>
      </c>
      <c r="C711" s="1" t="s">
        <v>2395</v>
      </c>
      <c r="D711" t="s">
        <v>2396</v>
      </c>
      <c r="E711" t="str">
        <f>_xll.BDP($B711,"LEGAL_ENTITY_IDENTIFIER")</f>
        <v>2572IBTT8CCZW6AU4141</v>
      </c>
      <c r="F711" t="s">
        <v>2397</v>
      </c>
      <c r="G711" t="str">
        <f>custodian!D711</f>
        <v>742718FH7</v>
      </c>
      <c r="H711" t="str">
        <f>_xll.BDP($B711,"ID_ISIN")</f>
        <v>US742718FH71</v>
      </c>
      <c r="I711" s="1"/>
      <c r="J711" t="str">
        <f>_xll.BDP($B711,"CNTRY_OF_DOMICILE")</f>
        <v>US</v>
      </c>
      <c r="K711" t="s">
        <v>626</v>
      </c>
      <c r="L711" t="s">
        <v>99</v>
      </c>
      <c r="O711" s="1"/>
      <c r="AQ711" s="1"/>
      <c r="AR711" s="1"/>
      <c r="AS711" s="1"/>
      <c r="AT711" t="str">
        <f>TEXT(_xll.BDP($B711,"MATURITY"),"yyyy-mm-dd")</f>
        <v>2030-03-25</v>
      </c>
      <c r="AU711" t="str">
        <f>_xll.BDP($B711,"CPN_TYP")</f>
        <v>FIXED</v>
      </c>
      <c r="AV711">
        <f>_xll.BDP($B711,"CPN")</f>
        <v>3</v>
      </c>
    </row>
    <row r="712" spans="1:48" x14ac:dyDescent="0.25">
      <c r="A712" t="s">
        <v>1840</v>
      </c>
      <c r="B712" t="s">
        <v>2398</v>
      </c>
      <c r="C712" s="1" t="s">
        <v>2399</v>
      </c>
      <c r="D712" t="s">
        <v>2400</v>
      </c>
      <c r="E712" t="str">
        <f>_xll.BDP($B712,"LEGAL_ENTITY_IDENTIFIER")</f>
        <v>GL16H1DHB0QSHP25F723</v>
      </c>
      <c r="F712" t="s">
        <v>2400</v>
      </c>
      <c r="G712" t="str">
        <f>custodian!D712</f>
        <v>74340XBM2</v>
      </c>
      <c r="H712" t="str">
        <f>_xll.BDP($B712,"ID_ISIN")</f>
        <v>US74340XBM20</v>
      </c>
      <c r="I712" s="1"/>
      <c r="J712" t="str">
        <f>_xll.BDP($B712,"CNTRY_OF_DOMICILE")</f>
        <v>US</v>
      </c>
      <c r="K712" t="s">
        <v>626</v>
      </c>
      <c r="L712" t="s">
        <v>99</v>
      </c>
      <c r="O712" s="1"/>
      <c r="AQ712" s="1"/>
      <c r="AR712" s="1"/>
      <c r="AS712" s="1"/>
      <c r="AT712" t="str">
        <f>TEXT(_xll.BDP($B712,"MATURITY"),"yyyy-mm-dd")</f>
        <v>2030-04-15</v>
      </c>
      <c r="AU712" t="str">
        <f>_xll.BDP($B712,"CPN_TYP")</f>
        <v>FIXED</v>
      </c>
      <c r="AV712">
        <f>_xll.BDP($B712,"CPN")</f>
        <v>2.25</v>
      </c>
    </row>
    <row r="713" spans="1:48" x14ac:dyDescent="0.25">
      <c r="A713" t="s">
        <v>1840</v>
      </c>
      <c r="B713" t="s">
        <v>2401</v>
      </c>
      <c r="C713" s="1" t="s">
        <v>2402</v>
      </c>
      <c r="D713" t="s">
        <v>2403</v>
      </c>
      <c r="E713" t="str">
        <f>_xll.BDP($B713,"LEGAL_ENTITY_IDENTIFIER")</f>
        <v>2R15C3RTKJN1RCBOV146</v>
      </c>
      <c r="F713" t="s">
        <v>2403</v>
      </c>
      <c r="G713" t="str">
        <f>custodian!D713</f>
        <v>74949LAC6</v>
      </c>
      <c r="H713" t="str">
        <f>_xll.BDP($B713,"ID_ISIN")</f>
        <v>US74949LAC63</v>
      </c>
      <c r="I713" s="1"/>
      <c r="J713" t="str">
        <f>_xll.BDP($B713,"CNTRY_OF_DOMICILE")</f>
        <v>US</v>
      </c>
      <c r="K713" t="s">
        <v>626</v>
      </c>
      <c r="L713" t="s">
        <v>99</v>
      </c>
      <c r="O713" s="1"/>
      <c r="AQ713" s="1"/>
      <c r="AR713" s="1"/>
      <c r="AS713" s="1"/>
      <c r="AT713" t="str">
        <f>TEXT(_xll.BDP($B713,"MATURITY"),"yyyy-mm-dd")</f>
        <v>2029-03-18</v>
      </c>
      <c r="AU713" t="str">
        <f>_xll.BDP($B713,"CPN_TYP")</f>
        <v>FIXED</v>
      </c>
      <c r="AV713">
        <f>_xll.BDP($B713,"CPN")</f>
        <v>4</v>
      </c>
    </row>
    <row r="714" spans="1:48" x14ac:dyDescent="0.25">
      <c r="A714" t="s">
        <v>1840</v>
      </c>
      <c r="B714" t="s">
        <v>2404</v>
      </c>
      <c r="C714" s="1" t="s">
        <v>2405</v>
      </c>
      <c r="D714" t="s">
        <v>2406</v>
      </c>
      <c r="E714" t="str">
        <f>_xll.BDP($B714,"LEGAL_ENTITY_IDENTIFIER")</f>
        <v>549300CUWDAUZSH43859</v>
      </c>
      <c r="F714" t="s">
        <v>2407</v>
      </c>
      <c r="G714" t="str">
        <f>custodian!D714</f>
        <v>756109BR4</v>
      </c>
      <c r="H714" t="str">
        <f>_xll.BDP($B714,"ID_ISIN")</f>
        <v>US756109BR47</v>
      </c>
      <c r="I714" s="1"/>
      <c r="J714" t="str">
        <f>_xll.BDP($B714,"CNTRY_OF_DOMICILE")</f>
        <v>US</v>
      </c>
      <c r="K714" t="s">
        <v>626</v>
      </c>
      <c r="L714" t="s">
        <v>99</v>
      </c>
      <c r="O714" s="1"/>
      <c r="AQ714" s="1"/>
      <c r="AR714" s="1"/>
      <c r="AS714" s="1"/>
      <c r="AT714" t="str">
        <f>TEXT(_xll.BDP($B714,"MATURITY"),"yyyy-mm-dd")</f>
        <v>2030-03-15</v>
      </c>
      <c r="AU714" t="str">
        <f>_xll.BDP($B714,"CPN_TYP")</f>
        <v>FIXED</v>
      </c>
      <c r="AV714">
        <f>_xll.BDP($B714,"CPN")</f>
        <v>4.8499999999999996</v>
      </c>
    </row>
    <row r="715" spans="1:48" x14ac:dyDescent="0.25">
      <c r="A715" t="s">
        <v>1840</v>
      </c>
      <c r="B715" t="s">
        <v>2408</v>
      </c>
      <c r="C715" s="1" t="s">
        <v>2409</v>
      </c>
      <c r="D715" t="s">
        <v>2410</v>
      </c>
      <c r="E715" t="str">
        <f>_xll.BDP($B715,"LEGAL_ENTITY_IDENTIFIER")</f>
        <v>549300RCBFWIRX3HYQ56</v>
      </c>
      <c r="F715" t="s">
        <v>2411</v>
      </c>
      <c r="G715" t="str">
        <f>custodian!D715</f>
        <v>75886FAE7</v>
      </c>
      <c r="H715" t="str">
        <f>_xll.BDP($B715,"ID_ISIN")</f>
        <v>US75886FAE79</v>
      </c>
      <c r="I715" s="1"/>
      <c r="J715" t="str">
        <f>_xll.BDP($B715,"CNTRY_OF_DOMICILE")</f>
        <v>US</v>
      </c>
      <c r="K715" t="s">
        <v>626</v>
      </c>
      <c r="L715" t="s">
        <v>99</v>
      </c>
      <c r="O715" s="1"/>
      <c r="AQ715" s="1"/>
      <c r="AR715" s="1"/>
      <c r="AS715" s="1"/>
      <c r="AT715" t="str">
        <f>TEXT(_xll.BDP($B715,"MATURITY"),"yyyy-mm-dd")</f>
        <v>2030-09-15</v>
      </c>
      <c r="AU715" t="str">
        <f>_xll.BDP($B715,"CPN_TYP")</f>
        <v>FIXED</v>
      </c>
      <c r="AV715">
        <f>_xll.BDP($B715,"CPN")</f>
        <v>1.75</v>
      </c>
    </row>
    <row r="716" spans="1:48" x14ac:dyDescent="0.25">
      <c r="A716" t="s">
        <v>1840</v>
      </c>
      <c r="B716" t="s">
        <v>2412</v>
      </c>
      <c r="C716" s="1" t="s">
        <v>2413</v>
      </c>
      <c r="D716" t="s">
        <v>2414</v>
      </c>
      <c r="E716" t="str">
        <f>_xll.BDP($B716,"LEGAL_ENTITY_IDENTIFIER")</f>
        <v>2138006TSNBEUA761G16</v>
      </c>
      <c r="F716" t="s">
        <v>2415</v>
      </c>
      <c r="G716" t="str">
        <f>custodian!D716</f>
        <v>76720AAS5</v>
      </c>
      <c r="H716" t="str">
        <f>_xll.BDP($B716,"ID_ISIN")</f>
        <v>US76720AAS50</v>
      </c>
      <c r="I716" s="1"/>
      <c r="J716" t="str">
        <f>_xll.BDP($B716,"CNTRY_OF_DOMICILE")</f>
        <v>GB</v>
      </c>
      <c r="K716" t="s">
        <v>626</v>
      </c>
      <c r="L716" t="s">
        <v>99</v>
      </c>
      <c r="O716" s="1"/>
      <c r="AQ716" s="1"/>
      <c r="AR716" s="1"/>
      <c r="AS716" s="1"/>
      <c r="AT716" t="str">
        <f>TEXT(_xll.BDP($B716,"MATURITY"),"yyyy-mm-dd")</f>
        <v>2030-03-14</v>
      </c>
      <c r="AU716" t="str">
        <f>_xll.BDP($B716,"CPN_TYP")</f>
        <v>FIXED</v>
      </c>
      <c r="AV716">
        <f>_xll.BDP($B716,"CPN")</f>
        <v>4.875</v>
      </c>
    </row>
    <row r="717" spans="1:48" x14ac:dyDescent="0.25">
      <c r="A717" t="s">
        <v>1840</v>
      </c>
      <c r="B717" t="s">
        <v>2416</v>
      </c>
      <c r="C717" s="1" t="s">
        <v>2417</v>
      </c>
      <c r="D717" t="s">
        <v>2418</v>
      </c>
      <c r="E717" t="str">
        <f>_xll.BDP($B717,"LEGAL_ENTITY_IDENTIFIER")</f>
        <v>5493000M6Z4XFIP6PF03</v>
      </c>
      <c r="F717" t="s">
        <v>2419</v>
      </c>
      <c r="G717" t="str">
        <f>custodian!D717</f>
        <v>775109DE8</v>
      </c>
      <c r="H717" t="str">
        <f>_xll.BDP($B717,"ID_ISIN")</f>
        <v>US775109DE81</v>
      </c>
      <c r="I717" s="1"/>
      <c r="J717" t="str">
        <f>_xll.BDP($B717,"CNTRY_OF_DOMICILE")</f>
        <v>CA</v>
      </c>
      <c r="K717" t="s">
        <v>626</v>
      </c>
      <c r="L717" t="s">
        <v>99</v>
      </c>
      <c r="O717" s="1"/>
      <c r="AQ717" s="1"/>
      <c r="AR717" s="1"/>
      <c r="AS717" s="1"/>
      <c r="AT717" t="str">
        <f>TEXT(_xll.BDP($B717,"MATURITY"),"yyyy-mm-dd")</f>
        <v>2029-02-15</v>
      </c>
      <c r="AU717" t="str">
        <f>_xll.BDP($B717,"CPN_TYP")</f>
        <v>FIXED</v>
      </c>
      <c r="AV717">
        <f>_xll.BDP($B717,"CPN")</f>
        <v>5</v>
      </c>
    </row>
    <row r="718" spans="1:48" x14ac:dyDescent="0.25">
      <c r="A718" t="s">
        <v>1840</v>
      </c>
      <c r="B718" t="s">
        <v>2420</v>
      </c>
      <c r="C718" s="1" t="s">
        <v>2421</v>
      </c>
      <c r="D718" t="s">
        <v>2422</v>
      </c>
      <c r="E718" t="str">
        <f>_xll.BDP($B718,"LEGAL_ENTITY_IDENTIFIER")</f>
        <v>54930003T4SXCIWVXY35</v>
      </c>
      <c r="F718" t="s">
        <v>2423</v>
      </c>
      <c r="G718" t="str">
        <f>custodian!D718</f>
        <v>776743AF3</v>
      </c>
      <c r="H718" t="str">
        <f>_xll.BDP($B718,"ID_ISIN")</f>
        <v>US776743AF34</v>
      </c>
      <c r="I718" s="1"/>
      <c r="J718" t="str">
        <f>_xll.BDP($B718,"CNTRY_OF_DOMICILE")</f>
        <v>US</v>
      </c>
      <c r="K718" t="s">
        <v>626</v>
      </c>
      <c r="L718" t="s">
        <v>99</v>
      </c>
      <c r="O718" s="1"/>
      <c r="AQ718" s="1"/>
      <c r="AR718" s="1"/>
      <c r="AS718" s="1"/>
      <c r="AT718" t="str">
        <f>TEXT(_xll.BDP($B718,"MATURITY"),"yyyy-mm-dd")</f>
        <v>2028-09-15</v>
      </c>
      <c r="AU718" t="str">
        <f>_xll.BDP($B718,"CPN_TYP")</f>
        <v>FIXED</v>
      </c>
      <c r="AV718">
        <f>_xll.BDP($B718,"CPN")</f>
        <v>4.2</v>
      </c>
    </row>
    <row r="719" spans="1:48" x14ac:dyDescent="0.25">
      <c r="A719" t="s">
        <v>1840</v>
      </c>
      <c r="B719" t="s">
        <v>2424</v>
      </c>
      <c r="C719" s="1" t="s">
        <v>2425</v>
      </c>
      <c r="D719" t="s">
        <v>2426</v>
      </c>
      <c r="E719" t="str">
        <f>_xll.BDP($B719,"LEGAL_ENTITY_IDENTIFIER")</f>
        <v>ES7IP3U3RHIGC71XBU11</v>
      </c>
      <c r="F719" t="s">
        <v>2427</v>
      </c>
      <c r="G719" t="str">
        <f>custodian!D719</f>
        <v>78017DAC2</v>
      </c>
      <c r="H719" t="str">
        <f>_xll.BDP($B719,"ID_ISIN")</f>
        <v>US78017DAC20</v>
      </c>
      <c r="I719" s="1"/>
      <c r="J719" t="str">
        <f>_xll.BDP($B719,"CNTRY_OF_DOMICILE")</f>
        <v>CA</v>
      </c>
      <c r="K719" t="s">
        <v>626</v>
      </c>
      <c r="L719" t="s">
        <v>99</v>
      </c>
      <c r="O719" s="1"/>
      <c r="AQ719" s="1"/>
      <c r="AR719" s="1"/>
      <c r="AS719" s="1"/>
      <c r="AT719" t="str">
        <f>TEXT(_xll.BDP($B719,"MATURITY"),"yyyy-mm-dd")</f>
        <v>2031-02-04</v>
      </c>
      <c r="AU719" t="str">
        <f>_xll.BDP($B719,"CPN_TYP")</f>
        <v>VARIABLE</v>
      </c>
      <c r="AV719">
        <f>_xll.BDP($B719,"CPN")</f>
        <v>5.1529999999999996</v>
      </c>
    </row>
    <row r="720" spans="1:48" x14ac:dyDescent="0.25">
      <c r="A720" t="s">
        <v>1840</v>
      </c>
      <c r="B720" t="s">
        <v>2428</v>
      </c>
      <c r="C720" s="1" t="s">
        <v>2429</v>
      </c>
      <c r="D720" t="s">
        <v>2430</v>
      </c>
      <c r="E720" t="str">
        <f>_xll.BDP($B720,"LEGAL_ENTITY_IDENTIFIER")</f>
        <v>ES7IP3U3RHIGC71XBU11</v>
      </c>
      <c r="F720" t="s">
        <v>2431</v>
      </c>
      <c r="G720" t="str">
        <f>custodian!D720</f>
        <v>78017DAN8</v>
      </c>
      <c r="H720" t="str">
        <f>_xll.BDP($B720,"ID_ISIN")</f>
        <v>US78017DAN84</v>
      </c>
      <c r="I720" s="1"/>
      <c r="J720" t="str">
        <f>_xll.BDP($B720,"CNTRY_OF_DOMICILE")</f>
        <v>CA</v>
      </c>
      <c r="K720" t="s">
        <v>626</v>
      </c>
      <c r="L720" t="s">
        <v>99</v>
      </c>
      <c r="O720" s="1"/>
      <c r="AQ720" s="1"/>
      <c r="AR720" s="1"/>
      <c r="AS720" s="1"/>
      <c r="AT720" t="str">
        <f>TEXT(_xll.BDP($B720,"MATURITY"),"yyyy-mm-dd")</f>
        <v>2028-11-03</v>
      </c>
      <c r="AU720" t="str">
        <f>_xll.BDP($B720,"CPN_TYP")</f>
        <v>VARIABLE</v>
      </c>
      <c r="AV720">
        <f>_xll.BDP($B720,"CPN")</f>
        <v>3.9950000000000001</v>
      </c>
    </row>
    <row r="721" spans="1:48" x14ac:dyDescent="0.25">
      <c r="A721" t="s">
        <v>1840</v>
      </c>
      <c r="B721" t="s">
        <v>2432</v>
      </c>
      <c r="C721" s="1" t="s">
        <v>2433</v>
      </c>
      <c r="D721" t="s">
        <v>2434</v>
      </c>
      <c r="E721" t="str">
        <f>_xll.BDP($B721,"LEGAL_ENTITY_IDENTIFIER")</f>
        <v>549300KJYBG7C6WJYZ11</v>
      </c>
      <c r="F721" t="s">
        <v>2435</v>
      </c>
      <c r="G721" t="str">
        <f>custodian!D721</f>
        <v>785592AX4</v>
      </c>
      <c r="H721" t="str">
        <f>_xll.BDP($B721,"ID_ISIN")</f>
        <v>US785592AX43</v>
      </c>
      <c r="I721" s="1"/>
      <c r="J721" t="str">
        <f>_xll.BDP($B721,"CNTRY_OF_DOMICILE")</f>
        <v>US</v>
      </c>
      <c r="K721" t="s">
        <v>626</v>
      </c>
      <c r="L721" t="s">
        <v>99</v>
      </c>
      <c r="O721" s="1"/>
      <c r="AQ721" s="1"/>
      <c r="AR721" s="1"/>
      <c r="AS721" s="1"/>
      <c r="AT721" t="str">
        <f>TEXT(_xll.BDP($B721,"MATURITY"),"yyyy-mm-dd")</f>
        <v>2030-05-15</v>
      </c>
      <c r="AU721" t="str">
        <f>_xll.BDP($B721,"CPN_TYP")</f>
        <v>FIXED</v>
      </c>
      <c r="AV721">
        <f>_xll.BDP($B721,"CPN")</f>
        <v>4.5</v>
      </c>
    </row>
    <row r="722" spans="1:48" x14ac:dyDescent="0.25">
      <c r="A722" t="s">
        <v>1840</v>
      </c>
      <c r="B722" t="s">
        <v>2436</v>
      </c>
      <c r="C722" s="1" t="s">
        <v>2437</v>
      </c>
      <c r="D722" t="s">
        <v>2438</v>
      </c>
      <c r="E722" t="str">
        <f>_xll.BDP($B722,"LEGAL_ENTITY_IDENTIFIER")</f>
        <v>RCGZFPDMRW58VJ54VR07</v>
      </c>
      <c r="F722" t="s">
        <v>2438</v>
      </c>
      <c r="G722" t="str">
        <f>custodian!D722</f>
        <v>79466LAQ7</v>
      </c>
      <c r="H722" t="str">
        <f>_xll.BDP($B722,"ID_ISIN")</f>
        <v>US79466LAQ77</v>
      </c>
      <c r="I722" s="1"/>
      <c r="J722" t="str">
        <f>_xll.BDP($B722,"CNTRY_OF_DOMICILE")</f>
        <v>US</v>
      </c>
      <c r="K722" t="s">
        <v>626</v>
      </c>
      <c r="L722" t="s">
        <v>99</v>
      </c>
      <c r="O722" s="1"/>
      <c r="AQ722" s="1"/>
      <c r="AR722" s="1"/>
      <c r="AS722" s="1"/>
      <c r="AT722" t="str">
        <f>TEXT(_xll.BDP($B722,"MATURITY"),"yyyy-mm-dd")</f>
        <v>2028-03-15</v>
      </c>
      <c r="AU722" t="str">
        <f>_xll.BDP($B722,"CPN_TYP")</f>
        <v>FIXED</v>
      </c>
      <c r="AV722">
        <f>_xll.BDP($B722,"CPN")</f>
        <v>4.5</v>
      </c>
    </row>
    <row r="723" spans="1:48" x14ac:dyDescent="0.25">
      <c r="A723" t="s">
        <v>1840</v>
      </c>
      <c r="B723" t="s">
        <v>2439</v>
      </c>
      <c r="C723" s="1" t="s">
        <v>2440</v>
      </c>
      <c r="D723" t="s">
        <v>2441</v>
      </c>
      <c r="E723" t="str">
        <f>_xll.BDP($B723,"LEGAL_ENTITY_IDENTIFIER")</f>
        <v>RCGZFPDMRW58VJ54VR07</v>
      </c>
      <c r="F723" t="s">
        <v>2442</v>
      </c>
      <c r="G723" t="str">
        <f>custodian!D723</f>
        <v>79466LAR5</v>
      </c>
      <c r="H723" t="str">
        <f>_xll.BDP($B723,"ID_ISIN")</f>
        <v>US79466LAR50</v>
      </c>
      <c r="I723" s="1"/>
      <c r="J723" t="str">
        <f>_xll.BDP($B723,"CNTRY_OF_DOMICILE")</f>
        <v>US</v>
      </c>
      <c r="K723" t="s">
        <v>626</v>
      </c>
      <c r="L723" t="s">
        <v>99</v>
      </c>
      <c r="O723" s="1"/>
      <c r="AQ723" s="1"/>
      <c r="AR723" s="1"/>
      <c r="AS723" s="1"/>
      <c r="AT723" t="str">
        <f>TEXT(_xll.BDP($B723,"MATURITY"),"yyyy-mm-dd")</f>
        <v>2029-03-15</v>
      </c>
      <c r="AU723" t="str">
        <f>_xll.BDP($B723,"CPN_TYP")</f>
        <v>FIXED</v>
      </c>
      <c r="AV723">
        <f>_xll.BDP($B723,"CPN")</f>
        <v>4.6500000000000004</v>
      </c>
    </row>
    <row r="724" spans="1:48" x14ac:dyDescent="0.25">
      <c r="A724" t="s">
        <v>1840</v>
      </c>
      <c r="B724" t="s">
        <v>2443</v>
      </c>
      <c r="C724" s="1" t="s">
        <v>2444</v>
      </c>
      <c r="D724" t="s">
        <v>2445</v>
      </c>
      <c r="E724" t="str">
        <f>_xll.BDP($B724,"LEGAL_ENTITY_IDENTIFIER")</f>
        <v>549300SMVCQN2P0O6I58</v>
      </c>
      <c r="F724" t="s">
        <v>2446</v>
      </c>
      <c r="G724" t="str">
        <f>custodian!D724</f>
        <v>80282KBF2</v>
      </c>
      <c r="H724" t="str">
        <f>_xll.BDP($B724,"ID_ISIN")</f>
        <v>US80282KBF21</v>
      </c>
      <c r="I724" s="1"/>
      <c r="J724" t="str">
        <f>_xll.BDP($B724,"CNTRY_OF_DOMICILE")</f>
        <v>US</v>
      </c>
      <c r="K724" t="s">
        <v>626</v>
      </c>
      <c r="L724" t="s">
        <v>99</v>
      </c>
      <c r="O724" s="1"/>
      <c r="AQ724" s="1"/>
      <c r="AR724" s="1"/>
      <c r="AS724" s="1"/>
      <c r="AT724" t="str">
        <f>TEXT(_xll.BDP($B724,"MATURITY"),"yyyy-mm-dd")</f>
        <v>2029-03-09</v>
      </c>
      <c r="AU724" t="str">
        <f>_xll.BDP($B724,"CPN_TYP")</f>
        <v>VARIABLE</v>
      </c>
      <c r="AV724">
        <f>_xll.BDP($B724,"CPN")</f>
        <v>6.4989999999999997</v>
      </c>
    </row>
    <row r="725" spans="1:48" x14ac:dyDescent="0.25">
      <c r="A725" t="s">
        <v>1840</v>
      </c>
      <c r="B725" t="s">
        <v>2447</v>
      </c>
      <c r="C725" s="1" t="s">
        <v>2448</v>
      </c>
      <c r="D725" t="s">
        <v>2449</v>
      </c>
      <c r="E725" t="str">
        <f>_xll.BDP($B725,"LEGAL_ENTITY_IDENTIFIER")</f>
        <v>549300VSGCJ7E698NM85</v>
      </c>
      <c r="F725" t="s">
        <v>2450</v>
      </c>
      <c r="G725" t="str">
        <f>custodian!D725</f>
        <v>808513CJ2</v>
      </c>
      <c r="H725" t="str">
        <f>_xll.BDP($B725,"ID_ISIN")</f>
        <v>US808513CJ29</v>
      </c>
      <c r="I725" s="1"/>
      <c r="J725" t="str">
        <f>_xll.BDP($B725,"CNTRY_OF_DOMICILE")</f>
        <v>US</v>
      </c>
      <c r="K725" t="s">
        <v>626</v>
      </c>
      <c r="L725" t="s">
        <v>99</v>
      </c>
      <c r="O725" s="1"/>
      <c r="AQ725" s="1"/>
      <c r="AR725" s="1"/>
      <c r="AS725" s="1"/>
      <c r="AT725" t="str">
        <f>TEXT(_xll.BDP($B725,"MATURITY"),"yyyy-mm-dd")</f>
        <v>2029-11-17</v>
      </c>
      <c r="AU725" t="str">
        <f>_xll.BDP($B725,"CPN_TYP")</f>
        <v>VARIABLE</v>
      </c>
      <c r="AV725">
        <f>_xll.BDP($B725,"CPN")</f>
        <v>6.1959999999999997</v>
      </c>
    </row>
    <row r="726" spans="1:48" x14ac:dyDescent="0.25">
      <c r="A726" t="s">
        <v>1840</v>
      </c>
      <c r="B726" t="s">
        <v>2451</v>
      </c>
      <c r="C726" s="1" t="s">
        <v>2452</v>
      </c>
      <c r="D726" t="s">
        <v>2453</v>
      </c>
      <c r="E726" t="str">
        <f>_xll.BDP($B726,"LEGAL_ENTITY_IDENTIFIER")</f>
        <v>PBBKGKLRK5S5C0Y4T545</v>
      </c>
      <c r="F726" t="s">
        <v>2453</v>
      </c>
      <c r="G726" t="str">
        <f>custodian!D726</f>
        <v>816851BG3</v>
      </c>
      <c r="H726" t="str">
        <f>_xll.BDP($B726,"ID_ISIN")</f>
        <v>US816851BG34</v>
      </c>
      <c r="I726" s="1"/>
      <c r="J726" t="str">
        <f>_xll.BDP($B726,"CNTRY_OF_DOMICILE")</f>
        <v>US</v>
      </c>
      <c r="K726" t="s">
        <v>626</v>
      </c>
      <c r="L726" t="s">
        <v>99</v>
      </c>
      <c r="O726" s="1"/>
      <c r="AQ726" s="1"/>
      <c r="AR726" s="1"/>
      <c r="AS726" s="1"/>
      <c r="AT726" t="str">
        <f>TEXT(_xll.BDP($B726,"MATURITY"),"yyyy-mm-dd")</f>
        <v>2028-02-01</v>
      </c>
      <c r="AU726" t="str">
        <f>_xll.BDP($B726,"CPN_TYP")</f>
        <v>FIXED</v>
      </c>
      <c r="AV726">
        <f>_xll.BDP($B726,"CPN")</f>
        <v>3.4</v>
      </c>
    </row>
    <row r="727" spans="1:48" x14ac:dyDescent="0.25">
      <c r="A727" t="s">
        <v>1840</v>
      </c>
      <c r="B727" t="s">
        <v>2454</v>
      </c>
      <c r="C727" s="1" t="s">
        <v>2455</v>
      </c>
      <c r="D727" t="s">
        <v>2456</v>
      </c>
      <c r="E727" t="str">
        <f>_xll.BDP($B727,"LEGAL_ENTITY_IDENTIFIER")</f>
        <v>Z15BMIOX8DDH0X2OBP21</v>
      </c>
      <c r="F727" t="s">
        <v>2457</v>
      </c>
      <c r="G727" t="str">
        <f>custodian!D727</f>
        <v>824348BJ4</v>
      </c>
      <c r="H727" t="str">
        <f>_xll.BDP($B727,"ID_ISIN")</f>
        <v>US824348BJ44</v>
      </c>
      <c r="I727" s="1"/>
      <c r="J727" t="str">
        <f>_xll.BDP($B727,"CNTRY_OF_DOMICILE")</f>
        <v>US</v>
      </c>
      <c r="K727" t="s">
        <v>626</v>
      </c>
      <c r="L727" t="s">
        <v>99</v>
      </c>
      <c r="O727" s="1"/>
      <c r="AQ727" s="1"/>
      <c r="AR727" s="1"/>
      <c r="AS727" s="1"/>
      <c r="AT727" t="str">
        <f>TEXT(_xll.BDP($B727,"MATURITY"),"yyyy-mm-dd")</f>
        <v>2029-08-15</v>
      </c>
      <c r="AU727" t="str">
        <f>_xll.BDP($B727,"CPN_TYP")</f>
        <v>FIXED</v>
      </c>
      <c r="AV727">
        <f>_xll.BDP($B727,"CPN")</f>
        <v>2.95</v>
      </c>
    </row>
    <row r="728" spans="1:48" x14ac:dyDescent="0.25">
      <c r="A728" t="s">
        <v>1840</v>
      </c>
      <c r="B728" t="s">
        <v>2458</v>
      </c>
      <c r="C728" s="1" t="s">
        <v>2459</v>
      </c>
      <c r="D728" t="s">
        <v>2460</v>
      </c>
      <c r="E728" t="str">
        <f>_xll.BDP($B728,"LEGAL_ENTITY_IDENTIFIER")</f>
        <v>MR92GTD0MJTTTTQDVG45</v>
      </c>
      <c r="F728" t="s">
        <v>2461</v>
      </c>
      <c r="G728" t="str">
        <f>custodian!D728</f>
        <v>828807DF1</v>
      </c>
      <c r="H728" t="str">
        <f>_xll.BDP($B728,"ID_ISIN")</f>
        <v>US828807DF17</v>
      </c>
      <c r="I728" s="1"/>
      <c r="J728" t="str">
        <f>_xll.BDP($B728,"CNTRY_OF_DOMICILE")</f>
        <v>US</v>
      </c>
      <c r="K728" t="s">
        <v>626</v>
      </c>
      <c r="L728" t="s">
        <v>99</v>
      </c>
      <c r="O728" s="1"/>
      <c r="AQ728" s="1"/>
      <c r="AR728" s="1"/>
      <c r="AS728" s="1"/>
      <c r="AT728" t="str">
        <f>TEXT(_xll.BDP($B728,"MATURITY"),"yyyy-mm-dd")</f>
        <v>2029-09-13</v>
      </c>
      <c r="AU728" t="str">
        <f>_xll.BDP($B728,"CPN_TYP")</f>
        <v>FIXED</v>
      </c>
      <c r="AV728">
        <f>_xll.BDP($B728,"CPN")</f>
        <v>2.4500000000000002</v>
      </c>
    </row>
    <row r="729" spans="1:48" x14ac:dyDescent="0.25">
      <c r="A729" t="s">
        <v>1840</v>
      </c>
      <c r="B729" t="s">
        <v>2462</v>
      </c>
      <c r="C729" s="1" t="s">
        <v>2463</v>
      </c>
      <c r="D729" t="s">
        <v>2464</v>
      </c>
      <c r="E729" t="str">
        <f>_xll.BDP($B729,"LEGAL_ENTITY_IDENTIFIER")</f>
        <v>254900I70403OSGY4M28</v>
      </c>
      <c r="F729" t="s">
        <v>2464</v>
      </c>
      <c r="G729" t="str">
        <f>custodian!D729</f>
        <v>83444MAP6</v>
      </c>
      <c r="H729" t="str">
        <f>_xll.BDP($B729,"ID_ISIN")</f>
        <v>US83444MAP68</v>
      </c>
      <c r="I729" s="1"/>
      <c r="J729" t="str">
        <f>_xll.BDP($B729,"CNTRY_OF_DOMICILE")</f>
        <v>US</v>
      </c>
      <c r="K729" t="s">
        <v>626</v>
      </c>
      <c r="L729" t="s">
        <v>99</v>
      </c>
      <c r="O729" s="1"/>
      <c r="AQ729" s="1"/>
      <c r="AR729" s="1"/>
      <c r="AS729" s="1"/>
      <c r="AT729" t="str">
        <f>TEXT(_xll.BDP($B729,"MATURITY"),"yyyy-mm-dd")</f>
        <v>2029-03-01</v>
      </c>
      <c r="AU729" t="str">
        <f>_xll.BDP($B729,"CPN_TYP")</f>
        <v>FIXED</v>
      </c>
      <c r="AV729">
        <f>_xll.BDP($B729,"CPN")</f>
        <v>5.4</v>
      </c>
    </row>
    <row r="730" spans="1:48" x14ac:dyDescent="0.25">
      <c r="A730" t="s">
        <v>1840</v>
      </c>
      <c r="B730" t="s">
        <v>2465</v>
      </c>
      <c r="C730" s="1" t="s">
        <v>2466</v>
      </c>
      <c r="D730" t="s">
        <v>2467</v>
      </c>
      <c r="E730" t="str">
        <f>_xll.BDP($B730,"LEGAL_ENTITY_IDENTIFIER")</f>
        <v>9R1Z5I36FERIBVKW4P77</v>
      </c>
      <c r="F730" t="s">
        <v>2468</v>
      </c>
      <c r="G730" t="str">
        <f>custodian!D730</f>
        <v>842400JC8</v>
      </c>
      <c r="H730" t="str">
        <f>_xll.BDP($B730,"ID_ISIN")</f>
        <v>US842400JC81</v>
      </c>
      <c r="I730" s="1"/>
      <c r="J730" t="str">
        <f>_xll.BDP($B730,"CNTRY_OF_DOMICILE")</f>
        <v>US</v>
      </c>
      <c r="K730" t="s">
        <v>626</v>
      </c>
      <c r="L730" t="s">
        <v>99</v>
      </c>
      <c r="O730" s="1"/>
      <c r="AQ730" s="1"/>
      <c r="AR730" s="1"/>
      <c r="AS730" s="1"/>
      <c r="AT730" t="str">
        <f>TEXT(_xll.BDP($B730,"MATURITY"),"yyyy-mm-dd")</f>
        <v>2029-06-01</v>
      </c>
      <c r="AU730" t="str">
        <f>_xll.BDP($B730,"CPN_TYP")</f>
        <v>FIXED</v>
      </c>
      <c r="AV730">
        <f>_xll.BDP($B730,"CPN")</f>
        <v>5.15</v>
      </c>
    </row>
    <row r="731" spans="1:48" x14ac:dyDescent="0.25">
      <c r="A731" t="s">
        <v>1840</v>
      </c>
      <c r="B731" t="s">
        <v>2469</v>
      </c>
      <c r="C731" s="1" t="s">
        <v>2470</v>
      </c>
      <c r="D731" t="s">
        <v>2471</v>
      </c>
      <c r="E731" t="str">
        <f>_xll.BDP($B731,"LEGAL_ENTITY_IDENTIFIER")</f>
        <v>549300L17W0GQBR1PO80</v>
      </c>
      <c r="F731" t="s">
        <v>2472</v>
      </c>
      <c r="G731" t="str">
        <f>custodian!D731</f>
        <v>852060AD4</v>
      </c>
      <c r="H731" t="str">
        <f>_xll.BDP($B731,"ID_ISIN")</f>
        <v>US852060AD48</v>
      </c>
      <c r="I731" s="1"/>
      <c r="J731" t="str">
        <f>_xll.BDP($B731,"CNTRY_OF_DOMICILE")</f>
        <v>US</v>
      </c>
      <c r="K731" t="s">
        <v>626</v>
      </c>
      <c r="L731" t="s">
        <v>99</v>
      </c>
      <c r="O731" s="1"/>
      <c r="AQ731" s="1"/>
      <c r="AR731" s="1"/>
      <c r="AS731" s="1"/>
      <c r="AT731" t="str">
        <f>TEXT(_xll.BDP($B731,"MATURITY"),"yyyy-mm-dd")</f>
        <v>2028-11-15</v>
      </c>
      <c r="AU731" t="str">
        <f>_xll.BDP($B731,"CPN_TYP")</f>
        <v>FIXED</v>
      </c>
      <c r="AV731">
        <f>_xll.BDP($B731,"CPN")</f>
        <v>6.875</v>
      </c>
    </row>
    <row r="732" spans="1:48" x14ac:dyDescent="0.25">
      <c r="A732" t="s">
        <v>1840</v>
      </c>
      <c r="B732" t="s">
        <v>2473</v>
      </c>
      <c r="C732" s="1" t="s">
        <v>2474</v>
      </c>
      <c r="D732" t="s">
        <v>2475</v>
      </c>
      <c r="E732" t="str">
        <f>_xll.BDP($B732,"LEGAL_ENTITY_IDENTIFIER")</f>
        <v>OQSJ1DU9TAOC51A47K68</v>
      </c>
      <c r="F732" t="s">
        <v>2476</v>
      </c>
      <c r="G732" t="str">
        <f>custodian!D732</f>
        <v>855244AZ2</v>
      </c>
      <c r="H732" t="str">
        <f>_xll.BDP($B732,"ID_ISIN")</f>
        <v>US855244AZ28</v>
      </c>
      <c r="I732" s="1"/>
      <c r="J732" t="str">
        <f>_xll.BDP($B732,"CNTRY_OF_DOMICILE")</f>
        <v>US</v>
      </c>
      <c r="K732" t="s">
        <v>626</v>
      </c>
      <c r="L732" t="s">
        <v>99</v>
      </c>
      <c r="O732" s="1"/>
      <c r="AQ732" s="1"/>
      <c r="AR732" s="1"/>
      <c r="AS732" s="1"/>
      <c r="AT732" t="str">
        <f>TEXT(_xll.BDP($B732,"MATURITY"),"yyyy-mm-dd")</f>
        <v>2030-11-15</v>
      </c>
      <c r="AU732" t="str">
        <f>_xll.BDP($B732,"CPN_TYP")</f>
        <v>FIXED</v>
      </c>
      <c r="AV732">
        <f>_xll.BDP($B732,"CPN")</f>
        <v>2.5499999999999998</v>
      </c>
    </row>
    <row r="733" spans="1:48" x14ac:dyDescent="0.25">
      <c r="A733" t="s">
        <v>1840</v>
      </c>
      <c r="B733" t="s">
        <v>2477</v>
      </c>
      <c r="C733" s="1" t="s">
        <v>2478</v>
      </c>
      <c r="D733" t="s">
        <v>2479</v>
      </c>
      <c r="E733" t="str">
        <f>_xll.BDP($B733,"LEGAL_ENTITY_IDENTIFIER")</f>
        <v>549300ZFEEJ2IP5VME73</v>
      </c>
      <c r="F733" t="s">
        <v>2480</v>
      </c>
      <c r="G733" t="str">
        <f>custodian!D733</f>
        <v>857477CU5</v>
      </c>
      <c r="H733" t="str">
        <f>_xll.BDP($B733,"ID_ISIN")</f>
        <v>US857477CU58</v>
      </c>
      <c r="I733" s="1"/>
      <c r="J733" t="str">
        <f>_xll.BDP($B733,"CNTRY_OF_DOMICILE")</f>
        <v>US</v>
      </c>
      <c r="K733" t="s">
        <v>626</v>
      </c>
      <c r="L733" t="s">
        <v>99</v>
      </c>
      <c r="O733" s="1"/>
      <c r="AQ733" s="1"/>
      <c r="AR733" s="1"/>
      <c r="AS733" s="1"/>
      <c r="AT733" t="str">
        <f>TEXT(_xll.BDP($B733,"MATURITY"),"yyyy-mm-dd")</f>
        <v>2028-02-28</v>
      </c>
      <c r="AU733" t="str">
        <f>_xll.BDP($B733,"CPN_TYP")</f>
        <v>FIXED</v>
      </c>
      <c r="AV733">
        <f>_xll.BDP($B733,"CPN")</f>
        <v>4.5359999999999996</v>
      </c>
    </row>
    <row r="734" spans="1:48" x14ac:dyDescent="0.25">
      <c r="A734" t="s">
        <v>1840</v>
      </c>
      <c r="B734" t="s">
        <v>2481</v>
      </c>
      <c r="C734" s="1" t="s">
        <v>2482</v>
      </c>
      <c r="D734" t="s">
        <v>2483</v>
      </c>
      <c r="E734" t="str">
        <f>_xll.BDP($B734,"LEGAL_ENTITY_IDENTIFIER")</f>
        <v>35380028MYWPB6AUO129</v>
      </c>
      <c r="F734" t="s">
        <v>2484</v>
      </c>
      <c r="G734" t="str">
        <f>custodian!D734</f>
        <v>86562MCG3</v>
      </c>
      <c r="H734" t="str">
        <f>_xll.BDP($B734,"ID_ISIN")</f>
        <v>US86562MCG33</v>
      </c>
      <c r="I734" s="1"/>
      <c r="J734" t="str">
        <f>_xll.BDP($B734,"CNTRY_OF_DOMICILE")</f>
        <v>JP</v>
      </c>
      <c r="K734" t="s">
        <v>626</v>
      </c>
      <c r="L734" t="s">
        <v>99</v>
      </c>
      <c r="O734" s="1"/>
      <c r="AQ734" s="1"/>
      <c r="AR734" s="1"/>
      <c r="AS734" s="1"/>
      <c r="AT734" t="str">
        <f>TEXT(_xll.BDP($B734,"MATURITY"),"yyyy-mm-dd")</f>
        <v>2028-09-17</v>
      </c>
      <c r="AU734" t="str">
        <f>_xll.BDP($B734,"CPN_TYP")</f>
        <v>FIXED</v>
      </c>
      <c r="AV734">
        <f>_xll.BDP($B734,"CPN")</f>
        <v>1.9019999999999999</v>
      </c>
    </row>
    <row r="735" spans="1:48" x14ac:dyDescent="0.25">
      <c r="A735" t="s">
        <v>1840</v>
      </c>
      <c r="B735" t="s">
        <v>2485</v>
      </c>
      <c r="C735" s="1" t="s">
        <v>2486</v>
      </c>
      <c r="D735" t="s">
        <v>2483</v>
      </c>
      <c r="E735" t="str">
        <f>_xll.BDP($B735,"LEGAL_ENTITY_IDENTIFIER")</f>
        <v>35380028MYWPB6AUO129</v>
      </c>
      <c r="F735" t="s">
        <v>2487</v>
      </c>
      <c r="G735" t="str">
        <f>custodian!D735</f>
        <v>86562MED8</v>
      </c>
      <c r="H735" t="str">
        <f>_xll.BDP($B735,"ID_ISIN")</f>
        <v>US86562MED83</v>
      </c>
      <c r="I735" s="1"/>
      <c r="J735" t="str">
        <f>_xll.BDP($B735,"CNTRY_OF_DOMICILE")</f>
        <v>JP</v>
      </c>
      <c r="K735" t="s">
        <v>626</v>
      </c>
      <c r="L735" t="s">
        <v>99</v>
      </c>
      <c r="O735" s="1"/>
      <c r="AQ735" s="1"/>
      <c r="AR735" s="1"/>
      <c r="AS735" s="1"/>
      <c r="AT735" t="str">
        <f>TEXT(_xll.BDP($B735,"MATURITY"),"yyyy-mm-dd")</f>
        <v>2032-01-15</v>
      </c>
      <c r="AU735" t="str">
        <f>_xll.BDP($B735,"CPN_TYP")</f>
        <v>VARIABLE</v>
      </c>
      <c r="AV735">
        <f>_xll.BDP($B735,"CPN")</f>
        <v>4.4939999999999998</v>
      </c>
    </row>
    <row r="736" spans="1:48" x14ac:dyDescent="0.25">
      <c r="A736" t="s">
        <v>1840</v>
      </c>
      <c r="B736" t="s">
        <v>2488</v>
      </c>
      <c r="C736" s="1" t="s">
        <v>2489</v>
      </c>
      <c r="D736" t="s">
        <v>2490</v>
      </c>
      <c r="E736" t="str">
        <f>_xll.BDP($B736,"LEGAL_ENTITY_IDENTIFIER")</f>
        <v>549300V2JRLO5DIFGE82</v>
      </c>
      <c r="F736" t="s">
        <v>2491</v>
      </c>
      <c r="G736" t="str">
        <f>custodian!D736</f>
        <v>87264ABF1</v>
      </c>
      <c r="H736" t="str">
        <f>_xll.BDP($B736,"ID_ISIN")</f>
        <v>US87264ABF12</v>
      </c>
      <c r="I736" s="1"/>
      <c r="J736" t="str">
        <f>_xll.BDP($B736,"CNTRY_OF_DOMICILE")</f>
        <v>US</v>
      </c>
      <c r="K736" t="s">
        <v>626</v>
      </c>
      <c r="L736" t="s">
        <v>99</v>
      </c>
      <c r="O736" s="1"/>
      <c r="AQ736" s="1"/>
      <c r="AR736" s="1"/>
      <c r="AS736" s="1"/>
      <c r="AT736" t="str">
        <f>TEXT(_xll.BDP($B736,"MATURITY"),"yyyy-mm-dd")</f>
        <v>2030-04-15</v>
      </c>
      <c r="AU736" t="str">
        <f>_xll.BDP($B736,"CPN_TYP")</f>
        <v>FIXED</v>
      </c>
      <c r="AV736">
        <f>_xll.BDP($B736,"CPN")</f>
        <v>3.875</v>
      </c>
    </row>
    <row r="737" spans="1:48" x14ac:dyDescent="0.25">
      <c r="A737" t="s">
        <v>1840</v>
      </c>
      <c r="B737" t="s">
        <v>2492</v>
      </c>
      <c r="C737" s="1" t="s">
        <v>2493</v>
      </c>
      <c r="D737" t="s">
        <v>2494</v>
      </c>
      <c r="E737" t="str">
        <f>_xll.BDP($B737,"LEGAL_ENTITY_IDENTIFIER")</f>
        <v>5493004NW4M4P8TMMK63</v>
      </c>
      <c r="F737" t="s">
        <v>2495</v>
      </c>
      <c r="G737" t="str">
        <f>custodian!D737</f>
        <v>873923AC0</v>
      </c>
      <c r="H737" t="str">
        <f>_xll.BDP($B737,"ID_ISIN")</f>
        <v>US873923AC00</v>
      </c>
      <c r="I737" s="1"/>
      <c r="J737" t="str">
        <f>_xll.BDP($B737,"CNTRY_OF_DOMICILE")</f>
        <v>US</v>
      </c>
      <c r="K737" t="s">
        <v>626</v>
      </c>
      <c r="L737" t="s">
        <v>99</v>
      </c>
      <c r="O737" s="1"/>
      <c r="AQ737" s="1"/>
      <c r="AR737" s="1"/>
      <c r="AS737" s="1"/>
      <c r="AT737" t="str">
        <f>TEXT(_xll.BDP($B737,"MATURITY"),"yyyy-mm-dd")</f>
        <v>2029-03-24</v>
      </c>
      <c r="AU737" t="str">
        <f>_xll.BDP($B737,"CPN_TYP")</f>
        <v>FIXED</v>
      </c>
      <c r="AV737">
        <f>_xll.BDP($B737,"CPN")</f>
        <v>4.5</v>
      </c>
    </row>
    <row r="738" spans="1:48" x14ac:dyDescent="0.25">
      <c r="A738" t="s">
        <v>1840</v>
      </c>
      <c r="B738" t="s">
        <v>2496</v>
      </c>
      <c r="C738" s="1" t="s">
        <v>2497</v>
      </c>
      <c r="D738" t="s">
        <v>2498</v>
      </c>
      <c r="E738" t="str">
        <f>_xll.BDP($B738,"LEGAL_ENTITY_IDENTIFIER")</f>
        <v>8WDDFXB5T1Z6J0XC1L66</v>
      </c>
      <c r="F738" t="s">
        <v>2498</v>
      </c>
      <c r="G738" t="str">
        <f>custodian!D738</f>
        <v>87612EBH8</v>
      </c>
      <c r="H738" t="str">
        <f>_xll.BDP($B738,"ID_ISIN")</f>
        <v>US87612EBH80</v>
      </c>
      <c r="I738" s="1"/>
      <c r="J738" t="str">
        <f>_xll.BDP($B738,"CNTRY_OF_DOMICILE")</f>
        <v>US</v>
      </c>
      <c r="K738" t="s">
        <v>626</v>
      </c>
      <c r="L738" t="s">
        <v>99</v>
      </c>
      <c r="O738" s="1"/>
      <c r="AQ738" s="1"/>
      <c r="AR738" s="1"/>
      <c r="AS738" s="1"/>
      <c r="AT738" t="str">
        <f>TEXT(_xll.BDP($B738,"MATURITY"),"yyyy-mm-dd")</f>
        <v>2029-04-15</v>
      </c>
      <c r="AU738" t="str">
        <f>_xll.BDP($B738,"CPN_TYP")</f>
        <v>FIXED</v>
      </c>
      <c r="AV738">
        <f>_xll.BDP($B738,"CPN")</f>
        <v>3.375</v>
      </c>
    </row>
    <row r="739" spans="1:48" x14ac:dyDescent="0.25">
      <c r="A739" t="s">
        <v>1840</v>
      </c>
      <c r="B739" t="s">
        <v>2499</v>
      </c>
      <c r="C739" s="1" t="s">
        <v>2500</v>
      </c>
      <c r="D739" t="s">
        <v>2501</v>
      </c>
      <c r="E739" t="str">
        <f>_xll.BDP($B739,"LEGAL_ENTITY_IDENTIFIER")</f>
        <v>5493003QENHHS261UR94</v>
      </c>
      <c r="F739" t="s">
        <v>2502</v>
      </c>
      <c r="G739" t="str">
        <f>custodian!D739</f>
        <v>87612GAE1</v>
      </c>
      <c r="H739" t="str">
        <f>_xll.BDP($B739,"ID_ISIN")</f>
        <v>US87612GAE17</v>
      </c>
      <c r="I739" s="1"/>
      <c r="J739" t="str">
        <f>_xll.BDP($B739,"CNTRY_OF_DOMICILE")</f>
        <v>US</v>
      </c>
      <c r="K739" t="s">
        <v>626</v>
      </c>
      <c r="L739" t="s">
        <v>99</v>
      </c>
      <c r="O739" s="1"/>
      <c r="AQ739" s="1"/>
      <c r="AR739" s="1"/>
      <c r="AS739" s="1"/>
      <c r="AT739" t="str">
        <f>TEXT(_xll.BDP($B739,"MATURITY"),"yyyy-mm-dd")</f>
        <v>2029-03-01</v>
      </c>
      <c r="AU739" t="str">
        <f>_xll.BDP($B739,"CPN_TYP")</f>
        <v>FIXED</v>
      </c>
      <c r="AV739">
        <f>_xll.BDP($B739,"CPN")</f>
        <v>6.15</v>
      </c>
    </row>
    <row r="740" spans="1:48" x14ac:dyDescent="0.25">
      <c r="A740" t="s">
        <v>1840</v>
      </c>
      <c r="B740" t="s">
        <v>2503</v>
      </c>
      <c r="C740" s="1" t="s">
        <v>2504</v>
      </c>
      <c r="D740" t="s">
        <v>2505</v>
      </c>
      <c r="E740" t="str">
        <f>_xll.BDP($B740,"LEGAL_ENTITY_IDENTIFIER")</f>
        <v>549300VSMO9KYQWDND94</v>
      </c>
      <c r="F740" t="s">
        <v>2506</v>
      </c>
      <c r="G740" t="str">
        <f>custodian!D740</f>
        <v>879360AD7</v>
      </c>
      <c r="H740" t="str">
        <f>_xll.BDP($B740,"ID_ISIN")</f>
        <v>US879360AD71</v>
      </c>
      <c r="I740" s="1"/>
      <c r="J740" t="str">
        <f>_xll.BDP($B740,"CNTRY_OF_DOMICILE")</f>
        <v>US</v>
      </c>
      <c r="K740" t="s">
        <v>626</v>
      </c>
      <c r="L740" t="s">
        <v>99</v>
      </c>
      <c r="O740" s="1"/>
      <c r="AQ740" s="1"/>
      <c r="AR740" s="1"/>
      <c r="AS740" s="1"/>
      <c r="AT740" t="str">
        <f>TEXT(_xll.BDP($B740,"MATURITY"),"yyyy-mm-dd")</f>
        <v>2028-04-01</v>
      </c>
      <c r="AU740" t="str">
        <f>_xll.BDP($B740,"CPN_TYP")</f>
        <v>FIXED</v>
      </c>
      <c r="AV740">
        <f>_xll.BDP($B740,"CPN")</f>
        <v>2.25</v>
      </c>
    </row>
    <row r="741" spans="1:48" x14ac:dyDescent="0.25">
      <c r="A741" t="s">
        <v>1840</v>
      </c>
      <c r="B741" t="s">
        <v>2507</v>
      </c>
      <c r="C741" s="1" t="s">
        <v>2508</v>
      </c>
      <c r="D741" t="s">
        <v>2509</v>
      </c>
      <c r="E741" t="str">
        <f>_xll.BDP($B741,"LEGAL_ENTITY_IDENTIFIER")</f>
        <v>7245007FZS0M65WUGP67</v>
      </c>
      <c r="F741" t="s">
        <v>2510</v>
      </c>
      <c r="G741" t="str">
        <f>custodian!D741</f>
        <v>879385AD4</v>
      </c>
      <c r="H741" t="str">
        <f>_xll.BDP($B741,"ID_ISIN")</f>
        <v>US879385AD49</v>
      </c>
      <c r="I741" s="1"/>
      <c r="J741" t="str">
        <f>_xll.BDP($B741,"CNTRY_OF_DOMICILE")</f>
        <v>NL</v>
      </c>
      <c r="K741" t="s">
        <v>626</v>
      </c>
      <c r="L741" t="s">
        <v>99</v>
      </c>
      <c r="O741" s="1"/>
      <c r="AQ741" s="1"/>
      <c r="AR741" s="1"/>
      <c r="AS741" s="1"/>
      <c r="AT741" t="str">
        <f>TEXT(_xll.BDP($B741,"MATURITY"),"yyyy-mm-dd")</f>
        <v>2030-09-15</v>
      </c>
      <c r="AU741" t="str">
        <f>_xll.BDP($B741,"CPN_TYP")</f>
        <v>FIXED</v>
      </c>
      <c r="AV741">
        <f>_xll.BDP($B741,"CPN")</f>
        <v>8.25</v>
      </c>
    </row>
    <row r="742" spans="1:48" x14ac:dyDescent="0.25">
      <c r="A742" t="s">
        <v>1840</v>
      </c>
      <c r="B742" t="s">
        <v>2511</v>
      </c>
      <c r="C742" s="1" t="s">
        <v>2512</v>
      </c>
      <c r="D742" t="s">
        <v>2513</v>
      </c>
      <c r="E742" t="str">
        <f>_xll.BDP($B742,"LEGAL_ENTITY_IDENTIFIER")</f>
        <v>WDJNR2L6D8RWOEB8T652</v>
      </c>
      <c r="F742" t="s">
        <v>2514</v>
      </c>
      <c r="G742" t="str">
        <f>custodian!D742</f>
        <v>882508BG8</v>
      </c>
      <c r="H742" t="str">
        <f>_xll.BDP($B742,"ID_ISIN")</f>
        <v>US882508BG82</v>
      </c>
      <c r="I742" s="1"/>
      <c r="J742" t="str">
        <f>_xll.BDP($B742,"CNTRY_OF_DOMICILE")</f>
        <v>US</v>
      </c>
      <c r="K742" t="s">
        <v>626</v>
      </c>
      <c r="L742" t="s">
        <v>99</v>
      </c>
      <c r="O742" s="1"/>
      <c r="AQ742" s="1"/>
      <c r="AR742" s="1"/>
      <c r="AS742" s="1"/>
      <c r="AT742" t="str">
        <f>TEXT(_xll.BDP($B742,"MATURITY"),"yyyy-mm-dd")</f>
        <v>2029-09-04</v>
      </c>
      <c r="AU742" t="str">
        <f>_xll.BDP($B742,"CPN_TYP")</f>
        <v>FIXED</v>
      </c>
      <c r="AV742">
        <f>_xll.BDP($B742,"CPN")</f>
        <v>2.25</v>
      </c>
    </row>
    <row r="743" spans="1:48" x14ac:dyDescent="0.25">
      <c r="A743" t="s">
        <v>1840</v>
      </c>
      <c r="B743" t="s">
        <v>2515</v>
      </c>
      <c r="C743" s="1" t="s">
        <v>2516</v>
      </c>
      <c r="D743" t="s">
        <v>2517</v>
      </c>
      <c r="E743" t="str">
        <f>_xll.BDP($B743,"LEGAL_ENTITY_IDENTIFIER")</f>
        <v>D71FAKCBLFS2O0RBPG08</v>
      </c>
      <c r="F743" t="s">
        <v>2518</v>
      </c>
      <c r="G743" t="str">
        <f>custodian!D743</f>
        <v>88339WAB2</v>
      </c>
      <c r="H743" t="str">
        <f>_xll.BDP($B743,"ID_ISIN")</f>
        <v>US88339WAB28</v>
      </c>
      <c r="I743" s="1"/>
      <c r="J743" t="str">
        <f>_xll.BDP($B743,"CNTRY_OF_DOMICILE")</f>
        <v>US</v>
      </c>
      <c r="K743" t="s">
        <v>626</v>
      </c>
      <c r="L743" t="s">
        <v>99</v>
      </c>
      <c r="O743" s="1"/>
      <c r="AQ743" s="1"/>
      <c r="AR743" s="1"/>
      <c r="AS743" s="1"/>
      <c r="AT743" t="str">
        <f>TEXT(_xll.BDP($B743,"MATURITY"),"yyyy-mm-dd")</f>
        <v>2029-03-15</v>
      </c>
      <c r="AU743" t="str">
        <f>_xll.BDP($B743,"CPN_TYP")</f>
        <v>FIXED</v>
      </c>
      <c r="AV743">
        <f>_xll.BDP($B743,"CPN")</f>
        <v>4.9000000000000004</v>
      </c>
    </row>
    <row r="744" spans="1:48" x14ac:dyDescent="0.25">
      <c r="A744" t="s">
        <v>1840</v>
      </c>
      <c r="B744" t="s">
        <v>2519</v>
      </c>
      <c r="C744" s="1" t="s">
        <v>2520</v>
      </c>
      <c r="D744" t="s">
        <v>2521</v>
      </c>
      <c r="E744" t="str">
        <f>_xll.BDP($B744,"LEGAL_ENTITY_IDENTIFIER")</f>
        <v>PT3QB789TSUIDF371261</v>
      </c>
      <c r="F744" t="s">
        <v>2522</v>
      </c>
      <c r="G744" t="str">
        <f>custodian!D744</f>
        <v>89115KAB6</v>
      </c>
      <c r="H744" t="str">
        <f>_xll.BDP($B744,"ID_ISIN")</f>
        <v>US89115KAB61</v>
      </c>
      <c r="I744" s="1"/>
      <c r="J744" t="str">
        <f>_xll.BDP($B744,"CNTRY_OF_DOMICILE")</f>
        <v>CA</v>
      </c>
      <c r="K744" t="s">
        <v>626</v>
      </c>
      <c r="L744" t="s">
        <v>99</v>
      </c>
      <c r="O744" s="1"/>
      <c r="AQ744" s="1"/>
      <c r="AR744" s="1"/>
      <c r="AS744" s="1"/>
      <c r="AT744" t="str">
        <f>TEXT(_xll.BDP($B744,"MATURITY"),"yyyy-mm-dd")</f>
        <v>2030-06-03</v>
      </c>
      <c r="AU744" t="str">
        <f>_xll.BDP($B744,"CPN_TYP")</f>
        <v>FIXED</v>
      </c>
      <c r="AV744">
        <f>_xll.BDP($B744,"CPN")</f>
        <v>4.8079999999999998</v>
      </c>
    </row>
    <row r="745" spans="1:48" x14ac:dyDescent="0.25">
      <c r="A745" t="s">
        <v>1840</v>
      </c>
      <c r="B745" t="s">
        <v>2523</v>
      </c>
      <c r="C745" s="1" t="s">
        <v>2524</v>
      </c>
      <c r="D745" t="s">
        <v>2525</v>
      </c>
      <c r="E745" t="str">
        <f>_xll.BDP($B745,"LEGAL_ENTITY_IDENTIFIER")</f>
        <v>549300U37G2I8G4RUG09</v>
      </c>
      <c r="F745" t="s">
        <v>2526</v>
      </c>
      <c r="G745" t="str">
        <f>custodian!D745</f>
        <v>89153VAT6</v>
      </c>
      <c r="H745" t="str">
        <f>_xll.BDP($B745,"ID_ISIN")</f>
        <v>US89153VAT61</v>
      </c>
      <c r="I745" s="1"/>
      <c r="J745" t="str">
        <f>_xll.BDP($B745,"CNTRY_OF_DOMICILE")</f>
        <v>FR</v>
      </c>
      <c r="K745" t="s">
        <v>626</v>
      </c>
      <c r="L745" t="s">
        <v>99</v>
      </c>
      <c r="O745" s="1"/>
      <c r="AQ745" s="1"/>
      <c r="AR745" s="1"/>
      <c r="AS745" s="1"/>
      <c r="AT745" t="str">
        <f>TEXT(_xll.BDP($B745,"MATURITY"),"yyyy-mm-dd")</f>
        <v>2030-01-10</v>
      </c>
      <c r="AU745" t="str">
        <f>_xll.BDP($B745,"CPN_TYP")</f>
        <v>FIXED</v>
      </c>
      <c r="AV745">
        <f>_xll.BDP($B745,"CPN")</f>
        <v>2.8290000000000002</v>
      </c>
    </row>
    <row r="746" spans="1:48" x14ac:dyDescent="0.25">
      <c r="A746" t="s">
        <v>1840</v>
      </c>
      <c r="B746" t="s">
        <v>2527</v>
      </c>
      <c r="C746" s="1" t="s">
        <v>2528</v>
      </c>
      <c r="D746" t="s">
        <v>2529</v>
      </c>
      <c r="E746" t="str">
        <f>_xll.BDP($B746,"LEGAL_ENTITY_IDENTIFIER")</f>
        <v>Z2VZBHUMB7PWWJ63I008</v>
      </c>
      <c r="F746" t="s">
        <v>2530</v>
      </c>
      <c r="G746" t="str">
        <f>custodian!D746</f>
        <v>89236TLL7</v>
      </c>
      <c r="H746" t="str">
        <f>_xll.BDP($B746,"ID_ISIN")</f>
        <v>US89236TLL79</v>
      </c>
      <c r="I746" s="1"/>
      <c r="J746" t="str">
        <f>_xll.BDP($B746,"CNTRY_OF_DOMICILE")</f>
        <v>US</v>
      </c>
      <c r="K746" t="s">
        <v>626</v>
      </c>
      <c r="L746" t="s">
        <v>99</v>
      </c>
      <c r="O746" s="1"/>
      <c r="AQ746" s="1"/>
      <c r="AR746" s="1"/>
      <c r="AS746" s="1"/>
      <c r="AT746" t="str">
        <f>TEXT(_xll.BDP($B746,"MATURITY"),"yyyy-mm-dd")</f>
        <v>2029-01-05</v>
      </c>
      <c r="AU746" t="str">
        <f>_xll.BDP($B746,"CPN_TYP")</f>
        <v>FIXED</v>
      </c>
      <c r="AV746">
        <f>_xll.BDP($B746,"CPN")</f>
        <v>4.6500000000000004</v>
      </c>
    </row>
    <row r="747" spans="1:48" x14ac:dyDescent="0.25">
      <c r="A747" t="s">
        <v>1840</v>
      </c>
      <c r="B747" t="s">
        <v>2531</v>
      </c>
      <c r="C747" s="1" t="s">
        <v>2532</v>
      </c>
      <c r="D747" t="s">
        <v>2533</v>
      </c>
      <c r="E747" t="str">
        <f>_xll.BDP($B747,"LEGAL_ENTITY_IDENTIFIER")</f>
        <v>5BV01I6231JPDAPMGH09</v>
      </c>
      <c r="F747" t="s">
        <v>2534</v>
      </c>
      <c r="G747" t="str">
        <f>custodian!D747</f>
        <v>89352HAW9</v>
      </c>
      <c r="H747" t="str">
        <f>_xll.BDP($B747,"ID_ISIN")</f>
        <v>US89352HAW97</v>
      </c>
      <c r="I747" s="1"/>
      <c r="J747" t="str">
        <f>_xll.BDP($B747,"CNTRY_OF_DOMICILE")</f>
        <v>CA</v>
      </c>
      <c r="K747" t="s">
        <v>626</v>
      </c>
      <c r="L747" t="s">
        <v>99</v>
      </c>
      <c r="O747" s="1"/>
      <c r="AQ747" s="1"/>
      <c r="AR747" s="1"/>
      <c r="AS747" s="1"/>
      <c r="AT747" t="str">
        <f>TEXT(_xll.BDP($B747,"MATURITY"),"yyyy-mm-dd")</f>
        <v>2028-05-15</v>
      </c>
      <c r="AU747" t="str">
        <f>_xll.BDP($B747,"CPN_TYP")</f>
        <v>FIXED</v>
      </c>
      <c r="AV747">
        <f>_xll.BDP($B747,"CPN")</f>
        <v>4.25</v>
      </c>
    </row>
    <row r="748" spans="1:48" x14ac:dyDescent="0.25">
      <c r="A748" t="s">
        <v>1840</v>
      </c>
      <c r="B748" t="s">
        <v>2535</v>
      </c>
      <c r="C748" s="1" t="s">
        <v>2536</v>
      </c>
      <c r="D748" t="s">
        <v>2537</v>
      </c>
      <c r="E748" t="str">
        <f>_xll.BDP($B748,"LEGAL_ENTITY_IDENTIFIER")</f>
        <v>549300DRQQI75D2JP341</v>
      </c>
      <c r="F748" t="s">
        <v>2538</v>
      </c>
      <c r="G748" t="str">
        <f>custodian!D748</f>
        <v>89788MAQ5</v>
      </c>
      <c r="H748" t="str">
        <f>_xll.BDP($B748,"ID_ISIN")</f>
        <v>US89788MAQ50</v>
      </c>
      <c r="I748" s="1"/>
      <c r="J748" t="str">
        <f>_xll.BDP($B748,"CNTRY_OF_DOMICILE")</f>
        <v>US</v>
      </c>
      <c r="K748" t="s">
        <v>626</v>
      </c>
      <c r="L748" t="s">
        <v>99</v>
      </c>
      <c r="O748" s="1"/>
      <c r="AQ748" s="1"/>
      <c r="AR748" s="1"/>
      <c r="AS748" s="1"/>
      <c r="AT748" t="str">
        <f>TEXT(_xll.BDP($B748,"MATURITY"),"yyyy-mm-dd")</f>
        <v>2029-10-30</v>
      </c>
      <c r="AU748" t="str">
        <f>_xll.BDP($B748,"CPN_TYP")</f>
        <v>VARIABLE</v>
      </c>
      <c r="AV748">
        <f>_xll.BDP($B748,"CPN")</f>
        <v>7.1609999999999996</v>
      </c>
    </row>
    <row r="749" spans="1:48" x14ac:dyDescent="0.25">
      <c r="A749" t="s">
        <v>1840</v>
      </c>
      <c r="B749" t="s">
        <v>2539</v>
      </c>
      <c r="C749" s="1" t="s">
        <v>2540</v>
      </c>
      <c r="D749" t="s">
        <v>2541</v>
      </c>
      <c r="E749" t="str">
        <f>_xll.BDP($B749,"LEGAL_ENTITY_IDENTIFIER")</f>
        <v>549300DRQQI75D2JP341</v>
      </c>
      <c r="F749" t="s">
        <v>2542</v>
      </c>
      <c r="G749" t="str">
        <f>custodian!D749</f>
        <v>89788MAU6</v>
      </c>
      <c r="H749" t="str">
        <f>_xll.BDP($B749,"ID_ISIN")</f>
        <v>US89788MAU62</v>
      </c>
      <c r="I749" s="1"/>
      <c r="J749" t="str">
        <f>_xll.BDP($B749,"CNTRY_OF_DOMICILE")</f>
        <v>US</v>
      </c>
      <c r="K749" t="s">
        <v>626</v>
      </c>
      <c r="L749" t="s">
        <v>99</v>
      </c>
      <c r="O749" s="1"/>
      <c r="AQ749" s="1"/>
      <c r="AR749" s="1"/>
      <c r="AS749" s="1"/>
      <c r="AT749" t="str">
        <f>TEXT(_xll.BDP($B749,"MATURITY"),"yyyy-mm-dd")</f>
        <v>2031-05-20</v>
      </c>
      <c r="AU749" t="str">
        <f>_xll.BDP($B749,"CPN_TYP")</f>
        <v>VARIABLE</v>
      </c>
      <c r="AV749">
        <f>_xll.BDP($B749,"CPN")</f>
        <v>5.0709999999999997</v>
      </c>
    </row>
    <row r="750" spans="1:48" x14ac:dyDescent="0.25">
      <c r="A750" t="s">
        <v>1840</v>
      </c>
      <c r="B750" t="s">
        <v>2543</v>
      </c>
      <c r="C750" s="1" t="s">
        <v>2544</v>
      </c>
      <c r="D750" t="s">
        <v>2545</v>
      </c>
      <c r="E750" t="str">
        <f>_xll.BDP($B750,"LEGAL_ENTITY_IDENTIFIER")</f>
        <v>MYF1DAS6G5WY7PRWCU78</v>
      </c>
      <c r="F750" t="s">
        <v>2546</v>
      </c>
      <c r="G750" t="str">
        <f>custodian!D750</f>
        <v>904764BC0</v>
      </c>
      <c r="H750" t="str">
        <f>_xll.BDP($B750,"ID_ISIN")</f>
        <v>US904764BC04</v>
      </c>
      <c r="I750" s="1"/>
      <c r="J750" t="str">
        <f>_xll.BDP($B750,"CNTRY_OF_DOMICILE")</f>
        <v>US</v>
      </c>
      <c r="K750" t="s">
        <v>626</v>
      </c>
      <c r="L750" t="s">
        <v>99</v>
      </c>
      <c r="O750" s="1"/>
      <c r="AQ750" s="1"/>
      <c r="AR750" s="1"/>
      <c r="AS750" s="1"/>
      <c r="AT750" t="str">
        <f>TEXT(_xll.BDP($B750,"MATURITY"),"yyyy-mm-dd")</f>
        <v>2028-03-22</v>
      </c>
      <c r="AU750" t="str">
        <f>_xll.BDP($B750,"CPN_TYP")</f>
        <v>FIXED</v>
      </c>
      <c r="AV750">
        <f>_xll.BDP($B750,"CPN")</f>
        <v>3.5</v>
      </c>
    </row>
    <row r="751" spans="1:48" x14ac:dyDescent="0.25">
      <c r="A751" t="s">
        <v>1840</v>
      </c>
      <c r="B751" t="s">
        <v>2547</v>
      </c>
      <c r="C751" s="1" t="s">
        <v>2548</v>
      </c>
      <c r="D751" t="s">
        <v>2549</v>
      </c>
      <c r="E751" t="str">
        <f>_xll.BDP($B751,"LEGAL_ENTITY_IDENTIFIER")</f>
        <v>N1GZ7BBF3NP8GI976H15</v>
      </c>
      <c r="F751" t="s">
        <v>2549</v>
      </c>
      <c r="G751" t="str">
        <f>custodian!D751</f>
        <v>91159HJK7</v>
      </c>
      <c r="H751" t="str">
        <f>_xll.BDP($B751,"ID_ISIN")</f>
        <v>US91159HJK77</v>
      </c>
      <c r="I751" s="1"/>
      <c r="J751" t="str">
        <f>_xll.BDP($B751,"CNTRY_OF_DOMICILE")</f>
        <v>US</v>
      </c>
      <c r="K751" t="s">
        <v>626</v>
      </c>
      <c r="L751" t="s">
        <v>99</v>
      </c>
      <c r="O751" s="1"/>
      <c r="AQ751" s="1"/>
      <c r="AR751" s="1"/>
      <c r="AS751" s="1"/>
      <c r="AT751" t="str">
        <f>TEXT(_xll.BDP($B751,"MATURITY"),"yyyy-mm-dd")</f>
        <v>2029-02-01</v>
      </c>
      <c r="AU751" t="str">
        <f>_xll.BDP($B751,"CPN_TYP")</f>
        <v>VARIABLE</v>
      </c>
      <c r="AV751">
        <f>_xll.BDP($B751,"CPN")</f>
        <v>4.6529999999999996</v>
      </c>
    </row>
    <row r="752" spans="1:48" x14ac:dyDescent="0.25">
      <c r="A752" t="s">
        <v>1840</v>
      </c>
      <c r="B752" t="s">
        <v>2550</v>
      </c>
      <c r="C752" s="1" t="s">
        <v>2551</v>
      </c>
      <c r="D752" t="s">
        <v>2552</v>
      </c>
      <c r="E752" t="str">
        <f>_xll.BDP($B752,"LEGAL_ENTITY_IDENTIFIER")</f>
        <v>N1GZ7BBF3NP8GI976H15</v>
      </c>
      <c r="F752" t="s">
        <v>2552</v>
      </c>
      <c r="G752" t="str">
        <f>custodian!D752</f>
        <v>91159HJV3</v>
      </c>
      <c r="H752" t="str">
        <f>_xll.BDP($B752,"ID_ISIN")</f>
        <v>US91159HJV33</v>
      </c>
      <c r="I752" s="1"/>
      <c r="J752" t="str">
        <f>_xll.BDP($B752,"CNTRY_OF_DOMICILE")</f>
        <v>US</v>
      </c>
      <c r="K752" t="s">
        <v>626</v>
      </c>
      <c r="L752" t="s">
        <v>99</v>
      </c>
      <c r="O752" s="1"/>
      <c r="AQ752" s="1"/>
      <c r="AR752" s="1"/>
      <c r="AS752" s="1"/>
      <c r="AT752" t="str">
        <f>TEXT(_xll.BDP($B752,"MATURITY"),"yyyy-mm-dd")</f>
        <v>2031-05-15</v>
      </c>
      <c r="AU752" t="str">
        <f>_xll.BDP($B752,"CPN_TYP")</f>
        <v>VARIABLE</v>
      </c>
      <c r="AV752">
        <f>_xll.BDP($B752,"CPN")</f>
        <v>5.0830000000000002</v>
      </c>
    </row>
    <row r="753" spans="1:48" x14ac:dyDescent="0.25">
      <c r="A753" t="s">
        <v>1840</v>
      </c>
      <c r="B753" t="s">
        <v>2553</v>
      </c>
      <c r="C753" s="1" t="s">
        <v>2554</v>
      </c>
      <c r="D753" t="s">
        <v>2555</v>
      </c>
      <c r="E753" t="str">
        <f>_xll.BDP($B753,"LEGAL_ENTITY_IDENTIFIER")</f>
        <v>I07WOS4YJ0N7YRFE7309</v>
      </c>
      <c r="F753" t="s">
        <v>2555</v>
      </c>
      <c r="G753" t="str">
        <f>custodian!D753</f>
        <v>913017CY3</v>
      </c>
      <c r="H753" t="str">
        <f>_xll.BDP($B753,"ID_ISIN")</f>
        <v>US913017CY37</v>
      </c>
      <c r="I753" s="1"/>
      <c r="J753" t="str">
        <f>_xll.BDP($B753,"CNTRY_OF_DOMICILE")</f>
        <v>US</v>
      </c>
      <c r="K753" t="s">
        <v>626</v>
      </c>
      <c r="L753" t="s">
        <v>99</v>
      </c>
      <c r="O753" s="1"/>
      <c r="AQ753" s="1"/>
      <c r="AR753" s="1"/>
      <c r="AS753" s="1"/>
      <c r="AT753" t="str">
        <f>TEXT(_xll.BDP($B753,"MATURITY"),"yyyy-mm-dd")</f>
        <v>2028-11-16</v>
      </c>
      <c r="AU753" t="str">
        <f>_xll.BDP($B753,"CPN_TYP")</f>
        <v>FIXED</v>
      </c>
      <c r="AV753">
        <f>_xll.BDP($B753,"CPN")</f>
        <v>4.125</v>
      </c>
    </row>
    <row r="754" spans="1:48" x14ac:dyDescent="0.25">
      <c r="A754" t="s">
        <v>1840</v>
      </c>
      <c r="B754" t="s">
        <v>2556</v>
      </c>
      <c r="C754" s="1" t="s">
        <v>2557</v>
      </c>
      <c r="D754" t="s">
        <v>2558</v>
      </c>
      <c r="E754" t="str">
        <f>_xll.BDP($B754,"LEGAL_ENTITY_IDENTIFIER")</f>
        <v>549300GHBMY8T5GXDE41</v>
      </c>
      <c r="F754" t="s">
        <v>2559</v>
      </c>
      <c r="G754" t="str">
        <f>custodian!D754</f>
        <v>91324PEQ1</v>
      </c>
      <c r="H754" t="str">
        <f>_xll.BDP($B754,"ID_ISIN")</f>
        <v>US91324PEQ19</v>
      </c>
      <c r="I754" s="1"/>
      <c r="J754" t="str">
        <f>_xll.BDP($B754,"CNTRY_OF_DOMICILE")</f>
        <v>US</v>
      </c>
      <c r="K754" t="s">
        <v>626</v>
      </c>
      <c r="L754" t="s">
        <v>99</v>
      </c>
      <c r="O754" s="1"/>
      <c r="AQ754" s="1"/>
      <c r="AR754" s="1"/>
      <c r="AS754" s="1"/>
      <c r="AT754" t="str">
        <f>TEXT(_xll.BDP($B754,"MATURITY"),"yyyy-mm-dd")</f>
        <v>2030-02-15</v>
      </c>
      <c r="AU754" t="str">
        <f>_xll.BDP($B754,"CPN_TYP")</f>
        <v>FIXED</v>
      </c>
      <c r="AV754">
        <f>_xll.BDP($B754,"CPN")</f>
        <v>5.3</v>
      </c>
    </row>
    <row r="755" spans="1:48" x14ac:dyDescent="0.25">
      <c r="A755" t="s">
        <v>1840</v>
      </c>
      <c r="B755" t="s">
        <v>2560</v>
      </c>
      <c r="C755" s="1" t="s">
        <v>2561</v>
      </c>
      <c r="D755" t="s">
        <v>2562</v>
      </c>
      <c r="E755" t="str">
        <f>_xll.BDP($B755,"LEGAL_ENTITY_IDENTIFIER")</f>
        <v>32SXKSJ72K64GM3HOU64</v>
      </c>
      <c r="F755" t="s">
        <v>2562</v>
      </c>
      <c r="G755" t="str">
        <f>custodian!D755</f>
        <v>92277GAM9</v>
      </c>
      <c r="H755" t="str">
        <f>_xll.BDP($B755,"ID_ISIN")</f>
        <v>US92277GAM96</v>
      </c>
      <c r="I755" s="1"/>
      <c r="J755" t="str">
        <f>_xll.BDP($B755,"CNTRY_OF_DOMICILE")</f>
        <v>US</v>
      </c>
      <c r="K755" t="s">
        <v>626</v>
      </c>
      <c r="L755" t="s">
        <v>99</v>
      </c>
      <c r="O755" s="1"/>
      <c r="AQ755" s="1"/>
      <c r="AR755" s="1"/>
      <c r="AS755" s="1"/>
      <c r="AT755" t="str">
        <f>TEXT(_xll.BDP($B755,"MATURITY"),"yyyy-mm-dd")</f>
        <v>2028-03-01</v>
      </c>
      <c r="AU755" t="str">
        <f>_xll.BDP($B755,"CPN_TYP")</f>
        <v>FIXED</v>
      </c>
      <c r="AV755">
        <f>_xll.BDP($B755,"CPN")</f>
        <v>4</v>
      </c>
    </row>
    <row r="756" spans="1:48" x14ac:dyDescent="0.25">
      <c r="A756" t="s">
        <v>1840</v>
      </c>
      <c r="B756" t="s">
        <v>2563</v>
      </c>
      <c r="C756" s="1" t="s">
        <v>2564</v>
      </c>
      <c r="D756" t="s">
        <v>2565</v>
      </c>
      <c r="E756" t="str">
        <f>_xll.BDP($B756,"LEGAL_ENTITY_IDENTIFIER")</f>
        <v>2S72QS2UO2OESLG6Y829</v>
      </c>
      <c r="F756" t="s">
        <v>2566</v>
      </c>
      <c r="G756" t="str">
        <f>custodian!D756</f>
        <v>92343VGJ7</v>
      </c>
      <c r="H756" t="str">
        <f>_xll.BDP($B756,"ID_ISIN")</f>
        <v>US92343VGJ70</v>
      </c>
      <c r="I756" s="1"/>
      <c r="J756" t="str">
        <f>_xll.BDP($B756,"CNTRY_OF_DOMICILE")</f>
        <v>US</v>
      </c>
      <c r="K756" t="s">
        <v>626</v>
      </c>
      <c r="L756" t="s">
        <v>99</v>
      </c>
      <c r="O756" s="1"/>
      <c r="AQ756" s="1"/>
      <c r="AR756" s="1"/>
      <c r="AS756" s="1"/>
      <c r="AT756" t="str">
        <f>TEXT(_xll.BDP($B756,"MATURITY"),"yyyy-mm-dd")</f>
        <v>2031-03-21</v>
      </c>
      <c r="AU756" t="str">
        <f>_xll.BDP($B756,"CPN_TYP")</f>
        <v>FIXED</v>
      </c>
      <c r="AV756">
        <f>_xll.BDP($B756,"CPN")</f>
        <v>2.5499999999999998</v>
      </c>
    </row>
    <row r="757" spans="1:48" x14ac:dyDescent="0.25">
      <c r="A757" t="s">
        <v>1840</v>
      </c>
      <c r="B757" t="s">
        <v>2567</v>
      </c>
      <c r="C757" s="1" t="s">
        <v>2568</v>
      </c>
      <c r="D757" t="s">
        <v>2569</v>
      </c>
      <c r="E757" t="str">
        <f>_xll.BDP($B757,"LEGAL_ENTITY_IDENTIFIER")</f>
        <v>549300JZ4OKEHW3DPJ59</v>
      </c>
      <c r="F757" t="s">
        <v>2569</v>
      </c>
      <c r="G757" t="str">
        <f>custodian!D757</f>
        <v>92826CAM4</v>
      </c>
      <c r="H757" t="str">
        <f>_xll.BDP($B757,"ID_ISIN")</f>
        <v>US92826CAM47</v>
      </c>
      <c r="I757" s="1"/>
      <c r="J757" t="str">
        <f>_xll.BDP($B757,"CNTRY_OF_DOMICILE")</f>
        <v>US</v>
      </c>
      <c r="K757" t="s">
        <v>626</v>
      </c>
      <c r="L757" t="s">
        <v>99</v>
      </c>
      <c r="O757" s="1"/>
      <c r="AQ757" s="1"/>
      <c r="AR757" s="1"/>
      <c r="AS757" s="1"/>
      <c r="AT757" t="str">
        <f>TEXT(_xll.BDP($B757,"MATURITY"),"yyyy-mm-dd")</f>
        <v>2030-04-15</v>
      </c>
      <c r="AU757" t="str">
        <f>_xll.BDP($B757,"CPN_TYP")</f>
        <v>FIXED</v>
      </c>
      <c r="AV757">
        <f>_xll.BDP($B757,"CPN")</f>
        <v>2.0499999999999998</v>
      </c>
    </row>
    <row r="758" spans="1:48" x14ac:dyDescent="0.25">
      <c r="A758" t="s">
        <v>1840</v>
      </c>
      <c r="B758" t="s">
        <v>2570</v>
      </c>
      <c r="C758" s="1" t="s">
        <v>2571</v>
      </c>
      <c r="D758" t="s">
        <v>2572</v>
      </c>
      <c r="E758" t="str">
        <f>_xll.BDP($B758,"LEGAL_ENTITY_IDENTIFIER")</f>
        <v>549300ZH5GKBTJZ7NM23</v>
      </c>
      <c r="F758" t="s">
        <v>2573</v>
      </c>
      <c r="G758" t="str">
        <f>custodian!D758</f>
        <v>92840VBA9</v>
      </c>
      <c r="H758" t="str">
        <f>_xll.BDP($B758,"ID_ISIN")</f>
        <v>US92840VBA98</v>
      </c>
      <c r="I758" s="1"/>
      <c r="J758" t="str">
        <f>_xll.BDP($B758,"CNTRY_OF_DOMICILE")</f>
        <v>US</v>
      </c>
      <c r="K758" t="s">
        <v>626</v>
      </c>
      <c r="L758" t="s">
        <v>99</v>
      </c>
      <c r="O758" s="1"/>
      <c r="AQ758" s="1"/>
      <c r="AR758" s="1"/>
      <c r="AS758" s="1"/>
      <c r="AT758" t="str">
        <f>TEXT(_xll.BDP($B758,"MATURITY"),"yyyy-mm-dd")</f>
        <v>2031-04-30</v>
      </c>
      <c r="AU758" t="str">
        <f>_xll.BDP($B758,"CPN_TYP")</f>
        <v>FIXED</v>
      </c>
      <c r="AV758">
        <f>_xll.BDP($B758,"CPN")</f>
        <v>5</v>
      </c>
    </row>
    <row r="759" spans="1:48" x14ac:dyDescent="0.25">
      <c r="A759" t="s">
        <v>1840</v>
      </c>
      <c r="B759" t="s">
        <v>2574</v>
      </c>
      <c r="C759" s="1" t="s">
        <v>2575</v>
      </c>
      <c r="D759" t="s">
        <v>2576</v>
      </c>
      <c r="E759" t="str">
        <f>_xll.BDP($B759,"LEGAL_ENTITY_IDENTIFIER")</f>
        <v>549300YX8JIID70NFS41</v>
      </c>
      <c r="F759" t="s">
        <v>2577</v>
      </c>
      <c r="G759" t="str">
        <f>custodian!D759</f>
        <v>94106LCB3</v>
      </c>
      <c r="H759" t="str">
        <f>_xll.BDP($B759,"ID_ISIN")</f>
        <v>US94106LCB36</v>
      </c>
      <c r="I759" s="1"/>
      <c r="J759" t="str">
        <f>_xll.BDP($B759,"CNTRY_OF_DOMICILE")</f>
        <v>US</v>
      </c>
      <c r="K759" t="s">
        <v>626</v>
      </c>
      <c r="L759" t="s">
        <v>99</v>
      </c>
      <c r="O759" s="1"/>
      <c r="AQ759" s="1"/>
      <c r="AR759" s="1"/>
      <c r="AS759" s="1"/>
      <c r="AT759" t="str">
        <f>TEXT(_xll.BDP($B759,"MATURITY"),"yyyy-mm-dd")</f>
        <v>2028-03-15</v>
      </c>
      <c r="AU759" t="str">
        <f>_xll.BDP($B759,"CPN_TYP")</f>
        <v>FIXED</v>
      </c>
      <c r="AV759">
        <f>_xll.BDP($B759,"CPN")</f>
        <v>4.5</v>
      </c>
    </row>
    <row r="760" spans="1:48" x14ac:dyDescent="0.25">
      <c r="A760" t="s">
        <v>1840</v>
      </c>
      <c r="B760" t="s">
        <v>2578</v>
      </c>
      <c r="C760" s="1" t="s">
        <v>2579</v>
      </c>
      <c r="D760" t="s">
        <v>2580</v>
      </c>
      <c r="E760" t="str">
        <f>_xll.BDP($B760,"LEGAL_ENTITY_IDENTIFIER")</f>
        <v>PBLD0EJDB5FWOLXP3B76</v>
      </c>
      <c r="F760" t="s">
        <v>2581</v>
      </c>
      <c r="G760" t="str">
        <f>custodian!D760</f>
        <v>95000U3W1</v>
      </c>
      <c r="H760" t="str">
        <f>_xll.BDP($B760,"ID_ISIN")</f>
        <v>US95000U3W12</v>
      </c>
      <c r="I760" s="1"/>
      <c r="J760" t="str">
        <f>_xll.BDP($B760,"CNTRY_OF_DOMICILE")</f>
        <v>US</v>
      </c>
      <c r="K760" t="s">
        <v>626</v>
      </c>
      <c r="L760" t="s">
        <v>99</v>
      </c>
      <c r="O760" s="1"/>
      <c r="AQ760" s="1"/>
      <c r="AR760" s="1"/>
      <c r="AS760" s="1"/>
      <c r="AT760" t="str">
        <f>TEXT(_xll.BDP($B760,"MATURITY"),"yyyy-mm-dd")</f>
        <v>2031-04-23</v>
      </c>
      <c r="AU760" t="str">
        <f>_xll.BDP($B760,"CPN_TYP")</f>
        <v>VARIABLE</v>
      </c>
      <c r="AV760">
        <f>_xll.BDP($B760,"CPN")</f>
        <v>5.15</v>
      </c>
    </row>
    <row r="761" spans="1:48" x14ac:dyDescent="0.25">
      <c r="A761" t="s">
        <v>1840</v>
      </c>
      <c r="B761" t="s">
        <v>2582</v>
      </c>
      <c r="C761" s="1" t="s">
        <v>2583</v>
      </c>
      <c r="D761" t="s">
        <v>2584</v>
      </c>
      <c r="E761" t="str">
        <f>_xll.BDP($B761,"LEGAL_ENTITY_IDENTIFIER")</f>
        <v>EN5TNI6CI43VEPAMHL14</v>
      </c>
      <c r="F761" t="s">
        <v>2585</v>
      </c>
      <c r="G761" t="str">
        <f>custodian!D761</f>
        <v>961214EF6</v>
      </c>
      <c r="H761" t="str">
        <f>_xll.BDP($B761,"ID_ISIN")</f>
        <v>US961214EF61</v>
      </c>
      <c r="I761" s="1"/>
      <c r="J761" t="str">
        <f>_xll.BDP($B761,"CNTRY_OF_DOMICILE")</f>
        <v>AU</v>
      </c>
      <c r="K761" t="s">
        <v>626</v>
      </c>
      <c r="L761" t="s">
        <v>99</v>
      </c>
      <c r="O761" s="1"/>
      <c r="AQ761" s="1"/>
      <c r="AR761" s="1"/>
      <c r="AS761" s="1"/>
      <c r="AT761" t="str">
        <f>TEXT(_xll.BDP($B761,"MATURITY"),"yyyy-mm-dd")</f>
        <v>2034-07-24</v>
      </c>
      <c r="AU761" t="str">
        <f>_xll.BDP($B761,"CPN_TYP")</f>
        <v>VARIABLE</v>
      </c>
      <c r="AV761">
        <f>_xll.BDP($B761,"CPN")</f>
        <v>4.1100000000000003</v>
      </c>
    </row>
    <row r="762" spans="1:48" x14ac:dyDescent="0.25">
      <c r="A762" t="s">
        <v>1840</v>
      </c>
      <c r="B762" t="s">
        <v>2586</v>
      </c>
      <c r="C762" s="1" t="s">
        <v>2587</v>
      </c>
      <c r="D762" t="s">
        <v>2588</v>
      </c>
      <c r="E762" t="str">
        <f>_xll.BDP($B762,"LEGAL_ENTITY_IDENTIFIER")</f>
        <v>EN5TNI6CI43VEPAMHL14</v>
      </c>
      <c r="F762" t="s">
        <v>2589</v>
      </c>
      <c r="G762" t="str">
        <f>custodian!D762</f>
        <v>961214EW9</v>
      </c>
      <c r="H762" t="str">
        <f>_xll.BDP($B762,"ID_ISIN")</f>
        <v>US961214EW94</v>
      </c>
      <c r="I762" s="1"/>
      <c r="J762" t="str">
        <f>_xll.BDP($B762,"CNTRY_OF_DOMICILE")</f>
        <v>AU</v>
      </c>
      <c r="K762" t="s">
        <v>626</v>
      </c>
      <c r="L762" t="s">
        <v>99</v>
      </c>
      <c r="O762" s="1"/>
      <c r="AQ762" s="1"/>
      <c r="AR762" s="1"/>
      <c r="AS762" s="1"/>
      <c r="AT762" t="str">
        <f>TEXT(_xll.BDP($B762,"MATURITY"),"yyyy-mm-dd")</f>
        <v>2028-11-20</v>
      </c>
      <c r="AU762" t="str">
        <f>_xll.BDP($B762,"CPN_TYP")</f>
        <v>FIXED</v>
      </c>
      <c r="AV762">
        <f>_xll.BDP($B762,"CPN")</f>
        <v>1.9530000000000001</v>
      </c>
    </row>
    <row r="763" spans="1:48" x14ac:dyDescent="0.25">
      <c r="A763" t="s">
        <v>1840</v>
      </c>
      <c r="B763" t="s">
        <v>2590</v>
      </c>
      <c r="C763" s="1" t="s">
        <v>2591</v>
      </c>
      <c r="D763" t="s">
        <v>2592</v>
      </c>
      <c r="E763" t="str">
        <f>_xll.BDP($B763,"LEGAL_ENTITY_IDENTIFIER")</f>
        <v>254900AIZKU6TGRRNZ98</v>
      </c>
      <c r="F763" t="s">
        <v>2593</v>
      </c>
      <c r="G763" t="str">
        <f>custodian!D763</f>
        <v>980236AT0</v>
      </c>
      <c r="H763" t="str">
        <f>_xll.BDP($B763,"ID_ISIN")</f>
        <v>US980236AT06</v>
      </c>
      <c r="I763" s="1"/>
      <c r="J763" t="str">
        <f>_xll.BDP($B763,"CNTRY_OF_DOMICILE")</f>
        <v>AU</v>
      </c>
      <c r="K763" t="s">
        <v>626</v>
      </c>
      <c r="L763" t="s">
        <v>99</v>
      </c>
      <c r="O763" s="1"/>
      <c r="AQ763" s="1"/>
      <c r="AR763" s="1"/>
      <c r="AS763" s="1"/>
      <c r="AT763" t="str">
        <f>TEXT(_xll.BDP($B763,"MATURITY"),"yyyy-mm-dd")</f>
        <v>2030-05-19</v>
      </c>
      <c r="AU763" t="str">
        <f>_xll.BDP($B763,"CPN_TYP")</f>
        <v>FIXED</v>
      </c>
      <c r="AV763">
        <f>_xll.BDP($B763,"CPN")</f>
        <v>5.4</v>
      </c>
    </row>
    <row r="764" spans="1:48" x14ac:dyDescent="0.25">
      <c r="A764" t="s">
        <v>1840</v>
      </c>
      <c r="B764" t="s">
        <v>77</v>
      </c>
      <c r="C764" s="1" t="s">
        <v>78</v>
      </c>
      <c r="D764" t="s">
        <v>79</v>
      </c>
      <c r="E764" t="str">
        <f>_xll.BDP($B764,"LEGAL_ENTITY_IDENTIFIER")</f>
        <v>549300R5MYM6VZF1RM44</v>
      </c>
      <c r="F764" t="s">
        <v>80</v>
      </c>
      <c r="G764" t="str">
        <f>custodian!D764</f>
        <v>31846V336</v>
      </c>
      <c r="H764" t="str">
        <f>_xll.BDP($B764,"ID_ISIN")</f>
        <v>US31846V3362</v>
      </c>
      <c r="I764" s="1" t="s">
        <v>78</v>
      </c>
      <c r="J764" t="str">
        <f>_xll.BDP($B764,"CNTRY_OF_DOMICILE")</f>
        <v>US</v>
      </c>
      <c r="K764" t="s">
        <v>81</v>
      </c>
      <c r="L764" t="s">
        <v>82</v>
      </c>
      <c r="O764" s="1"/>
      <c r="AQ764" s="1"/>
      <c r="AR764" s="1"/>
      <c r="AS764" s="1"/>
    </row>
    <row r="765" spans="1:48" x14ac:dyDescent="0.25">
      <c r="A765" t="s">
        <v>1840</v>
      </c>
      <c r="C765" s="1" t="s">
        <v>52</v>
      </c>
      <c r="E765" s="1"/>
      <c r="G765" t="str">
        <f>custodian!D765</f>
        <v>Cash&amp;Other</v>
      </c>
      <c r="H765" s="1"/>
      <c r="I765" s="1"/>
      <c r="O765" s="1"/>
      <c r="AQ765" s="1"/>
      <c r="AR765" s="1"/>
      <c r="AS765" s="1"/>
    </row>
    <row r="766" spans="1:48" x14ac:dyDescent="0.25">
      <c r="A766" t="s">
        <v>2594</v>
      </c>
      <c r="C766" s="1" t="s">
        <v>2595</v>
      </c>
      <c r="D766" t="s">
        <v>2596</v>
      </c>
      <c r="E766" s="1" t="s">
        <v>56</v>
      </c>
      <c r="F766" t="s">
        <v>2596</v>
      </c>
      <c r="G766" t="str">
        <f>custodian!D766</f>
        <v>2SPY  270528C00151710</v>
      </c>
      <c r="H766" s="1"/>
      <c r="I766" s="1" t="s">
        <v>2597</v>
      </c>
      <c r="J766" t="s">
        <v>58</v>
      </c>
      <c r="K766" t="s">
        <v>59</v>
      </c>
      <c r="L766" t="s">
        <v>99</v>
      </c>
      <c r="M766" t="s">
        <v>2598</v>
      </c>
      <c r="N766" t="s">
        <v>2599</v>
      </c>
      <c r="O766" s="1" t="s">
        <v>2600</v>
      </c>
      <c r="P766" t="s">
        <v>2601</v>
      </c>
      <c r="Q766" t="s">
        <v>2602</v>
      </c>
      <c r="R766" t="s">
        <v>2603</v>
      </c>
      <c r="S766" t="s">
        <v>68</v>
      </c>
      <c r="T766" t="s">
        <v>2604</v>
      </c>
      <c r="U766" t="s">
        <v>56</v>
      </c>
      <c r="V766" t="s">
        <v>2605</v>
      </c>
      <c r="W766" t="s">
        <v>2606</v>
      </c>
      <c r="X766" t="s">
        <v>2607</v>
      </c>
      <c r="AD766" t="s">
        <v>2608</v>
      </c>
      <c r="AE766" t="s">
        <v>2609</v>
      </c>
      <c r="AQ766" s="1"/>
      <c r="AR766" s="1"/>
      <c r="AS766" s="1"/>
    </row>
    <row r="767" spans="1:48" x14ac:dyDescent="0.25">
      <c r="A767" t="s">
        <v>2594</v>
      </c>
      <c r="C767" s="1" t="s">
        <v>2610</v>
      </c>
      <c r="D767" t="s">
        <v>2611</v>
      </c>
      <c r="E767" s="1" t="s">
        <v>56</v>
      </c>
      <c r="F767" t="s">
        <v>2611</v>
      </c>
      <c r="G767" t="str">
        <f>custodian!D767</f>
        <v>2SPY  270528C00863900</v>
      </c>
      <c r="H767" s="1"/>
      <c r="I767" s="1" t="s">
        <v>2612</v>
      </c>
      <c r="J767" t="s">
        <v>58</v>
      </c>
      <c r="K767" t="s">
        <v>59</v>
      </c>
      <c r="L767" t="s">
        <v>99</v>
      </c>
      <c r="M767" t="s">
        <v>2598</v>
      </c>
      <c r="N767" t="s">
        <v>2599</v>
      </c>
      <c r="O767" s="1" t="s">
        <v>2600</v>
      </c>
      <c r="P767" t="s">
        <v>2601</v>
      </c>
      <c r="Q767" t="s">
        <v>2613</v>
      </c>
      <c r="R767" t="s">
        <v>2614</v>
      </c>
      <c r="S767" t="s">
        <v>68</v>
      </c>
      <c r="T767" t="s">
        <v>2604</v>
      </c>
      <c r="U767" t="s">
        <v>56</v>
      </c>
      <c r="V767" t="s">
        <v>2605</v>
      </c>
      <c r="W767" t="s">
        <v>2606</v>
      </c>
      <c r="X767" t="s">
        <v>2607</v>
      </c>
      <c r="AD767" t="s">
        <v>2615</v>
      </c>
      <c r="AE767" t="s">
        <v>2616</v>
      </c>
      <c r="AQ767" s="1"/>
      <c r="AR767" s="1"/>
      <c r="AS767" s="1"/>
    </row>
    <row r="768" spans="1:48" x14ac:dyDescent="0.25">
      <c r="A768" t="s">
        <v>2594</v>
      </c>
      <c r="C768" s="1" t="s">
        <v>2617</v>
      </c>
      <c r="D768" t="s">
        <v>2618</v>
      </c>
      <c r="E768" s="1" t="s">
        <v>56</v>
      </c>
      <c r="F768" t="s">
        <v>2618</v>
      </c>
      <c r="G768" t="str">
        <f>custodian!D768</f>
        <v>2SPY  270528P00644760</v>
      </c>
      <c r="H768" s="1"/>
      <c r="I768" s="1" t="s">
        <v>2619</v>
      </c>
      <c r="J768" t="s">
        <v>58</v>
      </c>
      <c r="K768" t="s">
        <v>59</v>
      </c>
      <c r="L768" t="s">
        <v>99</v>
      </c>
      <c r="M768" t="s">
        <v>2598</v>
      </c>
      <c r="N768" t="s">
        <v>2599</v>
      </c>
      <c r="O768" s="1" t="s">
        <v>2600</v>
      </c>
      <c r="P768" t="s">
        <v>2620</v>
      </c>
      <c r="Q768" t="s">
        <v>2613</v>
      </c>
      <c r="R768" t="s">
        <v>2621</v>
      </c>
      <c r="S768" t="s">
        <v>68</v>
      </c>
      <c r="T768" t="s">
        <v>2604</v>
      </c>
      <c r="U768" t="s">
        <v>56</v>
      </c>
      <c r="V768" t="s">
        <v>2605</v>
      </c>
      <c r="W768" t="s">
        <v>2606</v>
      </c>
      <c r="X768" t="s">
        <v>2607</v>
      </c>
      <c r="AD768" t="s">
        <v>2622</v>
      </c>
      <c r="AE768" t="s">
        <v>2623</v>
      </c>
      <c r="AQ768" s="1"/>
      <c r="AR768" s="1"/>
      <c r="AS768" s="1"/>
    </row>
    <row r="769" spans="1:48" x14ac:dyDescent="0.25">
      <c r="A769" t="s">
        <v>2594</v>
      </c>
      <c r="C769" s="1" t="s">
        <v>2624</v>
      </c>
      <c r="D769" t="s">
        <v>2625</v>
      </c>
      <c r="E769" s="1" t="s">
        <v>56</v>
      </c>
      <c r="F769" t="s">
        <v>2625</v>
      </c>
      <c r="G769" t="str">
        <f>custodian!D769</f>
        <v>2SPY  270528P00758540</v>
      </c>
      <c r="H769" s="1"/>
      <c r="I769" s="1" t="s">
        <v>2626</v>
      </c>
      <c r="J769" t="s">
        <v>58</v>
      </c>
      <c r="K769" t="s">
        <v>59</v>
      </c>
      <c r="L769" t="s">
        <v>99</v>
      </c>
      <c r="M769" t="s">
        <v>2598</v>
      </c>
      <c r="N769" t="s">
        <v>2599</v>
      </c>
      <c r="O769" s="1" t="s">
        <v>2600</v>
      </c>
      <c r="P769" t="s">
        <v>2620</v>
      </c>
      <c r="Q769" t="s">
        <v>2602</v>
      </c>
      <c r="R769" t="s">
        <v>2627</v>
      </c>
      <c r="S769" t="s">
        <v>68</v>
      </c>
      <c r="T769" t="s">
        <v>2604</v>
      </c>
      <c r="U769" t="s">
        <v>56</v>
      </c>
      <c r="V769" t="s">
        <v>2605</v>
      </c>
      <c r="W769" t="s">
        <v>2606</v>
      </c>
      <c r="X769" t="s">
        <v>2607</v>
      </c>
      <c r="AD769" t="s">
        <v>2628</v>
      </c>
      <c r="AE769" t="s">
        <v>2629</v>
      </c>
      <c r="AQ769" s="1"/>
      <c r="AR769" s="1"/>
      <c r="AS769" s="1"/>
    </row>
    <row r="770" spans="1:48" x14ac:dyDescent="0.25">
      <c r="A770" t="s">
        <v>2594</v>
      </c>
      <c r="B770" t="s">
        <v>2630</v>
      </c>
      <c r="C770" s="1" t="s">
        <v>2631</v>
      </c>
      <c r="D770" t="s">
        <v>1574</v>
      </c>
      <c r="E770" t="str">
        <f>_xll.BDP($B770,"LEGAL_ENTITY_IDENTIFIER")</f>
        <v>254900HROIFWPRGM1V77</v>
      </c>
      <c r="F770" t="s">
        <v>2632</v>
      </c>
      <c r="G770" t="str">
        <f>custodian!D770</f>
        <v>912828ZS2</v>
      </c>
      <c r="H770" t="str">
        <f>_xll.BDP($B770,"ID_ISIN")</f>
        <v>US912828ZS21</v>
      </c>
      <c r="I770" s="1"/>
      <c r="J770" t="str">
        <f>_xll.BDP($B770,"CNTRY_OF_DOMICILE")</f>
        <v>US</v>
      </c>
      <c r="K770" t="s">
        <v>626</v>
      </c>
      <c r="L770" t="s">
        <v>627</v>
      </c>
      <c r="O770" s="1"/>
      <c r="AQ770" s="1"/>
      <c r="AR770" s="1"/>
      <c r="AS770" s="1"/>
      <c r="AT770" t="str">
        <f>TEXT(_xll.BDP($B770,"MATURITY"),"yyyy-mm-dd")</f>
        <v>2027-05-31</v>
      </c>
      <c r="AU770" t="str">
        <f>_xll.BDP($B770,"CPN_TYP")</f>
        <v>FIXED</v>
      </c>
      <c r="AV770">
        <f>_xll.BDP($B770,"CPN")</f>
        <v>0.5</v>
      </c>
    </row>
    <row r="771" spans="1:48" x14ac:dyDescent="0.25">
      <c r="A771" t="s">
        <v>2594</v>
      </c>
      <c r="B771" t="s">
        <v>77</v>
      </c>
      <c r="C771" s="1" t="s">
        <v>78</v>
      </c>
      <c r="D771" t="s">
        <v>79</v>
      </c>
      <c r="E771" t="str">
        <f>_xll.BDP($B771,"LEGAL_ENTITY_IDENTIFIER")</f>
        <v>549300R5MYM6VZF1RM44</v>
      </c>
      <c r="F771" t="s">
        <v>80</v>
      </c>
      <c r="G771" t="str">
        <f>custodian!D771</f>
        <v>31846V336</v>
      </c>
      <c r="H771" t="str">
        <f>_xll.BDP($B771,"ID_ISIN")</f>
        <v>US31846V3362</v>
      </c>
      <c r="I771" s="1" t="s">
        <v>78</v>
      </c>
      <c r="J771" t="str">
        <f>_xll.BDP($B771,"CNTRY_OF_DOMICILE")</f>
        <v>US</v>
      </c>
      <c r="K771" t="s">
        <v>81</v>
      </c>
      <c r="L771" t="s">
        <v>82</v>
      </c>
      <c r="O771" s="1"/>
      <c r="AQ771" s="1"/>
      <c r="AR771" s="1"/>
      <c r="AS771" s="1"/>
    </row>
    <row r="772" spans="1:48" x14ac:dyDescent="0.25">
      <c r="A772" t="s">
        <v>2594</v>
      </c>
      <c r="C772" s="1" t="s">
        <v>52</v>
      </c>
      <c r="E772" s="1"/>
      <c r="G772" t="str">
        <f>custodian!D772</f>
        <v>Cash&amp;Other</v>
      </c>
      <c r="H772" s="1"/>
      <c r="I772" s="1"/>
      <c r="O772" s="1"/>
      <c r="AQ772" s="1"/>
      <c r="AR772" s="1"/>
      <c r="AS772" s="1"/>
    </row>
    <row r="773" spans="1:48" x14ac:dyDescent="0.25">
      <c r="A773" t="s">
        <v>2633</v>
      </c>
      <c r="B773" t="s">
        <v>2634</v>
      </c>
      <c r="C773" s="1" t="s">
        <v>2635</v>
      </c>
      <c r="D773" t="s">
        <v>56</v>
      </c>
      <c r="E773" s="1" t="s">
        <v>56</v>
      </c>
      <c r="F773" t="s">
        <v>2636</v>
      </c>
      <c r="G773" t="str">
        <f>custodian!D773</f>
        <v>02079K305-TRS-05/31/27-L-CANT</v>
      </c>
      <c r="H773" s="1"/>
      <c r="I773" s="1" t="s">
        <v>2635</v>
      </c>
      <c r="J773" t="s">
        <v>58</v>
      </c>
      <c r="K773" t="s">
        <v>59</v>
      </c>
      <c r="L773" t="s">
        <v>60</v>
      </c>
      <c r="M773" t="s">
        <v>61</v>
      </c>
      <c r="N773" t="s">
        <v>62</v>
      </c>
      <c r="O773" s="1" t="s">
        <v>63</v>
      </c>
      <c r="V773" t="s">
        <v>64</v>
      </c>
      <c r="Y773" t="s">
        <v>65</v>
      </c>
      <c r="Z773" t="s">
        <v>2637</v>
      </c>
      <c r="AA773" t="s">
        <v>2638</v>
      </c>
      <c r="AB773" t="s">
        <v>68</v>
      </c>
      <c r="AD773" t="s">
        <v>2638</v>
      </c>
      <c r="AE773" t="s">
        <v>2639</v>
      </c>
      <c r="AF773" t="s">
        <v>70</v>
      </c>
      <c r="AG773" t="s">
        <v>2640</v>
      </c>
      <c r="AH773" t="s">
        <v>72</v>
      </c>
      <c r="AI773" t="s">
        <v>73</v>
      </c>
      <c r="AK773" t="s">
        <v>2638</v>
      </c>
      <c r="AL773" t="s">
        <v>68</v>
      </c>
      <c r="AM773" t="s">
        <v>74</v>
      </c>
      <c r="AN773" t="s">
        <v>75</v>
      </c>
      <c r="AO773" t="str">
        <f>_xll.BDP($B773,"ISSUER")</f>
        <v>Alphabet Inc</v>
      </c>
      <c r="AP773" t="str">
        <f>_xll.BDP($B773,"NAME")</f>
        <v>ALPHABET INC-CL A</v>
      </c>
      <c r="AQ773" s="1" t="s">
        <v>2641</v>
      </c>
      <c r="AR773" t="str">
        <f>_xll.BDP($B773,"ID_ISIN")</f>
        <v>US02079K3059</v>
      </c>
      <c r="AS773" t="str">
        <f>_xll.BDP($B773,"TICKER")</f>
        <v>GOOGL</v>
      </c>
    </row>
    <row r="774" spans="1:48" x14ac:dyDescent="0.25">
      <c r="A774" t="s">
        <v>2633</v>
      </c>
      <c r="B774" t="s">
        <v>2642</v>
      </c>
      <c r="C774" s="1" t="s">
        <v>2643</v>
      </c>
      <c r="D774" t="s">
        <v>56</v>
      </c>
      <c r="E774" s="1" t="s">
        <v>56</v>
      </c>
      <c r="F774" t="s">
        <v>2644</v>
      </c>
      <c r="G774" t="str">
        <f>custodian!D774</f>
        <v>023135106-TRS-05/31/27-L-CANT</v>
      </c>
      <c r="H774" s="1"/>
      <c r="I774" s="1" t="s">
        <v>2643</v>
      </c>
      <c r="J774" t="s">
        <v>58</v>
      </c>
      <c r="K774" t="s">
        <v>59</v>
      </c>
      <c r="L774" t="s">
        <v>60</v>
      </c>
      <c r="M774" t="s">
        <v>61</v>
      </c>
      <c r="N774" t="s">
        <v>62</v>
      </c>
      <c r="O774" s="1" t="s">
        <v>63</v>
      </c>
      <c r="V774" t="s">
        <v>64</v>
      </c>
      <c r="Y774" t="s">
        <v>65</v>
      </c>
      <c r="Z774" t="s">
        <v>2637</v>
      </c>
      <c r="AA774" t="s">
        <v>2645</v>
      </c>
      <c r="AB774" t="s">
        <v>68</v>
      </c>
      <c r="AD774" t="s">
        <v>2645</v>
      </c>
      <c r="AE774" t="s">
        <v>2646</v>
      </c>
      <c r="AF774" t="s">
        <v>70</v>
      </c>
      <c r="AG774" t="s">
        <v>2647</v>
      </c>
      <c r="AH774" t="s">
        <v>72</v>
      </c>
      <c r="AI774" t="s">
        <v>73</v>
      </c>
      <c r="AK774" t="s">
        <v>2645</v>
      </c>
      <c r="AL774" t="s">
        <v>68</v>
      </c>
      <c r="AM774" t="s">
        <v>74</v>
      </c>
      <c r="AN774" t="s">
        <v>75</v>
      </c>
      <c r="AO774" t="str">
        <f>_xll.BDP($B774,"ISSUER")</f>
        <v>Amazon.com Inc</v>
      </c>
      <c r="AP774" t="str">
        <f>_xll.BDP($B774,"NAME")</f>
        <v>AMAZON.COM INC</v>
      </c>
      <c r="AQ774" s="1" t="s">
        <v>2648</v>
      </c>
      <c r="AR774" t="str">
        <f>_xll.BDP($B774,"ID_ISIN")</f>
        <v>US0231351067</v>
      </c>
      <c r="AS774" t="str">
        <f>_xll.BDP($B774,"TICKER")</f>
        <v>AMZN</v>
      </c>
    </row>
    <row r="775" spans="1:48" x14ac:dyDescent="0.25">
      <c r="A775" t="s">
        <v>2633</v>
      </c>
      <c r="B775" t="s">
        <v>2649</v>
      </c>
      <c r="C775" s="1" t="s">
        <v>2650</v>
      </c>
      <c r="D775" t="s">
        <v>56</v>
      </c>
      <c r="E775" s="1" t="s">
        <v>56</v>
      </c>
      <c r="F775" t="s">
        <v>2651</v>
      </c>
      <c r="G775" t="str">
        <f>custodian!D775</f>
        <v>037833100-TRS-05/31/27-L-CANT</v>
      </c>
      <c r="H775" s="1"/>
      <c r="I775" s="1" t="s">
        <v>2650</v>
      </c>
      <c r="J775" t="s">
        <v>58</v>
      </c>
      <c r="K775" t="s">
        <v>59</v>
      </c>
      <c r="L775" t="s">
        <v>60</v>
      </c>
      <c r="M775" t="s">
        <v>61</v>
      </c>
      <c r="N775" t="s">
        <v>62</v>
      </c>
      <c r="O775" s="1" t="s">
        <v>63</v>
      </c>
      <c r="V775" t="s">
        <v>64</v>
      </c>
      <c r="Y775" t="s">
        <v>65</v>
      </c>
      <c r="Z775" t="s">
        <v>2637</v>
      </c>
      <c r="AA775" t="s">
        <v>2652</v>
      </c>
      <c r="AB775" t="s">
        <v>68</v>
      </c>
      <c r="AD775" t="s">
        <v>2652</v>
      </c>
      <c r="AE775" t="s">
        <v>2653</v>
      </c>
      <c r="AF775" t="s">
        <v>70</v>
      </c>
      <c r="AG775" t="s">
        <v>2654</v>
      </c>
      <c r="AH775" t="s">
        <v>72</v>
      </c>
      <c r="AI775" t="s">
        <v>73</v>
      </c>
      <c r="AK775" t="s">
        <v>2652</v>
      </c>
      <c r="AL775" t="s">
        <v>68</v>
      </c>
      <c r="AM775" t="s">
        <v>74</v>
      </c>
      <c r="AN775" t="s">
        <v>75</v>
      </c>
      <c r="AO775" t="str">
        <f>_xll.BDP($B775,"ISSUER")</f>
        <v>Apple Inc</v>
      </c>
      <c r="AP775" t="str">
        <f>_xll.BDP($B775,"NAME")</f>
        <v>APPLE INC</v>
      </c>
      <c r="AQ775" s="1" t="s">
        <v>2655</v>
      </c>
      <c r="AR775" t="str">
        <f>_xll.BDP($B775,"ID_ISIN")</f>
        <v>US0378331005</v>
      </c>
      <c r="AS775" t="str">
        <f>_xll.BDP($B775,"TICKER")</f>
        <v>AAPL</v>
      </c>
    </row>
    <row r="776" spans="1:48" x14ac:dyDescent="0.25">
      <c r="A776" t="s">
        <v>2633</v>
      </c>
      <c r="B776" t="s">
        <v>2656</v>
      </c>
      <c r="C776" s="1" t="s">
        <v>2657</v>
      </c>
      <c r="D776" t="s">
        <v>56</v>
      </c>
      <c r="E776" s="1" t="s">
        <v>56</v>
      </c>
      <c r="F776" t="s">
        <v>2658</v>
      </c>
      <c r="G776" t="str">
        <f>custodian!D776</f>
        <v>30303M102-TRS-05/31/27-L-CANT</v>
      </c>
      <c r="H776" s="1"/>
      <c r="I776" s="1" t="s">
        <v>2657</v>
      </c>
      <c r="J776" t="s">
        <v>58</v>
      </c>
      <c r="K776" t="s">
        <v>59</v>
      </c>
      <c r="L776" t="s">
        <v>60</v>
      </c>
      <c r="M776" t="s">
        <v>61</v>
      </c>
      <c r="N776" t="s">
        <v>62</v>
      </c>
      <c r="O776" s="1" t="s">
        <v>63</v>
      </c>
      <c r="V776" t="s">
        <v>64</v>
      </c>
      <c r="Y776" t="s">
        <v>65</v>
      </c>
      <c r="Z776" t="s">
        <v>2637</v>
      </c>
      <c r="AA776" t="s">
        <v>2659</v>
      </c>
      <c r="AB776" t="s">
        <v>68</v>
      </c>
      <c r="AD776" t="s">
        <v>2659</v>
      </c>
      <c r="AE776" t="s">
        <v>2660</v>
      </c>
      <c r="AF776" t="s">
        <v>70</v>
      </c>
      <c r="AG776" t="s">
        <v>2661</v>
      </c>
      <c r="AH776" t="s">
        <v>72</v>
      </c>
      <c r="AI776" t="s">
        <v>73</v>
      </c>
      <c r="AK776" t="s">
        <v>2659</v>
      </c>
      <c r="AL776" t="s">
        <v>68</v>
      </c>
      <c r="AM776" t="s">
        <v>74</v>
      </c>
      <c r="AN776" t="s">
        <v>75</v>
      </c>
      <c r="AO776" t="str">
        <f>_xll.BDP($B776,"ISSUER")</f>
        <v>Meta Platforms Inc</v>
      </c>
      <c r="AP776" t="str">
        <f>_xll.BDP($B776,"NAME")</f>
        <v>META PLATFORMS INC-CLASS A</v>
      </c>
      <c r="AQ776" s="1" t="s">
        <v>2662</v>
      </c>
      <c r="AR776" t="str">
        <f>_xll.BDP($B776,"ID_ISIN")</f>
        <v>US30303M1027</v>
      </c>
      <c r="AS776" t="str">
        <f>_xll.BDP($B776,"TICKER")</f>
        <v>META</v>
      </c>
    </row>
    <row r="777" spans="1:48" x14ac:dyDescent="0.25">
      <c r="A777" t="s">
        <v>2633</v>
      </c>
      <c r="B777" t="s">
        <v>2663</v>
      </c>
      <c r="C777" s="1" t="s">
        <v>2664</v>
      </c>
      <c r="D777" t="s">
        <v>56</v>
      </c>
      <c r="E777" s="1" t="s">
        <v>56</v>
      </c>
      <c r="F777" t="s">
        <v>2665</v>
      </c>
      <c r="G777" t="str">
        <f>custodian!D777</f>
        <v>594918104-TRS-05/31/27-L-CANT</v>
      </c>
      <c r="H777" s="1"/>
      <c r="I777" s="1" t="s">
        <v>2664</v>
      </c>
      <c r="J777" t="s">
        <v>58</v>
      </c>
      <c r="K777" t="s">
        <v>59</v>
      </c>
      <c r="L777" t="s">
        <v>60</v>
      </c>
      <c r="M777" t="s">
        <v>61</v>
      </c>
      <c r="N777" t="s">
        <v>62</v>
      </c>
      <c r="O777" s="1" t="s">
        <v>63</v>
      </c>
      <c r="V777" t="s">
        <v>64</v>
      </c>
      <c r="Y777" t="s">
        <v>65</v>
      </c>
      <c r="Z777" t="s">
        <v>2637</v>
      </c>
      <c r="AA777" t="s">
        <v>2666</v>
      </c>
      <c r="AB777" t="s">
        <v>68</v>
      </c>
      <c r="AD777" t="s">
        <v>2666</v>
      </c>
      <c r="AE777" t="s">
        <v>2667</v>
      </c>
      <c r="AF777" t="s">
        <v>70</v>
      </c>
      <c r="AG777" t="s">
        <v>2668</v>
      </c>
      <c r="AH777" t="s">
        <v>72</v>
      </c>
      <c r="AI777" t="s">
        <v>73</v>
      </c>
      <c r="AK777" t="s">
        <v>2666</v>
      </c>
      <c r="AL777" t="s">
        <v>68</v>
      </c>
      <c r="AM777" t="s">
        <v>74</v>
      </c>
      <c r="AN777" t="s">
        <v>75</v>
      </c>
      <c r="AO777" t="str">
        <f>_xll.BDP($B777,"ISSUER")</f>
        <v>Microsoft Corp</v>
      </c>
      <c r="AP777" t="str">
        <f>_xll.BDP($B777,"NAME")</f>
        <v>MICROSOFT CORP</v>
      </c>
      <c r="AQ777" s="1" t="s">
        <v>2669</v>
      </c>
      <c r="AR777" t="str">
        <f>_xll.BDP($B777,"ID_ISIN")</f>
        <v>US5949181045</v>
      </c>
      <c r="AS777" t="str">
        <f>_xll.BDP($B777,"TICKER")</f>
        <v>MSFT</v>
      </c>
    </row>
    <row r="778" spans="1:48" x14ac:dyDescent="0.25">
      <c r="A778" t="s">
        <v>2633</v>
      </c>
      <c r="B778" t="s">
        <v>2670</v>
      </c>
      <c r="C778" s="1" t="s">
        <v>2671</v>
      </c>
      <c r="D778" t="s">
        <v>56</v>
      </c>
      <c r="E778" s="1" t="s">
        <v>56</v>
      </c>
      <c r="F778" t="s">
        <v>2672</v>
      </c>
      <c r="G778" t="str">
        <f>custodian!D778</f>
        <v>67066G104-TRS-05/31/27-L-CANT</v>
      </c>
      <c r="H778" s="1"/>
      <c r="I778" s="1" t="s">
        <v>2671</v>
      </c>
      <c r="J778" t="s">
        <v>58</v>
      </c>
      <c r="K778" t="s">
        <v>59</v>
      </c>
      <c r="L778" t="s">
        <v>60</v>
      </c>
      <c r="M778" t="s">
        <v>61</v>
      </c>
      <c r="N778" t="s">
        <v>62</v>
      </c>
      <c r="O778" s="1" t="s">
        <v>63</v>
      </c>
      <c r="V778" t="s">
        <v>64</v>
      </c>
      <c r="Y778" t="s">
        <v>65</v>
      </c>
      <c r="Z778" t="s">
        <v>2637</v>
      </c>
      <c r="AA778" t="s">
        <v>2673</v>
      </c>
      <c r="AB778" t="s">
        <v>68</v>
      </c>
      <c r="AD778" t="s">
        <v>2673</v>
      </c>
      <c r="AE778" t="s">
        <v>2674</v>
      </c>
      <c r="AF778" t="s">
        <v>70</v>
      </c>
      <c r="AG778" t="s">
        <v>2675</v>
      </c>
      <c r="AH778" t="s">
        <v>72</v>
      </c>
      <c r="AI778" t="s">
        <v>73</v>
      </c>
      <c r="AK778" t="s">
        <v>2673</v>
      </c>
      <c r="AL778" t="s">
        <v>68</v>
      </c>
      <c r="AM778" t="s">
        <v>74</v>
      </c>
      <c r="AN778" t="s">
        <v>75</v>
      </c>
      <c r="AO778" t="str">
        <f>_xll.BDP($B778,"ISSUER")</f>
        <v>NVIDIA Corp</v>
      </c>
      <c r="AP778" t="str">
        <f>_xll.BDP($B778,"NAME")</f>
        <v>NVIDIA CORP</v>
      </c>
      <c r="AQ778" s="1" t="s">
        <v>2676</v>
      </c>
      <c r="AR778" t="str">
        <f>_xll.BDP($B778,"ID_ISIN")</f>
        <v>US67066G1040</v>
      </c>
      <c r="AS778" t="str">
        <f>_xll.BDP($B778,"TICKER")</f>
        <v>NVDA</v>
      </c>
    </row>
    <row r="779" spans="1:48" x14ac:dyDescent="0.25">
      <c r="A779" t="s">
        <v>2633</v>
      </c>
      <c r="B779" t="s">
        <v>2677</v>
      </c>
      <c r="C779" s="1" t="s">
        <v>2678</v>
      </c>
      <c r="D779" t="s">
        <v>56</v>
      </c>
      <c r="E779" s="1" t="s">
        <v>56</v>
      </c>
      <c r="F779" t="s">
        <v>2679</v>
      </c>
      <c r="G779" t="str">
        <f>custodian!D779</f>
        <v>88160R101-TRS-05/31/27-L-CANT</v>
      </c>
      <c r="H779" s="1"/>
      <c r="I779" s="1" t="s">
        <v>2678</v>
      </c>
      <c r="J779" t="s">
        <v>58</v>
      </c>
      <c r="K779" t="s">
        <v>59</v>
      </c>
      <c r="L779" t="s">
        <v>60</v>
      </c>
      <c r="M779" t="s">
        <v>61</v>
      </c>
      <c r="N779" t="s">
        <v>62</v>
      </c>
      <c r="O779" s="1" t="s">
        <v>63</v>
      </c>
      <c r="V779" t="s">
        <v>64</v>
      </c>
      <c r="Y779" t="s">
        <v>65</v>
      </c>
      <c r="Z779" t="s">
        <v>2637</v>
      </c>
      <c r="AA779" t="s">
        <v>2680</v>
      </c>
      <c r="AB779" t="s">
        <v>68</v>
      </c>
      <c r="AD779" t="s">
        <v>2680</v>
      </c>
      <c r="AE779" t="s">
        <v>2681</v>
      </c>
      <c r="AF779" t="s">
        <v>70</v>
      </c>
      <c r="AG779" t="s">
        <v>2682</v>
      </c>
      <c r="AH779" t="s">
        <v>72</v>
      </c>
      <c r="AI779" t="s">
        <v>73</v>
      </c>
      <c r="AK779" t="s">
        <v>2680</v>
      </c>
      <c r="AL779" t="s">
        <v>68</v>
      </c>
      <c r="AM779" t="s">
        <v>74</v>
      </c>
      <c r="AN779" t="s">
        <v>75</v>
      </c>
      <c r="AO779" t="str">
        <f>_xll.BDP($B779,"ISSUER")</f>
        <v>Tesla Inc</v>
      </c>
      <c r="AP779" t="str">
        <f>_xll.BDP($B779,"NAME")</f>
        <v>TESLA INC</v>
      </c>
      <c r="AQ779" s="1" t="s">
        <v>2683</v>
      </c>
      <c r="AR779" t="str">
        <f>_xll.BDP($B779,"ID_ISIN")</f>
        <v>US88160R1014</v>
      </c>
      <c r="AS779" t="str">
        <f>_xll.BDP($B779,"TICKER")</f>
        <v>TSLA</v>
      </c>
    </row>
    <row r="780" spans="1:48" x14ac:dyDescent="0.25">
      <c r="A780" t="s">
        <v>2633</v>
      </c>
      <c r="B780" t="s">
        <v>217</v>
      </c>
      <c r="C780" s="1" t="s">
        <v>218</v>
      </c>
      <c r="D780" t="s">
        <v>219</v>
      </c>
      <c r="E780" t="str">
        <f>_xll.BDP($B780,"LEGAL_ENTITY_IDENTIFIER")</f>
        <v>HWUPKR0MPOU8FGXBT394</v>
      </c>
      <c r="F780" t="s">
        <v>219</v>
      </c>
      <c r="G780" t="str">
        <f>custodian!D780</f>
        <v>037833100</v>
      </c>
      <c r="H780" t="str">
        <f>_xll.BDP($B780,"ID_ISIN")</f>
        <v>US0378331005</v>
      </c>
      <c r="I780" s="1" t="s">
        <v>218</v>
      </c>
      <c r="J780" t="str">
        <f>_xll.BDP($B780,"CNTRY_OF_DOMICILE")</f>
        <v>US</v>
      </c>
      <c r="K780" t="s">
        <v>98</v>
      </c>
      <c r="L780" t="s">
        <v>99</v>
      </c>
      <c r="O780" s="1"/>
      <c r="AQ780" s="1"/>
      <c r="AR780" s="1"/>
      <c r="AS780" s="1"/>
    </row>
    <row r="781" spans="1:48" x14ac:dyDescent="0.25">
      <c r="A781" t="s">
        <v>2633</v>
      </c>
      <c r="B781" t="s">
        <v>706</v>
      </c>
      <c r="C781" s="1" t="s">
        <v>707</v>
      </c>
      <c r="D781" t="s">
        <v>708</v>
      </c>
      <c r="E781" t="str">
        <f>_xll.BDP($B781,"LEGAL_ENTITY_IDENTIFIER")</f>
        <v>ZXTILKJKG63JELOEG630</v>
      </c>
      <c r="F781" t="s">
        <v>708</v>
      </c>
      <c r="G781" t="str">
        <f>custodian!D781</f>
        <v>023135106</v>
      </c>
      <c r="H781" t="str">
        <f>_xll.BDP($B781,"ID_ISIN")</f>
        <v>US0231351067</v>
      </c>
      <c r="I781" s="1" t="s">
        <v>707</v>
      </c>
      <c r="J781" t="str">
        <f>_xll.BDP($B781,"CNTRY_OF_DOMICILE")</f>
        <v>US</v>
      </c>
      <c r="K781" t="s">
        <v>98</v>
      </c>
      <c r="L781" t="s">
        <v>99</v>
      </c>
      <c r="O781" s="1"/>
      <c r="AQ781" s="1"/>
      <c r="AR781" s="1"/>
      <c r="AS781" s="1"/>
    </row>
    <row r="782" spans="1:48" x14ac:dyDescent="0.25">
      <c r="A782" t="s">
        <v>2633</v>
      </c>
      <c r="B782" t="s">
        <v>77</v>
      </c>
      <c r="C782" s="1" t="s">
        <v>78</v>
      </c>
      <c r="D782" t="s">
        <v>79</v>
      </c>
      <c r="E782" t="str">
        <f>_xll.BDP($B782,"LEGAL_ENTITY_IDENTIFIER")</f>
        <v>549300R5MYM6VZF1RM44</v>
      </c>
      <c r="F782" t="s">
        <v>80</v>
      </c>
      <c r="G782" t="str">
        <f>custodian!D782</f>
        <v>31846V336</v>
      </c>
      <c r="H782" t="str">
        <f>_xll.BDP($B782,"ID_ISIN")</f>
        <v>US31846V3362</v>
      </c>
      <c r="I782" s="1" t="s">
        <v>78</v>
      </c>
      <c r="J782" t="str">
        <f>_xll.BDP($B782,"CNTRY_OF_DOMICILE")</f>
        <v>US</v>
      </c>
      <c r="K782" t="s">
        <v>81</v>
      </c>
      <c r="L782" t="s">
        <v>82</v>
      </c>
      <c r="O782" s="1"/>
      <c r="AQ782" s="1"/>
      <c r="AR782" s="1"/>
      <c r="AS782" s="1"/>
    </row>
    <row r="783" spans="1:48" x14ac:dyDescent="0.25">
      <c r="A783" t="s">
        <v>2633</v>
      </c>
      <c r="B783" t="s">
        <v>283</v>
      </c>
      <c r="C783" s="1" t="s">
        <v>284</v>
      </c>
      <c r="D783" t="s">
        <v>285</v>
      </c>
      <c r="E783" t="str">
        <f>_xll.BDP($B783,"LEGAL_ENTITY_IDENTIFIER")</f>
        <v>5493006MHB84DD0ZWV18</v>
      </c>
      <c r="F783" t="s">
        <v>285</v>
      </c>
      <c r="G783" t="str">
        <f>custodian!D783</f>
        <v>02079K305</v>
      </c>
      <c r="H783" t="str">
        <f>_xll.BDP($B783,"ID_ISIN")</f>
        <v>US02079K3059</v>
      </c>
      <c r="I783" s="1" t="s">
        <v>284</v>
      </c>
      <c r="J783" t="str">
        <f>_xll.BDP($B783,"CNTRY_OF_DOMICILE")</f>
        <v>US</v>
      </c>
      <c r="K783" t="s">
        <v>98</v>
      </c>
      <c r="L783" t="s">
        <v>99</v>
      </c>
      <c r="O783" s="1"/>
      <c r="AQ783" s="1"/>
      <c r="AR783" s="1"/>
      <c r="AS783" s="1"/>
    </row>
    <row r="784" spans="1:48" x14ac:dyDescent="0.25">
      <c r="A784" t="s">
        <v>2633</v>
      </c>
      <c r="B784" t="s">
        <v>307</v>
      </c>
      <c r="C784" s="1" t="s">
        <v>308</v>
      </c>
      <c r="D784" t="s">
        <v>309</v>
      </c>
      <c r="E784" t="str">
        <f>_xll.BDP($B784,"LEGAL_ENTITY_IDENTIFIER")</f>
        <v>BQ4BKCS1HXDV9HN80Z93</v>
      </c>
      <c r="F784" t="s">
        <v>309</v>
      </c>
      <c r="G784" t="str">
        <f>custodian!D784</f>
        <v>30303M102</v>
      </c>
      <c r="H784" t="str">
        <f>_xll.BDP($B784,"ID_ISIN")</f>
        <v>US30303M1027</v>
      </c>
      <c r="I784" s="1" t="s">
        <v>308</v>
      </c>
      <c r="J784" t="str">
        <f>_xll.BDP($B784,"CNTRY_OF_DOMICILE")</f>
        <v>US</v>
      </c>
      <c r="K784" t="s">
        <v>98</v>
      </c>
      <c r="L784" t="s">
        <v>99</v>
      </c>
      <c r="O784" s="1"/>
      <c r="AQ784" s="1"/>
      <c r="AR784" s="1"/>
      <c r="AS784" s="1"/>
    </row>
    <row r="785" spans="1:48" x14ac:dyDescent="0.25">
      <c r="A785" t="s">
        <v>2633</v>
      </c>
      <c r="B785" t="s">
        <v>2684</v>
      </c>
      <c r="C785" s="1" t="s">
        <v>2685</v>
      </c>
      <c r="D785" t="s">
        <v>2686</v>
      </c>
      <c r="E785" t="str">
        <f>_xll.BDP($B785,"LEGAL_ENTITY_IDENTIFIER")</f>
        <v>INR2EJN1ERAN0W5ZP974</v>
      </c>
      <c r="F785" t="s">
        <v>2686</v>
      </c>
      <c r="G785" t="str">
        <f>custodian!D785</f>
        <v>594918104</v>
      </c>
      <c r="H785" t="str">
        <f>_xll.BDP($B785,"ID_ISIN")</f>
        <v>US5949181045</v>
      </c>
      <c r="I785" s="1" t="s">
        <v>2685</v>
      </c>
      <c r="J785" t="str">
        <f>_xll.BDP($B785,"CNTRY_OF_DOMICILE")</f>
        <v>US</v>
      </c>
      <c r="K785" t="s">
        <v>98</v>
      </c>
      <c r="L785" t="s">
        <v>99</v>
      </c>
      <c r="O785" s="1"/>
      <c r="AQ785" s="1"/>
      <c r="AR785" s="1"/>
      <c r="AS785" s="1"/>
    </row>
    <row r="786" spans="1:48" x14ac:dyDescent="0.25">
      <c r="A786" t="s">
        <v>2633</v>
      </c>
      <c r="B786" t="s">
        <v>322</v>
      </c>
      <c r="C786" s="1" t="s">
        <v>323</v>
      </c>
      <c r="D786" t="s">
        <v>324</v>
      </c>
      <c r="E786" t="str">
        <f>_xll.BDP($B786,"LEGAL_ENTITY_IDENTIFIER")</f>
        <v>549300S4KLFTLO7GSQ80</v>
      </c>
      <c r="F786" t="s">
        <v>324</v>
      </c>
      <c r="G786" t="str">
        <f>custodian!D786</f>
        <v>67066G104</v>
      </c>
      <c r="H786" t="str">
        <f>_xll.BDP($B786,"ID_ISIN")</f>
        <v>US67066G1040</v>
      </c>
      <c r="I786" s="1" t="s">
        <v>323</v>
      </c>
      <c r="J786" t="str">
        <f>_xll.BDP($B786,"CNTRY_OF_DOMICILE")</f>
        <v>US</v>
      </c>
      <c r="K786" t="s">
        <v>98</v>
      </c>
      <c r="L786" t="s">
        <v>99</v>
      </c>
      <c r="O786" s="1"/>
      <c r="AQ786" s="1"/>
      <c r="AR786" s="1"/>
      <c r="AS786" s="1"/>
    </row>
    <row r="787" spans="1:48" x14ac:dyDescent="0.25">
      <c r="A787" t="s">
        <v>2633</v>
      </c>
      <c r="B787" t="s">
        <v>753</v>
      </c>
      <c r="C787" s="1" t="s">
        <v>754</v>
      </c>
      <c r="D787" t="s">
        <v>755</v>
      </c>
      <c r="E787" t="str">
        <f>_xll.BDP($B787,"LEGAL_ENTITY_IDENTIFIER")</f>
        <v>54930043XZGB27CTOV49</v>
      </c>
      <c r="F787" t="s">
        <v>755</v>
      </c>
      <c r="G787" t="str">
        <f>custodian!D787</f>
        <v>88160R101</v>
      </c>
      <c r="H787" t="str">
        <f>_xll.BDP($B787,"ID_ISIN")</f>
        <v>US88160R1014</v>
      </c>
      <c r="I787" s="1" t="s">
        <v>754</v>
      </c>
      <c r="J787" t="str">
        <f>_xll.BDP($B787,"CNTRY_OF_DOMICILE")</f>
        <v>US</v>
      </c>
      <c r="K787" t="s">
        <v>98</v>
      </c>
      <c r="L787" t="s">
        <v>99</v>
      </c>
      <c r="O787" s="1"/>
      <c r="AQ787" s="1"/>
      <c r="AR787" s="1"/>
      <c r="AS787" s="1"/>
    </row>
    <row r="788" spans="1:48" x14ac:dyDescent="0.25">
      <c r="A788" t="s">
        <v>2633</v>
      </c>
      <c r="C788" s="1" t="s">
        <v>52</v>
      </c>
      <c r="E788" s="1"/>
      <c r="G788" t="str">
        <f>custodian!D788</f>
        <v>Cash&amp;Other</v>
      </c>
      <c r="H788" s="1"/>
      <c r="I788" s="1"/>
      <c r="O788" s="1"/>
      <c r="AQ788" s="1"/>
      <c r="AR788" s="1"/>
      <c r="AS788" s="1"/>
    </row>
    <row r="789" spans="1:48" x14ac:dyDescent="0.25">
      <c r="A789" t="s">
        <v>2687</v>
      </c>
      <c r="C789" s="1" t="s">
        <v>2688</v>
      </c>
      <c r="D789" t="s">
        <v>2689</v>
      </c>
      <c r="E789" s="1" t="s">
        <v>56</v>
      </c>
      <c r="F789" t="s">
        <v>2689</v>
      </c>
      <c r="G789" t="str">
        <f>custodian!D789</f>
        <v>2SPY  270430C00143730</v>
      </c>
      <c r="H789" s="1"/>
      <c r="I789" s="1" t="s">
        <v>2690</v>
      </c>
      <c r="J789" t="s">
        <v>58</v>
      </c>
      <c r="K789" t="s">
        <v>59</v>
      </c>
      <c r="L789" t="s">
        <v>99</v>
      </c>
      <c r="M789" t="s">
        <v>2598</v>
      </c>
      <c r="N789" t="s">
        <v>2599</v>
      </c>
      <c r="O789" s="1" t="s">
        <v>2600</v>
      </c>
      <c r="P789" t="s">
        <v>2601</v>
      </c>
      <c r="Q789" t="s">
        <v>2602</v>
      </c>
      <c r="R789" t="s">
        <v>2691</v>
      </c>
      <c r="S789" t="s">
        <v>68</v>
      </c>
      <c r="T789" t="s">
        <v>2692</v>
      </c>
      <c r="U789" t="s">
        <v>56</v>
      </c>
      <c r="V789" t="s">
        <v>2605</v>
      </c>
      <c r="W789" t="s">
        <v>2606</v>
      </c>
      <c r="X789" t="s">
        <v>2607</v>
      </c>
      <c r="AD789" t="s">
        <v>2693</v>
      </c>
      <c r="AE789" t="s">
        <v>2694</v>
      </c>
      <c r="AQ789" s="1"/>
      <c r="AR789" s="1"/>
      <c r="AS789" s="1"/>
    </row>
    <row r="790" spans="1:48" x14ac:dyDescent="0.25">
      <c r="A790" t="s">
        <v>2687</v>
      </c>
      <c r="C790" s="1" t="s">
        <v>2695</v>
      </c>
      <c r="D790" t="s">
        <v>2696</v>
      </c>
      <c r="E790" s="1" t="s">
        <v>56</v>
      </c>
      <c r="F790" t="s">
        <v>2696</v>
      </c>
      <c r="G790" t="str">
        <f>custodian!D790</f>
        <v>2SPY  270430C00797710</v>
      </c>
      <c r="H790" s="1"/>
      <c r="I790" s="1" t="s">
        <v>2697</v>
      </c>
      <c r="J790" t="s">
        <v>58</v>
      </c>
      <c r="K790" t="s">
        <v>59</v>
      </c>
      <c r="L790" t="s">
        <v>99</v>
      </c>
      <c r="M790" t="s">
        <v>2598</v>
      </c>
      <c r="N790" t="s">
        <v>2599</v>
      </c>
      <c r="O790" s="1" t="s">
        <v>2600</v>
      </c>
      <c r="P790" t="s">
        <v>2601</v>
      </c>
      <c r="Q790" t="s">
        <v>2613</v>
      </c>
      <c r="R790" t="s">
        <v>2698</v>
      </c>
      <c r="S790" t="s">
        <v>68</v>
      </c>
      <c r="T790" t="s">
        <v>2692</v>
      </c>
      <c r="U790" t="s">
        <v>56</v>
      </c>
      <c r="V790" t="s">
        <v>2605</v>
      </c>
      <c r="W790" t="s">
        <v>2606</v>
      </c>
      <c r="X790" t="s">
        <v>2607</v>
      </c>
      <c r="AD790" t="s">
        <v>2699</v>
      </c>
      <c r="AE790" t="s">
        <v>2700</v>
      </c>
      <c r="AQ790" s="1"/>
      <c r="AR790" s="1"/>
      <c r="AS790" s="1"/>
    </row>
    <row r="791" spans="1:48" x14ac:dyDescent="0.25">
      <c r="A791" t="s">
        <v>2687</v>
      </c>
      <c r="C791" s="1" t="s">
        <v>2701</v>
      </c>
      <c r="D791" t="s">
        <v>2702</v>
      </c>
      <c r="E791" s="1" t="s">
        <v>56</v>
      </c>
      <c r="F791" t="s">
        <v>2702</v>
      </c>
      <c r="G791" t="str">
        <f>custodian!D791</f>
        <v>2SPY  270430P00610860</v>
      </c>
      <c r="H791" s="1"/>
      <c r="I791" s="1" t="s">
        <v>2703</v>
      </c>
      <c r="J791" t="s">
        <v>58</v>
      </c>
      <c r="K791" t="s">
        <v>59</v>
      </c>
      <c r="L791" t="s">
        <v>99</v>
      </c>
      <c r="M791" t="s">
        <v>2598</v>
      </c>
      <c r="N791" t="s">
        <v>2599</v>
      </c>
      <c r="O791" s="1" t="s">
        <v>2600</v>
      </c>
      <c r="P791" t="s">
        <v>2620</v>
      </c>
      <c r="Q791" t="s">
        <v>2613</v>
      </c>
      <c r="R791" t="s">
        <v>2704</v>
      </c>
      <c r="S791" t="s">
        <v>68</v>
      </c>
      <c r="T791" t="s">
        <v>2692</v>
      </c>
      <c r="U791" t="s">
        <v>56</v>
      </c>
      <c r="V791" t="s">
        <v>2605</v>
      </c>
      <c r="W791" t="s">
        <v>2606</v>
      </c>
      <c r="X791" t="s">
        <v>2607</v>
      </c>
      <c r="AD791" t="s">
        <v>2705</v>
      </c>
      <c r="AE791" t="s">
        <v>2706</v>
      </c>
      <c r="AQ791" s="1"/>
      <c r="AR791" s="1"/>
      <c r="AS791" s="1"/>
    </row>
    <row r="792" spans="1:48" x14ac:dyDescent="0.25">
      <c r="A792" t="s">
        <v>2687</v>
      </c>
      <c r="C792" s="1" t="s">
        <v>2707</v>
      </c>
      <c r="D792" t="s">
        <v>2708</v>
      </c>
      <c r="E792" s="1" t="s">
        <v>56</v>
      </c>
      <c r="F792" t="s">
        <v>2708</v>
      </c>
      <c r="G792" t="str">
        <f>custodian!D792</f>
        <v>2SPY  270430P00718660</v>
      </c>
      <c r="H792" s="1"/>
      <c r="I792" s="1" t="s">
        <v>2709</v>
      </c>
      <c r="J792" t="s">
        <v>58</v>
      </c>
      <c r="K792" t="s">
        <v>59</v>
      </c>
      <c r="L792" t="s">
        <v>99</v>
      </c>
      <c r="M792" t="s">
        <v>2598</v>
      </c>
      <c r="N792" t="s">
        <v>2599</v>
      </c>
      <c r="O792" s="1" t="s">
        <v>2600</v>
      </c>
      <c r="P792" t="s">
        <v>2620</v>
      </c>
      <c r="Q792" t="s">
        <v>2602</v>
      </c>
      <c r="R792" t="s">
        <v>2710</v>
      </c>
      <c r="S792" t="s">
        <v>68</v>
      </c>
      <c r="T792" t="s">
        <v>2692</v>
      </c>
      <c r="U792" t="s">
        <v>56</v>
      </c>
      <c r="V792" t="s">
        <v>2605</v>
      </c>
      <c r="W792" t="s">
        <v>2606</v>
      </c>
      <c r="X792" t="s">
        <v>2607</v>
      </c>
      <c r="AD792" t="s">
        <v>2711</v>
      </c>
      <c r="AE792" t="s">
        <v>2712</v>
      </c>
      <c r="AQ792" s="1"/>
      <c r="AR792" s="1"/>
      <c r="AS792" s="1"/>
    </row>
    <row r="793" spans="1:48" x14ac:dyDescent="0.25">
      <c r="A793" t="s">
        <v>2687</v>
      </c>
      <c r="B793" t="s">
        <v>2713</v>
      </c>
      <c r="C793" s="1" t="s">
        <v>2714</v>
      </c>
      <c r="D793" t="s">
        <v>1574</v>
      </c>
      <c r="E793" t="str">
        <f>_xll.BDP($B793,"LEGAL_ENTITY_IDENTIFIER")</f>
        <v>254900HROIFWPRGM1V77</v>
      </c>
      <c r="F793" t="s">
        <v>2715</v>
      </c>
      <c r="G793" t="str">
        <f>custodian!D793</f>
        <v>912828ZN3</v>
      </c>
      <c r="H793" t="str">
        <f>_xll.BDP($B793,"ID_ISIN")</f>
        <v>US912828ZN34</v>
      </c>
      <c r="I793" s="1"/>
      <c r="J793" t="str">
        <f>_xll.BDP($B793,"CNTRY_OF_DOMICILE")</f>
        <v>US</v>
      </c>
      <c r="K793" t="s">
        <v>626</v>
      </c>
      <c r="L793" t="s">
        <v>627</v>
      </c>
      <c r="O793" s="1"/>
      <c r="AQ793" s="1"/>
      <c r="AR793" s="1"/>
      <c r="AS793" s="1"/>
      <c r="AT793" t="str">
        <f>TEXT(_xll.BDP($B793,"MATURITY"),"yyyy-mm-dd")</f>
        <v>2027-04-30</v>
      </c>
      <c r="AU793" t="str">
        <f>_xll.BDP($B793,"CPN_TYP")</f>
        <v>FIXED</v>
      </c>
      <c r="AV793">
        <f>_xll.BDP($B793,"CPN")</f>
        <v>0.5</v>
      </c>
    </row>
    <row r="794" spans="1:48" x14ac:dyDescent="0.25">
      <c r="A794" t="s">
        <v>2687</v>
      </c>
      <c r="B794" t="s">
        <v>77</v>
      </c>
      <c r="C794" s="1" t="s">
        <v>78</v>
      </c>
      <c r="D794" t="s">
        <v>79</v>
      </c>
      <c r="E794" t="str">
        <f>_xll.BDP($B794,"LEGAL_ENTITY_IDENTIFIER")</f>
        <v>549300R5MYM6VZF1RM44</v>
      </c>
      <c r="F794" t="s">
        <v>80</v>
      </c>
      <c r="G794" t="str">
        <f>custodian!D794</f>
        <v>31846V336</v>
      </c>
      <c r="H794" t="str">
        <f>_xll.BDP($B794,"ID_ISIN")</f>
        <v>US31846V3362</v>
      </c>
      <c r="I794" s="1" t="s">
        <v>78</v>
      </c>
      <c r="J794" t="str">
        <f>_xll.BDP($B794,"CNTRY_OF_DOMICILE")</f>
        <v>US</v>
      </c>
      <c r="K794" t="s">
        <v>81</v>
      </c>
      <c r="L794" t="s">
        <v>82</v>
      </c>
      <c r="O794" s="1"/>
      <c r="AQ794" s="1"/>
      <c r="AR794" s="1"/>
      <c r="AS794" s="1"/>
    </row>
    <row r="795" spans="1:48" x14ac:dyDescent="0.25">
      <c r="A795" t="s">
        <v>2687</v>
      </c>
      <c r="C795" s="1" t="s">
        <v>52</v>
      </c>
      <c r="E795" s="1"/>
      <c r="G795" t="str">
        <f>custodian!D795</f>
        <v>Cash&amp;Other</v>
      </c>
      <c r="H795" s="1"/>
      <c r="I795" s="1"/>
      <c r="O795" s="1"/>
      <c r="AQ795" s="1"/>
      <c r="AR795" s="1"/>
      <c r="AS795" s="1"/>
    </row>
    <row r="796" spans="1:48" x14ac:dyDescent="0.25">
      <c r="A796" t="s">
        <v>2716</v>
      </c>
      <c r="B796" t="s">
        <v>2717</v>
      </c>
      <c r="C796" s="1" t="s">
        <v>2718</v>
      </c>
      <c r="D796" t="s">
        <v>2719</v>
      </c>
      <c r="E796" t="str">
        <f>_xll.BDP($B796,"LEGAL_ENTITY_IDENTIFIER")</f>
        <v>254900G93Z1SN49J9J68</v>
      </c>
      <c r="F796" t="s">
        <v>2719</v>
      </c>
      <c r="G796" t="str">
        <f>custodian!D796</f>
        <v>G0567U127</v>
      </c>
      <c r="H796" t="str">
        <f>_xll.BDP($B796,"ID_ISIN")</f>
        <v>KYG0567U1278</v>
      </c>
      <c r="I796" s="1" t="s">
        <v>2718</v>
      </c>
      <c r="J796" t="str">
        <f>_xll.BDP($B796,"CNTRY_OF_DOMICILE")</f>
        <v>GB</v>
      </c>
      <c r="K796" t="s">
        <v>98</v>
      </c>
      <c r="L796" t="s">
        <v>99</v>
      </c>
      <c r="O796" s="1"/>
      <c r="AQ796" s="1"/>
      <c r="AR796" s="1"/>
      <c r="AS796" s="1"/>
    </row>
    <row r="797" spans="1:48" x14ac:dyDescent="0.25">
      <c r="A797" t="s">
        <v>2716</v>
      </c>
      <c r="B797" t="s">
        <v>2720</v>
      </c>
      <c r="C797" s="1" t="s">
        <v>2721</v>
      </c>
      <c r="D797" t="s">
        <v>2722</v>
      </c>
      <c r="E797" t="str">
        <f>_xll.BDP($B797,"LEGAL_ENTITY_IDENTIFIER")</f>
        <v>9845009I0C867C156D63</v>
      </c>
      <c r="F797" t="s">
        <v>2722</v>
      </c>
      <c r="G797" t="str">
        <f>custodian!D797</f>
        <v>055869101</v>
      </c>
      <c r="H797" t="str">
        <f>_xll.BDP($B797,"ID_ISIN")</f>
        <v>CA0558691014</v>
      </c>
      <c r="I797" s="1" t="s">
        <v>2721</v>
      </c>
      <c r="J797" t="str">
        <f>_xll.BDP($B797,"CNTRY_OF_DOMICILE")</f>
        <v>CA</v>
      </c>
      <c r="K797" t="s">
        <v>98</v>
      </c>
      <c r="L797" t="s">
        <v>99</v>
      </c>
      <c r="O797" s="1"/>
      <c r="AQ797" s="1"/>
      <c r="AR797" s="1"/>
      <c r="AS797" s="1"/>
    </row>
    <row r="798" spans="1:48" x14ac:dyDescent="0.25">
      <c r="A798" t="s">
        <v>2716</v>
      </c>
      <c r="B798" t="s">
        <v>77</v>
      </c>
      <c r="C798" s="1" t="s">
        <v>78</v>
      </c>
      <c r="D798" t="s">
        <v>79</v>
      </c>
      <c r="E798" t="str">
        <f>_xll.BDP($B798,"LEGAL_ENTITY_IDENTIFIER")</f>
        <v>549300R5MYM6VZF1RM44</v>
      </c>
      <c r="F798" t="s">
        <v>80</v>
      </c>
      <c r="G798" t="str">
        <f>custodian!D798</f>
        <v>31846V336</v>
      </c>
      <c r="H798" t="str">
        <f>_xll.BDP($B798,"ID_ISIN")</f>
        <v>US31846V3362</v>
      </c>
      <c r="I798" s="1" t="s">
        <v>78</v>
      </c>
      <c r="J798" t="str">
        <f>_xll.BDP($B798,"CNTRY_OF_DOMICILE")</f>
        <v>US</v>
      </c>
      <c r="K798" t="s">
        <v>81</v>
      </c>
      <c r="L798" t="s">
        <v>82</v>
      </c>
      <c r="O798" s="1"/>
      <c r="AQ798" s="1"/>
      <c r="AR798" s="1"/>
      <c r="AS798" s="1"/>
    </row>
    <row r="799" spans="1:48" x14ac:dyDescent="0.25">
      <c r="A799" t="s">
        <v>2716</v>
      </c>
      <c r="B799" t="s">
        <v>2723</v>
      </c>
      <c r="C799" s="1" t="s">
        <v>2724</v>
      </c>
      <c r="D799" t="s">
        <v>2725</v>
      </c>
      <c r="E799" t="str">
        <f>_xll.BDP($B799,"LEGAL_ENTITY_IDENTIFIER")</f>
        <v>549300YCEEO6SZD1ZR61</v>
      </c>
      <c r="F799" t="s">
        <v>2725</v>
      </c>
      <c r="G799" t="str">
        <f>custodian!D799</f>
        <v>346375108</v>
      </c>
      <c r="H799" t="str">
        <f>_xll.BDP($B799,"ID_ISIN")</f>
        <v>US3463751087</v>
      </c>
      <c r="I799" s="1" t="s">
        <v>2724</v>
      </c>
      <c r="J799" t="str">
        <f>_xll.BDP($B799,"CNTRY_OF_DOMICILE")</f>
        <v>US</v>
      </c>
      <c r="K799" t="s">
        <v>98</v>
      </c>
      <c r="L799" t="s">
        <v>99</v>
      </c>
      <c r="O799" s="1"/>
      <c r="AQ799" s="1"/>
      <c r="AR799" s="1"/>
      <c r="AS799" s="1"/>
    </row>
    <row r="800" spans="1:48" x14ac:dyDescent="0.25">
      <c r="A800" t="s">
        <v>2716</v>
      </c>
      <c r="B800" t="s">
        <v>283</v>
      </c>
      <c r="C800" s="1" t="s">
        <v>284</v>
      </c>
      <c r="D800" t="s">
        <v>285</v>
      </c>
      <c r="E800" t="str">
        <f>_xll.BDP($B800,"LEGAL_ENTITY_IDENTIFIER")</f>
        <v>5493006MHB84DD0ZWV18</v>
      </c>
      <c r="F800" t="s">
        <v>285</v>
      </c>
      <c r="G800" t="str">
        <f>custodian!D800</f>
        <v>02079K305</v>
      </c>
      <c r="H800" t="str">
        <f>_xll.BDP($B800,"ID_ISIN")</f>
        <v>US02079K3059</v>
      </c>
      <c r="I800" s="1" t="s">
        <v>284</v>
      </c>
      <c r="J800" t="str">
        <f>_xll.BDP($B800,"CNTRY_OF_DOMICILE")</f>
        <v>US</v>
      </c>
      <c r="K800" t="s">
        <v>98</v>
      </c>
      <c r="L800" t="s">
        <v>99</v>
      </c>
      <c r="O800" s="1"/>
      <c r="AQ800" s="1"/>
      <c r="AR800" s="1"/>
      <c r="AS800" s="1"/>
    </row>
    <row r="801" spans="1:45" x14ac:dyDescent="0.25">
      <c r="A801" t="s">
        <v>2716</v>
      </c>
      <c r="B801" t="s">
        <v>2726</v>
      </c>
      <c r="C801" s="1" t="s">
        <v>2727</v>
      </c>
      <c r="D801" t="s">
        <v>2728</v>
      </c>
      <c r="E801" t="str">
        <f>_xll.BDP($B801,"LEGAL_ENTITY_IDENTIFIER")</f>
        <v>ISRPG12PN4EIEOEMW547</v>
      </c>
      <c r="F801" t="s">
        <v>2728</v>
      </c>
      <c r="G801" t="str">
        <f>custodian!D801</f>
        <v>438516106</v>
      </c>
      <c r="H801" t="str">
        <f>_xll.BDP($B801,"ID_ISIN")</f>
        <v>US4385162056</v>
      </c>
      <c r="I801" s="1" t="s">
        <v>2727</v>
      </c>
      <c r="J801" t="str">
        <f>_xll.BDP($B801,"CNTRY_OF_DOMICILE")</f>
        <v>US</v>
      </c>
      <c r="K801" t="s">
        <v>98</v>
      </c>
      <c r="L801" t="s">
        <v>99</v>
      </c>
      <c r="O801" s="1"/>
      <c r="AQ801" s="1"/>
      <c r="AR801" s="1"/>
      <c r="AS801" s="1"/>
    </row>
    <row r="802" spans="1:45" x14ac:dyDescent="0.25">
      <c r="A802" t="s">
        <v>2716</v>
      </c>
      <c r="B802" t="s">
        <v>2729</v>
      </c>
      <c r="C802" s="1" t="s">
        <v>2730</v>
      </c>
      <c r="D802" t="s">
        <v>2731</v>
      </c>
      <c r="E802" t="str">
        <f>_xll.BDP($B802,"LEGAL_ENTITY_IDENTIFIER")</f>
        <v>#N/A N/A</v>
      </c>
      <c r="F802" t="s">
        <v>2731</v>
      </c>
      <c r="G802" t="str">
        <f>custodian!D802</f>
        <v>Y4000A102</v>
      </c>
      <c r="H802" t="str">
        <f>_xll.BDP($B802,"ID_ISIN")</f>
        <v>SGXZ31642911</v>
      </c>
      <c r="I802" s="1" t="s">
        <v>2730</v>
      </c>
      <c r="J802" t="str">
        <f>_xll.BDP($B802,"CNTRY_OF_DOMICILE")</f>
        <v>SG</v>
      </c>
      <c r="K802" t="s">
        <v>98</v>
      </c>
      <c r="L802" t="s">
        <v>99</v>
      </c>
      <c r="O802" s="1"/>
      <c r="AQ802" s="1"/>
      <c r="AR802" s="1"/>
      <c r="AS802" s="1"/>
    </row>
    <row r="803" spans="1:45" x14ac:dyDescent="0.25">
      <c r="A803" t="s">
        <v>2716</v>
      </c>
      <c r="B803" t="s">
        <v>2732</v>
      </c>
      <c r="C803" s="1" t="s">
        <v>2733</v>
      </c>
      <c r="D803" t="s">
        <v>2243</v>
      </c>
      <c r="E803" t="str">
        <f>_xll.BDP($B803,"LEGAL_ENTITY_IDENTIFIER")</f>
        <v>VGRQXHF3J8VDLUA7XE92</v>
      </c>
      <c r="F803" t="s">
        <v>2734</v>
      </c>
      <c r="G803" t="str">
        <f>custodian!D803</f>
        <v>459200101</v>
      </c>
      <c r="H803" t="str">
        <f>_xll.BDP($B803,"ID_ISIN")</f>
        <v>US4592001014</v>
      </c>
      <c r="I803" s="1" t="s">
        <v>2733</v>
      </c>
      <c r="J803" t="str">
        <f>_xll.BDP($B803,"CNTRY_OF_DOMICILE")</f>
        <v>US</v>
      </c>
      <c r="K803" t="s">
        <v>98</v>
      </c>
      <c r="L803" t="s">
        <v>99</v>
      </c>
      <c r="O803" s="1"/>
      <c r="AQ803" s="1"/>
      <c r="AR803" s="1"/>
      <c r="AS803" s="1"/>
    </row>
    <row r="804" spans="1:45" x14ac:dyDescent="0.25">
      <c r="A804" t="s">
        <v>2716</v>
      </c>
      <c r="B804" t="s">
        <v>2735</v>
      </c>
      <c r="C804" s="1" t="s">
        <v>2736</v>
      </c>
      <c r="D804" t="s">
        <v>2737</v>
      </c>
      <c r="E804" t="str">
        <f>_xll.BDP($B804,"LEGAL_ENTITY_IDENTIFIER")</f>
        <v>#N/A N/A</v>
      </c>
      <c r="F804" t="s">
        <v>2737</v>
      </c>
      <c r="G804" t="str">
        <f>custodian!D804</f>
        <v>45676K103</v>
      </c>
      <c r="H804" t="str">
        <f>_xll.BDP($B804,"ID_ISIN")</f>
        <v>US45676K1034</v>
      </c>
      <c r="I804" s="1" t="s">
        <v>2736</v>
      </c>
      <c r="J804" t="str">
        <f>_xll.BDP($B804,"CNTRY_OF_DOMICILE")</f>
        <v>US</v>
      </c>
      <c r="K804" t="s">
        <v>98</v>
      </c>
      <c r="L804" t="s">
        <v>99</v>
      </c>
      <c r="O804" s="1"/>
      <c r="AQ804" s="1"/>
      <c r="AR804" s="1"/>
      <c r="AS804" s="1"/>
    </row>
    <row r="805" spans="1:45" x14ac:dyDescent="0.25">
      <c r="A805" t="s">
        <v>2716</v>
      </c>
      <c r="B805" t="s">
        <v>2738</v>
      </c>
      <c r="C805" s="1" t="s">
        <v>2739</v>
      </c>
      <c r="D805" t="s">
        <v>2740</v>
      </c>
      <c r="E805" t="str">
        <f>_xll.BDP($B805,"LEGAL_ENTITY_IDENTIFIER")</f>
        <v>529900RB2VEFGLQS7G28</v>
      </c>
      <c r="F805" t="s">
        <v>2740</v>
      </c>
      <c r="G805" t="str">
        <f>custodian!D805</f>
        <v>46222L108</v>
      </c>
      <c r="H805" t="str">
        <f>_xll.BDP($B805,"ID_ISIN")</f>
        <v>US46222L1089</v>
      </c>
      <c r="I805" s="1" t="s">
        <v>2739</v>
      </c>
      <c r="J805" t="str">
        <f>_xll.BDP($B805,"CNTRY_OF_DOMICILE")</f>
        <v>US</v>
      </c>
      <c r="K805" t="s">
        <v>98</v>
      </c>
      <c r="L805" t="s">
        <v>99</v>
      </c>
      <c r="O805" s="1"/>
      <c r="AQ805" s="1"/>
      <c r="AR805" s="1"/>
      <c r="AS805" s="1"/>
    </row>
    <row r="806" spans="1:45" x14ac:dyDescent="0.25">
      <c r="A806" t="s">
        <v>2716</v>
      </c>
      <c r="B806" t="s">
        <v>2741</v>
      </c>
      <c r="C806" s="1" t="s">
        <v>2742</v>
      </c>
      <c r="D806" t="s">
        <v>2743</v>
      </c>
      <c r="E806" t="str">
        <f>_xll.BDP($B806,"LEGAL_ENTITY_IDENTIFIER")</f>
        <v>894500UBT7U7WMV2PG59</v>
      </c>
      <c r="F806" t="s">
        <v>2743</v>
      </c>
      <c r="G806" t="str">
        <f>custodian!D806</f>
        <v>G79483106</v>
      </c>
      <c r="H806" t="str">
        <f>_xll.BDP($B806,"ID_ISIN")</f>
        <v>VGG794831062</v>
      </c>
      <c r="I806" s="1" t="s">
        <v>2742</v>
      </c>
      <c r="J806" t="str">
        <f>_xll.BDP($B806,"CNTRY_OF_DOMICILE")</f>
        <v>CH</v>
      </c>
      <c r="K806" t="s">
        <v>98</v>
      </c>
      <c r="L806" t="s">
        <v>99</v>
      </c>
      <c r="O806" s="1"/>
      <c r="AQ806" s="1"/>
      <c r="AR806" s="1"/>
      <c r="AS806" s="1"/>
    </row>
    <row r="807" spans="1:45" x14ac:dyDescent="0.25">
      <c r="A807" t="s">
        <v>2716</v>
      </c>
      <c r="B807" t="s">
        <v>2744</v>
      </c>
      <c r="C807" s="1" t="s">
        <v>2745</v>
      </c>
      <c r="D807" t="s">
        <v>2746</v>
      </c>
      <c r="E807" t="str">
        <f>_xll.BDP($B807,"LEGAL_ENTITY_IDENTIFIER")</f>
        <v>5493001U37G4PRD4GW95</v>
      </c>
      <c r="F807" t="s">
        <v>2746</v>
      </c>
      <c r="G807" t="str">
        <f>custodian!D807</f>
        <v>26740W109</v>
      </c>
      <c r="H807" t="str">
        <f>_xll.BDP($B807,"ID_ISIN")</f>
        <v>US26740W1099</v>
      </c>
      <c r="I807" s="1" t="s">
        <v>2745</v>
      </c>
      <c r="J807" t="str">
        <f>_xll.BDP($B807,"CNTRY_OF_DOMICILE")</f>
        <v>US</v>
      </c>
      <c r="K807" t="s">
        <v>98</v>
      </c>
      <c r="L807" t="s">
        <v>99</v>
      </c>
      <c r="O807" s="1"/>
      <c r="AQ807" s="1"/>
      <c r="AR807" s="1"/>
      <c r="AS807" s="1"/>
    </row>
    <row r="808" spans="1:45" x14ac:dyDescent="0.25">
      <c r="A808" t="s">
        <v>2716</v>
      </c>
      <c r="B808" t="s">
        <v>2747</v>
      </c>
      <c r="C808" s="1" t="s">
        <v>2748</v>
      </c>
      <c r="D808" t="s">
        <v>2749</v>
      </c>
      <c r="E808" t="str">
        <f>_xll.BDP($B808,"LEGAL_ENTITY_IDENTIFIER")</f>
        <v>984500T1YCBEAFFA0495</v>
      </c>
      <c r="F808" t="s">
        <v>2749</v>
      </c>
      <c r="G808" t="str">
        <f>custodian!D808</f>
        <v>74767K103</v>
      </c>
      <c r="H808" t="str">
        <f>_xll.BDP($B808,"ID_ISIN")</f>
        <v>CA74767K1030</v>
      </c>
      <c r="I808" s="1" t="s">
        <v>2748</v>
      </c>
      <c r="J808" t="str">
        <f>_xll.BDP($B808,"CNTRY_OF_DOMICILE")</f>
        <v>CA</v>
      </c>
      <c r="K808" t="s">
        <v>98</v>
      </c>
      <c r="L808" t="s">
        <v>99</v>
      </c>
      <c r="O808" s="1"/>
      <c r="AQ808" s="1"/>
      <c r="AR808" s="1"/>
      <c r="AS808" s="1"/>
    </row>
    <row r="809" spans="1:45" x14ac:dyDescent="0.25">
      <c r="A809" t="s">
        <v>2716</v>
      </c>
      <c r="B809" t="s">
        <v>2750</v>
      </c>
      <c r="C809" s="1" t="s">
        <v>2751</v>
      </c>
      <c r="D809" t="s">
        <v>2752</v>
      </c>
      <c r="E809" t="str">
        <f>_xll.BDP($B809,"LEGAL_ENTITY_IDENTIFIER")</f>
        <v>529900XVZ9SO3PH40230</v>
      </c>
      <c r="F809" t="s">
        <v>2752</v>
      </c>
      <c r="G809" t="str">
        <f>custodian!D809</f>
        <v>74768A104</v>
      </c>
      <c r="H809" t="str">
        <f>_xll.BDP($B809,"ID_ISIN")</f>
        <v>US74768A1043</v>
      </c>
      <c r="I809" s="1" t="s">
        <v>2751</v>
      </c>
      <c r="J809" t="str">
        <f>_xll.BDP($B809,"CNTRY_OF_DOMICILE")</f>
        <v>US</v>
      </c>
      <c r="K809" t="s">
        <v>98</v>
      </c>
      <c r="L809" t="s">
        <v>99</v>
      </c>
      <c r="O809" s="1"/>
      <c r="AQ809" s="1"/>
      <c r="AR809" s="1"/>
      <c r="AS809" s="1"/>
    </row>
    <row r="810" spans="1:45" x14ac:dyDescent="0.25">
      <c r="A810" t="s">
        <v>2716</v>
      </c>
      <c r="B810" t="s">
        <v>2753</v>
      </c>
      <c r="C810" s="1" t="s">
        <v>2754</v>
      </c>
      <c r="D810" t="s">
        <v>2755</v>
      </c>
      <c r="E810" t="str">
        <f>_xll.BDP($B810,"LEGAL_ENTITY_IDENTIFIER")</f>
        <v>#N/A N/A</v>
      </c>
      <c r="F810" t="s">
        <v>2755</v>
      </c>
      <c r="G810" t="str">
        <f>custodian!D810</f>
        <v>74766W108</v>
      </c>
      <c r="H810" t="str">
        <f>_xll.BDP($B810,"ID_ISIN")</f>
        <v>US74766W1080</v>
      </c>
      <c r="I810" s="1" t="s">
        <v>2754</v>
      </c>
      <c r="J810" t="str">
        <f>_xll.BDP($B810,"CNTRY_OF_DOMICILE")</f>
        <v>US</v>
      </c>
      <c r="K810" t="s">
        <v>98</v>
      </c>
      <c r="L810" t="s">
        <v>99</v>
      </c>
      <c r="O810" s="1"/>
      <c r="AQ810" s="1"/>
      <c r="AR810" s="1"/>
      <c r="AS810" s="1"/>
    </row>
    <row r="811" spans="1:45" x14ac:dyDescent="0.25">
      <c r="A811" t="s">
        <v>2716</v>
      </c>
      <c r="B811" t="s">
        <v>2756</v>
      </c>
      <c r="C811" s="1" t="s">
        <v>2757</v>
      </c>
      <c r="D811" t="s">
        <v>2758</v>
      </c>
      <c r="E811" t="str">
        <f>_xll.BDP($B811,"LEGAL_ENTITY_IDENTIFIER")</f>
        <v>52990024JHY459DH8W71</v>
      </c>
      <c r="F811" t="s">
        <v>2758</v>
      </c>
      <c r="G811" t="str">
        <f>custodian!D811</f>
        <v>76655K103</v>
      </c>
      <c r="H811" t="str">
        <f>_xll.BDP($B811,"ID_ISIN")</f>
        <v>US76655K1034</v>
      </c>
      <c r="I811" s="1" t="s">
        <v>2757</v>
      </c>
      <c r="J811" t="str">
        <f>_xll.BDP($B811,"CNTRY_OF_DOMICILE")</f>
        <v>US</v>
      </c>
      <c r="K811" t="s">
        <v>98</v>
      </c>
      <c r="L811" t="s">
        <v>99</v>
      </c>
      <c r="O811" s="1"/>
      <c r="AQ811" s="1"/>
      <c r="AR811" s="1"/>
      <c r="AS811" s="1"/>
    </row>
    <row r="812" spans="1:45" x14ac:dyDescent="0.25">
      <c r="A812" t="s">
        <v>2716</v>
      </c>
      <c r="B812" t="s">
        <v>2759</v>
      </c>
      <c r="C812" s="1" t="s">
        <v>2760</v>
      </c>
      <c r="D812" t="s">
        <v>2761</v>
      </c>
      <c r="E812" t="str">
        <f>_xll.BDP($B812,"LEGAL_ENTITY_IDENTIFIER")</f>
        <v>#N/A N/A</v>
      </c>
      <c r="F812" t="s">
        <v>2761</v>
      </c>
      <c r="G812" t="str">
        <f>custodian!D812</f>
        <v>83089J108</v>
      </c>
      <c r="H812" t="str">
        <f>_xll.BDP($B812,"ID_ISIN")</f>
        <v>US83089J1088</v>
      </c>
      <c r="I812" s="1" t="s">
        <v>2760</v>
      </c>
      <c r="J812" t="str">
        <f>_xll.BDP($B812,"CNTRY_OF_DOMICILE")</f>
        <v>US</v>
      </c>
      <c r="K812" t="s">
        <v>98</v>
      </c>
      <c r="L812" t="s">
        <v>99</v>
      </c>
      <c r="O812" s="1"/>
      <c r="AQ812" s="1"/>
      <c r="AR812" s="1"/>
      <c r="AS812" s="1"/>
    </row>
    <row r="813" spans="1:45" x14ac:dyDescent="0.25">
      <c r="A813" t="s">
        <v>2716</v>
      </c>
      <c r="B813" t="s">
        <v>2762</v>
      </c>
      <c r="C813" s="1" t="s">
        <v>2763</v>
      </c>
      <c r="D813" t="s">
        <v>2764</v>
      </c>
      <c r="E813" t="str">
        <f>_xll.BDP($B813,"LEGAL_ENTITY_IDENTIFIER")</f>
        <v>254900ERDXSXKJDE3515</v>
      </c>
      <c r="F813" t="s">
        <v>2765</v>
      </c>
      <c r="G813" t="str">
        <f>custodian!D813</f>
        <v>98390R102</v>
      </c>
      <c r="H813" t="str">
        <f>_xll.BDP($B813,"ID_ISIN")</f>
        <v>CA98390R1029</v>
      </c>
      <c r="I813" s="1" t="s">
        <v>2763</v>
      </c>
      <c r="J813" t="str">
        <f>_xll.BDP($B813,"CNTRY_OF_DOMICILE")</f>
        <v>CA</v>
      </c>
      <c r="K813" t="s">
        <v>98</v>
      </c>
      <c r="L813" t="s">
        <v>99</v>
      </c>
      <c r="O813" s="1"/>
      <c r="AQ813" s="1"/>
      <c r="AR813" s="1"/>
      <c r="AS813" s="1"/>
    </row>
    <row r="814" spans="1:45" x14ac:dyDescent="0.25">
      <c r="A814" t="s">
        <v>2716</v>
      </c>
      <c r="C814" s="1" t="s">
        <v>52</v>
      </c>
      <c r="E814" s="1"/>
      <c r="G814" t="str">
        <f>custodian!D814</f>
        <v>Cash&amp;Other</v>
      </c>
      <c r="H814" s="1"/>
      <c r="I814" s="1"/>
      <c r="O814" s="1"/>
      <c r="AQ814" s="1"/>
      <c r="AR814" s="1"/>
      <c r="AS814" s="1"/>
    </row>
    <row r="815" spans="1:45" x14ac:dyDescent="0.25">
      <c r="A815" t="s">
        <v>2766</v>
      </c>
      <c r="B815" t="s">
        <v>2767</v>
      </c>
      <c r="C815" s="1" t="s">
        <v>2768</v>
      </c>
      <c r="D815" t="s">
        <v>56</v>
      </c>
      <c r="E815" s="1" t="s">
        <v>56</v>
      </c>
      <c r="F815" t="s">
        <v>2769</v>
      </c>
      <c r="G815" t="str">
        <f>custodian!D815</f>
        <v>172755100-TRS-12/01/27-L-CANT</v>
      </c>
      <c r="H815" s="1"/>
      <c r="I815" s="1" t="s">
        <v>2768</v>
      </c>
      <c r="J815" t="s">
        <v>58</v>
      </c>
      <c r="K815" t="s">
        <v>59</v>
      </c>
      <c r="L815" t="s">
        <v>60</v>
      </c>
      <c r="M815" t="s">
        <v>61</v>
      </c>
      <c r="N815" t="s">
        <v>62</v>
      </c>
      <c r="O815" s="1" t="s">
        <v>63</v>
      </c>
      <c r="V815" t="s">
        <v>64</v>
      </c>
      <c r="Y815" t="s">
        <v>65</v>
      </c>
      <c r="Z815" t="s">
        <v>66</v>
      </c>
      <c r="AA815" t="s">
        <v>2770</v>
      </c>
      <c r="AB815" t="s">
        <v>68</v>
      </c>
      <c r="AD815" t="s">
        <v>2770</v>
      </c>
      <c r="AE815" t="s">
        <v>2771</v>
      </c>
      <c r="AF815" t="s">
        <v>70</v>
      </c>
      <c r="AG815" t="s">
        <v>2772</v>
      </c>
      <c r="AH815" t="s">
        <v>72</v>
      </c>
      <c r="AI815" t="s">
        <v>73</v>
      </c>
      <c r="AK815" t="s">
        <v>2770</v>
      </c>
      <c r="AL815" t="s">
        <v>68</v>
      </c>
      <c r="AM815" t="s">
        <v>74</v>
      </c>
      <c r="AN815" t="s">
        <v>75</v>
      </c>
      <c r="AO815" t="str">
        <f>_xll.BDP($B815,"ISSUER")</f>
        <v>Cirrus Logic Inc</v>
      </c>
      <c r="AP815" t="str">
        <f>_xll.BDP($B815,"NAME")</f>
        <v>CIRRUS LOGIC INC</v>
      </c>
      <c r="AQ815" s="1" t="s">
        <v>2773</v>
      </c>
      <c r="AR815" t="str">
        <f>_xll.BDP($B815,"ID_ISIN")</f>
        <v>US1727551004</v>
      </c>
      <c r="AS815" t="str">
        <f>_xll.BDP($B815,"TICKER")</f>
        <v>CRUS</v>
      </c>
    </row>
    <row r="816" spans="1:45" x14ac:dyDescent="0.25">
      <c r="A816" t="s">
        <v>2766</v>
      </c>
      <c r="B816" t="s">
        <v>77</v>
      </c>
      <c r="C816" s="1" t="s">
        <v>78</v>
      </c>
      <c r="D816" t="s">
        <v>79</v>
      </c>
      <c r="E816" t="str">
        <f>_xll.BDP($B816,"LEGAL_ENTITY_IDENTIFIER")</f>
        <v>549300R5MYM6VZF1RM44</v>
      </c>
      <c r="F816" t="s">
        <v>80</v>
      </c>
      <c r="G816" t="str">
        <f>custodian!D816</f>
        <v>31846V336</v>
      </c>
      <c r="H816" t="str">
        <f>_xll.BDP($B816,"ID_ISIN")</f>
        <v>US31846V3362</v>
      </c>
      <c r="I816" s="1" t="s">
        <v>78</v>
      </c>
      <c r="J816" t="str">
        <f>_xll.BDP($B816,"CNTRY_OF_DOMICILE")</f>
        <v>US</v>
      </c>
      <c r="K816" t="s">
        <v>81</v>
      </c>
      <c r="L816" t="s">
        <v>82</v>
      </c>
      <c r="O816" s="1"/>
      <c r="AQ816" s="1"/>
      <c r="AR816" s="1"/>
      <c r="AS816" s="1"/>
    </row>
    <row r="817" spans="1:48" x14ac:dyDescent="0.25">
      <c r="A817" t="s">
        <v>2766</v>
      </c>
      <c r="C817" s="1" t="s">
        <v>52</v>
      </c>
      <c r="E817" s="1"/>
      <c r="G817" t="str">
        <f>custodian!D817</f>
        <v>Cash&amp;Other</v>
      </c>
      <c r="H817" s="1"/>
      <c r="I817" s="1"/>
      <c r="O817" s="1"/>
      <c r="AQ817" s="1"/>
      <c r="AR817" s="1"/>
      <c r="AS817" s="1"/>
    </row>
    <row r="818" spans="1:48" x14ac:dyDescent="0.25">
      <c r="A818" t="s">
        <v>2774</v>
      </c>
      <c r="C818" s="1" t="s">
        <v>2595</v>
      </c>
      <c r="D818" t="s">
        <v>2596</v>
      </c>
      <c r="E818" s="1" t="s">
        <v>56</v>
      </c>
      <c r="F818" t="s">
        <v>2596</v>
      </c>
      <c r="G818" t="str">
        <f>custodian!D818</f>
        <v>2SPY  270528C00151710</v>
      </c>
      <c r="H818" s="1"/>
      <c r="I818" s="1" t="s">
        <v>2597</v>
      </c>
      <c r="J818" t="s">
        <v>58</v>
      </c>
      <c r="K818" t="s">
        <v>59</v>
      </c>
      <c r="L818" t="s">
        <v>99</v>
      </c>
      <c r="M818" t="s">
        <v>2598</v>
      </c>
      <c r="N818" t="s">
        <v>2599</v>
      </c>
      <c r="O818" s="1" t="s">
        <v>2600</v>
      </c>
      <c r="P818" t="s">
        <v>2601</v>
      </c>
      <c r="Q818" t="s">
        <v>2602</v>
      </c>
      <c r="R818" t="s">
        <v>2603</v>
      </c>
      <c r="S818" t="s">
        <v>68</v>
      </c>
      <c r="T818" t="s">
        <v>2604</v>
      </c>
      <c r="U818" t="s">
        <v>56</v>
      </c>
      <c r="V818" t="s">
        <v>2605</v>
      </c>
      <c r="W818" t="s">
        <v>2606</v>
      </c>
      <c r="X818" t="s">
        <v>2607</v>
      </c>
      <c r="AD818" t="s">
        <v>2775</v>
      </c>
      <c r="AE818" t="s">
        <v>2776</v>
      </c>
      <c r="AQ818" s="1"/>
      <c r="AR818" s="1"/>
      <c r="AS818" s="1"/>
    </row>
    <row r="819" spans="1:48" x14ac:dyDescent="0.25">
      <c r="A819" t="s">
        <v>2774</v>
      </c>
      <c r="C819" s="1" t="s">
        <v>2777</v>
      </c>
      <c r="D819" t="s">
        <v>2778</v>
      </c>
      <c r="E819" s="1" t="s">
        <v>56</v>
      </c>
      <c r="F819" t="s">
        <v>2778</v>
      </c>
      <c r="G819" t="str">
        <f>custodian!D819</f>
        <v>2SPY  270528C00865650</v>
      </c>
      <c r="H819" s="1"/>
      <c r="I819" s="1" t="s">
        <v>2779</v>
      </c>
      <c r="J819" t="s">
        <v>58</v>
      </c>
      <c r="K819" t="s">
        <v>59</v>
      </c>
      <c r="L819" t="s">
        <v>99</v>
      </c>
      <c r="M819" t="s">
        <v>2598</v>
      </c>
      <c r="N819" t="s">
        <v>2599</v>
      </c>
      <c r="O819" s="1" t="s">
        <v>2600</v>
      </c>
      <c r="P819" t="s">
        <v>2601</v>
      </c>
      <c r="Q819" t="s">
        <v>2613</v>
      </c>
      <c r="R819" t="s">
        <v>2780</v>
      </c>
      <c r="S819" t="s">
        <v>68</v>
      </c>
      <c r="T819" t="s">
        <v>2604</v>
      </c>
      <c r="U819" t="s">
        <v>56</v>
      </c>
      <c r="V819" t="s">
        <v>2605</v>
      </c>
      <c r="W819" t="s">
        <v>2606</v>
      </c>
      <c r="X819" t="s">
        <v>2607</v>
      </c>
      <c r="AD819" t="s">
        <v>2781</v>
      </c>
      <c r="AE819" t="s">
        <v>2782</v>
      </c>
      <c r="AQ819" s="1"/>
      <c r="AR819" s="1"/>
      <c r="AS819" s="1"/>
    </row>
    <row r="820" spans="1:48" x14ac:dyDescent="0.25">
      <c r="A820" t="s">
        <v>2774</v>
      </c>
      <c r="C820" s="1" t="s">
        <v>2783</v>
      </c>
      <c r="D820" t="s">
        <v>2784</v>
      </c>
      <c r="E820" s="1" t="s">
        <v>56</v>
      </c>
      <c r="F820" t="s">
        <v>2784</v>
      </c>
      <c r="G820" t="str">
        <f>custodian!D820</f>
        <v>2SPY  270528P00493050</v>
      </c>
      <c r="H820" s="1"/>
      <c r="I820" s="1" t="s">
        <v>2785</v>
      </c>
      <c r="J820" t="s">
        <v>58</v>
      </c>
      <c r="K820" t="s">
        <v>59</v>
      </c>
      <c r="L820" t="s">
        <v>99</v>
      </c>
      <c r="M820" t="s">
        <v>2598</v>
      </c>
      <c r="N820" t="s">
        <v>2599</v>
      </c>
      <c r="O820" s="1" t="s">
        <v>2600</v>
      </c>
      <c r="P820" t="s">
        <v>2620</v>
      </c>
      <c r="Q820" t="s">
        <v>2613</v>
      </c>
      <c r="R820" t="s">
        <v>2786</v>
      </c>
      <c r="S820" t="s">
        <v>68</v>
      </c>
      <c r="T820" t="s">
        <v>2604</v>
      </c>
      <c r="U820" t="s">
        <v>56</v>
      </c>
      <c r="V820" t="s">
        <v>2605</v>
      </c>
      <c r="W820" t="s">
        <v>2606</v>
      </c>
      <c r="X820" t="s">
        <v>2607</v>
      </c>
      <c r="AD820" t="s">
        <v>2787</v>
      </c>
      <c r="AE820" t="s">
        <v>2788</v>
      </c>
      <c r="AQ820" s="1"/>
      <c r="AR820" s="1"/>
      <c r="AS820" s="1"/>
    </row>
    <row r="821" spans="1:48" x14ac:dyDescent="0.25">
      <c r="A821" t="s">
        <v>2774</v>
      </c>
      <c r="C821" s="1" t="s">
        <v>2789</v>
      </c>
      <c r="D821" t="s">
        <v>2790</v>
      </c>
      <c r="E821" s="1" t="s">
        <v>56</v>
      </c>
      <c r="F821" t="s">
        <v>2790</v>
      </c>
      <c r="G821" t="str">
        <f>custodian!D821</f>
        <v>2SPY  270528P00720610</v>
      </c>
      <c r="H821" s="1"/>
      <c r="I821" s="1" t="s">
        <v>2791</v>
      </c>
      <c r="J821" t="s">
        <v>58</v>
      </c>
      <c r="K821" t="s">
        <v>59</v>
      </c>
      <c r="L821" t="s">
        <v>99</v>
      </c>
      <c r="M821" t="s">
        <v>2598</v>
      </c>
      <c r="N821" t="s">
        <v>2599</v>
      </c>
      <c r="O821" s="1" t="s">
        <v>2600</v>
      </c>
      <c r="P821" t="s">
        <v>2620</v>
      </c>
      <c r="Q821" t="s">
        <v>2602</v>
      </c>
      <c r="R821" t="s">
        <v>2792</v>
      </c>
      <c r="S821" t="s">
        <v>68</v>
      </c>
      <c r="T821" t="s">
        <v>2604</v>
      </c>
      <c r="U821" t="s">
        <v>56</v>
      </c>
      <c r="V821" t="s">
        <v>2605</v>
      </c>
      <c r="W821" t="s">
        <v>2606</v>
      </c>
      <c r="X821" t="s">
        <v>2607</v>
      </c>
      <c r="AD821" t="s">
        <v>2793</v>
      </c>
      <c r="AE821" t="s">
        <v>2794</v>
      </c>
      <c r="AQ821" s="1"/>
      <c r="AR821" s="1"/>
      <c r="AS821" s="1"/>
    </row>
    <row r="822" spans="1:48" x14ac:dyDescent="0.25">
      <c r="A822" t="s">
        <v>2774</v>
      </c>
      <c r="B822" t="s">
        <v>2630</v>
      </c>
      <c r="C822" s="1" t="s">
        <v>2631</v>
      </c>
      <c r="D822" t="s">
        <v>1574</v>
      </c>
      <c r="E822" t="str">
        <f>_xll.BDP($B822,"LEGAL_ENTITY_IDENTIFIER")</f>
        <v>254900HROIFWPRGM1V77</v>
      </c>
      <c r="F822" t="s">
        <v>2632</v>
      </c>
      <c r="G822" t="str">
        <f>custodian!D822</f>
        <v>912828ZS2</v>
      </c>
      <c r="H822" t="str">
        <f>_xll.BDP($B822,"ID_ISIN")</f>
        <v>US912828ZS21</v>
      </c>
      <c r="I822" s="1"/>
      <c r="J822" t="str">
        <f>_xll.BDP($B822,"CNTRY_OF_DOMICILE")</f>
        <v>US</v>
      </c>
      <c r="K822" t="s">
        <v>626</v>
      </c>
      <c r="L822" t="s">
        <v>627</v>
      </c>
      <c r="O822" s="1"/>
      <c r="AQ822" s="1"/>
      <c r="AR822" s="1"/>
      <c r="AS822" s="1"/>
      <c r="AT822" t="str">
        <f>TEXT(_xll.BDP($B822,"MATURITY"),"yyyy-mm-dd")</f>
        <v>2027-05-31</v>
      </c>
      <c r="AU822" t="str">
        <f>_xll.BDP($B822,"CPN_TYP")</f>
        <v>FIXED</v>
      </c>
      <c r="AV822">
        <f>_xll.BDP($B822,"CPN")</f>
        <v>0.5</v>
      </c>
    </row>
    <row r="823" spans="1:48" x14ac:dyDescent="0.25">
      <c r="A823" t="s">
        <v>2774</v>
      </c>
      <c r="B823" t="s">
        <v>77</v>
      </c>
      <c r="C823" s="1" t="s">
        <v>78</v>
      </c>
      <c r="D823" t="s">
        <v>79</v>
      </c>
      <c r="E823" t="str">
        <f>_xll.BDP($B823,"LEGAL_ENTITY_IDENTIFIER")</f>
        <v>549300R5MYM6VZF1RM44</v>
      </c>
      <c r="F823" t="s">
        <v>80</v>
      </c>
      <c r="G823" t="str">
        <f>custodian!D823</f>
        <v>31846V336</v>
      </c>
      <c r="H823" t="str">
        <f>_xll.BDP($B823,"ID_ISIN")</f>
        <v>US31846V3362</v>
      </c>
      <c r="I823" s="1" t="s">
        <v>78</v>
      </c>
      <c r="J823" t="str">
        <f>_xll.BDP($B823,"CNTRY_OF_DOMICILE")</f>
        <v>US</v>
      </c>
      <c r="K823" t="s">
        <v>81</v>
      </c>
      <c r="L823" t="s">
        <v>82</v>
      </c>
      <c r="O823" s="1"/>
      <c r="AQ823" s="1"/>
      <c r="AR823" s="1"/>
      <c r="AS823" s="1"/>
    </row>
    <row r="824" spans="1:48" x14ac:dyDescent="0.25">
      <c r="A824" t="s">
        <v>2774</v>
      </c>
      <c r="C824" s="1" t="s">
        <v>52</v>
      </c>
      <c r="E824" s="1"/>
      <c r="G824" t="str">
        <f>custodian!D824</f>
        <v>Cash&amp;Other</v>
      </c>
      <c r="H824" s="1"/>
      <c r="I824" s="1"/>
      <c r="O824" s="1"/>
      <c r="AQ824" s="1"/>
      <c r="AR824" s="1"/>
      <c r="AS824" s="1"/>
    </row>
    <row r="825" spans="1:48" x14ac:dyDescent="0.25">
      <c r="A825" t="s">
        <v>2795</v>
      </c>
      <c r="C825" s="1" t="s">
        <v>2796</v>
      </c>
      <c r="D825" t="s">
        <v>2797</v>
      </c>
      <c r="E825" s="1" t="s">
        <v>56</v>
      </c>
      <c r="F825" t="s">
        <v>2797</v>
      </c>
      <c r="G825" t="str">
        <f>custodian!D825</f>
        <v>2SPY  270430C00144740</v>
      </c>
      <c r="H825" s="1"/>
      <c r="I825" s="1" t="s">
        <v>2798</v>
      </c>
      <c r="J825" t="s">
        <v>58</v>
      </c>
      <c r="K825" t="s">
        <v>59</v>
      </c>
      <c r="L825" t="s">
        <v>99</v>
      </c>
      <c r="M825" t="s">
        <v>2598</v>
      </c>
      <c r="N825" t="s">
        <v>2599</v>
      </c>
      <c r="O825" s="1" t="s">
        <v>2600</v>
      </c>
      <c r="P825" t="s">
        <v>2601</v>
      </c>
      <c r="Q825" t="s">
        <v>2602</v>
      </c>
      <c r="R825" t="s">
        <v>2799</v>
      </c>
      <c r="S825" t="s">
        <v>68</v>
      </c>
      <c r="T825" t="s">
        <v>2692</v>
      </c>
      <c r="U825" t="s">
        <v>56</v>
      </c>
      <c r="V825" t="s">
        <v>2605</v>
      </c>
      <c r="W825" t="s">
        <v>2606</v>
      </c>
      <c r="X825" t="s">
        <v>2607</v>
      </c>
      <c r="AD825" t="s">
        <v>2800</v>
      </c>
      <c r="AE825" t="s">
        <v>2801</v>
      </c>
      <c r="AQ825" s="1"/>
      <c r="AR825" s="1"/>
      <c r="AS825" s="1"/>
    </row>
    <row r="826" spans="1:48" x14ac:dyDescent="0.25">
      <c r="A826" t="s">
        <v>2795</v>
      </c>
      <c r="C826" s="1" t="s">
        <v>2802</v>
      </c>
      <c r="D826" t="s">
        <v>2803</v>
      </c>
      <c r="E826" s="1" t="s">
        <v>56</v>
      </c>
      <c r="F826" t="s">
        <v>2803</v>
      </c>
      <c r="G826" t="str">
        <f>custodian!D826</f>
        <v>2SPY  270430C00806940</v>
      </c>
      <c r="H826" s="1"/>
      <c r="I826" s="1" t="s">
        <v>2804</v>
      </c>
      <c r="J826" t="s">
        <v>58</v>
      </c>
      <c r="K826" t="s">
        <v>59</v>
      </c>
      <c r="L826" t="s">
        <v>99</v>
      </c>
      <c r="M826" t="s">
        <v>2598</v>
      </c>
      <c r="N826" t="s">
        <v>2599</v>
      </c>
      <c r="O826" s="1" t="s">
        <v>2600</v>
      </c>
      <c r="P826" t="s">
        <v>2601</v>
      </c>
      <c r="Q826" t="s">
        <v>2613</v>
      </c>
      <c r="R826" t="s">
        <v>2805</v>
      </c>
      <c r="S826" t="s">
        <v>68</v>
      </c>
      <c r="T826" t="s">
        <v>2692</v>
      </c>
      <c r="U826" t="s">
        <v>56</v>
      </c>
      <c r="V826" t="s">
        <v>2605</v>
      </c>
      <c r="W826" t="s">
        <v>2606</v>
      </c>
      <c r="X826" t="s">
        <v>2607</v>
      </c>
      <c r="AD826" t="s">
        <v>2806</v>
      </c>
      <c r="AE826" t="s">
        <v>2807</v>
      </c>
      <c r="AQ826" s="1"/>
      <c r="AR826" s="1"/>
      <c r="AS826" s="1"/>
    </row>
    <row r="827" spans="1:48" x14ac:dyDescent="0.25">
      <c r="A827" t="s">
        <v>2795</v>
      </c>
      <c r="C827" s="1" t="s">
        <v>2808</v>
      </c>
      <c r="D827" t="s">
        <v>2809</v>
      </c>
      <c r="E827" s="1" t="s">
        <v>56</v>
      </c>
      <c r="F827" t="s">
        <v>2809</v>
      </c>
      <c r="G827" t="str">
        <f>custodian!D827</f>
        <v>2SPY  270430P00470410</v>
      </c>
      <c r="H827" s="1"/>
      <c r="I827" s="1" t="s">
        <v>2810</v>
      </c>
      <c r="J827" t="s">
        <v>58</v>
      </c>
      <c r="K827" t="s">
        <v>59</v>
      </c>
      <c r="L827" t="s">
        <v>99</v>
      </c>
      <c r="M827" t="s">
        <v>2598</v>
      </c>
      <c r="N827" t="s">
        <v>2599</v>
      </c>
      <c r="O827" s="1" t="s">
        <v>2600</v>
      </c>
      <c r="P827" t="s">
        <v>2620</v>
      </c>
      <c r="Q827" t="s">
        <v>2613</v>
      </c>
      <c r="R827" t="s">
        <v>2811</v>
      </c>
      <c r="S827" t="s">
        <v>68</v>
      </c>
      <c r="T827" t="s">
        <v>2692</v>
      </c>
      <c r="U827" t="s">
        <v>56</v>
      </c>
      <c r="V827" t="s">
        <v>2605</v>
      </c>
      <c r="W827" t="s">
        <v>2606</v>
      </c>
      <c r="X827" t="s">
        <v>2607</v>
      </c>
      <c r="AD827" t="s">
        <v>2812</v>
      </c>
      <c r="AE827" t="s">
        <v>2813</v>
      </c>
      <c r="AQ827" s="1"/>
      <c r="AR827" s="1"/>
      <c r="AS827" s="1"/>
    </row>
    <row r="828" spans="1:48" x14ac:dyDescent="0.25">
      <c r="A828" t="s">
        <v>2795</v>
      </c>
      <c r="C828" s="1" t="s">
        <v>2814</v>
      </c>
      <c r="D828" t="s">
        <v>2815</v>
      </c>
      <c r="E828" s="1" t="s">
        <v>56</v>
      </c>
      <c r="F828" t="s">
        <v>2815</v>
      </c>
      <c r="G828" t="str">
        <f>custodian!D828</f>
        <v>2SPY  270430P00687520</v>
      </c>
      <c r="H828" s="1"/>
      <c r="I828" s="1" t="s">
        <v>2816</v>
      </c>
      <c r="J828" t="s">
        <v>58</v>
      </c>
      <c r="K828" t="s">
        <v>59</v>
      </c>
      <c r="L828" t="s">
        <v>99</v>
      </c>
      <c r="M828" t="s">
        <v>2598</v>
      </c>
      <c r="N828" t="s">
        <v>2599</v>
      </c>
      <c r="O828" s="1" t="s">
        <v>2600</v>
      </c>
      <c r="P828" t="s">
        <v>2620</v>
      </c>
      <c r="Q828" t="s">
        <v>2602</v>
      </c>
      <c r="R828" t="s">
        <v>2817</v>
      </c>
      <c r="S828" t="s">
        <v>68</v>
      </c>
      <c r="T828" t="s">
        <v>2692</v>
      </c>
      <c r="U828" t="s">
        <v>56</v>
      </c>
      <c r="V828" t="s">
        <v>2605</v>
      </c>
      <c r="W828" t="s">
        <v>2606</v>
      </c>
      <c r="X828" t="s">
        <v>2607</v>
      </c>
      <c r="AD828" t="s">
        <v>2818</v>
      </c>
      <c r="AE828" t="s">
        <v>2819</v>
      </c>
      <c r="AQ828" s="1"/>
      <c r="AR828" s="1"/>
      <c r="AS828" s="1"/>
    </row>
    <row r="829" spans="1:48" x14ac:dyDescent="0.25">
      <c r="A829" t="s">
        <v>2795</v>
      </c>
      <c r="B829" t="s">
        <v>2820</v>
      </c>
      <c r="C829" s="1" t="s">
        <v>2821</v>
      </c>
      <c r="D829" t="s">
        <v>1574</v>
      </c>
      <c r="E829" t="str">
        <f>_xll.BDP($B829,"LEGAL_ENTITY_IDENTIFIER")</f>
        <v>254900HROIFWPRGM1V77</v>
      </c>
      <c r="F829" t="s">
        <v>2822</v>
      </c>
      <c r="G829" t="str">
        <f>custodian!D829</f>
        <v>91282CMY4</v>
      </c>
      <c r="H829" t="str">
        <f>_xll.BDP($B829,"ID_ISIN")</f>
        <v>US91282CMY48</v>
      </c>
      <c r="I829" s="1"/>
      <c r="J829" t="str">
        <f>_xll.BDP($B829,"CNTRY_OF_DOMICILE")</f>
        <v>US</v>
      </c>
      <c r="K829" t="s">
        <v>626</v>
      </c>
      <c r="L829" t="s">
        <v>627</v>
      </c>
      <c r="O829" s="1"/>
      <c r="AQ829" s="1"/>
      <c r="AR829" s="1"/>
      <c r="AS829" s="1"/>
      <c r="AT829" t="str">
        <f>TEXT(_xll.BDP($B829,"MATURITY"),"yyyy-mm-dd")</f>
        <v>2027-04-30</v>
      </c>
      <c r="AU829" t="str">
        <f>_xll.BDP($B829,"CPN_TYP")</f>
        <v>FIXED</v>
      </c>
      <c r="AV829">
        <f>_xll.BDP($B829,"CPN")</f>
        <v>3.75</v>
      </c>
    </row>
    <row r="830" spans="1:48" x14ac:dyDescent="0.25">
      <c r="A830" t="s">
        <v>2795</v>
      </c>
      <c r="B830" t="s">
        <v>77</v>
      </c>
      <c r="C830" s="1" t="s">
        <v>78</v>
      </c>
      <c r="D830" t="s">
        <v>79</v>
      </c>
      <c r="E830" t="str">
        <f>_xll.BDP($B830,"LEGAL_ENTITY_IDENTIFIER")</f>
        <v>549300R5MYM6VZF1RM44</v>
      </c>
      <c r="F830" t="s">
        <v>80</v>
      </c>
      <c r="G830" t="str">
        <f>custodian!D830</f>
        <v>31846V336</v>
      </c>
      <c r="H830" t="str">
        <f>_xll.BDP($B830,"ID_ISIN")</f>
        <v>US31846V3362</v>
      </c>
      <c r="I830" s="1" t="s">
        <v>78</v>
      </c>
      <c r="J830" t="str">
        <f>_xll.BDP($B830,"CNTRY_OF_DOMICILE")</f>
        <v>US</v>
      </c>
      <c r="K830" t="s">
        <v>81</v>
      </c>
      <c r="L830" t="s">
        <v>82</v>
      </c>
      <c r="O830" s="1"/>
      <c r="AQ830" s="1"/>
      <c r="AR830" s="1"/>
      <c r="AS830" s="1"/>
    </row>
    <row r="831" spans="1:48" x14ac:dyDescent="0.25">
      <c r="A831" t="s">
        <v>2795</v>
      </c>
      <c r="C831" s="1" t="s">
        <v>52</v>
      </c>
      <c r="E831" s="1"/>
      <c r="G831" t="str">
        <f>custodian!D831</f>
        <v>Cash&amp;Other</v>
      </c>
      <c r="H831" s="1"/>
      <c r="I831" s="1"/>
      <c r="O831" s="1"/>
      <c r="AQ831" s="1"/>
      <c r="AR831" s="1"/>
      <c r="AS831" s="1"/>
    </row>
    <row r="832" spans="1:48" x14ac:dyDescent="0.25">
      <c r="A832" t="s">
        <v>2823</v>
      </c>
      <c r="B832" t="s">
        <v>2824</v>
      </c>
      <c r="C832" s="1" t="s">
        <v>2825</v>
      </c>
      <c r="D832" t="s">
        <v>1574</v>
      </c>
      <c r="E832" t="str">
        <f>_xll.BDP($B832,"LEGAL_ENTITY_IDENTIFIER")</f>
        <v>254900HROIFWPRGM1V77</v>
      </c>
      <c r="F832" t="s">
        <v>2826</v>
      </c>
      <c r="G832" t="str">
        <f>custodian!D832</f>
        <v>912810FB9</v>
      </c>
      <c r="H832" t="str">
        <f>_xll.BDP($B832,"ID_ISIN")</f>
        <v>US912810FB99</v>
      </c>
      <c r="I832" s="1"/>
      <c r="J832" t="str">
        <f>_xll.BDP($B832,"CNTRY_OF_DOMICILE")</f>
        <v>US</v>
      </c>
      <c r="K832" t="s">
        <v>626</v>
      </c>
      <c r="L832" t="s">
        <v>627</v>
      </c>
      <c r="O832" s="1"/>
      <c r="AQ832" s="1"/>
      <c r="AR832" s="1"/>
      <c r="AS832" s="1"/>
      <c r="AT832" t="str">
        <f>TEXT(_xll.BDP($B832,"MATURITY"),"yyyy-mm-dd")</f>
        <v>2027-11-15</v>
      </c>
      <c r="AU832" t="str">
        <f>_xll.BDP($B832,"CPN_TYP")</f>
        <v>FIXED</v>
      </c>
      <c r="AV832">
        <f>_xll.BDP($B832,"CPN")</f>
        <v>6.125</v>
      </c>
    </row>
    <row r="833" spans="1:48" x14ac:dyDescent="0.25">
      <c r="A833" t="s">
        <v>2823</v>
      </c>
      <c r="B833" t="s">
        <v>2827</v>
      </c>
      <c r="C833" s="1" t="s">
        <v>2828</v>
      </c>
      <c r="D833" t="s">
        <v>1574</v>
      </c>
      <c r="E833" t="str">
        <f>_xll.BDP($B833,"LEGAL_ENTITY_IDENTIFIER")</f>
        <v>254900HROIFWPRGM1V77</v>
      </c>
      <c r="F833" t="s">
        <v>2829</v>
      </c>
      <c r="G833" t="str">
        <f>custodian!D833</f>
        <v>912810FF0</v>
      </c>
      <c r="H833" t="str">
        <f>_xll.BDP($B833,"ID_ISIN")</f>
        <v>US912810FF04</v>
      </c>
      <c r="I833" s="1"/>
      <c r="J833" t="str">
        <f>_xll.BDP($B833,"CNTRY_OF_DOMICILE")</f>
        <v>US</v>
      </c>
      <c r="K833" t="s">
        <v>626</v>
      </c>
      <c r="L833" t="s">
        <v>627</v>
      </c>
      <c r="O833" s="1"/>
      <c r="AQ833" s="1"/>
      <c r="AR833" s="1"/>
      <c r="AS833" s="1"/>
      <c r="AT833" t="str">
        <f>TEXT(_xll.BDP($B833,"MATURITY"),"yyyy-mm-dd")</f>
        <v>2028-11-15</v>
      </c>
      <c r="AU833" t="str">
        <f>_xll.BDP($B833,"CPN_TYP")</f>
        <v>FIXED</v>
      </c>
      <c r="AV833">
        <f>_xll.BDP($B833,"CPN")</f>
        <v>5.25</v>
      </c>
    </row>
    <row r="834" spans="1:48" x14ac:dyDescent="0.25">
      <c r="A834" t="s">
        <v>2823</v>
      </c>
      <c r="B834" t="s">
        <v>2830</v>
      </c>
      <c r="C834" s="1" t="s">
        <v>2831</v>
      </c>
      <c r="D834" t="s">
        <v>1574</v>
      </c>
      <c r="E834" t="str">
        <f>_xll.BDP($B834,"LEGAL_ENTITY_IDENTIFIER")</f>
        <v>254900HROIFWPRGM1V77</v>
      </c>
      <c r="F834" t="s">
        <v>2832</v>
      </c>
      <c r="G834" t="str">
        <f>custodian!D834</f>
        <v>9128282R0</v>
      </c>
      <c r="H834" t="str">
        <f>_xll.BDP($B834,"ID_ISIN")</f>
        <v>US9128282R06</v>
      </c>
      <c r="I834" s="1"/>
      <c r="J834" t="str">
        <f>_xll.BDP($B834,"CNTRY_OF_DOMICILE")</f>
        <v>US</v>
      </c>
      <c r="K834" t="s">
        <v>626</v>
      </c>
      <c r="L834" t="s">
        <v>627</v>
      </c>
      <c r="O834" s="1"/>
      <c r="AQ834" s="1"/>
      <c r="AR834" s="1"/>
      <c r="AS834" s="1"/>
      <c r="AT834" t="str">
        <f>TEXT(_xll.BDP($B834,"MATURITY"),"yyyy-mm-dd")</f>
        <v>2027-08-15</v>
      </c>
      <c r="AU834" t="str">
        <f>_xll.BDP($B834,"CPN_TYP")</f>
        <v>FIXED</v>
      </c>
      <c r="AV834">
        <f>_xll.BDP($B834,"CPN")</f>
        <v>2.25</v>
      </c>
    </row>
    <row r="835" spans="1:48" x14ac:dyDescent="0.25">
      <c r="A835" t="s">
        <v>2823</v>
      </c>
      <c r="B835" t="s">
        <v>2833</v>
      </c>
      <c r="C835" s="1" t="s">
        <v>2834</v>
      </c>
      <c r="D835" t="s">
        <v>1574</v>
      </c>
      <c r="E835" t="str">
        <f>_xll.BDP($B835,"LEGAL_ENTITY_IDENTIFIER")</f>
        <v>254900HROIFWPRGM1V77</v>
      </c>
      <c r="F835" t="s">
        <v>2835</v>
      </c>
      <c r="G835" t="str">
        <f>custodian!D835</f>
        <v>9128283F5</v>
      </c>
      <c r="H835" t="str">
        <f>_xll.BDP($B835,"ID_ISIN")</f>
        <v>US9128283F58</v>
      </c>
      <c r="I835" s="1"/>
      <c r="J835" t="str">
        <f>_xll.BDP($B835,"CNTRY_OF_DOMICILE")</f>
        <v>US</v>
      </c>
      <c r="K835" t="s">
        <v>626</v>
      </c>
      <c r="L835" t="s">
        <v>627</v>
      </c>
      <c r="O835" s="1"/>
      <c r="AQ835" s="1"/>
      <c r="AR835" s="1"/>
      <c r="AS835" s="1"/>
      <c r="AT835" t="str">
        <f>TEXT(_xll.BDP($B835,"MATURITY"),"yyyy-mm-dd")</f>
        <v>2027-11-15</v>
      </c>
      <c r="AU835" t="str">
        <f>_xll.BDP($B835,"CPN_TYP")</f>
        <v>FIXED</v>
      </c>
      <c r="AV835">
        <f>_xll.BDP($B835,"CPN")</f>
        <v>2.25</v>
      </c>
    </row>
    <row r="836" spans="1:48" x14ac:dyDescent="0.25">
      <c r="A836" t="s">
        <v>2823</v>
      </c>
      <c r="B836" t="s">
        <v>2836</v>
      </c>
      <c r="C836" s="1" t="s">
        <v>2837</v>
      </c>
      <c r="D836" t="s">
        <v>1574</v>
      </c>
      <c r="E836" t="str">
        <f>_xll.BDP($B836,"LEGAL_ENTITY_IDENTIFIER")</f>
        <v>254900HROIFWPRGM1V77</v>
      </c>
      <c r="F836" t="s">
        <v>2838</v>
      </c>
      <c r="G836" t="str">
        <f>custodian!D836</f>
        <v>9128283W8</v>
      </c>
      <c r="H836" t="str">
        <f>_xll.BDP($B836,"ID_ISIN")</f>
        <v>US9128283W81</v>
      </c>
      <c r="I836" s="1"/>
      <c r="J836" t="str">
        <f>_xll.BDP($B836,"CNTRY_OF_DOMICILE")</f>
        <v>US</v>
      </c>
      <c r="K836" t="s">
        <v>626</v>
      </c>
      <c r="L836" t="s">
        <v>627</v>
      </c>
      <c r="O836" s="1"/>
      <c r="AQ836" s="1"/>
      <c r="AR836" s="1"/>
      <c r="AS836" s="1"/>
      <c r="AT836" t="str">
        <f>TEXT(_xll.BDP($B836,"MATURITY"),"yyyy-mm-dd")</f>
        <v>2028-02-15</v>
      </c>
      <c r="AU836" t="str">
        <f>_xll.BDP($B836,"CPN_TYP")</f>
        <v>FIXED</v>
      </c>
      <c r="AV836">
        <f>_xll.BDP($B836,"CPN")</f>
        <v>2.75</v>
      </c>
    </row>
    <row r="837" spans="1:48" x14ac:dyDescent="0.25">
      <c r="A837" t="s">
        <v>2823</v>
      </c>
      <c r="B837" t="s">
        <v>2839</v>
      </c>
      <c r="C837" s="1" t="s">
        <v>2840</v>
      </c>
      <c r="D837" t="s">
        <v>1574</v>
      </c>
      <c r="E837" t="str">
        <f>_xll.BDP($B837,"LEGAL_ENTITY_IDENTIFIER")</f>
        <v>254900HROIFWPRGM1V77</v>
      </c>
      <c r="F837" t="s">
        <v>2841</v>
      </c>
      <c r="G837" t="str">
        <f>custodian!D837</f>
        <v>9128284N7</v>
      </c>
      <c r="H837" t="str">
        <f>_xll.BDP($B837,"ID_ISIN")</f>
        <v>US9128284N73</v>
      </c>
      <c r="I837" s="1"/>
      <c r="J837" t="str">
        <f>_xll.BDP($B837,"CNTRY_OF_DOMICILE")</f>
        <v>US</v>
      </c>
      <c r="K837" t="s">
        <v>626</v>
      </c>
      <c r="L837" t="s">
        <v>627</v>
      </c>
      <c r="O837" s="1"/>
      <c r="AQ837" s="1"/>
      <c r="AR837" s="1"/>
      <c r="AS837" s="1"/>
      <c r="AT837" t="str">
        <f>TEXT(_xll.BDP($B837,"MATURITY"),"yyyy-mm-dd")</f>
        <v>2028-05-15</v>
      </c>
      <c r="AU837" t="str">
        <f>_xll.BDP($B837,"CPN_TYP")</f>
        <v>FIXED</v>
      </c>
      <c r="AV837">
        <f>_xll.BDP($B837,"CPN")</f>
        <v>2.875</v>
      </c>
    </row>
    <row r="838" spans="1:48" x14ac:dyDescent="0.25">
      <c r="A838" t="s">
        <v>2823</v>
      </c>
      <c r="B838" t="s">
        <v>2842</v>
      </c>
      <c r="C838" s="1" t="s">
        <v>2843</v>
      </c>
      <c r="D838" t="s">
        <v>1574</v>
      </c>
      <c r="E838" t="str">
        <f>_xll.BDP($B838,"LEGAL_ENTITY_IDENTIFIER")</f>
        <v>254900HROIFWPRGM1V77</v>
      </c>
      <c r="F838" t="s">
        <v>2844</v>
      </c>
      <c r="G838" t="str">
        <f>custodian!D838</f>
        <v>9128284V9</v>
      </c>
      <c r="H838" t="str">
        <f>_xll.BDP($B838,"ID_ISIN")</f>
        <v>US9128284V99</v>
      </c>
      <c r="I838" s="1"/>
      <c r="J838" t="str">
        <f>_xll.BDP($B838,"CNTRY_OF_DOMICILE")</f>
        <v>US</v>
      </c>
      <c r="K838" t="s">
        <v>626</v>
      </c>
      <c r="L838" t="s">
        <v>627</v>
      </c>
      <c r="O838" s="1"/>
      <c r="AQ838" s="1"/>
      <c r="AR838" s="1"/>
      <c r="AS838" s="1"/>
      <c r="AT838" t="str">
        <f>TEXT(_xll.BDP($B838,"MATURITY"),"yyyy-mm-dd")</f>
        <v>2028-08-15</v>
      </c>
      <c r="AU838" t="str">
        <f>_xll.BDP($B838,"CPN_TYP")</f>
        <v>FIXED</v>
      </c>
      <c r="AV838">
        <f>_xll.BDP($B838,"CPN")</f>
        <v>2.875</v>
      </c>
    </row>
    <row r="839" spans="1:48" x14ac:dyDescent="0.25">
      <c r="A839" t="s">
        <v>2823</v>
      </c>
      <c r="B839" t="s">
        <v>2845</v>
      </c>
      <c r="C839" s="1" t="s">
        <v>2846</v>
      </c>
      <c r="D839" t="s">
        <v>1574</v>
      </c>
      <c r="E839" t="str">
        <f>_xll.BDP($B839,"LEGAL_ENTITY_IDENTIFIER")</f>
        <v>254900HROIFWPRGM1V77</v>
      </c>
      <c r="F839" t="s">
        <v>2847</v>
      </c>
      <c r="G839" t="str">
        <f>custodian!D839</f>
        <v>9128285M8</v>
      </c>
      <c r="H839" t="str">
        <f>_xll.BDP($B839,"ID_ISIN")</f>
        <v>US9128285M81</v>
      </c>
      <c r="I839" s="1"/>
      <c r="J839" t="str">
        <f>_xll.BDP($B839,"CNTRY_OF_DOMICILE")</f>
        <v>US</v>
      </c>
      <c r="K839" t="s">
        <v>626</v>
      </c>
      <c r="L839" t="s">
        <v>627</v>
      </c>
      <c r="O839" s="1"/>
      <c r="AQ839" s="1"/>
      <c r="AR839" s="1"/>
      <c r="AS839" s="1"/>
      <c r="AT839" t="str">
        <f>TEXT(_xll.BDP($B839,"MATURITY"),"yyyy-mm-dd")</f>
        <v>2028-11-15</v>
      </c>
      <c r="AU839" t="str">
        <f>_xll.BDP($B839,"CPN_TYP")</f>
        <v>FIXED</v>
      </c>
      <c r="AV839">
        <f>_xll.BDP($B839,"CPN")</f>
        <v>3.125</v>
      </c>
    </row>
    <row r="840" spans="1:48" x14ac:dyDescent="0.25">
      <c r="A840" t="s">
        <v>2823</v>
      </c>
      <c r="B840" t="s">
        <v>2848</v>
      </c>
      <c r="C840" s="1" t="s">
        <v>2849</v>
      </c>
      <c r="D840" t="s">
        <v>1574</v>
      </c>
      <c r="E840" t="str">
        <f>_xll.BDP($B840,"LEGAL_ENTITY_IDENTIFIER")</f>
        <v>254900HROIFWPRGM1V77</v>
      </c>
      <c r="F840" t="s">
        <v>2850</v>
      </c>
      <c r="G840" t="str">
        <f>custodian!D840</f>
        <v>9128286B1</v>
      </c>
      <c r="H840" t="str">
        <f>_xll.BDP($B840,"ID_ISIN")</f>
        <v>US9128286B18</v>
      </c>
      <c r="I840" s="1"/>
      <c r="J840" t="str">
        <f>_xll.BDP($B840,"CNTRY_OF_DOMICILE")</f>
        <v>US</v>
      </c>
      <c r="K840" t="s">
        <v>626</v>
      </c>
      <c r="L840" t="s">
        <v>627</v>
      </c>
      <c r="O840" s="1"/>
      <c r="AQ840" s="1"/>
      <c r="AR840" s="1"/>
      <c r="AS840" s="1"/>
      <c r="AT840" t="str">
        <f>TEXT(_xll.BDP($B840,"MATURITY"),"yyyy-mm-dd")</f>
        <v>2029-02-15</v>
      </c>
      <c r="AU840" t="str">
        <f>_xll.BDP($B840,"CPN_TYP")</f>
        <v>FIXED</v>
      </c>
      <c r="AV840">
        <f>_xll.BDP($B840,"CPN")</f>
        <v>2.625</v>
      </c>
    </row>
    <row r="841" spans="1:48" x14ac:dyDescent="0.25">
      <c r="A841" t="s">
        <v>2823</v>
      </c>
      <c r="B841" t="s">
        <v>2851</v>
      </c>
      <c r="C841" s="1" t="s">
        <v>2852</v>
      </c>
      <c r="D841" t="s">
        <v>1574</v>
      </c>
      <c r="E841" t="str">
        <f>_xll.BDP($B841,"LEGAL_ENTITY_IDENTIFIER")</f>
        <v>254900HROIFWPRGM1V77</v>
      </c>
      <c r="F841" t="s">
        <v>2853</v>
      </c>
      <c r="G841" t="str">
        <f>custodian!D841</f>
        <v>9128286T2</v>
      </c>
      <c r="H841" t="str">
        <f>_xll.BDP($B841,"ID_ISIN")</f>
        <v>US9128286T26</v>
      </c>
      <c r="I841" s="1"/>
      <c r="J841" t="str">
        <f>_xll.BDP($B841,"CNTRY_OF_DOMICILE")</f>
        <v>US</v>
      </c>
      <c r="K841" t="s">
        <v>626</v>
      </c>
      <c r="L841" t="s">
        <v>627</v>
      </c>
      <c r="O841" s="1"/>
      <c r="AQ841" s="1"/>
      <c r="AR841" s="1"/>
      <c r="AS841" s="1"/>
      <c r="AT841" t="str">
        <f>TEXT(_xll.BDP($B841,"MATURITY"),"yyyy-mm-dd")</f>
        <v>2029-05-15</v>
      </c>
      <c r="AU841" t="str">
        <f>_xll.BDP($B841,"CPN_TYP")</f>
        <v>FIXED</v>
      </c>
      <c r="AV841">
        <f>_xll.BDP($B841,"CPN")</f>
        <v>2.375</v>
      </c>
    </row>
    <row r="842" spans="1:48" x14ac:dyDescent="0.25">
      <c r="A842" t="s">
        <v>2823</v>
      </c>
      <c r="B842" t="s">
        <v>2630</v>
      </c>
      <c r="C842" s="1" t="s">
        <v>2631</v>
      </c>
      <c r="D842" t="s">
        <v>1574</v>
      </c>
      <c r="E842" t="str">
        <f>_xll.BDP($B842,"LEGAL_ENTITY_IDENTIFIER")</f>
        <v>254900HROIFWPRGM1V77</v>
      </c>
      <c r="F842" t="s">
        <v>2632</v>
      </c>
      <c r="G842" t="str">
        <f>custodian!D842</f>
        <v>912828ZS2</v>
      </c>
      <c r="H842" t="str">
        <f>_xll.BDP($B842,"ID_ISIN")</f>
        <v>US912828ZS21</v>
      </c>
      <c r="I842" s="1"/>
      <c r="J842" t="str">
        <f>_xll.BDP($B842,"CNTRY_OF_DOMICILE")</f>
        <v>US</v>
      </c>
      <c r="K842" t="s">
        <v>626</v>
      </c>
      <c r="L842" t="s">
        <v>627</v>
      </c>
      <c r="O842" s="1"/>
      <c r="AQ842" s="1"/>
      <c r="AR842" s="1"/>
      <c r="AS842" s="1"/>
      <c r="AT842" t="str">
        <f>TEXT(_xll.BDP($B842,"MATURITY"),"yyyy-mm-dd")</f>
        <v>2027-05-31</v>
      </c>
      <c r="AU842" t="str">
        <f>_xll.BDP($B842,"CPN_TYP")</f>
        <v>FIXED</v>
      </c>
      <c r="AV842">
        <f>_xll.BDP($B842,"CPN")</f>
        <v>0.5</v>
      </c>
    </row>
    <row r="843" spans="1:48" x14ac:dyDescent="0.25">
      <c r="A843" t="s">
        <v>2823</v>
      </c>
      <c r="B843" t="s">
        <v>2854</v>
      </c>
      <c r="C843" s="1" t="s">
        <v>2855</v>
      </c>
      <c r="D843" t="s">
        <v>1574</v>
      </c>
      <c r="E843" t="str">
        <f>_xll.BDP($B843,"LEGAL_ENTITY_IDENTIFIER")</f>
        <v>254900HROIFWPRGM1V77</v>
      </c>
      <c r="F843" t="s">
        <v>2856</v>
      </c>
      <c r="G843" t="str">
        <f>custodian!D843</f>
        <v>912828ZV5</v>
      </c>
      <c r="H843" t="str">
        <f>_xll.BDP($B843,"ID_ISIN")</f>
        <v>US912828ZV59</v>
      </c>
      <c r="I843" s="1"/>
      <c r="J843" t="str">
        <f>_xll.BDP($B843,"CNTRY_OF_DOMICILE")</f>
        <v>US</v>
      </c>
      <c r="K843" t="s">
        <v>626</v>
      </c>
      <c r="L843" t="s">
        <v>627</v>
      </c>
      <c r="O843" s="1"/>
      <c r="AQ843" s="1"/>
      <c r="AR843" s="1"/>
      <c r="AS843" s="1"/>
      <c r="AT843" t="str">
        <f>TEXT(_xll.BDP($B843,"MATURITY"),"yyyy-mm-dd")</f>
        <v>2027-06-30</v>
      </c>
      <c r="AU843" t="str">
        <f>_xll.BDP($B843,"CPN_TYP")</f>
        <v>FIXED</v>
      </c>
      <c r="AV843">
        <f>_xll.BDP($B843,"CPN")</f>
        <v>0.5</v>
      </c>
    </row>
    <row r="844" spans="1:48" x14ac:dyDescent="0.25">
      <c r="A844" t="s">
        <v>2823</v>
      </c>
      <c r="B844" t="s">
        <v>2857</v>
      </c>
      <c r="C844" s="1" t="s">
        <v>2858</v>
      </c>
      <c r="D844" t="s">
        <v>1574</v>
      </c>
      <c r="E844" t="str">
        <f>_xll.BDP($B844,"LEGAL_ENTITY_IDENTIFIER")</f>
        <v>254900HROIFWPRGM1V77</v>
      </c>
      <c r="F844" t="s">
        <v>2859</v>
      </c>
      <c r="G844" t="str">
        <f>custodian!D844</f>
        <v>91282CAD3</v>
      </c>
      <c r="H844" t="str">
        <f>_xll.BDP($B844,"ID_ISIN")</f>
        <v>US91282CAD39</v>
      </c>
      <c r="I844" s="1"/>
      <c r="J844" t="str">
        <f>_xll.BDP($B844,"CNTRY_OF_DOMICILE")</f>
        <v>US</v>
      </c>
      <c r="K844" t="s">
        <v>626</v>
      </c>
      <c r="L844" t="s">
        <v>627</v>
      </c>
      <c r="O844" s="1"/>
      <c r="AQ844" s="1"/>
      <c r="AR844" s="1"/>
      <c r="AS844" s="1"/>
      <c r="AT844" t="str">
        <f>TEXT(_xll.BDP($B844,"MATURITY"),"yyyy-mm-dd")</f>
        <v>2027-07-31</v>
      </c>
      <c r="AU844" t="str">
        <f>_xll.BDP($B844,"CPN_TYP")</f>
        <v>FIXED</v>
      </c>
      <c r="AV844">
        <f>_xll.BDP($B844,"CPN")</f>
        <v>0.375</v>
      </c>
    </row>
    <row r="845" spans="1:48" x14ac:dyDescent="0.25">
      <c r="A845" t="s">
        <v>2823</v>
      </c>
      <c r="B845" t="s">
        <v>2860</v>
      </c>
      <c r="C845" s="1" t="s">
        <v>2861</v>
      </c>
      <c r="D845" t="s">
        <v>1574</v>
      </c>
      <c r="E845" t="str">
        <f>_xll.BDP($B845,"LEGAL_ENTITY_IDENTIFIER")</f>
        <v>254900HROIFWPRGM1V77</v>
      </c>
      <c r="F845" t="s">
        <v>2862</v>
      </c>
      <c r="G845" t="str">
        <f>custodian!D845</f>
        <v>91282CAH4</v>
      </c>
      <c r="H845" t="str">
        <f>_xll.BDP($B845,"ID_ISIN")</f>
        <v>US91282CAH43</v>
      </c>
      <c r="I845" s="1"/>
      <c r="J845" t="str">
        <f>_xll.BDP($B845,"CNTRY_OF_DOMICILE")</f>
        <v>US</v>
      </c>
      <c r="K845" t="s">
        <v>626</v>
      </c>
      <c r="L845" t="s">
        <v>627</v>
      </c>
      <c r="O845" s="1"/>
      <c r="AQ845" s="1"/>
      <c r="AR845" s="1"/>
      <c r="AS845" s="1"/>
      <c r="AT845" t="str">
        <f>TEXT(_xll.BDP($B845,"MATURITY"),"yyyy-mm-dd")</f>
        <v>2027-08-31</v>
      </c>
      <c r="AU845" t="str">
        <f>_xll.BDP($B845,"CPN_TYP")</f>
        <v>FIXED</v>
      </c>
      <c r="AV845">
        <f>_xll.BDP($B845,"CPN")</f>
        <v>0.5</v>
      </c>
    </row>
    <row r="846" spans="1:48" x14ac:dyDescent="0.25">
      <c r="A846" t="s">
        <v>2823</v>
      </c>
      <c r="B846" t="s">
        <v>2863</v>
      </c>
      <c r="C846" s="1" t="s">
        <v>2864</v>
      </c>
      <c r="D846" t="s">
        <v>1574</v>
      </c>
      <c r="E846" t="str">
        <f>_xll.BDP($B846,"LEGAL_ENTITY_IDENTIFIER")</f>
        <v>254900HROIFWPRGM1V77</v>
      </c>
      <c r="F846" t="s">
        <v>2865</v>
      </c>
      <c r="G846" t="str">
        <f>custodian!D846</f>
        <v>91282CAL5</v>
      </c>
      <c r="H846" t="str">
        <f>_xll.BDP($B846,"ID_ISIN")</f>
        <v>US91282CAL54</v>
      </c>
      <c r="I846" s="1"/>
      <c r="J846" t="str">
        <f>_xll.BDP($B846,"CNTRY_OF_DOMICILE")</f>
        <v>US</v>
      </c>
      <c r="K846" t="s">
        <v>626</v>
      </c>
      <c r="L846" t="s">
        <v>627</v>
      </c>
      <c r="O846" s="1"/>
      <c r="AQ846" s="1"/>
      <c r="AR846" s="1"/>
      <c r="AS846" s="1"/>
      <c r="AT846" t="str">
        <f>TEXT(_xll.BDP($B846,"MATURITY"),"yyyy-mm-dd")</f>
        <v>2027-09-30</v>
      </c>
      <c r="AU846" t="str">
        <f>_xll.BDP($B846,"CPN_TYP")</f>
        <v>FIXED</v>
      </c>
      <c r="AV846">
        <f>_xll.BDP($B846,"CPN")</f>
        <v>0.375</v>
      </c>
    </row>
    <row r="847" spans="1:48" x14ac:dyDescent="0.25">
      <c r="A847" t="s">
        <v>2823</v>
      </c>
      <c r="B847" t="s">
        <v>2866</v>
      </c>
      <c r="C847" s="1" t="s">
        <v>2867</v>
      </c>
      <c r="D847" t="s">
        <v>1574</v>
      </c>
      <c r="E847" t="str">
        <f>_xll.BDP($B847,"LEGAL_ENTITY_IDENTIFIER")</f>
        <v>254900HROIFWPRGM1V77</v>
      </c>
      <c r="F847" t="s">
        <v>2868</v>
      </c>
      <c r="G847" t="str">
        <f>custodian!D847</f>
        <v>91282CAU5</v>
      </c>
      <c r="H847" t="str">
        <f>_xll.BDP($B847,"ID_ISIN")</f>
        <v>US91282CAU53</v>
      </c>
      <c r="I847" s="1"/>
      <c r="J847" t="str">
        <f>_xll.BDP($B847,"CNTRY_OF_DOMICILE")</f>
        <v>US</v>
      </c>
      <c r="K847" t="s">
        <v>626</v>
      </c>
      <c r="L847" t="s">
        <v>627</v>
      </c>
      <c r="O847" s="1"/>
      <c r="AQ847" s="1"/>
      <c r="AR847" s="1"/>
      <c r="AS847" s="1"/>
      <c r="AT847" t="str">
        <f>TEXT(_xll.BDP($B847,"MATURITY"),"yyyy-mm-dd")</f>
        <v>2027-10-31</v>
      </c>
      <c r="AU847" t="str">
        <f>_xll.BDP($B847,"CPN_TYP")</f>
        <v>FIXED</v>
      </c>
      <c r="AV847">
        <f>_xll.BDP($B847,"CPN")</f>
        <v>0.5</v>
      </c>
    </row>
    <row r="848" spans="1:48" x14ac:dyDescent="0.25">
      <c r="A848" t="s">
        <v>2823</v>
      </c>
      <c r="B848" t="s">
        <v>2869</v>
      </c>
      <c r="C848" s="1" t="s">
        <v>2870</v>
      </c>
      <c r="D848" t="s">
        <v>1574</v>
      </c>
      <c r="E848" t="str">
        <f>_xll.BDP($B848,"LEGAL_ENTITY_IDENTIFIER")</f>
        <v>254900HROIFWPRGM1V77</v>
      </c>
      <c r="F848" t="s">
        <v>2871</v>
      </c>
      <c r="G848" t="str">
        <f>custodian!D848</f>
        <v>91282CAY7</v>
      </c>
      <c r="H848" t="str">
        <f>_xll.BDP($B848,"ID_ISIN")</f>
        <v>US91282CAY75</v>
      </c>
      <c r="I848" s="1"/>
      <c r="J848" t="str">
        <f>_xll.BDP($B848,"CNTRY_OF_DOMICILE")</f>
        <v>US</v>
      </c>
      <c r="K848" t="s">
        <v>626</v>
      </c>
      <c r="L848" t="s">
        <v>627</v>
      </c>
      <c r="O848" s="1"/>
      <c r="AQ848" s="1"/>
      <c r="AR848" s="1"/>
      <c r="AS848" s="1"/>
      <c r="AT848" t="str">
        <f>TEXT(_xll.BDP($B848,"MATURITY"),"yyyy-mm-dd")</f>
        <v>2027-11-30</v>
      </c>
      <c r="AU848" t="str">
        <f>_xll.BDP($B848,"CPN_TYP")</f>
        <v>FIXED</v>
      </c>
      <c r="AV848">
        <f>_xll.BDP($B848,"CPN")</f>
        <v>0.625</v>
      </c>
    </row>
    <row r="849" spans="1:48" x14ac:dyDescent="0.25">
      <c r="A849" t="s">
        <v>2823</v>
      </c>
      <c r="B849" t="s">
        <v>2872</v>
      </c>
      <c r="C849" s="1" t="s">
        <v>2873</v>
      </c>
      <c r="D849" t="s">
        <v>1574</v>
      </c>
      <c r="E849" t="str">
        <f>_xll.BDP($B849,"LEGAL_ENTITY_IDENTIFIER")</f>
        <v>254900HROIFWPRGM1V77</v>
      </c>
      <c r="F849" t="s">
        <v>2874</v>
      </c>
      <c r="G849" t="str">
        <f>custodian!D849</f>
        <v>91282CBB6</v>
      </c>
      <c r="H849" t="str">
        <f>_xll.BDP($B849,"ID_ISIN")</f>
        <v>US91282CBB63</v>
      </c>
      <c r="I849" s="1"/>
      <c r="J849" t="str">
        <f>_xll.BDP($B849,"CNTRY_OF_DOMICILE")</f>
        <v>US</v>
      </c>
      <c r="K849" t="s">
        <v>626</v>
      </c>
      <c r="L849" t="s">
        <v>627</v>
      </c>
      <c r="O849" s="1"/>
      <c r="AQ849" s="1"/>
      <c r="AR849" s="1"/>
      <c r="AS849" s="1"/>
      <c r="AT849" t="str">
        <f>TEXT(_xll.BDP($B849,"MATURITY"),"yyyy-mm-dd")</f>
        <v>2027-12-31</v>
      </c>
      <c r="AU849" t="str">
        <f>_xll.BDP($B849,"CPN_TYP")</f>
        <v>FIXED</v>
      </c>
      <c r="AV849">
        <f>_xll.BDP($B849,"CPN")</f>
        <v>0.625</v>
      </c>
    </row>
    <row r="850" spans="1:48" x14ac:dyDescent="0.25">
      <c r="A850" t="s">
        <v>2823</v>
      </c>
      <c r="B850" t="s">
        <v>2875</v>
      </c>
      <c r="C850" s="1" t="s">
        <v>2876</v>
      </c>
      <c r="D850" t="s">
        <v>1574</v>
      </c>
      <c r="E850" t="str">
        <f>_xll.BDP($B850,"LEGAL_ENTITY_IDENTIFIER")</f>
        <v>254900HROIFWPRGM1V77</v>
      </c>
      <c r="F850" t="s">
        <v>2877</v>
      </c>
      <c r="G850" t="str">
        <f>custodian!D850</f>
        <v>91282CBJ9</v>
      </c>
      <c r="H850" t="str">
        <f>_xll.BDP($B850,"ID_ISIN")</f>
        <v>US91282CBJ99</v>
      </c>
      <c r="I850" s="1"/>
      <c r="J850" t="str">
        <f>_xll.BDP($B850,"CNTRY_OF_DOMICILE")</f>
        <v>US</v>
      </c>
      <c r="K850" t="s">
        <v>626</v>
      </c>
      <c r="L850" t="s">
        <v>627</v>
      </c>
      <c r="O850" s="1"/>
      <c r="AQ850" s="1"/>
      <c r="AR850" s="1"/>
      <c r="AS850" s="1"/>
      <c r="AT850" t="str">
        <f>TEXT(_xll.BDP($B850,"MATURITY"),"yyyy-mm-dd")</f>
        <v>2028-01-31</v>
      </c>
      <c r="AU850" t="str">
        <f>_xll.BDP($B850,"CPN_TYP")</f>
        <v>FIXED</v>
      </c>
      <c r="AV850">
        <f>_xll.BDP($B850,"CPN")</f>
        <v>0.75</v>
      </c>
    </row>
    <row r="851" spans="1:48" x14ac:dyDescent="0.25">
      <c r="A851" t="s">
        <v>2823</v>
      </c>
      <c r="B851" t="s">
        <v>2878</v>
      </c>
      <c r="C851" s="1" t="s">
        <v>2879</v>
      </c>
      <c r="D851" t="s">
        <v>1574</v>
      </c>
      <c r="E851" t="str">
        <f>_xll.BDP($B851,"LEGAL_ENTITY_IDENTIFIER")</f>
        <v>254900HROIFWPRGM1V77</v>
      </c>
      <c r="F851" t="s">
        <v>2880</v>
      </c>
      <c r="G851" t="str">
        <f>custodian!D851</f>
        <v>91282CBP5</v>
      </c>
      <c r="H851" t="str">
        <f>_xll.BDP($B851,"ID_ISIN")</f>
        <v>US91282CBP59</v>
      </c>
      <c r="I851" s="1"/>
      <c r="J851" t="str">
        <f>_xll.BDP($B851,"CNTRY_OF_DOMICILE")</f>
        <v>US</v>
      </c>
      <c r="K851" t="s">
        <v>626</v>
      </c>
      <c r="L851" t="s">
        <v>627</v>
      </c>
      <c r="O851" s="1"/>
      <c r="AQ851" s="1"/>
      <c r="AR851" s="1"/>
      <c r="AS851" s="1"/>
      <c r="AT851" t="str">
        <f>TEXT(_xll.BDP($B851,"MATURITY"),"yyyy-mm-dd")</f>
        <v>2028-02-29</v>
      </c>
      <c r="AU851" t="str">
        <f>_xll.BDP($B851,"CPN_TYP")</f>
        <v>FIXED</v>
      </c>
      <c r="AV851">
        <f>_xll.BDP($B851,"CPN")</f>
        <v>1.125</v>
      </c>
    </row>
    <row r="852" spans="1:48" x14ac:dyDescent="0.25">
      <c r="A852" t="s">
        <v>2823</v>
      </c>
      <c r="B852" t="s">
        <v>2881</v>
      </c>
      <c r="C852" s="1" t="s">
        <v>2882</v>
      </c>
      <c r="D852" t="s">
        <v>1574</v>
      </c>
      <c r="E852" t="str">
        <f>_xll.BDP($B852,"LEGAL_ENTITY_IDENTIFIER")</f>
        <v>254900HROIFWPRGM1V77</v>
      </c>
      <c r="F852" t="s">
        <v>2883</v>
      </c>
      <c r="G852" t="str">
        <f>custodian!D852</f>
        <v>91282CBS9</v>
      </c>
      <c r="H852" t="str">
        <f>_xll.BDP($B852,"ID_ISIN")</f>
        <v>US91282CBS98</v>
      </c>
      <c r="I852" s="1"/>
      <c r="J852" t="str">
        <f>_xll.BDP($B852,"CNTRY_OF_DOMICILE")</f>
        <v>US</v>
      </c>
      <c r="K852" t="s">
        <v>626</v>
      </c>
      <c r="L852" t="s">
        <v>627</v>
      </c>
      <c r="O852" s="1"/>
      <c r="AQ852" s="1"/>
      <c r="AR852" s="1"/>
      <c r="AS852" s="1"/>
      <c r="AT852" t="str">
        <f>TEXT(_xll.BDP($B852,"MATURITY"),"yyyy-mm-dd")</f>
        <v>2028-03-31</v>
      </c>
      <c r="AU852" t="str">
        <f>_xll.BDP($B852,"CPN_TYP")</f>
        <v>FIXED</v>
      </c>
      <c r="AV852">
        <f>_xll.BDP($B852,"CPN")</f>
        <v>1.25</v>
      </c>
    </row>
    <row r="853" spans="1:48" x14ac:dyDescent="0.25">
      <c r="A853" t="s">
        <v>2823</v>
      </c>
      <c r="B853" t="s">
        <v>2884</v>
      </c>
      <c r="C853" s="1" t="s">
        <v>2885</v>
      </c>
      <c r="D853" t="s">
        <v>1574</v>
      </c>
      <c r="E853" t="str">
        <f>_xll.BDP($B853,"LEGAL_ENTITY_IDENTIFIER")</f>
        <v>254900HROIFWPRGM1V77</v>
      </c>
      <c r="F853" t="s">
        <v>2886</v>
      </c>
      <c r="G853" t="str">
        <f>custodian!D853</f>
        <v>91282CBZ3</v>
      </c>
      <c r="H853" t="str">
        <f>_xll.BDP($B853,"ID_ISIN")</f>
        <v>US91282CBZ32</v>
      </c>
      <c r="I853" s="1"/>
      <c r="J853" t="str">
        <f>_xll.BDP($B853,"CNTRY_OF_DOMICILE")</f>
        <v>US</v>
      </c>
      <c r="K853" t="s">
        <v>626</v>
      </c>
      <c r="L853" t="s">
        <v>627</v>
      </c>
      <c r="O853" s="1"/>
      <c r="AQ853" s="1"/>
      <c r="AR853" s="1"/>
      <c r="AS853" s="1"/>
      <c r="AT853" t="str">
        <f>TEXT(_xll.BDP($B853,"MATURITY"),"yyyy-mm-dd")</f>
        <v>2028-04-30</v>
      </c>
      <c r="AU853" t="str">
        <f>_xll.BDP($B853,"CPN_TYP")</f>
        <v>FIXED</v>
      </c>
      <c r="AV853">
        <f>_xll.BDP($B853,"CPN")</f>
        <v>1.25</v>
      </c>
    </row>
    <row r="854" spans="1:48" x14ac:dyDescent="0.25">
      <c r="A854" t="s">
        <v>2823</v>
      </c>
      <c r="B854" t="s">
        <v>2887</v>
      </c>
      <c r="C854" s="1" t="s">
        <v>2888</v>
      </c>
      <c r="D854" t="s">
        <v>1574</v>
      </c>
      <c r="E854" t="str">
        <f>_xll.BDP($B854,"LEGAL_ENTITY_IDENTIFIER")</f>
        <v>254900HROIFWPRGM1V77</v>
      </c>
      <c r="F854" t="s">
        <v>2889</v>
      </c>
      <c r="G854" t="str">
        <f>custodian!D854</f>
        <v>91282CCE9</v>
      </c>
      <c r="H854" t="str">
        <f>_xll.BDP($B854,"ID_ISIN")</f>
        <v>US91282CCE93</v>
      </c>
      <c r="I854" s="1"/>
      <c r="J854" t="str">
        <f>_xll.BDP($B854,"CNTRY_OF_DOMICILE")</f>
        <v>US</v>
      </c>
      <c r="K854" t="s">
        <v>626</v>
      </c>
      <c r="L854" t="s">
        <v>627</v>
      </c>
      <c r="O854" s="1"/>
      <c r="AQ854" s="1"/>
      <c r="AR854" s="1"/>
      <c r="AS854" s="1"/>
      <c r="AT854" t="str">
        <f>TEXT(_xll.BDP($B854,"MATURITY"),"yyyy-mm-dd")</f>
        <v>2028-05-31</v>
      </c>
      <c r="AU854" t="str">
        <f>_xll.BDP($B854,"CPN_TYP")</f>
        <v>FIXED</v>
      </c>
      <c r="AV854">
        <f>_xll.BDP($B854,"CPN")</f>
        <v>1.25</v>
      </c>
    </row>
    <row r="855" spans="1:48" x14ac:dyDescent="0.25">
      <c r="A855" t="s">
        <v>2823</v>
      </c>
      <c r="B855" t="s">
        <v>2890</v>
      </c>
      <c r="C855" s="1" t="s">
        <v>2891</v>
      </c>
      <c r="D855" t="s">
        <v>1574</v>
      </c>
      <c r="E855" t="str">
        <f>_xll.BDP($B855,"LEGAL_ENTITY_IDENTIFIER")</f>
        <v>254900HROIFWPRGM1V77</v>
      </c>
      <c r="F855" t="s">
        <v>2892</v>
      </c>
      <c r="G855" t="str">
        <f>custodian!D855</f>
        <v>91282CCH2</v>
      </c>
      <c r="H855" t="str">
        <f>_xll.BDP($B855,"ID_ISIN")</f>
        <v>US91282CCH25</v>
      </c>
      <c r="I855" s="1"/>
      <c r="J855" t="str">
        <f>_xll.BDP($B855,"CNTRY_OF_DOMICILE")</f>
        <v>US</v>
      </c>
      <c r="K855" t="s">
        <v>626</v>
      </c>
      <c r="L855" t="s">
        <v>627</v>
      </c>
      <c r="O855" s="1"/>
      <c r="AQ855" s="1"/>
      <c r="AR855" s="1"/>
      <c r="AS855" s="1"/>
      <c r="AT855" t="str">
        <f>TEXT(_xll.BDP($B855,"MATURITY"),"yyyy-mm-dd")</f>
        <v>2028-06-30</v>
      </c>
      <c r="AU855" t="str">
        <f>_xll.BDP($B855,"CPN_TYP")</f>
        <v>FIXED</v>
      </c>
      <c r="AV855">
        <f>_xll.BDP($B855,"CPN")</f>
        <v>1.25</v>
      </c>
    </row>
    <row r="856" spans="1:48" x14ac:dyDescent="0.25">
      <c r="A856" t="s">
        <v>2823</v>
      </c>
      <c r="B856" t="s">
        <v>2893</v>
      </c>
      <c r="C856" s="1" t="s">
        <v>2894</v>
      </c>
      <c r="D856" t="s">
        <v>1574</v>
      </c>
      <c r="E856" t="str">
        <f>_xll.BDP($B856,"LEGAL_ENTITY_IDENTIFIER")</f>
        <v>254900HROIFWPRGM1V77</v>
      </c>
      <c r="F856" t="s">
        <v>2895</v>
      </c>
      <c r="G856" t="str">
        <f>custodian!D856</f>
        <v>91282CCR0</v>
      </c>
      <c r="H856" t="str">
        <f>_xll.BDP($B856,"ID_ISIN")</f>
        <v>US91282CCR07</v>
      </c>
      <c r="I856" s="1"/>
      <c r="J856" t="str">
        <f>_xll.BDP($B856,"CNTRY_OF_DOMICILE")</f>
        <v>US</v>
      </c>
      <c r="K856" t="s">
        <v>626</v>
      </c>
      <c r="L856" t="s">
        <v>627</v>
      </c>
      <c r="O856" s="1"/>
      <c r="AQ856" s="1"/>
      <c r="AR856" s="1"/>
      <c r="AS856" s="1"/>
      <c r="AT856" t="str">
        <f>TEXT(_xll.BDP($B856,"MATURITY"),"yyyy-mm-dd")</f>
        <v>2028-07-31</v>
      </c>
      <c r="AU856" t="str">
        <f>_xll.BDP($B856,"CPN_TYP")</f>
        <v>FIXED</v>
      </c>
      <c r="AV856">
        <f>_xll.BDP($B856,"CPN")</f>
        <v>1</v>
      </c>
    </row>
    <row r="857" spans="1:48" x14ac:dyDescent="0.25">
      <c r="A857" t="s">
        <v>2823</v>
      </c>
      <c r="B857" t="s">
        <v>2896</v>
      </c>
      <c r="C857" s="1" t="s">
        <v>2897</v>
      </c>
      <c r="D857" t="s">
        <v>1574</v>
      </c>
      <c r="E857" t="str">
        <f>_xll.BDP($B857,"LEGAL_ENTITY_IDENTIFIER")</f>
        <v>254900HROIFWPRGM1V77</v>
      </c>
      <c r="F857" t="s">
        <v>2898</v>
      </c>
      <c r="G857" t="str">
        <f>custodian!D857</f>
        <v>91282CCV1</v>
      </c>
      <c r="H857" t="str">
        <f>_xll.BDP($B857,"ID_ISIN")</f>
        <v>US91282CCV19</v>
      </c>
      <c r="I857" s="1"/>
      <c r="J857" t="str">
        <f>_xll.BDP($B857,"CNTRY_OF_DOMICILE")</f>
        <v>US</v>
      </c>
      <c r="K857" t="s">
        <v>626</v>
      </c>
      <c r="L857" t="s">
        <v>627</v>
      </c>
      <c r="O857" s="1"/>
      <c r="AQ857" s="1"/>
      <c r="AR857" s="1"/>
      <c r="AS857" s="1"/>
      <c r="AT857" t="str">
        <f>TEXT(_xll.BDP($B857,"MATURITY"),"yyyy-mm-dd")</f>
        <v>2028-08-31</v>
      </c>
      <c r="AU857" t="str">
        <f>_xll.BDP($B857,"CPN_TYP")</f>
        <v>FIXED</v>
      </c>
      <c r="AV857">
        <f>_xll.BDP($B857,"CPN")</f>
        <v>1.125</v>
      </c>
    </row>
    <row r="858" spans="1:48" x14ac:dyDescent="0.25">
      <c r="A858" t="s">
        <v>2823</v>
      </c>
      <c r="B858" t="s">
        <v>2899</v>
      </c>
      <c r="C858" s="1" t="s">
        <v>2900</v>
      </c>
      <c r="D858" t="s">
        <v>1574</v>
      </c>
      <c r="E858" t="str">
        <f>_xll.BDP($B858,"LEGAL_ENTITY_IDENTIFIER")</f>
        <v>254900HROIFWPRGM1V77</v>
      </c>
      <c r="F858" t="s">
        <v>2901</v>
      </c>
      <c r="G858" t="str">
        <f>custodian!D858</f>
        <v>91282CCY5</v>
      </c>
      <c r="H858" t="str">
        <f>_xll.BDP($B858,"ID_ISIN")</f>
        <v>US91282CCY57</v>
      </c>
      <c r="I858" s="1"/>
      <c r="J858" t="str">
        <f>_xll.BDP($B858,"CNTRY_OF_DOMICILE")</f>
        <v>US</v>
      </c>
      <c r="K858" t="s">
        <v>626</v>
      </c>
      <c r="L858" t="s">
        <v>627</v>
      </c>
      <c r="O858" s="1"/>
      <c r="AQ858" s="1"/>
      <c r="AR858" s="1"/>
      <c r="AS858" s="1"/>
      <c r="AT858" t="str">
        <f>TEXT(_xll.BDP($B858,"MATURITY"),"yyyy-mm-dd")</f>
        <v>2028-09-30</v>
      </c>
      <c r="AU858" t="str">
        <f>_xll.BDP($B858,"CPN_TYP")</f>
        <v>FIXED</v>
      </c>
      <c r="AV858">
        <f>_xll.BDP($B858,"CPN")</f>
        <v>1.25</v>
      </c>
    </row>
    <row r="859" spans="1:48" x14ac:dyDescent="0.25">
      <c r="A859" t="s">
        <v>2823</v>
      </c>
      <c r="B859" t="s">
        <v>2902</v>
      </c>
      <c r="C859" s="1" t="s">
        <v>2903</v>
      </c>
      <c r="D859" t="s">
        <v>1574</v>
      </c>
      <c r="E859" t="str">
        <f>_xll.BDP($B859,"LEGAL_ENTITY_IDENTIFIER")</f>
        <v>254900HROIFWPRGM1V77</v>
      </c>
      <c r="F859" t="s">
        <v>2904</v>
      </c>
      <c r="G859" t="str">
        <f>custodian!D859</f>
        <v>91282CDF5</v>
      </c>
      <c r="H859" t="str">
        <f>_xll.BDP($B859,"ID_ISIN")</f>
        <v>US91282CDF59</v>
      </c>
      <c r="I859" s="1"/>
      <c r="J859" t="str">
        <f>_xll.BDP($B859,"CNTRY_OF_DOMICILE")</f>
        <v>US</v>
      </c>
      <c r="K859" t="s">
        <v>626</v>
      </c>
      <c r="L859" t="s">
        <v>627</v>
      </c>
      <c r="O859" s="1"/>
      <c r="AQ859" s="1"/>
      <c r="AR859" s="1"/>
      <c r="AS859" s="1"/>
      <c r="AT859" t="str">
        <f>TEXT(_xll.BDP($B859,"MATURITY"),"yyyy-mm-dd")</f>
        <v>2028-10-31</v>
      </c>
      <c r="AU859" t="str">
        <f>_xll.BDP($B859,"CPN_TYP")</f>
        <v>FIXED</v>
      </c>
      <c r="AV859">
        <f>_xll.BDP($B859,"CPN")</f>
        <v>1.375</v>
      </c>
    </row>
    <row r="860" spans="1:48" x14ac:dyDescent="0.25">
      <c r="A860" t="s">
        <v>2823</v>
      </c>
      <c r="B860" t="s">
        <v>2905</v>
      </c>
      <c r="C860" s="1" t="s">
        <v>2906</v>
      </c>
      <c r="D860" t="s">
        <v>1574</v>
      </c>
      <c r="E860" t="str">
        <f>_xll.BDP($B860,"LEGAL_ENTITY_IDENTIFIER")</f>
        <v>254900HROIFWPRGM1V77</v>
      </c>
      <c r="F860" t="s">
        <v>2907</v>
      </c>
      <c r="G860" t="str">
        <f>custodian!D860</f>
        <v>91282CDL2</v>
      </c>
      <c r="H860" t="str">
        <f>_xll.BDP($B860,"ID_ISIN")</f>
        <v>US91282CDL28</v>
      </c>
      <c r="I860" s="1"/>
      <c r="J860" t="str">
        <f>_xll.BDP($B860,"CNTRY_OF_DOMICILE")</f>
        <v>US</v>
      </c>
      <c r="K860" t="s">
        <v>626</v>
      </c>
      <c r="L860" t="s">
        <v>627</v>
      </c>
      <c r="O860" s="1"/>
      <c r="AQ860" s="1"/>
      <c r="AR860" s="1"/>
      <c r="AS860" s="1"/>
      <c r="AT860" t="str">
        <f>TEXT(_xll.BDP($B860,"MATURITY"),"yyyy-mm-dd")</f>
        <v>2028-11-30</v>
      </c>
      <c r="AU860" t="str">
        <f>_xll.BDP($B860,"CPN_TYP")</f>
        <v>FIXED</v>
      </c>
      <c r="AV860">
        <f>_xll.BDP($B860,"CPN")</f>
        <v>1.5</v>
      </c>
    </row>
    <row r="861" spans="1:48" x14ac:dyDescent="0.25">
      <c r="A861" t="s">
        <v>2823</v>
      </c>
      <c r="B861" t="s">
        <v>2908</v>
      </c>
      <c r="C861" s="1" t="s">
        <v>2909</v>
      </c>
      <c r="D861" t="s">
        <v>1574</v>
      </c>
      <c r="E861" t="str">
        <f>_xll.BDP($B861,"LEGAL_ENTITY_IDENTIFIER")</f>
        <v>254900HROIFWPRGM1V77</v>
      </c>
      <c r="F861" t="s">
        <v>2910</v>
      </c>
      <c r="G861" t="str">
        <f>custodian!D861</f>
        <v>91282CDP3</v>
      </c>
      <c r="H861" t="str">
        <f>_xll.BDP($B861,"ID_ISIN")</f>
        <v>US91282CDP32</v>
      </c>
      <c r="I861" s="1"/>
      <c r="J861" t="str">
        <f>_xll.BDP($B861,"CNTRY_OF_DOMICILE")</f>
        <v>US</v>
      </c>
      <c r="K861" t="s">
        <v>626</v>
      </c>
      <c r="L861" t="s">
        <v>627</v>
      </c>
      <c r="O861" s="1"/>
      <c r="AQ861" s="1"/>
      <c r="AR861" s="1"/>
      <c r="AS861" s="1"/>
      <c r="AT861" t="str">
        <f>TEXT(_xll.BDP($B861,"MATURITY"),"yyyy-mm-dd")</f>
        <v>2028-12-31</v>
      </c>
      <c r="AU861" t="str">
        <f>_xll.BDP($B861,"CPN_TYP")</f>
        <v>FIXED</v>
      </c>
      <c r="AV861">
        <f>_xll.BDP($B861,"CPN")</f>
        <v>1.375</v>
      </c>
    </row>
    <row r="862" spans="1:48" x14ac:dyDescent="0.25">
      <c r="A862" t="s">
        <v>2823</v>
      </c>
      <c r="B862" t="s">
        <v>2911</v>
      </c>
      <c r="C862" s="1" t="s">
        <v>2912</v>
      </c>
      <c r="D862" t="s">
        <v>1574</v>
      </c>
      <c r="E862" t="str">
        <f>_xll.BDP($B862,"LEGAL_ENTITY_IDENTIFIER")</f>
        <v>254900HROIFWPRGM1V77</v>
      </c>
      <c r="F862" t="s">
        <v>2913</v>
      </c>
      <c r="G862" t="str">
        <f>custodian!D862</f>
        <v>91282CDW8</v>
      </c>
      <c r="H862" t="str">
        <f>_xll.BDP($B862,"ID_ISIN")</f>
        <v>US91282CDW82</v>
      </c>
      <c r="I862" s="1"/>
      <c r="J862" t="str">
        <f>_xll.BDP($B862,"CNTRY_OF_DOMICILE")</f>
        <v>US</v>
      </c>
      <c r="K862" t="s">
        <v>626</v>
      </c>
      <c r="L862" t="s">
        <v>627</v>
      </c>
      <c r="O862" s="1"/>
      <c r="AQ862" s="1"/>
      <c r="AR862" s="1"/>
      <c r="AS862" s="1"/>
      <c r="AT862" t="str">
        <f>TEXT(_xll.BDP($B862,"MATURITY"),"yyyy-mm-dd")</f>
        <v>2029-01-31</v>
      </c>
      <c r="AU862" t="str">
        <f>_xll.BDP($B862,"CPN_TYP")</f>
        <v>FIXED</v>
      </c>
      <c r="AV862">
        <f>_xll.BDP($B862,"CPN")</f>
        <v>1.75</v>
      </c>
    </row>
    <row r="863" spans="1:48" x14ac:dyDescent="0.25">
      <c r="A863" t="s">
        <v>2823</v>
      </c>
      <c r="B863" t="s">
        <v>2914</v>
      </c>
      <c r="C863" s="1" t="s">
        <v>2915</v>
      </c>
      <c r="D863" t="s">
        <v>1574</v>
      </c>
      <c r="E863" t="str">
        <f>_xll.BDP($B863,"LEGAL_ENTITY_IDENTIFIER")</f>
        <v>254900HROIFWPRGM1V77</v>
      </c>
      <c r="F863" t="s">
        <v>2916</v>
      </c>
      <c r="G863" t="str">
        <f>custodian!D863</f>
        <v>91282CEB3</v>
      </c>
      <c r="H863" t="str">
        <f>_xll.BDP($B863,"ID_ISIN")</f>
        <v>US91282CEB37</v>
      </c>
      <c r="I863" s="1"/>
      <c r="J863" t="str">
        <f>_xll.BDP($B863,"CNTRY_OF_DOMICILE")</f>
        <v>US</v>
      </c>
      <c r="K863" t="s">
        <v>626</v>
      </c>
      <c r="L863" t="s">
        <v>627</v>
      </c>
      <c r="O863" s="1"/>
      <c r="AQ863" s="1"/>
      <c r="AR863" s="1"/>
      <c r="AS863" s="1"/>
      <c r="AT863" t="str">
        <f>TEXT(_xll.BDP($B863,"MATURITY"),"yyyy-mm-dd")</f>
        <v>2029-02-28</v>
      </c>
      <c r="AU863" t="str">
        <f>_xll.BDP($B863,"CPN_TYP")</f>
        <v>FIXED</v>
      </c>
      <c r="AV863">
        <f>_xll.BDP($B863,"CPN")</f>
        <v>1.875</v>
      </c>
    </row>
    <row r="864" spans="1:48" x14ac:dyDescent="0.25">
      <c r="A864" t="s">
        <v>2823</v>
      </c>
      <c r="B864" t="s">
        <v>2917</v>
      </c>
      <c r="C864" s="1" t="s">
        <v>2918</v>
      </c>
      <c r="D864" t="s">
        <v>1574</v>
      </c>
      <c r="E864" t="str">
        <f>_xll.BDP($B864,"LEGAL_ENTITY_IDENTIFIER")</f>
        <v>254900HROIFWPRGM1V77</v>
      </c>
      <c r="F864" t="s">
        <v>2919</v>
      </c>
      <c r="G864" t="str">
        <f>custodian!D864</f>
        <v>91282CEE7</v>
      </c>
      <c r="H864" t="str">
        <f>_xll.BDP($B864,"ID_ISIN")</f>
        <v>US91282CEE75</v>
      </c>
      <c r="I864" s="1"/>
      <c r="J864" t="str">
        <f>_xll.BDP($B864,"CNTRY_OF_DOMICILE")</f>
        <v>US</v>
      </c>
      <c r="K864" t="s">
        <v>626</v>
      </c>
      <c r="L864" t="s">
        <v>627</v>
      </c>
      <c r="O864" s="1"/>
      <c r="AQ864" s="1"/>
      <c r="AR864" s="1"/>
      <c r="AS864" s="1"/>
      <c r="AT864" t="str">
        <f>TEXT(_xll.BDP($B864,"MATURITY"),"yyyy-mm-dd")</f>
        <v>2029-03-31</v>
      </c>
      <c r="AU864" t="str">
        <f>_xll.BDP($B864,"CPN_TYP")</f>
        <v>FIXED</v>
      </c>
      <c r="AV864">
        <f>_xll.BDP($B864,"CPN")</f>
        <v>2.375</v>
      </c>
    </row>
    <row r="865" spans="1:48" x14ac:dyDescent="0.25">
      <c r="A865" t="s">
        <v>2823</v>
      </c>
      <c r="B865" t="s">
        <v>2920</v>
      </c>
      <c r="C865" s="1" t="s">
        <v>2921</v>
      </c>
      <c r="D865" t="s">
        <v>1574</v>
      </c>
      <c r="E865" t="str">
        <f>_xll.BDP($B865,"LEGAL_ENTITY_IDENTIFIER")</f>
        <v>254900HROIFWPRGM1V77</v>
      </c>
      <c r="F865" t="s">
        <v>2922</v>
      </c>
      <c r="G865" t="str">
        <f>custodian!D865</f>
        <v>91282CEM9</v>
      </c>
      <c r="H865" t="str">
        <f>_xll.BDP($B865,"ID_ISIN")</f>
        <v>US91282CEM91</v>
      </c>
      <c r="I865" s="1"/>
      <c r="J865" t="str">
        <f>_xll.BDP($B865,"CNTRY_OF_DOMICILE")</f>
        <v>US</v>
      </c>
      <c r="K865" t="s">
        <v>626</v>
      </c>
      <c r="L865" t="s">
        <v>627</v>
      </c>
      <c r="O865" s="1"/>
      <c r="AQ865" s="1"/>
      <c r="AR865" s="1"/>
      <c r="AS865" s="1"/>
      <c r="AT865" t="str">
        <f>TEXT(_xll.BDP($B865,"MATURITY"),"yyyy-mm-dd")</f>
        <v>2029-04-30</v>
      </c>
      <c r="AU865" t="str">
        <f>_xll.BDP($B865,"CPN_TYP")</f>
        <v>FIXED</v>
      </c>
      <c r="AV865">
        <f>_xll.BDP($B865,"CPN")</f>
        <v>2.875</v>
      </c>
    </row>
    <row r="866" spans="1:48" x14ac:dyDescent="0.25">
      <c r="A866" t="s">
        <v>2823</v>
      </c>
      <c r="B866" t="s">
        <v>2923</v>
      </c>
      <c r="C866" s="1" t="s">
        <v>2924</v>
      </c>
      <c r="D866" t="s">
        <v>1574</v>
      </c>
      <c r="E866" t="str">
        <f>_xll.BDP($B866,"LEGAL_ENTITY_IDENTIFIER")</f>
        <v>254900HROIFWPRGM1V77</v>
      </c>
      <c r="F866" t="s">
        <v>2925</v>
      </c>
      <c r="G866" t="str">
        <f>custodian!D866</f>
        <v>91282CET4</v>
      </c>
      <c r="H866" t="str">
        <f>_xll.BDP($B866,"ID_ISIN")</f>
        <v>US91282CET45</v>
      </c>
      <c r="I866" s="1"/>
      <c r="J866" t="str">
        <f>_xll.BDP($B866,"CNTRY_OF_DOMICILE")</f>
        <v>US</v>
      </c>
      <c r="K866" t="s">
        <v>626</v>
      </c>
      <c r="L866" t="s">
        <v>627</v>
      </c>
      <c r="O866" s="1"/>
      <c r="AQ866" s="1"/>
      <c r="AR866" s="1"/>
      <c r="AS866" s="1"/>
      <c r="AT866" t="str">
        <f>TEXT(_xll.BDP($B866,"MATURITY"),"yyyy-mm-dd")</f>
        <v>2027-05-31</v>
      </c>
      <c r="AU866" t="str">
        <f>_xll.BDP($B866,"CPN_TYP")</f>
        <v>FIXED</v>
      </c>
      <c r="AV866">
        <f>_xll.BDP($B866,"CPN")</f>
        <v>2.625</v>
      </c>
    </row>
    <row r="867" spans="1:48" x14ac:dyDescent="0.25">
      <c r="A867" t="s">
        <v>2823</v>
      </c>
      <c r="B867" t="s">
        <v>2926</v>
      </c>
      <c r="C867" s="1" t="s">
        <v>2927</v>
      </c>
      <c r="D867" t="s">
        <v>1574</v>
      </c>
      <c r="E867" t="str">
        <f>_xll.BDP($B867,"LEGAL_ENTITY_IDENTIFIER")</f>
        <v>254900HROIFWPRGM1V77</v>
      </c>
      <c r="F867" t="s">
        <v>2928</v>
      </c>
      <c r="G867" t="str">
        <f>custodian!D867</f>
        <v>91282CEW7</v>
      </c>
      <c r="H867" t="str">
        <f>_xll.BDP($B867,"ID_ISIN")</f>
        <v>US91282CEW73</v>
      </c>
      <c r="I867" s="1"/>
      <c r="J867" t="str">
        <f>_xll.BDP($B867,"CNTRY_OF_DOMICILE")</f>
        <v>US</v>
      </c>
      <c r="K867" t="s">
        <v>626</v>
      </c>
      <c r="L867" t="s">
        <v>627</v>
      </c>
      <c r="O867" s="1"/>
      <c r="AQ867" s="1"/>
      <c r="AR867" s="1"/>
      <c r="AS867" s="1"/>
      <c r="AT867" t="str">
        <f>TEXT(_xll.BDP($B867,"MATURITY"),"yyyy-mm-dd")</f>
        <v>2027-06-30</v>
      </c>
      <c r="AU867" t="str">
        <f>_xll.BDP($B867,"CPN_TYP")</f>
        <v>FIXED</v>
      </c>
      <c r="AV867">
        <f>_xll.BDP($B867,"CPN")</f>
        <v>3.25</v>
      </c>
    </row>
    <row r="868" spans="1:48" x14ac:dyDescent="0.25">
      <c r="A868" t="s">
        <v>2823</v>
      </c>
      <c r="B868" t="s">
        <v>2929</v>
      </c>
      <c r="C868" s="1" t="s">
        <v>2930</v>
      </c>
      <c r="D868" t="s">
        <v>1574</v>
      </c>
      <c r="E868" t="str">
        <f>_xll.BDP($B868,"LEGAL_ENTITY_IDENTIFIER")</f>
        <v>254900HROIFWPRGM1V77</v>
      </c>
      <c r="F868" t="s">
        <v>2931</v>
      </c>
      <c r="G868" t="str">
        <f>custodian!D868</f>
        <v>91282CFB2</v>
      </c>
      <c r="H868" t="str">
        <f>_xll.BDP($B868,"ID_ISIN")</f>
        <v>US91282CFB28</v>
      </c>
      <c r="I868" s="1"/>
      <c r="J868" t="str">
        <f>_xll.BDP($B868,"CNTRY_OF_DOMICILE")</f>
        <v>US</v>
      </c>
      <c r="K868" t="s">
        <v>626</v>
      </c>
      <c r="L868" t="s">
        <v>627</v>
      </c>
      <c r="O868" s="1"/>
      <c r="AQ868" s="1"/>
      <c r="AR868" s="1"/>
      <c r="AS868" s="1"/>
      <c r="AT868" t="str">
        <f>TEXT(_xll.BDP($B868,"MATURITY"),"yyyy-mm-dd")</f>
        <v>2027-07-31</v>
      </c>
      <c r="AU868" t="str">
        <f>_xll.BDP($B868,"CPN_TYP")</f>
        <v>FIXED</v>
      </c>
      <c r="AV868">
        <f>_xll.BDP($B868,"CPN")</f>
        <v>2.75</v>
      </c>
    </row>
    <row r="869" spans="1:48" x14ac:dyDescent="0.25">
      <c r="A869" t="s">
        <v>2823</v>
      </c>
      <c r="B869" t="s">
        <v>2932</v>
      </c>
      <c r="C869" s="1" t="s">
        <v>2933</v>
      </c>
      <c r="D869" t="s">
        <v>1574</v>
      </c>
      <c r="E869" t="str">
        <f>_xll.BDP($B869,"LEGAL_ENTITY_IDENTIFIER")</f>
        <v>254900HROIFWPRGM1V77</v>
      </c>
      <c r="F869" t="s">
        <v>2934</v>
      </c>
      <c r="G869" t="str">
        <f>custodian!D869</f>
        <v>91282CFH9</v>
      </c>
      <c r="H869" t="str">
        <f>_xll.BDP($B869,"ID_ISIN")</f>
        <v>US91282CFH97</v>
      </c>
      <c r="I869" s="1"/>
      <c r="J869" t="str">
        <f>_xll.BDP($B869,"CNTRY_OF_DOMICILE")</f>
        <v>US</v>
      </c>
      <c r="K869" t="s">
        <v>626</v>
      </c>
      <c r="L869" t="s">
        <v>627</v>
      </c>
      <c r="O869" s="1"/>
      <c r="AQ869" s="1"/>
      <c r="AR869" s="1"/>
      <c r="AS869" s="1"/>
      <c r="AT869" t="str">
        <f>TEXT(_xll.BDP($B869,"MATURITY"),"yyyy-mm-dd")</f>
        <v>2027-08-31</v>
      </c>
      <c r="AU869" t="str">
        <f>_xll.BDP($B869,"CPN_TYP")</f>
        <v>FIXED</v>
      </c>
      <c r="AV869">
        <f>_xll.BDP($B869,"CPN")</f>
        <v>3.125</v>
      </c>
    </row>
    <row r="870" spans="1:48" x14ac:dyDescent="0.25">
      <c r="A870" t="s">
        <v>2823</v>
      </c>
      <c r="B870" t="s">
        <v>2935</v>
      </c>
      <c r="C870" s="1" t="s">
        <v>2936</v>
      </c>
      <c r="D870" t="s">
        <v>1574</v>
      </c>
      <c r="E870" t="str">
        <f>_xll.BDP($B870,"LEGAL_ENTITY_IDENTIFIER")</f>
        <v>254900HROIFWPRGM1V77</v>
      </c>
      <c r="F870" t="s">
        <v>2937</v>
      </c>
      <c r="G870" t="str">
        <f>custodian!D870</f>
        <v>91282CFM8</v>
      </c>
      <c r="H870" t="str">
        <f>_xll.BDP($B870,"ID_ISIN")</f>
        <v>US91282CFM82</v>
      </c>
      <c r="I870" s="1"/>
      <c r="J870" t="str">
        <f>_xll.BDP($B870,"CNTRY_OF_DOMICILE")</f>
        <v>US</v>
      </c>
      <c r="K870" t="s">
        <v>626</v>
      </c>
      <c r="L870" t="s">
        <v>627</v>
      </c>
      <c r="O870" s="1"/>
      <c r="AQ870" s="1"/>
      <c r="AR870" s="1"/>
      <c r="AS870" s="1"/>
      <c r="AT870" t="str">
        <f>TEXT(_xll.BDP($B870,"MATURITY"),"yyyy-mm-dd")</f>
        <v>2027-09-30</v>
      </c>
      <c r="AU870" t="str">
        <f>_xll.BDP($B870,"CPN_TYP")</f>
        <v>FIXED</v>
      </c>
      <c r="AV870">
        <f>_xll.BDP($B870,"CPN")</f>
        <v>4.125</v>
      </c>
    </row>
    <row r="871" spans="1:48" x14ac:dyDescent="0.25">
      <c r="A871" t="s">
        <v>2823</v>
      </c>
      <c r="B871" t="s">
        <v>2938</v>
      </c>
      <c r="C871" s="1" t="s">
        <v>2939</v>
      </c>
      <c r="D871" t="s">
        <v>1574</v>
      </c>
      <c r="E871" t="str">
        <f>_xll.BDP($B871,"LEGAL_ENTITY_IDENTIFIER")</f>
        <v>254900HROIFWPRGM1V77</v>
      </c>
      <c r="F871" t="s">
        <v>2940</v>
      </c>
      <c r="G871" t="str">
        <f>custodian!D871</f>
        <v>91282CFU0</v>
      </c>
      <c r="H871" t="str">
        <f>_xll.BDP($B871,"ID_ISIN")</f>
        <v>US91282CFU09</v>
      </c>
      <c r="I871" s="1"/>
      <c r="J871" t="str">
        <f>_xll.BDP($B871,"CNTRY_OF_DOMICILE")</f>
        <v>US</v>
      </c>
      <c r="K871" t="s">
        <v>626</v>
      </c>
      <c r="L871" t="s">
        <v>627</v>
      </c>
      <c r="O871" s="1"/>
      <c r="AQ871" s="1"/>
      <c r="AR871" s="1"/>
      <c r="AS871" s="1"/>
      <c r="AT871" t="str">
        <f>TEXT(_xll.BDP($B871,"MATURITY"),"yyyy-mm-dd")</f>
        <v>2027-10-31</v>
      </c>
      <c r="AU871" t="str">
        <f>_xll.BDP($B871,"CPN_TYP")</f>
        <v>FIXED</v>
      </c>
      <c r="AV871">
        <f>_xll.BDP($B871,"CPN")</f>
        <v>4.125</v>
      </c>
    </row>
    <row r="872" spans="1:48" x14ac:dyDescent="0.25">
      <c r="A872" t="s">
        <v>2823</v>
      </c>
      <c r="B872" t="s">
        <v>2941</v>
      </c>
      <c r="C872" s="1" t="s">
        <v>2942</v>
      </c>
      <c r="D872" t="s">
        <v>1574</v>
      </c>
      <c r="E872" t="str">
        <f>_xll.BDP($B872,"LEGAL_ENTITY_IDENTIFIER")</f>
        <v>254900HROIFWPRGM1V77</v>
      </c>
      <c r="F872" t="s">
        <v>2943</v>
      </c>
      <c r="G872" t="str">
        <f>custodian!D872</f>
        <v>91282CFZ9</v>
      </c>
      <c r="H872" t="str">
        <f>_xll.BDP($B872,"ID_ISIN")</f>
        <v>US91282CFZ95</v>
      </c>
      <c r="I872" s="1"/>
      <c r="J872" t="str">
        <f>_xll.BDP($B872,"CNTRY_OF_DOMICILE")</f>
        <v>US</v>
      </c>
      <c r="K872" t="s">
        <v>626</v>
      </c>
      <c r="L872" t="s">
        <v>627</v>
      </c>
      <c r="O872" s="1"/>
      <c r="AQ872" s="1"/>
      <c r="AR872" s="1"/>
      <c r="AS872" s="1"/>
      <c r="AT872" t="str">
        <f>TEXT(_xll.BDP($B872,"MATURITY"),"yyyy-mm-dd")</f>
        <v>2027-11-30</v>
      </c>
      <c r="AU872" t="str">
        <f>_xll.BDP($B872,"CPN_TYP")</f>
        <v>FIXED</v>
      </c>
      <c r="AV872">
        <f>_xll.BDP($B872,"CPN")</f>
        <v>3.875</v>
      </c>
    </row>
    <row r="873" spans="1:48" x14ac:dyDescent="0.25">
      <c r="A873" t="s">
        <v>2823</v>
      </c>
      <c r="B873" t="s">
        <v>2944</v>
      </c>
      <c r="C873" s="1" t="s">
        <v>2945</v>
      </c>
      <c r="D873" t="s">
        <v>1574</v>
      </c>
      <c r="E873" t="str">
        <f>_xll.BDP($B873,"LEGAL_ENTITY_IDENTIFIER")</f>
        <v>254900HROIFWPRGM1V77</v>
      </c>
      <c r="F873" t="s">
        <v>2946</v>
      </c>
      <c r="G873" t="str">
        <f>custodian!D873</f>
        <v>91282CGC9</v>
      </c>
      <c r="H873" t="str">
        <f>_xll.BDP($B873,"ID_ISIN")</f>
        <v>US91282CGC91</v>
      </c>
      <c r="I873" s="1"/>
      <c r="J873" t="str">
        <f>_xll.BDP($B873,"CNTRY_OF_DOMICILE")</f>
        <v>US</v>
      </c>
      <c r="K873" t="s">
        <v>626</v>
      </c>
      <c r="L873" t="s">
        <v>627</v>
      </c>
      <c r="O873" s="1"/>
      <c r="AQ873" s="1"/>
      <c r="AR873" s="1"/>
      <c r="AS873" s="1"/>
      <c r="AT873" t="str">
        <f>TEXT(_xll.BDP($B873,"MATURITY"),"yyyy-mm-dd")</f>
        <v>2027-12-31</v>
      </c>
      <c r="AU873" t="str">
        <f>_xll.BDP($B873,"CPN_TYP")</f>
        <v>FIXED</v>
      </c>
      <c r="AV873">
        <f>_xll.BDP($B873,"CPN")</f>
        <v>3.875</v>
      </c>
    </row>
    <row r="874" spans="1:48" x14ac:dyDescent="0.25">
      <c r="A874" t="s">
        <v>2823</v>
      </c>
      <c r="B874" t="s">
        <v>2947</v>
      </c>
      <c r="C874" s="1" t="s">
        <v>2948</v>
      </c>
      <c r="D874" t="s">
        <v>1574</v>
      </c>
      <c r="E874" t="str">
        <f>_xll.BDP($B874,"LEGAL_ENTITY_IDENTIFIER")</f>
        <v>254900HROIFWPRGM1V77</v>
      </c>
      <c r="F874" t="s">
        <v>2949</v>
      </c>
      <c r="G874" t="str">
        <f>custodian!D874</f>
        <v>91282CGH8</v>
      </c>
      <c r="H874" t="str">
        <f>_xll.BDP($B874,"ID_ISIN")</f>
        <v>US91282CGH88</v>
      </c>
      <c r="I874" s="1"/>
      <c r="J874" t="str">
        <f>_xll.BDP($B874,"CNTRY_OF_DOMICILE")</f>
        <v>US</v>
      </c>
      <c r="K874" t="s">
        <v>626</v>
      </c>
      <c r="L874" t="s">
        <v>627</v>
      </c>
      <c r="O874" s="1"/>
      <c r="AQ874" s="1"/>
      <c r="AR874" s="1"/>
      <c r="AS874" s="1"/>
      <c r="AT874" t="str">
        <f>TEXT(_xll.BDP($B874,"MATURITY"),"yyyy-mm-dd")</f>
        <v>2028-01-31</v>
      </c>
      <c r="AU874" t="str">
        <f>_xll.BDP($B874,"CPN_TYP")</f>
        <v>FIXED</v>
      </c>
      <c r="AV874">
        <f>_xll.BDP($B874,"CPN")</f>
        <v>3.5</v>
      </c>
    </row>
    <row r="875" spans="1:48" x14ac:dyDescent="0.25">
      <c r="A875" t="s">
        <v>2823</v>
      </c>
      <c r="B875" t="s">
        <v>2950</v>
      </c>
      <c r="C875" s="1" t="s">
        <v>2951</v>
      </c>
      <c r="D875" t="s">
        <v>1574</v>
      </c>
      <c r="E875" t="str">
        <f>_xll.BDP($B875,"LEGAL_ENTITY_IDENTIFIER")</f>
        <v>254900HROIFWPRGM1V77</v>
      </c>
      <c r="F875" t="s">
        <v>2952</v>
      </c>
      <c r="G875" t="str">
        <f>custodian!D875</f>
        <v>91282CGP0</v>
      </c>
      <c r="H875" t="str">
        <f>_xll.BDP($B875,"ID_ISIN")</f>
        <v>US91282CGP05</v>
      </c>
      <c r="I875" s="1"/>
      <c r="J875" t="str">
        <f>_xll.BDP($B875,"CNTRY_OF_DOMICILE")</f>
        <v>US</v>
      </c>
      <c r="K875" t="s">
        <v>626</v>
      </c>
      <c r="L875" t="s">
        <v>627</v>
      </c>
      <c r="O875" s="1"/>
      <c r="AQ875" s="1"/>
      <c r="AR875" s="1"/>
      <c r="AS875" s="1"/>
      <c r="AT875" t="str">
        <f>TEXT(_xll.BDP($B875,"MATURITY"),"yyyy-mm-dd")</f>
        <v>2028-02-29</v>
      </c>
      <c r="AU875" t="str">
        <f>_xll.BDP($B875,"CPN_TYP")</f>
        <v>FIXED</v>
      </c>
      <c r="AV875">
        <f>_xll.BDP($B875,"CPN")</f>
        <v>4</v>
      </c>
    </row>
    <row r="876" spans="1:48" x14ac:dyDescent="0.25">
      <c r="A876" t="s">
        <v>2823</v>
      </c>
      <c r="B876" t="s">
        <v>2953</v>
      </c>
      <c r="C876" s="1" t="s">
        <v>2954</v>
      </c>
      <c r="D876" t="s">
        <v>1574</v>
      </c>
      <c r="E876" t="str">
        <f>_xll.BDP($B876,"LEGAL_ENTITY_IDENTIFIER")</f>
        <v>254900HROIFWPRGM1V77</v>
      </c>
      <c r="F876" t="s">
        <v>2955</v>
      </c>
      <c r="G876" t="str">
        <f>custodian!D876</f>
        <v>91282CGT2</v>
      </c>
      <c r="H876" t="str">
        <f>_xll.BDP($B876,"ID_ISIN")</f>
        <v>US91282CGT27</v>
      </c>
      <c r="I876" s="1"/>
      <c r="J876" t="str">
        <f>_xll.BDP($B876,"CNTRY_OF_DOMICILE")</f>
        <v>US</v>
      </c>
      <c r="K876" t="s">
        <v>626</v>
      </c>
      <c r="L876" t="s">
        <v>627</v>
      </c>
      <c r="O876" s="1"/>
      <c r="AQ876" s="1"/>
      <c r="AR876" s="1"/>
      <c r="AS876" s="1"/>
      <c r="AT876" t="str">
        <f>TEXT(_xll.BDP($B876,"MATURITY"),"yyyy-mm-dd")</f>
        <v>2028-03-31</v>
      </c>
      <c r="AU876" t="str">
        <f>_xll.BDP($B876,"CPN_TYP")</f>
        <v>FIXED</v>
      </c>
      <c r="AV876">
        <f>_xll.BDP($B876,"CPN")</f>
        <v>3.625</v>
      </c>
    </row>
    <row r="877" spans="1:48" x14ac:dyDescent="0.25">
      <c r="A877" t="s">
        <v>2823</v>
      </c>
      <c r="B877" t="s">
        <v>2956</v>
      </c>
      <c r="C877" s="1" t="s">
        <v>2957</v>
      </c>
      <c r="D877" t="s">
        <v>1574</v>
      </c>
      <c r="E877" t="str">
        <f>_xll.BDP($B877,"LEGAL_ENTITY_IDENTIFIER")</f>
        <v>254900HROIFWPRGM1V77</v>
      </c>
      <c r="F877" t="s">
        <v>2958</v>
      </c>
      <c r="G877" t="str">
        <f>custodian!D877</f>
        <v>91282CHA2</v>
      </c>
      <c r="H877" t="str">
        <f>_xll.BDP($B877,"ID_ISIN")</f>
        <v>US91282CHA27</v>
      </c>
      <c r="I877" s="1"/>
      <c r="J877" t="str">
        <f>_xll.BDP($B877,"CNTRY_OF_DOMICILE")</f>
        <v>US</v>
      </c>
      <c r="K877" t="s">
        <v>626</v>
      </c>
      <c r="L877" t="s">
        <v>627</v>
      </c>
      <c r="O877" s="1"/>
      <c r="AQ877" s="1"/>
      <c r="AR877" s="1"/>
      <c r="AS877" s="1"/>
      <c r="AT877" t="str">
        <f>TEXT(_xll.BDP($B877,"MATURITY"),"yyyy-mm-dd")</f>
        <v>2028-04-30</v>
      </c>
      <c r="AU877" t="str">
        <f>_xll.BDP($B877,"CPN_TYP")</f>
        <v>FIXED</v>
      </c>
      <c r="AV877">
        <f>_xll.BDP($B877,"CPN")</f>
        <v>3.5</v>
      </c>
    </row>
    <row r="878" spans="1:48" x14ac:dyDescent="0.25">
      <c r="A878" t="s">
        <v>2823</v>
      </c>
      <c r="B878" t="s">
        <v>2959</v>
      </c>
      <c r="C878" s="1" t="s">
        <v>2960</v>
      </c>
      <c r="D878" t="s">
        <v>1574</v>
      </c>
      <c r="E878" t="str">
        <f>_xll.BDP($B878,"LEGAL_ENTITY_IDENTIFIER")</f>
        <v>254900HROIFWPRGM1V77</v>
      </c>
      <c r="F878" t="s">
        <v>2961</v>
      </c>
      <c r="G878" t="str">
        <f>custodian!D878</f>
        <v>91282CHE4</v>
      </c>
      <c r="H878" t="str">
        <f>_xll.BDP($B878,"ID_ISIN")</f>
        <v>US91282CHE49</v>
      </c>
      <c r="I878" s="1"/>
      <c r="J878" t="str">
        <f>_xll.BDP($B878,"CNTRY_OF_DOMICILE")</f>
        <v>US</v>
      </c>
      <c r="K878" t="s">
        <v>626</v>
      </c>
      <c r="L878" t="s">
        <v>627</v>
      </c>
      <c r="O878" s="1"/>
      <c r="AQ878" s="1"/>
      <c r="AR878" s="1"/>
      <c r="AS878" s="1"/>
      <c r="AT878" t="str">
        <f>TEXT(_xll.BDP($B878,"MATURITY"),"yyyy-mm-dd")</f>
        <v>2028-05-31</v>
      </c>
      <c r="AU878" t="str">
        <f>_xll.BDP($B878,"CPN_TYP")</f>
        <v>FIXED</v>
      </c>
      <c r="AV878">
        <f>_xll.BDP($B878,"CPN")</f>
        <v>3.625</v>
      </c>
    </row>
    <row r="879" spans="1:48" x14ac:dyDescent="0.25">
      <c r="A879" t="s">
        <v>2823</v>
      </c>
      <c r="B879" t="s">
        <v>2962</v>
      </c>
      <c r="C879" s="1" t="s">
        <v>2963</v>
      </c>
      <c r="D879" t="s">
        <v>1574</v>
      </c>
      <c r="E879" t="str">
        <f>_xll.BDP($B879,"LEGAL_ENTITY_IDENTIFIER")</f>
        <v>254900HROIFWPRGM1V77</v>
      </c>
      <c r="F879" t="s">
        <v>2964</v>
      </c>
      <c r="G879" t="str">
        <f>custodian!D879</f>
        <v>91282CHK0</v>
      </c>
      <c r="H879" t="str">
        <f>_xll.BDP($B879,"ID_ISIN")</f>
        <v>US91282CHK09</v>
      </c>
      <c r="I879" s="1"/>
      <c r="J879" t="str">
        <f>_xll.BDP($B879,"CNTRY_OF_DOMICILE")</f>
        <v>US</v>
      </c>
      <c r="K879" t="s">
        <v>626</v>
      </c>
      <c r="L879" t="s">
        <v>627</v>
      </c>
      <c r="O879" s="1"/>
      <c r="AQ879" s="1"/>
      <c r="AR879" s="1"/>
      <c r="AS879" s="1"/>
      <c r="AT879" t="str">
        <f>TEXT(_xll.BDP($B879,"MATURITY"),"yyyy-mm-dd")</f>
        <v>2028-06-30</v>
      </c>
      <c r="AU879" t="str">
        <f>_xll.BDP($B879,"CPN_TYP")</f>
        <v>FIXED</v>
      </c>
      <c r="AV879">
        <f>_xll.BDP($B879,"CPN")</f>
        <v>4</v>
      </c>
    </row>
    <row r="880" spans="1:48" x14ac:dyDescent="0.25">
      <c r="A880" t="s">
        <v>2823</v>
      </c>
      <c r="B880" t="s">
        <v>2965</v>
      </c>
      <c r="C880" s="1" t="s">
        <v>2966</v>
      </c>
      <c r="D880" t="s">
        <v>1574</v>
      </c>
      <c r="E880" t="str">
        <f>_xll.BDP($B880,"LEGAL_ENTITY_IDENTIFIER")</f>
        <v>254900HROIFWPRGM1V77</v>
      </c>
      <c r="F880" t="s">
        <v>2967</v>
      </c>
      <c r="G880" t="str">
        <f>custodian!D880</f>
        <v>91282CHQ7</v>
      </c>
      <c r="H880" t="str">
        <f>_xll.BDP($B880,"ID_ISIN")</f>
        <v>US91282CHQ78</v>
      </c>
      <c r="I880" s="1"/>
      <c r="J880" t="str">
        <f>_xll.BDP($B880,"CNTRY_OF_DOMICILE")</f>
        <v>US</v>
      </c>
      <c r="K880" t="s">
        <v>626</v>
      </c>
      <c r="L880" t="s">
        <v>627</v>
      </c>
      <c r="O880" s="1"/>
      <c r="AQ880" s="1"/>
      <c r="AR880" s="1"/>
      <c r="AS880" s="1"/>
      <c r="AT880" t="str">
        <f>TEXT(_xll.BDP($B880,"MATURITY"),"yyyy-mm-dd")</f>
        <v>2028-07-31</v>
      </c>
      <c r="AU880" t="str">
        <f>_xll.BDP($B880,"CPN_TYP")</f>
        <v>FIXED</v>
      </c>
      <c r="AV880">
        <f>_xll.BDP($B880,"CPN")</f>
        <v>4.125</v>
      </c>
    </row>
    <row r="881" spans="1:48" x14ac:dyDescent="0.25">
      <c r="A881" t="s">
        <v>2823</v>
      </c>
      <c r="B881" t="s">
        <v>2968</v>
      </c>
      <c r="C881" s="1" t="s">
        <v>2969</v>
      </c>
      <c r="D881" t="s">
        <v>1574</v>
      </c>
      <c r="E881" t="str">
        <f>_xll.BDP($B881,"LEGAL_ENTITY_IDENTIFIER")</f>
        <v>254900HROIFWPRGM1V77</v>
      </c>
      <c r="F881" t="s">
        <v>2970</v>
      </c>
      <c r="G881" t="str">
        <f>custodian!D881</f>
        <v>91282CHX2</v>
      </c>
      <c r="H881" t="str">
        <f>_xll.BDP($B881,"ID_ISIN")</f>
        <v>US91282CHX20</v>
      </c>
      <c r="I881" s="1"/>
      <c r="J881" t="str">
        <f>_xll.BDP($B881,"CNTRY_OF_DOMICILE")</f>
        <v>US</v>
      </c>
      <c r="K881" t="s">
        <v>626</v>
      </c>
      <c r="L881" t="s">
        <v>627</v>
      </c>
      <c r="O881" s="1"/>
      <c r="AQ881" s="1"/>
      <c r="AR881" s="1"/>
      <c r="AS881" s="1"/>
      <c r="AT881" t="str">
        <f>TEXT(_xll.BDP($B881,"MATURITY"),"yyyy-mm-dd")</f>
        <v>2028-08-31</v>
      </c>
      <c r="AU881" t="str">
        <f>_xll.BDP($B881,"CPN_TYP")</f>
        <v>FIXED</v>
      </c>
      <c r="AV881">
        <f>_xll.BDP($B881,"CPN")</f>
        <v>4.375</v>
      </c>
    </row>
    <row r="882" spans="1:48" x14ac:dyDescent="0.25">
      <c r="A882" t="s">
        <v>2823</v>
      </c>
      <c r="B882" t="s">
        <v>2971</v>
      </c>
      <c r="C882" s="1" t="s">
        <v>2972</v>
      </c>
      <c r="D882" t="s">
        <v>1574</v>
      </c>
      <c r="E882" t="str">
        <f>_xll.BDP($B882,"LEGAL_ENTITY_IDENTIFIER")</f>
        <v>254900HROIFWPRGM1V77</v>
      </c>
      <c r="F882" t="s">
        <v>2973</v>
      </c>
      <c r="G882" t="str">
        <f>custodian!D882</f>
        <v>91282CJA0</v>
      </c>
      <c r="H882" t="str">
        <f>_xll.BDP($B882,"ID_ISIN")</f>
        <v>US91282CJA09</v>
      </c>
      <c r="I882" s="1"/>
      <c r="J882" t="str">
        <f>_xll.BDP($B882,"CNTRY_OF_DOMICILE")</f>
        <v>US</v>
      </c>
      <c r="K882" t="s">
        <v>626</v>
      </c>
      <c r="L882" t="s">
        <v>627</v>
      </c>
      <c r="O882" s="1"/>
      <c r="AQ882" s="1"/>
      <c r="AR882" s="1"/>
      <c r="AS882" s="1"/>
      <c r="AT882" t="str">
        <f>TEXT(_xll.BDP($B882,"MATURITY"),"yyyy-mm-dd")</f>
        <v>2028-09-30</v>
      </c>
      <c r="AU882" t="str">
        <f>_xll.BDP($B882,"CPN_TYP")</f>
        <v>FIXED</v>
      </c>
      <c r="AV882">
        <f>_xll.BDP($B882,"CPN")</f>
        <v>4.625</v>
      </c>
    </row>
    <row r="883" spans="1:48" x14ac:dyDescent="0.25">
      <c r="A883" t="s">
        <v>2823</v>
      </c>
      <c r="B883" t="s">
        <v>2974</v>
      </c>
      <c r="C883" s="1" t="s">
        <v>2975</v>
      </c>
      <c r="D883" t="s">
        <v>1574</v>
      </c>
      <c r="E883" t="str">
        <f>_xll.BDP($B883,"LEGAL_ENTITY_IDENTIFIER")</f>
        <v>254900HROIFWPRGM1V77</v>
      </c>
      <c r="F883" t="s">
        <v>2976</v>
      </c>
      <c r="G883" t="str">
        <f>custodian!D883</f>
        <v>91282CJF9</v>
      </c>
      <c r="H883" t="str">
        <f>_xll.BDP($B883,"ID_ISIN")</f>
        <v>US91282CJF95</v>
      </c>
      <c r="I883" s="1"/>
      <c r="J883" t="str">
        <f>_xll.BDP($B883,"CNTRY_OF_DOMICILE")</f>
        <v>US</v>
      </c>
      <c r="K883" t="s">
        <v>626</v>
      </c>
      <c r="L883" t="s">
        <v>627</v>
      </c>
      <c r="O883" s="1"/>
      <c r="AQ883" s="1"/>
      <c r="AR883" s="1"/>
      <c r="AS883" s="1"/>
      <c r="AT883" t="str">
        <f>TEXT(_xll.BDP($B883,"MATURITY"),"yyyy-mm-dd")</f>
        <v>2028-10-31</v>
      </c>
      <c r="AU883" t="str">
        <f>_xll.BDP($B883,"CPN_TYP")</f>
        <v>FIXED</v>
      </c>
      <c r="AV883">
        <f>_xll.BDP($B883,"CPN")</f>
        <v>4.875</v>
      </c>
    </row>
    <row r="884" spans="1:48" x14ac:dyDescent="0.25">
      <c r="A884" t="s">
        <v>2823</v>
      </c>
      <c r="B884" t="s">
        <v>2977</v>
      </c>
      <c r="C884" s="1" t="s">
        <v>2978</v>
      </c>
      <c r="D884" t="s">
        <v>1574</v>
      </c>
      <c r="E884" t="str">
        <f>_xll.BDP($B884,"LEGAL_ENTITY_IDENTIFIER")</f>
        <v>254900HROIFWPRGM1V77</v>
      </c>
      <c r="F884" t="s">
        <v>2979</v>
      </c>
      <c r="G884" t="str">
        <f>custodian!D884</f>
        <v>91282CJN2</v>
      </c>
      <c r="H884" t="str">
        <f>_xll.BDP($B884,"ID_ISIN")</f>
        <v>US91282CJN20</v>
      </c>
      <c r="I884" s="1"/>
      <c r="J884" t="str">
        <f>_xll.BDP($B884,"CNTRY_OF_DOMICILE")</f>
        <v>US</v>
      </c>
      <c r="K884" t="s">
        <v>626</v>
      </c>
      <c r="L884" t="s">
        <v>627</v>
      </c>
      <c r="O884" s="1"/>
      <c r="AQ884" s="1"/>
      <c r="AR884" s="1"/>
      <c r="AS884" s="1"/>
      <c r="AT884" t="str">
        <f>TEXT(_xll.BDP($B884,"MATURITY"),"yyyy-mm-dd")</f>
        <v>2028-11-30</v>
      </c>
      <c r="AU884" t="str">
        <f>_xll.BDP($B884,"CPN_TYP")</f>
        <v>FIXED</v>
      </c>
      <c r="AV884">
        <f>_xll.BDP($B884,"CPN")</f>
        <v>4.375</v>
      </c>
    </row>
    <row r="885" spans="1:48" x14ac:dyDescent="0.25">
      <c r="A885" t="s">
        <v>2823</v>
      </c>
      <c r="B885" t="s">
        <v>2980</v>
      </c>
      <c r="C885" s="1" t="s">
        <v>2981</v>
      </c>
      <c r="D885" t="s">
        <v>1574</v>
      </c>
      <c r="E885" t="str">
        <f>_xll.BDP($B885,"LEGAL_ENTITY_IDENTIFIER")</f>
        <v>254900HROIFWPRGM1V77</v>
      </c>
      <c r="F885" t="s">
        <v>2982</v>
      </c>
      <c r="G885" t="str">
        <f>custodian!D885</f>
        <v>91282CJR3</v>
      </c>
      <c r="H885" t="str">
        <f>_xll.BDP($B885,"ID_ISIN")</f>
        <v>US91282CJR34</v>
      </c>
      <c r="I885" s="1"/>
      <c r="J885" t="str">
        <f>_xll.BDP($B885,"CNTRY_OF_DOMICILE")</f>
        <v>US</v>
      </c>
      <c r="K885" t="s">
        <v>626</v>
      </c>
      <c r="L885" t="s">
        <v>627</v>
      </c>
      <c r="O885" s="1"/>
      <c r="AQ885" s="1"/>
      <c r="AR885" s="1"/>
      <c r="AS885" s="1"/>
      <c r="AT885" t="str">
        <f>TEXT(_xll.BDP($B885,"MATURITY"),"yyyy-mm-dd")</f>
        <v>2028-12-31</v>
      </c>
      <c r="AU885" t="str">
        <f>_xll.BDP($B885,"CPN_TYP")</f>
        <v>FIXED</v>
      </c>
      <c r="AV885">
        <f>_xll.BDP($B885,"CPN")</f>
        <v>3.75</v>
      </c>
    </row>
    <row r="886" spans="1:48" x14ac:dyDescent="0.25">
      <c r="A886" t="s">
        <v>2823</v>
      </c>
      <c r="B886" t="s">
        <v>2983</v>
      </c>
      <c r="C886" s="1" t="s">
        <v>2984</v>
      </c>
      <c r="D886" t="s">
        <v>1574</v>
      </c>
      <c r="E886" t="str">
        <f>_xll.BDP($B886,"LEGAL_ENTITY_IDENTIFIER")</f>
        <v>254900HROIFWPRGM1V77</v>
      </c>
      <c r="F886" t="s">
        <v>2985</v>
      </c>
      <c r="G886" t="str">
        <f>custodian!D886</f>
        <v>91282CJW2</v>
      </c>
      <c r="H886" t="str">
        <f>_xll.BDP($B886,"ID_ISIN")</f>
        <v>US91282CJW29</v>
      </c>
      <c r="I886" s="1"/>
      <c r="J886" t="str">
        <f>_xll.BDP($B886,"CNTRY_OF_DOMICILE")</f>
        <v>US</v>
      </c>
      <c r="K886" t="s">
        <v>626</v>
      </c>
      <c r="L886" t="s">
        <v>627</v>
      </c>
      <c r="O886" s="1"/>
      <c r="AQ886" s="1"/>
      <c r="AR886" s="1"/>
      <c r="AS886" s="1"/>
      <c r="AT886" t="str">
        <f>TEXT(_xll.BDP($B886,"MATURITY"),"yyyy-mm-dd")</f>
        <v>2029-01-31</v>
      </c>
      <c r="AU886" t="str">
        <f>_xll.BDP($B886,"CPN_TYP")</f>
        <v>FIXED</v>
      </c>
      <c r="AV886">
        <f>_xll.BDP($B886,"CPN")</f>
        <v>4</v>
      </c>
    </row>
    <row r="887" spans="1:48" x14ac:dyDescent="0.25">
      <c r="A887" t="s">
        <v>2823</v>
      </c>
      <c r="B887" t="s">
        <v>2986</v>
      </c>
      <c r="C887" s="1" t="s">
        <v>2987</v>
      </c>
      <c r="D887" t="s">
        <v>1574</v>
      </c>
      <c r="E887" t="str">
        <f>_xll.BDP($B887,"LEGAL_ENTITY_IDENTIFIER")</f>
        <v>254900HROIFWPRGM1V77</v>
      </c>
      <c r="F887" t="s">
        <v>2988</v>
      </c>
      <c r="G887" t="str">
        <f>custodian!D887</f>
        <v>91282CKD2</v>
      </c>
      <c r="H887" t="str">
        <f>_xll.BDP($B887,"ID_ISIN")</f>
        <v>US91282CKD29</v>
      </c>
      <c r="I887" s="1"/>
      <c r="J887" t="str">
        <f>_xll.BDP($B887,"CNTRY_OF_DOMICILE")</f>
        <v>US</v>
      </c>
      <c r="K887" t="s">
        <v>626</v>
      </c>
      <c r="L887" t="s">
        <v>627</v>
      </c>
      <c r="O887" s="1"/>
      <c r="AQ887" s="1"/>
      <c r="AR887" s="1"/>
      <c r="AS887" s="1"/>
      <c r="AT887" t="str">
        <f>TEXT(_xll.BDP($B887,"MATURITY"),"yyyy-mm-dd")</f>
        <v>2029-02-28</v>
      </c>
      <c r="AU887" t="str">
        <f>_xll.BDP($B887,"CPN_TYP")</f>
        <v>FIXED</v>
      </c>
      <c r="AV887">
        <f>_xll.BDP($B887,"CPN")</f>
        <v>4.25</v>
      </c>
    </row>
    <row r="888" spans="1:48" x14ac:dyDescent="0.25">
      <c r="A888" t="s">
        <v>2823</v>
      </c>
      <c r="B888" t="s">
        <v>2989</v>
      </c>
      <c r="C888" s="1" t="s">
        <v>2990</v>
      </c>
      <c r="D888" t="s">
        <v>1574</v>
      </c>
      <c r="E888" t="str">
        <f>_xll.BDP($B888,"LEGAL_ENTITY_IDENTIFIER")</f>
        <v>254900HROIFWPRGM1V77</v>
      </c>
      <c r="F888" t="s">
        <v>2991</v>
      </c>
      <c r="G888" t="str">
        <f>custodian!D888</f>
        <v>91282CKG5</v>
      </c>
      <c r="H888" t="str">
        <f>_xll.BDP($B888,"ID_ISIN")</f>
        <v>US91282CKG59</v>
      </c>
      <c r="I888" s="1"/>
      <c r="J888" t="str">
        <f>_xll.BDP($B888,"CNTRY_OF_DOMICILE")</f>
        <v>US</v>
      </c>
      <c r="K888" t="s">
        <v>626</v>
      </c>
      <c r="L888" t="s">
        <v>627</v>
      </c>
      <c r="O888" s="1"/>
      <c r="AQ888" s="1"/>
      <c r="AR888" s="1"/>
      <c r="AS888" s="1"/>
      <c r="AT888" t="str">
        <f>TEXT(_xll.BDP($B888,"MATURITY"),"yyyy-mm-dd")</f>
        <v>2029-03-31</v>
      </c>
      <c r="AU888" t="str">
        <f>_xll.BDP($B888,"CPN_TYP")</f>
        <v>FIXED</v>
      </c>
      <c r="AV888">
        <f>_xll.BDP($B888,"CPN")</f>
        <v>4.125</v>
      </c>
    </row>
    <row r="889" spans="1:48" x14ac:dyDescent="0.25">
      <c r="A889" t="s">
        <v>2823</v>
      </c>
      <c r="B889" t="s">
        <v>2992</v>
      </c>
      <c r="C889" s="1" t="s">
        <v>2993</v>
      </c>
      <c r="D889" t="s">
        <v>1574</v>
      </c>
      <c r="E889" t="str">
        <f>_xll.BDP($B889,"LEGAL_ENTITY_IDENTIFIER")</f>
        <v>254900HROIFWPRGM1V77</v>
      </c>
      <c r="F889" t="s">
        <v>2994</v>
      </c>
      <c r="G889" t="str">
        <f>custodian!D889</f>
        <v>91282CKP5</v>
      </c>
      <c r="H889" t="str">
        <f>_xll.BDP($B889,"ID_ISIN")</f>
        <v>US91282CKP58</v>
      </c>
      <c r="I889" s="1"/>
      <c r="J889" t="str">
        <f>_xll.BDP($B889,"CNTRY_OF_DOMICILE")</f>
        <v>US</v>
      </c>
      <c r="K889" t="s">
        <v>626</v>
      </c>
      <c r="L889" t="s">
        <v>627</v>
      </c>
      <c r="O889" s="1"/>
      <c r="AQ889" s="1"/>
      <c r="AR889" s="1"/>
      <c r="AS889" s="1"/>
      <c r="AT889" t="str">
        <f>TEXT(_xll.BDP($B889,"MATURITY"),"yyyy-mm-dd")</f>
        <v>2029-04-30</v>
      </c>
      <c r="AU889" t="str">
        <f>_xll.BDP($B889,"CPN_TYP")</f>
        <v>FIXED</v>
      </c>
      <c r="AV889">
        <f>_xll.BDP($B889,"CPN")</f>
        <v>4.625</v>
      </c>
    </row>
    <row r="890" spans="1:48" x14ac:dyDescent="0.25">
      <c r="A890" t="s">
        <v>2823</v>
      </c>
      <c r="B890" t="s">
        <v>2995</v>
      </c>
      <c r="C890" s="1" t="s">
        <v>2996</v>
      </c>
      <c r="D890" t="s">
        <v>1574</v>
      </c>
      <c r="E890" t="str">
        <f>_xll.BDP($B890,"LEGAL_ENTITY_IDENTIFIER")</f>
        <v>254900HROIFWPRGM1V77</v>
      </c>
      <c r="F890" t="s">
        <v>2997</v>
      </c>
      <c r="G890" t="str">
        <f>custodian!D890</f>
        <v>91282CKV2</v>
      </c>
      <c r="H890" t="str">
        <f>_xll.BDP($B890,"ID_ISIN")</f>
        <v>US91282CKV27</v>
      </c>
      <c r="I890" s="1"/>
      <c r="J890" t="str">
        <f>_xll.BDP($B890,"CNTRY_OF_DOMICILE")</f>
        <v>US</v>
      </c>
      <c r="K890" t="s">
        <v>626</v>
      </c>
      <c r="L890" t="s">
        <v>627</v>
      </c>
      <c r="O890" s="1"/>
      <c r="AQ890" s="1"/>
      <c r="AR890" s="1"/>
      <c r="AS890" s="1"/>
      <c r="AT890" t="str">
        <f>TEXT(_xll.BDP($B890,"MATURITY"),"yyyy-mm-dd")</f>
        <v>2027-06-15</v>
      </c>
      <c r="AU890" t="str">
        <f>_xll.BDP($B890,"CPN_TYP")</f>
        <v>FIXED</v>
      </c>
      <c r="AV890">
        <f>_xll.BDP($B890,"CPN")</f>
        <v>4.625</v>
      </c>
    </row>
    <row r="891" spans="1:48" x14ac:dyDescent="0.25">
      <c r="A891" t="s">
        <v>2823</v>
      </c>
      <c r="B891" t="s">
        <v>2998</v>
      </c>
      <c r="C891" s="1" t="s">
        <v>2999</v>
      </c>
      <c r="D891" t="s">
        <v>1574</v>
      </c>
      <c r="E891" t="str">
        <f>_xll.BDP($B891,"LEGAL_ENTITY_IDENTIFIER")</f>
        <v>254900HROIFWPRGM1V77</v>
      </c>
      <c r="F891" t="s">
        <v>3000</v>
      </c>
      <c r="G891" t="str">
        <f>custodian!D891</f>
        <v>91282CKZ3</v>
      </c>
      <c r="H891" t="str">
        <f>_xll.BDP($B891,"ID_ISIN")</f>
        <v>US91282CKZ31</v>
      </c>
      <c r="I891" s="1"/>
      <c r="J891" t="str">
        <f>_xll.BDP($B891,"CNTRY_OF_DOMICILE")</f>
        <v>US</v>
      </c>
      <c r="K891" t="s">
        <v>626</v>
      </c>
      <c r="L891" t="s">
        <v>627</v>
      </c>
      <c r="O891" s="1"/>
      <c r="AQ891" s="1"/>
      <c r="AR891" s="1"/>
      <c r="AS891" s="1"/>
      <c r="AT891" t="str">
        <f>TEXT(_xll.BDP($B891,"MATURITY"),"yyyy-mm-dd")</f>
        <v>2027-07-15</v>
      </c>
      <c r="AU891" t="str">
        <f>_xll.BDP($B891,"CPN_TYP")</f>
        <v>FIXED</v>
      </c>
      <c r="AV891">
        <f>_xll.BDP($B891,"CPN")</f>
        <v>4.375</v>
      </c>
    </row>
    <row r="892" spans="1:48" x14ac:dyDescent="0.25">
      <c r="A892" t="s">
        <v>2823</v>
      </c>
      <c r="B892" t="s">
        <v>3001</v>
      </c>
      <c r="C892" s="1" t="s">
        <v>3002</v>
      </c>
      <c r="D892" t="s">
        <v>1574</v>
      </c>
      <c r="E892" t="str">
        <f>_xll.BDP($B892,"LEGAL_ENTITY_IDENTIFIER")</f>
        <v>254900HROIFWPRGM1V77</v>
      </c>
      <c r="F892" t="s">
        <v>3003</v>
      </c>
      <c r="G892" t="str">
        <f>custodian!D892</f>
        <v>91282CLG4</v>
      </c>
      <c r="H892" t="str">
        <f>_xll.BDP($B892,"ID_ISIN")</f>
        <v>US91282CLG41</v>
      </c>
      <c r="I892" s="1"/>
      <c r="J892" t="str">
        <f>_xll.BDP($B892,"CNTRY_OF_DOMICILE")</f>
        <v>US</v>
      </c>
      <c r="K892" t="s">
        <v>626</v>
      </c>
      <c r="L892" t="s">
        <v>627</v>
      </c>
      <c r="O892" s="1"/>
      <c r="AQ892" s="1"/>
      <c r="AR892" s="1"/>
      <c r="AS892" s="1"/>
      <c r="AT892" t="str">
        <f>TEXT(_xll.BDP($B892,"MATURITY"),"yyyy-mm-dd")</f>
        <v>2027-08-15</v>
      </c>
      <c r="AU892" t="str">
        <f>_xll.BDP($B892,"CPN_TYP")</f>
        <v>FIXED</v>
      </c>
      <c r="AV892">
        <f>_xll.BDP($B892,"CPN")</f>
        <v>3.75</v>
      </c>
    </row>
    <row r="893" spans="1:48" x14ac:dyDescent="0.25">
      <c r="A893" t="s">
        <v>2823</v>
      </c>
      <c r="B893" t="s">
        <v>3004</v>
      </c>
      <c r="C893" s="1" t="s">
        <v>3005</v>
      </c>
      <c r="D893" t="s">
        <v>1574</v>
      </c>
      <c r="E893" t="str">
        <f>_xll.BDP($B893,"LEGAL_ENTITY_IDENTIFIER")</f>
        <v>254900HROIFWPRGM1V77</v>
      </c>
      <c r="F893" t="s">
        <v>3006</v>
      </c>
      <c r="G893" t="str">
        <f>custodian!D893</f>
        <v>91282CLL3</v>
      </c>
      <c r="H893" t="str">
        <f>_xll.BDP($B893,"ID_ISIN")</f>
        <v>US91282CLL36</v>
      </c>
      <c r="I893" s="1"/>
      <c r="J893" t="str">
        <f>_xll.BDP($B893,"CNTRY_OF_DOMICILE")</f>
        <v>US</v>
      </c>
      <c r="K893" t="s">
        <v>626</v>
      </c>
      <c r="L893" t="s">
        <v>627</v>
      </c>
      <c r="O893" s="1"/>
      <c r="AQ893" s="1"/>
      <c r="AR893" s="1"/>
      <c r="AS893" s="1"/>
      <c r="AT893" t="str">
        <f>TEXT(_xll.BDP($B893,"MATURITY"),"yyyy-mm-dd")</f>
        <v>2027-09-15</v>
      </c>
      <c r="AU893" t="str">
        <f>_xll.BDP($B893,"CPN_TYP")</f>
        <v>FIXED</v>
      </c>
      <c r="AV893">
        <f>_xll.BDP($B893,"CPN")</f>
        <v>3.375</v>
      </c>
    </row>
    <row r="894" spans="1:48" x14ac:dyDescent="0.25">
      <c r="A894" t="s">
        <v>2823</v>
      </c>
      <c r="B894" t="s">
        <v>3007</v>
      </c>
      <c r="C894" s="1" t="s">
        <v>3008</v>
      </c>
      <c r="D894" t="s">
        <v>1574</v>
      </c>
      <c r="E894" t="str">
        <f>_xll.BDP($B894,"LEGAL_ENTITY_IDENTIFIER")</f>
        <v>254900HROIFWPRGM1V77</v>
      </c>
      <c r="F894" t="s">
        <v>3009</v>
      </c>
      <c r="G894" t="str">
        <f>custodian!D894</f>
        <v>91282CLQ2</v>
      </c>
      <c r="H894" t="str">
        <f>_xll.BDP($B894,"ID_ISIN")</f>
        <v>US91282CLQ23</v>
      </c>
      <c r="I894" s="1"/>
      <c r="J894" t="str">
        <f>_xll.BDP($B894,"CNTRY_OF_DOMICILE")</f>
        <v>US</v>
      </c>
      <c r="K894" t="s">
        <v>626</v>
      </c>
      <c r="L894" t="s">
        <v>627</v>
      </c>
      <c r="O894" s="1"/>
      <c r="AQ894" s="1"/>
      <c r="AR894" s="1"/>
      <c r="AS894" s="1"/>
      <c r="AT894" t="str">
        <f>TEXT(_xll.BDP($B894,"MATURITY"),"yyyy-mm-dd")</f>
        <v>2027-10-15</v>
      </c>
      <c r="AU894" t="str">
        <f>_xll.BDP($B894,"CPN_TYP")</f>
        <v>FIXED</v>
      </c>
      <c r="AV894">
        <f>_xll.BDP($B894,"CPN")</f>
        <v>3.875</v>
      </c>
    </row>
    <row r="895" spans="1:48" x14ac:dyDescent="0.25">
      <c r="A895" t="s">
        <v>2823</v>
      </c>
      <c r="B895" t="s">
        <v>3010</v>
      </c>
      <c r="C895" s="1" t="s">
        <v>3011</v>
      </c>
      <c r="D895" t="s">
        <v>1574</v>
      </c>
      <c r="E895" t="str">
        <f>_xll.BDP($B895,"LEGAL_ENTITY_IDENTIFIER")</f>
        <v>254900HROIFWPRGM1V77</v>
      </c>
      <c r="F895" t="s">
        <v>3012</v>
      </c>
      <c r="G895" t="str">
        <f>custodian!D895</f>
        <v>91282CLX7</v>
      </c>
      <c r="H895" t="str">
        <f>_xll.BDP($B895,"ID_ISIN")</f>
        <v>US91282CLX73</v>
      </c>
      <c r="I895" s="1"/>
      <c r="J895" t="str">
        <f>_xll.BDP($B895,"CNTRY_OF_DOMICILE")</f>
        <v>US</v>
      </c>
      <c r="K895" t="s">
        <v>626</v>
      </c>
      <c r="L895" t="s">
        <v>627</v>
      </c>
      <c r="O895" s="1"/>
      <c r="AQ895" s="1"/>
      <c r="AR895" s="1"/>
      <c r="AS895" s="1"/>
      <c r="AT895" t="str">
        <f>TEXT(_xll.BDP($B895,"MATURITY"),"yyyy-mm-dd")</f>
        <v>2027-11-15</v>
      </c>
      <c r="AU895" t="str">
        <f>_xll.BDP($B895,"CPN_TYP")</f>
        <v>FIXED</v>
      </c>
      <c r="AV895">
        <f>_xll.BDP($B895,"CPN")</f>
        <v>4.125</v>
      </c>
    </row>
    <row r="896" spans="1:48" x14ac:dyDescent="0.25">
      <c r="A896" t="s">
        <v>2823</v>
      </c>
      <c r="B896" t="s">
        <v>3013</v>
      </c>
      <c r="C896" s="1" t="s">
        <v>3014</v>
      </c>
      <c r="D896" t="s">
        <v>1574</v>
      </c>
      <c r="E896" t="str">
        <f>_xll.BDP($B896,"LEGAL_ENTITY_IDENTIFIER")</f>
        <v>254900HROIFWPRGM1V77</v>
      </c>
      <c r="F896" t="s">
        <v>3015</v>
      </c>
      <c r="G896" t="str">
        <f>custodian!D896</f>
        <v>91282CMB4</v>
      </c>
      <c r="H896" t="str">
        <f>_xll.BDP($B896,"ID_ISIN")</f>
        <v>US91282CMB45</v>
      </c>
      <c r="I896" s="1"/>
      <c r="J896" t="str">
        <f>_xll.BDP($B896,"CNTRY_OF_DOMICILE")</f>
        <v>US</v>
      </c>
      <c r="K896" t="s">
        <v>626</v>
      </c>
      <c r="L896" t="s">
        <v>627</v>
      </c>
      <c r="O896" s="1"/>
      <c r="AQ896" s="1"/>
      <c r="AR896" s="1"/>
      <c r="AS896" s="1"/>
      <c r="AT896" t="str">
        <f>TEXT(_xll.BDP($B896,"MATURITY"),"yyyy-mm-dd")</f>
        <v>2027-12-15</v>
      </c>
      <c r="AU896" t="str">
        <f>_xll.BDP($B896,"CPN_TYP")</f>
        <v>FIXED</v>
      </c>
      <c r="AV896">
        <f>_xll.BDP($B896,"CPN")</f>
        <v>4</v>
      </c>
    </row>
    <row r="897" spans="1:48" x14ac:dyDescent="0.25">
      <c r="A897" t="s">
        <v>2823</v>
      </c>
      <c r="B897" t="s">
        <v>3016</v>
      </c>
      <c r="C897" s="1" t="s">
        <v>3017</v>
      </c>
      <c r="D897" t="s">
        <v>1574</v>
      </c>
      <c r="E897" t="str">
        <f>_xll.BDP($B897,"LEGAL_ENTITY_IDENTIFIER")</f>
        <v>254900HROIFWPRGM1V77</v>
      </c>
      <c r="F897" t="s">
        <v>3018</v>
      </c>
      <c r="G897" t="str">
        <f>custodian!D897</f>
        <v>91282CMF5</v>
      </c>
      <c r="H897" t="str">
        <f>_xll.BDP($B897,"ID_ISIN")</f>
        <v>US91282CMF58</v>
      </c>
      <c r="I897" s="1"/>
      <c r="J897" t="str">
        <f>_xll.BDP($B897,"CNTRY_OF_DOMICILE")</f>
        <v>US</v>
      </c>
      <c r="K897" t="s">
        <v>626</v>
      </c>
      <c r="L897" t="s">
        <v>627</v>
      </c>
      <c r="O897" s="1"/>
      <c r="AQ897" s="1"/>
      <c r="AR897" s="1"/>
      <c r="AS897" s="1"/>
      <c r="AT897" t="str">
        <f>TEXT(_xll.BDP($B897,"MATURITY"),"yyyy-mm-dd")</f>
        <v>2028-01-15</v>
      </c>
      <c r="AU897" t="str">
        <f>_xll.BDP($B897,"CPN_TYP")</f>
        <v>FIXED</v>
      </c>
      <c r="AV897">
        <f>_xll.BDP($B897,"CPN")</f>
        <v>4.25</v>
      </c>
    </row>
    <row r="898" spans="1:48" x14ac:dyDescent="0.25">
      <c r="A898" t="s">
        <v>2823</v>
      </c>
      <c r="B898" t="s">
        <v>3019</v>
      </c>
      <c r="C898" s="1" t="s">
        <v>3020</v>
      </c>
      <c r="D898" t="s">
        <v>1574</v>
      </c>
      <c r="E898" t="str">
        <f>_xll.BDP($B898,"LEGAL_ENTITY_IDENTIFIER")</f>
        <v>254900HROIFWPRGM1V77</v>
      </c>
      <c r="F898" t="s">
        <v>3021</v>
      </c>
      <c r="G898" t="str">
        <f>custodian!D898</f>
        <v>91282CMN8</v>
      </c>
      <c r="H898" t="str">
        <f>_xll.BDP($B898,"ID_ISIN")</f>
        <v>US91282CMN82</v>
      </c>
      <c r="I898" s="1"/>
      <c r="J898" t="str">
        <f>_xll.BDP($B898,"CNTRY_OF_DOMICILE")</f>
        <v>US</v>
      </c>
      <c r="K898" t="s">
        <v>626</v>
      </c>
      <c r="L898" t="s">
        <v>627</v>
      </c>
      <c r="O898" s="1"/>
      <c r="AQ898" s="1"/>
      <c r="AR898" s="1"/>
      <c r="AS898" s="1"/>
      <c r="AT898" t="str">
        <f>TEXT(_xll.BDP($B898,"MATURITY"),"yyyy-mm-dd")</f>
        <v>2028-02-15</v>
      </c>
      <c r="AU898" t="str">
        <f>_xll.BDP($B898,"CPN_TYP")</f>
        <v>FIXED</v>
      </c>
      <c r="AV898">
        <f>_xll.BDP($B898,"CPN")</f>
        <v>4.25</v>
      </c>
    </row>
    <row r="899" spans="1:48" x14ac:dyDescent="0.25">
      <c r="A899" t="s">
        <v>2823</v>
      </c>
      <c r="B899" t="s">
        <v>3022</v>
      </c>
      <c r="C899" s="1" t="s">
        <v>3023</v>
      </c>
      <c r="D899" t="s">
        <v>1574</v>
      </c>
      <c r="E899" t="str">
        <f>_xll.BDP($B899,"LEGAL_ENTITY_IDENTIFIER")</f>
        <v>254900HROIFWPRGM1V77</v>
      </c>
      <c r="F899" t="s">
        <v>3024</v>
      </c>
      <c r="G899" t="str">
        <f>custodian!D899</f>
        <v>91282CMS7</v>
      </c>
      <c r="H899" t="str">
        <f>_xll.BDP($B899,"ID_ISIN")</f>
        <v>US91282CMS79</v>
      </c>
      <c r="I899" s="1"/>
      <c r="J899" t="str">
        <f>_xll.BDP($B899,"CNTRY_OF_DOMICILE")</f>
        <v>US</v>
      </c>
      <c r="K899" t="s">
        <v>626</v>
      </c>
      <c r="L899" t="s">
        <v>627</v>
      </c>
      <c r="O899" s="1"/>
      <c r="AQ899" s="1"/>
      <c r="AR899" s="1"/>
      <c r="AS899" s="1"/>
      <c r="AT899" t="str">
        <f>TEXT(_xll.BDP($B899,"MATURITY"),"yyyy-mm-dd")</f>
        <v>2028-03-15</v>
      </c>
      <c r="AU899" t="str">
        <f>_xll.BDP($B899,"CPN_TYP")</f>
        <v>FIXED</v>
      </c>
      <c r="AV899">
        <f>_xll.BDP($B899,"CPN")</f>
        <v>3.875</v>
      </c>
    </row>
    <row r="900" spans="1:48" x14ac:dyDescent="0.25">
      <c r="A900" t="s">
        <v>2823</v>
      </c>
      <c r="B900" t="s">
        <v>3025</v>
      </c>
      <c r="C900" s="1" t="s">
        <v>3026</v>
      </c>
      <c r="D900" t="s">
        <v>1574</v>
      </c>
      <c r="E900" t="str">
        <f>_xll.BDP($B900,"LEGAL_ENTITY_IDENTIFIER")</f>
        <v>254900HROIFWPRGM1V77</v>
      </c>
      <c r="F900" t="s">
        <v>3027</v>
      </c>
      <c r="G900" t="str">
        <f>custodian!D900</f>
        <v>91282CMW8</v>
      </c>
      <c r="H900" t="str">
        <f>_xll.BDP($B900,"ID_ISIN")</f>
        <v>US91282CMW81</v>
      </c>
      <c r="I900" s="1"/>
      <c r="J900" t="str">
        <f>_xll.BDP($B900,"CNTRY_OF_DOMICILE")</f>
        <v>US</v>
      </c>
      <c r="K900" t="s">
        <v>626</v>
      </c>
      <c r="L900" t="s">
        <v>627</v>
      </c>
      <c r="O900" s="1"/>
      <c r="AQ900" s="1"/>
      <c r="AR900" s="1"/>
      <c r="AS900" s="1"/>
      <c r="AT900" t="str">
        <f>TEXT(_xll.BDP($B900,"MATURITY"),"yyyy-mm-dd")</f>
        <v>2028-04-15</v>
      </c>
      <c r="AU900" t="str">
        <f>_xll.BDP($B900,"CPN_TYP")</f>
        <v>FIXED</v>
      </c>
      <c r="AV900">
        <f>_xll.BDP($B900,"CPN")</f>
        <v>3.75</v>
      </c>
    </row>
    <row r="901" spans="1:48" x14ac:dyDescent="0.25">
      <c r="A901" t="s">
        <v>2823</v>
      </c>
      <c r="B901" t="s">
        <v>3028</v>
      </c>
      <c r="C901" s="1" t="s">
        <v>3029</v>
      </c>
      <c r="D901" t="s">
        <v>1574</v>
      </c>
      <c r="E901" t="str">
        <f>_xll.BDP($B901,"LEGAL_ENTITY_IDENTIFIER")</f>
        <v>254900HROIFWPRGM1V77</v>
      </c>
      <c r="F901" t="s">
        <v>3030</v>
      </c>
      <c r="G901" t="str">
        <f>custodian!D901</f>
        <v>91282CND9</v>
      </c>
      <c r="H901" t="str">
        <f>_xll.BDP($B901,"ID_ISIN")</f>
        <v>US91282CND91</v>
      </c>
      <c r="I901" s="1"/>
      <c r="J901" t="str">
        <f>_xll.BDP($B901,"CNTRY_OF_DOMICILE")</f>
        <v>US</v>
      </c>
      <c r="K901" t="s">
        <v>626</v>
      </c>
      <c r="L901" t="s">
        <v>627</v>
      </c>
      <c r="O901" s="1"/>
      <c r="AQ901" s="1"/>
      <c r="AR901" s="1"/>
      <c r="AS901" s="1"/>
      <c r="AT901" t="str">
        <f>TEXT(_xll.BDP($B901,"MATURITY"),"yyyy-mm-dd")</f>
        <v>2028-05-15</v>
      </c>
      <c r="AU901" t="str">
        <f>_xll.BDP($B901,"CPN_TYP")</f>
        <v>FIXED</v>
      </c>
      <c r="AV901">
        <f>_xll.BDP($B901,"CPN")</f>
        <v>3.75</v>
      </c>
    </row>
    <row r="902" spans="1:48" x14ac:dyDescent="0.25">
      <c r="A902" t="s">
        <v>2823</v>
      </c>
      <c r="B902" t="s">
        <v>3031</v>
      </c>
      <c r="C902" s="1" t="s">
        <v>3032</v>
      </c>
      <c r="D902" t="s">
        <v>1574</v>
      </c>
      <c r="E902" t="str">
        <f>_xll.BDP($B902,"LEGAL_ENTITY_IDENTIFIER")</f>
        <v>254900HROIFWPRGM1V77</v>
      </c>
      <c r="F902" t="s">
        <v>3033</v>
      </c>
      <c r="G902" t="str">
        <f>custodian!D902</f>
        <v>91282CNE7</v>
      </c>
      <c r="H902" t="str">
        <f>_xll.BDP($B902,"ID_ISIN")</f>
        <v>US91282CNE74</v>
      </c>
      <c r="I902" s="1"/>
      <c r="J902" t="str">
        <f>_xll.BDP($B902,"CNTRY_OF_DOMICILE")</f>
        <v>US</v>
      </c>
      <c r="K902" t="s">
        <v>626</v>
      </c>
      <c r="L902" t="s">
        <v>627</v>
      </c>
      <c r="O902" s="1"/>
      <c r="AQ902" s="1"/>
      <c r="AR902" s="1"/>
      <c r="AS902" s="1"/>
      <c r="AT902" t="str">
        <f>TEXT(_xll.BDP($B902,"MATURITY"),"yyyy-mm-dd")</f>
        <v>2027-05-31</v>
      </c>
      <c r="AU902" t="str">
        <f>_xll.BDP($B902,"CPN_TYP")</f>
        <v>FIXED</v>
      </c>
      <c r="AV902">
        <f>_xll.BDP($B902,"CPN")</f>
        <v>3.875</v>
      </c>
    </row>
    <row r="903" spans="1:48" x14ac:dyDescent="0.25">
      <c r="A903" t="s">
        <v>2823</v>
      </c>
      <c r="B903" t="s">
        <v>3034</v>
      </c>
      <c r="C903" s="1" t="s">
        <v>3035</v>
      </c>
      <c r="D903" t="s">
        <v>1574</v>
      </c>
      <c r="E903" t="str">
        <f>_xll.BDP($B903,"LEGAL_ENTITY_IDENTIFIER")</f>
        <v>254900HROIFWPRGM1V77</v>
      </c>
      <c r="F903" t="s">
        <v>3036</v>
      </c>
      <c r="G903" t="str">
        <f>custodian!D903</f>
        <v>91282CNH0</v>
      </c>
      <c r="H903" t="str">
        <f>_xll.BDP($B903,"ID_ISIN")</f>
        <v>US91282CNH06</v>
      </c>
      <c r="I903" s="1"/>
      <c r="J903" t="str">
        <f>_xll.BDP($B903,"CNTRY_OF_DOMICILE")</f>
        <v>US</v>
      </c>
      <c r="K903" t="s">
        <v>626</v>
      </c>
      <c r="L903" t="s">
        <v>627</v>
      </c>
      <c r="O903" s="1"/>
      <c r="AQ903" s="1"/>
      <c r="AR903" s="1"/>
      <c r="AS903" s="1"/>
      <c r="AT903" t="str">
        <f>TEXT(_xll.BDP($B903,"MATURITY"),"yyyy-mm-dd")</f>
        <v>2028-06-15</v>
      </c>
      <c r="AU903" t="str">
        <f>_xll.BDP($B903,"CPN_TYP")</f>
        <v>FIXED</v>
      </c>
      <c r="AV903">
        <f>_xll.BDP($B903,"CPN")</f>
        <v>3.875</v>
      </c>
    </row>
    <row r="904" spans="1:48" x14ac:dyDescent="0.25">
      <c r="A904" t="s">
        <v>2823</v>
      </c>
      <c r="B904" t="s">
        <v>3037</v>
      </c>
      <c r="C904" s="1" t="s">
        <v>3038</v>
      </c>
      <c r="D904" t="s">
        <v>1574</v>
      </c>
      <c r="E904" t="str">
        <f>_xll.BDP($B904,"LEGAL_ENTITY_IDENTIFIER")</f>
        <v>254900HROIFWPRGM1V77</v>
      </c>
      <c r="F904" t="s">
        <v>3039</v>
      </c>
      <c r="G904" t="str">
        <f>custodian!D904</f>
        <v>91282CNL1</v>
      </c>
      <c r="H904" t="str">
        <f>_xll.BDP($B904,"ID_ISIN")</f>
        <v>US91282CNL18</v>
      </c>
      <c r="I904" s="1"/>
      <c r="J904" t="str">
        <f>_xll.BDP($B904,"CNTRY_OF_DOMICILE")</f>
        <v>US</v>
      </c>
      <c r="K904" t="s">
        <v>626</v>
      </c>
      <c r="L904" t="s">
        <v>627</v>
      </c>
      <c r="O904" s="1"/>
      <c r="AQ904" s="1"/>
      <c r="AR904" s="1"/>
      <c r="AS904" s="1"/>
      <c r="AT904" t="str">
        <f>TEXT(_xll.BDP($B904,"MATURITY"),"yyyy-mm-dd")</f>
        <v>2027-06-30</v>
      </c>
      <c r="AU904" t="str">
        <f>_xll.BDP($B904,"CPN_TYP")</f>
        <v>FIXED</v>
      </c>
      <c r="AV904">
        <f>_xll.BDP($B904,"CPN")</f>
        <v>3.75</v>
      </c>
    </row>
    <row r="905" spans="1:48" x14ac:dyDescent="0.25">
      <c r="A905" t="s">
        <v>2823</v>
      </c>
      <c r="B905" t="s">
        <v>3040</v>
      </c>
      <c r="C905" s="1" t="s">
        <v>3041</v>
      </c>
      <c r="D905" t="s">
        <v>1574</v>
      </c>
      <c r="E905" t="str">
        <f>_xll.BDP($B905,"LEGAL_ENTITY_IDENTIFIER")</f>
        <v>254900HROIFWPRGM1V77</v>
      </c>
      <c r="F905" t="s">
        <v>3042</v>
      </c>
      <c r="G905" t="str">
        <f>custodian!D905</f>
        <v>91282CNM9</v>
      </c>
      <c r="H905" t="str">
        <f>_xll.BDP($B905,"ID_ISIN")</f>
        <v>US91282CNM90</v>
      </c>
      <c r="I905" s="1"/>
      <c r="J905" t="str">
        <f>_xll.BDP($B905,"CNTRY_OF_DOMICILE")</f>
        <v>US</v>
      </c>
      <c r="K905" t="s">
        <v>626</v>
      </c>
      <c r="L905" t="s">
        <v>627</v>
      </c>
      <c r="O905" s="1"/>
      <c r="AQ905" s="1"/>
      <c r="AR905" s="1"/>
      <c r="AS905" s="1"/>
      <c r="AT905" t="str">
        <f>TEXT(_xll.BDP($B905,"MATURITY"),"yyyy-mm-dd")</f>
        <v>2028-07-15</v>
      </c>
      <c r="AU905" t="str">
        <f>_xll.BDP($B905,"CPN_TYP")</f>
        <v>FIXED</v>
      </c>
      <c r="AV905">
        <f>_xll.BDP($B905,"CPN")</f>
        <v>3.875</v>
      </c>
    </row>
    <row r="906" spans="1:48" x14ac:dyDescent="0.25">
      <c r="A906" t="s">
        <v>2823</v>
      </c>
      <c r="B906" t="s">
        <v>3043</v>
      </c>
      <c r="C906" s="1" t="s">
        <v>3044</v>
      </c>
      <c r="D906" t="s">
        <v>1574</v>
      </c>
      <c r="E906" t="str">
        <f>_xll.BDP($B906,"LEGAL_ENTITY_IDENTIFIER")</f>
        <v>254900HROIFWPRGM1V77</v>
      </c>
      <c r="F906" t="s">
        <v>3045</v>
      </c>
      <c r="G906" t="str">
        <f>custodian!D906</f>
        <v>91282CNP2</v>
      </c>
      <c r="H906" t="str">
        <f>_xll.BDP($B906,"ID_ISIN")</f>
        <v>US91282CNP22</v>
      </c>
      <c r="I906" s="1"/>
      <c r="J906" t="str">
        <f>_xll.BDP($B906,"CNTRY_OF_DOMICILE")</f>
        <v>US</v>
      </c>
      <c r="K906" t="s">
        <v>626</v>
      </c>
      <c r="L906" t="s">
        <v>627</v>
      </c>
      <c r="O906" s="1"/>
      <c r="AQ906" s="1"/>
      <c r="AR906" s="1"/>
      <c r="AS906" s="1"/>
      <c r="AT906" t="str">
        <f>TEXT(_xll.BDP($B906,"MATURITY"),"yyyy-mm-dd")</f>
        <v>2027-07-31</v>
      </c>
      <c r="AU906" t="str">
        <f>_xll.BDP($B906,"CPN_TYP")</f>
        <v>FIXED</v>
      </c>
      <c r="AV906">
        <f>_xll.BDP($B906,"CPN")</f>
        <v>3.875</v>
      </c>
    </row>
    <row r="907" spans="1:48" x14ac:dyDescent="0.25">
      <c r="A907" t="s">
        <v>2823</v>
      </c>
      <c r="B907" t="s">
        <v>3046</v>
      </c>
      <c r="C907" s="1" t="s">
        <v>3047</v>
      </c>
      <c r="D907" t="s">
        <v>1574</v>
      </c>
      <c r="E907" t="str">
        <f>_xll.BDP($B907,"LEGAL_ENTITY_IDENTIFIER")</f>
        <v>254900HROIFWPRGM1V77</v>
      </c>
      <c r="F907" t="s">
        <v>3048</v>
      </c>
      <c r="G907" t="str">
        <f>custodian!D907</f>
        <v>91282CNU1</v>
      </c>
      <c r="H907" t="str">
        <f>_xll.BDP($B907,"ID_ISIN")</f>
        <v>US91282CNU17</v>
      </c>
      <c r="I907" s="1"/>
      <c r="J907" t="str">
        <f>_xll.BDP($B907,"CNTRY_OF_DOMICILE")</f>
        <v>US</v>
      </c>
      <c r="K907" t="s">
        <v>626</v>
      </c>
      <c r="L907" t="s">
        <v>627</v>
      </c>
      <c r="O907" s="1"/>
      <c r="AQ907" s="1"/>
      <c r="AR907" s="1"/>
      <c r="AS907" s="1"/>
      <c r="AT907" t="str">
        <f>TEXT(_xll.BDP($B907,"MATURITY"),"yyyy-mm-dd")</f>
        <v>2028-08-15</v>
      </c>
      <c r="AU907" t="str">
        <f>_xll.BDP($B907,"CPN_TYP")</f>
        <v>FIXED</v>
      </c>
      <c r="AV907">
        <f>_xll.BDP($B907,"CPN")</f>
        <v>3.625</v>
      </c>
    </row>
    <row r="908" spans="1:48" x14ac:dyDescent="0.25">
      <c r="A908" t="s">
        <v>2823</v>
      </c>
      <c r="B908" t="s">
        <v>3049</v>
      </c>
      <c r="C908" s="1" t="s">
        <v>3050</v>
      </c>
      <c r="D908" t="s">
        <v>1574</v>
      </c>
      <c r="E908" t="str">
        <f>_xll.BDP($B908,"LEGAL_ENTITY_IDENTIFIER")</f>
        <v>254900HROIFWPRGM1V77</v>
      </c>
      <c r="F908" t="s">
        <v>3051</v>
      </c>
      <c r="G908" t="str">
        <f>custodian!D908</f>
        <v>91282CNV9</v>
      </c>
      <c r="H908" t="str">
        <f>_xll.BDP($B908,"ID_ISIN")</f>
        <v>US91282CNV99</v>
      </c>
      <c r="I908" s="1"/>
      <c r="J908" t="str">
        <f>_xll.BDP($B908,"CNTRY_OF_DOMICILE")</f>
        <v>US</v>
      </c>
      <c r="K908" t="s">
        <v>626</v>
      </c>
      <c r="L908" t="s">
        <v>627</v>
      </c>
      <c r="O908" s="1"/>
      <c r="AQ908" s="1"/>
      <c r="AR908" s="1"/>
      <c r="AS908" s="1"/>
      <c r="AT908" t="str">
        <f>TEXT(_xll.BDP($B908,"MATURITY"),"yyyy-mm-dd")</f>
        <v>2027-08-31</v>
      </c>
      <c r="AU908" t="str">
        <f>_xll.BDP($B908,"CPN_TYP")</f>
        <v>FIXED</v>
      </c>
      <c r="AV908">
        <f>_xll.BDP($B908,"CPN")</f>
        <v>3.625</v>
      </c>
    </row>
    <row r="909" spans="1:48" x14ac:dyDescent="0.25">
      <c r="A909" t="s">
        <v>2823</v>
      </c>
      <c r="B909" t="s">
        <v>3052</v>
      </c>
      <c r="C909" s="1" t="s">
        <v>3053</v>
      </c>
      <c r="D909" t="s">
        <v>1574</v>
      </c>
      <c r="E909" t="str">
        <f>_xll.BDP($B909,"LEGAL_ENTITY_IDENTIFIER")</f>
        <v>254900HROIFWPRGM1V77</v>
      </c>
      <c r="F909" t="s">
        <v>3054</v>
      </c>
      <c r="G909" t="str">
        <f>custodian!D909</f>
        <v>91282CNY3</v>
      </c>
      <c r="H909" t="str">
        <f>_xll.BDP($B909,"ID_ISIN")</f>
        <v>US91282CNY39</v>
      </c>
      <c r="I909" s="1"/>
      <c r="J909" t="str">
        <f>_xll.BDP($B909,"CNTRY_OF_DOMICILE")</f>
        <v>US</v>
      </c>
      <c r="K909" t="s">
        <v>626</v>
      </c>
      <c r="L909" t="s">
        <v>627</v>
      </c>
      <c r="O909" s="1"/>
      <c r="AQ909" s="1"/>
      <c r="AR909" s="1"/>
      <c r="AS909" s="1"/>
      <c r="AT909" t="str">
        <f>TEXT(_xll.BDP($B909,"MATURITY"),"yyyy-mm-dd")</f>
        <v>2028-09-15</v>
      </c>
      <c r="AU909" t="str">
        <f>_xll.BDP($B909,"CPN_TYP")</f>
        <v>FIXED</v>
      </c>
      <c r="AV909">
        <f>_xll.BDP($B909,"CPN")</f>
        <v>3.375</v>
      </c>
    </row>
    <row r="910" spans="1:48" x14ac:dyDescent="0.25">
      <c r="A910" t="s">
        <v>2823</v>
      </c>
      <c r="B910" t="s">
        <v>3055</v>
      </c>
      <c r="C910" s="1" t="s">
        <v>3056</v>
      </c>
      <c r="D910" t="s">
        <v>1574</v>
      </c>
      <c r="E910" t="str">
        <f>_xll.BDP($B910,"LEGAL_ENTITY_IDENTIFIER")</f>
        <v>254900HROIFWPRGM1V77</v>
      </c>
      <c r="F910" t="s">
        <v>3057</v>
      </c>
      <c r="G910" t="str">
        <f>custodian!D910</f>
        <v>91282CPB1</v>
      </c>
      <c r="H910" t="str">
        <f>_xll.BDP($B910,"ID_ISIN")</f>
        <v>US91282CPB18</v>
      </c>
      <c r="I910" s="1"/>
      <c r="J910" t="str">
        <f>_xll.BDP($B910,"CNTRY_OF_DOMICILE")</f>
        <v>US</v>
      </c>
      <c r="K910" t="s">
        <v>626</v>
      </c>
      <c r="L910" t="s">
        <v>627</v>
      </c>
      <c r="O910" s="1"/>
      <c r="AQ910" s="1"/>
      <c r="AR910" s="1"/>
      <c r="AS910" s="1"/>
      <c r="AT910" t="str">
        <f>TEXT(_xll.BDP($B910,"MATURITY"),"yyyy-mm-dd")</f>
        <v>2027-09-30</v>
      </c>
      <c r="AU910" t="str">
        <f>_xll.BDP($B910,"CPN_TYP")</f>
        <v>FIXED</v>
      </c>
      <c r="AV910">
        <f>_xll.BDP($B910,"CPN")</f>
        <v>3.5</v>
      </c>
    </row>
    <row r="911" spans="1:48" x14ac:dyDescent="0.25">
      <c r="A911" t="s">
        <v>2823</v>
      </c>
      <c r="B911" t="s">
        <v>3058</v>
      </c>
      <c r="C911" s="1" t="s">
        <v>3059</v>
      </c>
      <c r="D911" t="s">
        <v>1574</v>
      </c>
      <c r="E911" t="str">
        <f>_xll.BDP($B911,"LEGAL_ENTITY_IDENTIFIER")</f>
        <v>254900HROIFWPRGM1V77</v>
      </c>
      <c r="F911" t="s">
        <v>3060</v>
      </c>
      <c r="G911" t="str">
        <f>custodian!D911</f>
        <v>91282CPC9</v>
      </c>
      <c r="H911" t="str">
        <f>_xll.BDP($B911,"ID_ISIN")</f>
        <v>US91282CPC90</v>
      </c>
      <c r="I911" s="1"/>
      <c r="J911" t="str">
        <f>_xll.BDP($B911,"CNTRY_OF_DOMICILE")</f>
        <v>US</v>
      </c>
      <c r="K911" t="s">
        <v>626</v>
      </c>
      <c r="L911" t="s">
        <v>627</v>
      </c>
      <c r="O911" s="1"/>
      <c r="AQ911" s="1"/>
      <c r="AR911" s="1"/>
      <c r="AS911" s="1"/>
      <c r="AT911" t="str">
        <f>TEXT(_xll.BDP($B911,"MATURITY"),"yyyy-mm-dd")</f>
        <v>2028-10-15</v>
      </c>
      <c r="AU911" t="str">
        <f>_xll.BDP($B911,"CPN_TYP")</f>
        <v>FIXED</v>
      </c>
      <c r="AV911">
        <f>_xll.BDP($B911,"CPN")</f>
        <v>3.5</v>
      </c>
    </row>
    <row r="912" spans="1:48" x14ac:dyDescent="0.25">
      <c r="A912" t="s">
        <v>2823</v>
      </c>
      <c r="B912" t="s">
        <v>3061</v>
      </c>
      <c r="C912" s="1" t="s">
        <v>3062</v>
      </c>
      <c r="D912" t="s">
        <v>1574</v>
      </c>
      <c r="E912" t="str">
        <f>_xll.BDP($B912,"LEGAL_ENTITY_IDENTIFIER")</f>
        <v>254900HROIFWPRGM1V77</v>
      </c>
      <c r="F912" t="s">
        <v>3063</v>
      </c>
      <c r="G912" t="str">
        <f>custodian!D912</f>
        <v>91282CPE5</v>
      </c>
      <c r="H912" t="str">
        <f>_xll.BDP($B912,"ID_ISIN")</f>
        <v>US91282CPE56</v>
      </c>
      <c r="I912" s="1"/>
      <c r="J912" t="str">
        <f>_xll.BDP($B912,"CNTRY_OF_DOMICILE")</f>
        <v>US</v>
      </c>
      <c r="K912" t="s">
        <v>626</v>
      </c>
      <c r="L912" t="s">
        <v>627</v>
      </c>
      <c r="O912" s="1"/>
      <c r="AQ912" s="1"/>
      <c r="AR912" s="1"/>
      <c r="AS912" s="1"/>
      <c r="AT912" t="str">
        <f>TEXT(_xll.BDP($B912,"MATURITY"),"yyyy-mm-dd")</f>
        <v>2027-10-31</v>
      </c>
      <c r="AU912" t="str">
        <f>_xll.BDP($B912,"CPN_TYP")</f>
        <v>FIXED</v>
      </c>
      <c r="AV912">
        <f>_xll.BDP($B912,"CPN")</f>
        <v>3.5</v>
      </c>
    </row>
    <row r="913" spans="1:48" x14ac:dyDescent="0.25">
      <c r="A913" t="s">
        <v>2823</v>
      </c>
      <c r="B913" t="s">
        <v>3064</v>
      </c>
      <c r="C913" s="1" t="s">
        <v>3065</v>
      </c>
      <c r="D913" t="s">
        <v>1574</v>
      </c>
      <c r="E913" t="str">
        <f>_xll.BDP($B913,"LEGAL_ENTITY_IDENTIFIER")</f>
        <v>254900HROIFWPRGM1V77</v>
      </c>
      <c r="F913" t="s">
        <v>3066</v>
      </c>
      <c r="G913" t="str">
        <f>custodian!D913</f>
        <v>91282CPK1</v>
      </c>
      <c r="H913" t="str">
        <f>_xll.BDP($B913,"ID_ISIN")</f>
        <v>US91282CPK17</v>
      </c>
      <c r="I913" s="1"/>
      <c r="J913" t="str">
        <f>_xll.BDP($B913,"CNTRY_OF_DOMICILE")</f>
        <v>US</v>
      </c>
      <c r="K913" t="s">
        <v>626</v>
      </c>
      <c r="L913" t="s">
        <v>627</v>
      </c>
      <c r="O913" s="1"/>
      <c r="AQ913" s="1"/>
      <c r="AR913" s="1"/>
      <c r="AS913" s="1"/>
      <c r="AT913" t="str">
        <f>TEXT(_xll.BDP($B913,"MATURITY"),"yyyy-mm-dd")</f>
        <v>2028-11-15</v>
      </c>
      <c r="AU913" t="str">
        <f>_xll.BDP($B913,"CPN_TYP")</f>
        <v>FIXED</v>
      </c>
      <c r="AV913">
        <f>_xll.BDP($B913,"CPN")</f>
        <v>3.5</v>
      </c>
    </row>
    <row r="914" spans="1:48" x14ac:dyDescent="0.25">
      <c r="A914" t="s">
        <v>2823</v>
      </c>
      <c r="B914" t="s">
        <v>3067</v>
      </c>
      <c r="C914" s="1" t="s">
        <v>3068</v>
      </c>
      <c r="D914" t="s">
        <v>1574</v>
      </c>
      <c r="E914" t="str">
        <f>_xll.BDP($B914,"LEGAL_ENTITY_IDENTIFIER")</f>
        <v>254900HROIFWPRGM1V77</v>
      </c>
      <c r="F914" t="s">
        <v>3069</v>
      </c>
      <c r="G914" t="str">
        <f>custodian!D914</f>
        <v>91282CPL9</v>
      </c>
      <c r="H914" t="str">
        <f>_xll.BDP($B914,"ID_ISIN")</f>
        <v>US91282CPL99</v>
      </c>
      <c r="I914" s="1"/>
      <c r="J914" t="str">
        <f>_xll.BDP($B914,"CNTRY_OF_DOMICILE")</f>
        <v>US</v>
      </c>
      <c r="K914" t="s">
        <v>626</v>
      </c>
      <c r="L914" t="s">
        <v>627</v>
      </c>
      <c r="O914" s="1"/>
      <c r="AQ914" s="1"/>
      <c r="AR914" s="1"/>
      <c r="AS914" s="1"/>
      <c r="AT914" t="str">
        <f>TEXT(_xll.BDP($B914,"MATURITY"),"yyyy-mm-dd")</f>
        <v>2027-11-30</v>
      </c>
      <c r="AU914" t="str">
        <f>_xll.BDP($B914,"CPN_TYP")</f>
        <v>FIXED</v>
      </c>
      <c r="AV914">
        <f>_xll.BDP($B914,"CPN")</f>
        <v>3.375</v>
      </c>
    </row>
    <row r="915" spans="1:48" x14ac:dyDescent="0.25">
      <c r="A915" t="s">
        <v>2823</v>
      </c>
      <c r="B915" t="s">
        <v>3070</v>
      </c>
      <c r="C915" s="1" t="s">
        <v>3071</v>
      </c>
      <c r="D915" t="s">
        <v>1574</v>
      </c>
      <c r="E915" t="str">
        <f>_xll.BDP($B915,"LEGAL_ENTITY_IDENTIFIER")</f>
        <v>254900HROIFWPRGM1V77</v>
      </c>
      <c r="F915" t="s">
        <v>3072</v>
      </c>
      <c r="G915" t="str">
        <f>custodian!D915</f>
        <v>91282CPP0</v>
      </c>
      <c r="H915" t="str">
        <f>_xll.BDP($B915,"ID_ISIN")</f>
        <v>US91282CPP04</v>
      </c>
      <c r="I915" s="1"/>
      <c r="J915" t="str">
        <f>_xll.BDP($B915,"CNTRY_OF_DOMICILE")</f>
        <v>US</v>
      </c>
      <c r="K915" t="s">
        <v>626</v>
      </c>
      <c r="L915" t="s">
        <v>627</v>
      </c>
      <c r="O915" s="1"/>
      <c r="AQ915" s="1"/>
      <c r="AR915" s="1"/>
      <c r="AS915" s="1"/>
      <c r="AT915" t="str">
        <f>TEXT(_xll.BDP($B915,"MATURITY"),"yyyy-mm-dd")</f>
        <v>2028-12-15</v>
      </c>
      <c r="AU915" t="str">
        <f>_xll.BDP($B915,"CPN_TYP")</f>
        <v>FIXED</v>
      </c>
      <c r="AV915">
        <f>_xll.BDP($B915,"CPN")</f>
        <v>3.5</v>
      </c>
    </row>
    <row r="916" spans="1:48" x14ac:dyDescent="0.25">
      <c r="A916" t="s">
        <v>2823</v>
      </c>
      <c r="B916" t="s">
        <v>3073</v>
      </c>
      <c r="C916" s="1" t="s">
        <v>3074</v>
      </c>
      <c r="D916" t="s">
        <v>1574</v>
      </c>
      <c r="E916" t="str">
        <f>_xll.BDP($B916,"LEGAL_ENTITY_IDENTIFIER")</f>
        <v>254900HROIFWPRGM1V77</v>
      </c>
      <c r="F916" t="s">
        <v>3075</v>
      </c>
      <c r="G916" t="str">
        <f>custodian!D916</f>
        <v>91282CPS4</v>
      </c>
      <c r="H916" t="str">
        <f>_xll.BDP($B916,"ID_ISIN")</f>
        <v>US91282CPS43</v>
      </c>
      <c r="I916" s="1"/>
      <c r="J916" t="str">
        <f>_xll.BDP($B916,"CNTRY_OF_DOMICILE")</f>
        <v>US</v>
      </c>
      <c r="K916" t="s">
        <v>626</v>
      </c>
      <c r="L916" t="s">
        <v>627</v>
      </c>
      <c r="O916" s="1"/>
      <c r="AQ916" s="1"/>
      <c r="AR916" s="1"/>
      <c r="AS916" s="1"/>
      <c r="AT916" t="str">
        <f>TEXT(_xll.BDP($B916,"MATURITY"),"yyyy-mm-dd")</f>
        <v>2027-12-31</v>
      </c>
      <c r="AU916" t="str">
        <f>_xll.BDP($B916,"CPN_TYP")</f>
        <v>FIXED</v>
      </c>
      <c r="AV916">
        <f>_xll.BDP($B916,"CPN")</f>
        <v>3.375</v>
      </c>
    </row>
    <row r="917" spans="1:48" x14ac:dyDescent="0.25">
      <c r="A917" t="s">
        <v>2823</v>
      </c>
      <c r="B917" t="s">
        <v>3076</v>
      </c>
      <c r="C917" s="1" t="s">
        <v>3077</v>
      </c>
      <c r="D917" t="s">
        <v>1574</v>
      </c>
      <c r="E917" t="str">
        <f>_xll.BDP($B917,"LEGAL_ENTITY_IDENTIFIER")</f>
        <v>254900HROIFWPRGM1V77</v>
      </c>
      <c r="F917" t="s">
        <v>3078</v>
      </c>
      <c r="G917" t="str">
        <f>custodian!D917</f>
        <v>91282CPT2</v>
      </c>
      <c r="H917" t="str">
        <f>_xll.BDP($B917,"ID_ISIN")</f>
        <v>US91282CPT26</v>
      </c>
      <c r="I917" s="1"/>
      <c r="J917" t="str">
        <f>_xll.BDP($B917,"CNTRY_OF_DOMICILE")</f>
        <v>US</v>
      </c>
      <c r="K917" t="s">
        <v>626</v>
      </c>
      <c r="L917" t="s">
        <v>627</v>
      </c>
      <c r="O917" s="1"/>
      <c r="AQ917" s="1"/>
      <c r="AR917" s="1"/>
      <c r="AS917" s="1"/>
      <c r="AT917" t="str">
        <f>TEXT(_xll.BDP($B917,"MATURITY"),"yyyy-mm-dd")</f>
        <v>2029-01-15</v>
      </c>
      <c r="AU917" t="str">
        <f>_xll.BDP($B917,"CPN_TYP")</f>
        <v>FIXED</v>
      </c>
      <c r="AV917">
        <f>_xll.BDP($B917,"CPN")</f>
        <v>3.5</v>
      </c>
    </row>
    <row r="918" spans="1:48" x14ac:dyDescent="0.25">
      <c r="A918" t="s">
        <v>2823</v>
      </c>
      <c r="B918" t="s">
        <v>3079</v>
      </c>
      <c r="C918" s="1" t="s">
        <v>3080</v>
      </c>
      <c r="D918" t="s">
        <v>1574</v>
      </c>
      <c r="E918" t="str">
        <f>_xll.BDP($B918,"LEGAL_ENTITY_IDENTIFIER")</f>
        <v>254900HROIFWPRGM1V77</v>
      </c>
      <c r="F918" t="s">
        <v>3081</v>
      </c>
      <c r="G918" t="str">
        <f>custodian!D918</f>
        <v>91282CQA2</v>
      </c>
      <c r="H918" t="str">
        <f>_xll.BDP($B918,"ID_ISIN")</f>
        <v>US91282CQA26</v>
      </c>
      <c r="I918" s="1"/>
      <c r="J918" t="str">
        <f>_xll.BDP($B918,"CNTRY_OF_DOMICILE")</f>
        <v>US</v>
      </c>
      <c r="K918" t="s">
        <v>626</v>
      </c>
      <c r="L918" t="s">
        <v>627</v>
      </c>
      <c r="O918" s="1"/>
      <c r="AQ918" s="1"/>
      <c r="AR918" s="1"/>
      <c r="AS918" s="1"/>
      <c r="AT918" t="str">
        <f>TEXT(_xll.BDP($B918,"MATURITY"),"yyyy-mm-dd")</f>
        <v>2029-02-15</v>
      </c>
      <c r="AU918" t="str">
        <f>_xll.BDP($B918,"CPN_TYP")</f>
        <v>FIXED</v>
      </c>
      <c r="AV918">
        <f>_xll.BDP($B918,"CPN")</f>
        <v>3.5</v>
      </c>
    </row>
    <row r="919" spans="1:48" x14ac:dyDescent="0.25">
      <c r="A919" t="s">
        <v>2823</v>
      </c>
      <c r="B919" t="s">
        <v>3082</v>
      </c>
      <c r="C919" s="1" t="s">
        <v>3083</v>
      </c>
      <c r="D919" t="s">
        <v>1574</v>
      </c>
      <c r="E919" t="str">
        <f>_xll.BDP($B919,"LEGAL_ENTITY_IDENTIFIER")</f>
        <v>254900HROIFWPRGM1V77</v>
      </c>
      <c r="F919" t="s">
        <v>3084</v>
      </c>
      <c r="G919" t="str">
        <f>custodian!D919</f>
        <v>91282CQB0</v>
      </c>
      <c r="H919" t="str">
        <f>_xll.BDP($B919,"ID_ISIN")</f>
        <v>US91282CQB09</v>
      </c>
      <c r="I919" s="1"/>
      <c r="J919" t="str">
        <f>_xll.BDP($B919,"CNTRY_OF_DOMICILE")</f>
        <v>US</v>
      </c>
      <c r="K919" t="s">
        <v>626</v>
      </c>
      <c r="L919" t="s">
        <v>627</v>
      </c>
      <c r="O919" s="1"/>
      <c r="AQ919" s="1"/>
      <c r="AR919" s="1"/>
      <c r="AS919" s="1"/>
      <c r="AT919" t="str">
        <f>TEXT(_xll.BDP($B919,"MATURITY"),"yyyy-mm-dd")</f>
        <v>2028-02-29</v>
      </c>
      <c r="AU919" t="str">
        <f>_xll.BDP($B919,"CPN_TYP")</f>
        <v>FIXED</v>
      </c>
      <c r="AV919">
        <f>_xll.BDP($B919,"CPN")</f>
        <v>3.375</v>
      </c>
    </row>
    <row r="920" spans="1:48" x14ac:dyDescent="0.25">
      <c r="A920" t="s">
        <v>2823</v>
      </c>
      <c r="B920" t="s">
        <v>3085</v>
      </c>
      <c r="C920" s="1" t="s">
        <v>3086</v>
      </c>
      <c r="D920" t="s">
        <v>1574</v>
      </c>
      <c r="E920" t="str">
        <f>_xll.BDP($B920,"LEGAL_ENTITY_IDENTIFIER")</f>
        <v>254900HROIFWPRGM1V77</v>
      </c>
      <c r="F920" t="s">
        <v>3087</v>
      </c>
      <c r="G920" t="str">
        <f>custodian!D920</f>
        <v>91282CQE4</v>
      </c>
      <c r="H920" t="str">
        <f>_xll.BDP($B920,"ID_ISIN")</f>
        <v>US91282CQE48</v>
      </c>
      <c r="I920" s="1"/>
      <c r="J920" t="str">
        <f>_xll.BDP($B920,"CNTRY_OF_DOMICILE")</f>
        <v>US</v>
      </c>
      <c r="K920" t="s">
        <v>626</v>
      </c>
      <c r="L920" t="s">
        <v>627</v>
      </c>
      <c r="O920" s="1"/>
      <c r="AQ920" s="1"/>
      <c r="AR920" s="1"/>
      <c r="AS920" s="1"/>
      <c r="AT920" t="str">
        <f>TEXT(_xll.BDP($B920,"MATURITY"),"yyyy-mm-dd")</f>
        <v>2029-03-15</v>
      </c>
      <c r="AU920" t="str">
        <f>_xll.BDP($B920,"CPN_TYP")</f>
        <v>FIXED</v>
      </c>
      <c r="AV920">
        <f>_xll.BDP($B920,"CPN")</f>
        <v>3.5</v>
      </c>
    </row>
    <row r="921" spans="1:48" x14ac:dyDescent="0.25">
      <c r="A921" t="s">
        <v>2823</v>
      </c>
      <c r="B921" t="s">
        <v>3088</v>
      </c>
      <c r="C921" s="1" t="s">
        <v>3089</v>
      </c>
      <c r="D921" t="s">
        <v>1574</v>
      </c>
      <c r="E921" t="str">
        <f>_xll.BDP($B921,"LEGAL_ENTITY_IDENTIFIER")</f>
        <v>254900HROIFWPRGM1V77</v>
      </c>
      <c r="F921" t="s">
        <v>3090</v>
      </c>
      <c r="G921" t="str">
        <f>custodian!D921</f>
        <v>91282CQH7</v>
      </c>
      <c r="H921" t="str">
        <f>_xll.BDP($B921,"ID_ISIN")</f>
        <v>US91282CQH78</v>
      </c>
      <c r="I921" s="1"/>
      <c r="J921" t="str">
        <f>_xll.BDP($B921,"CNTRY_OF_DOMICILE")</f>
        <v>US</v>
      </c>
      <c r="K921" t="s">
        <v>626</v>
      </c>
      <c r="L921" t="s">
        <v>627</v>
      </c>
      <c r="O921" s="1"/>
      <c r="AQ921" s="1"/>
      <c r="AR921" s="1"/>
      <c r="AS921" s="1"/>
      <c r="AT921" t="str">
        <f>TEXT(_xll.BDP($B921,"MATURITY"),"yyyy-mm-dd")</f>
        <v>2028-03-31</v>
      </c>
      <c r="AU921" t="str">
        <f>_xll.BDP($B921,"CPN_TYP")</f>
        <v>FIXED</v>
      </c>
      <c r="AV921">
        <f>_xll.BDP($B921,"CPN")</f>
        <v>3.875</v>
      </c>
    </row>
    <row r="922" spans="1:48" x14ac:dyDescent="0.25">
      <c r="A922" t="s">
        <v>2823</v>
      </c>
      <c r="B922" t="s">
        <v>3091</v>
      </c>
      <c r="C922" s="1" t="s">
        <v>3092</v>
      </c>
      <c r="D922" t="s">
        <v>1574</v>
      </c>
      <c r="E922" t="str">
        <f>_xll.BDP($B922,"LEGAL_ENTITY_IDENTIFIER")</f>
        <v>254900HROIFWPRGM1V77</v>
      </c>
      <c r="F922" t="s">
        <v>3093</v>
      </c>
      <c r="G922" t="str">
        <f>custodian!D922</f>
        <v>91282CQJ3</v>
      </c>
      <c r="H922" t="str">
        <f>_xll.BDP($B922,"ID_ISIN")</f>
        <v>US91282CQJ35</v>
      </c>
      <c r="I922" s="1"/>
      <c r="J922" t="str">
        <f>_xll.BDP($B922,"CNTRY_OF_DOMICILE")</f>
        <v>US</v>
      </c>
      <c r="K922" t="s">
        <v>626</v>
      </c>
      <c r="L922" t="s">
        <v>627</v>
      </c>
      <c r="O922" s="1"/>
      <c r="AQ922" s="1"/>
      <c r="AR922" s="1"/>
      <c r="AS922" s="1"/>
      <c r="AT922" t="str">
        <f>TEXT(_xll.BDP($B922,"MATURITY"),"yyyy-mm-dd")</f>
        <v>2029-04-15</v>
      </c>
      <c r="AU922" t="str">
        <f>_xll.BDP($B922,"CPN_TYP")</f>
        <v>FIXED</v>
      </c>
      <c r="AV922">
        <f>_xll.BDP($B922,"CPN")</f>
        <v>3.875</v>
      </c>
    </row>
    <row r="923" spans="1:48" x14ac:dyDescent="0.25">
      <c r="A923" t="s">
        <v>2823</v>
      </c>
      <c r="B923" t="s">
        <v>3094</v>
      </c>
      <c r="C923" s="1" t="s">
        <v>3095</v>
      </c>
      <c r="D923" t="s">
        <v>1574</v>
      </c>
      <c r="E923" t="str">
        <f>_xll.BDP($B923,"LEGAL_ENTITY_IDENTIFIER")</f>
        <v>254900HROIFWPRGM1V77</v>
      </c>
      <c r="F923" t="s">
        <v>3096</v>
      </c>
      <c r="G923" t="str">
        <f>custodian!D923</f>
        <v>91282CQL8</v>
      </c>
      <c r="H923" t="str">
        <f>_xll.BDP($B923,"ID_ISIN")</f>
        <v>US91282CQL80</v>
      </c>
      <c r="I923" s="1"/>
      <c r="J923" t="str">
        <f>_xll.BDP($B923,"CNTRY_OF_DOMICILE")</f>
        <v>US</v>
      </c>
      <c r="K923" t="s">
        <v>626</v>
      </c>
      <c r="L923" t="s">
        <v>627</v>
      </c>
      <c r="O923" s="1"/>
      <c r="AQ923" s="1"/>
      <c r="AR923" s="1"/>
      <c r="AS923" s="1"/>
      <c r="AT923" t="str">
        <f>TEXT(_xll.BDP($B923,"MATURITY"),"yyyy-mm-dd")</f>
        <v>2028-04-30</v>
      </c>
      <c r="AU923" t="str">
        <f>_xll.BDP($B923,"CPN_TYP")</f>
        <v>FIXED</v>
      </c>
      <c r="AV923">
        <f>_xll.BDP($B923,"CPN")</f>
        <v>3.75</v>
      </c>
    </row>
    <row r="924" spans="1:48" x14ac:dyDescent="0.25">
      <c r="A924" t="s">
        <v>2823</v>
      </c>
      <c r="B924" t="s">
        <v>3097</v>
      </c>
      <c r="C924" s="1" t="s">
        <v>3098</v>
      </c>
      <c r="D924" t="s">
        <v>1574</v>
      </c>
      <c r="E924" t="str">
        <f>_xll.BDP($B924,"LEGAL_ENTITY_IDENTIFIER")</f>
        <v>254900HROIFWPRGM1V77</v>
      </c>
      <c r="F924" t="s">
        <v>3099</v>
      </c>
      <c r="G924" t="str">
        <f>custodian!D924</f>
        <v>91282CQR5</v>
      </c>
      <c r="H924" t="str">
        <f>_xll.BDP($B924,"ID_ISIN")</f>
        <v>US91282CQR50</v>
      </c>
      <c r="I924" s="1"/>
      <c r="J924" t="str">
        <f>_xll.BDP($B924,"CNTRY_OF_DOMICILE")</f>
        <v>US</v>
      </c>
      <c r="K924" t="s">
        <v>626</v>
      </c>
      <c r="L924" t="s">
        <v>627</v>
      </c>
      <c r="O924" s="1"/>
      <c r="AQ924" s="1"/>
      <c r="AR924" s="1"/>
      <c r="AS924" s="1"/>
      <c r="AT924" t="str">
        <f>TEXT(_xll.BDP($B924,"MATURITY"),"yyyy-mm-dd")</f>
        <v>2029-05-15</v>
      </c>
      <c r="AU924" t="str">
        <f>_xll.BDP($B924,"CPN_TYP")</f>
        <v>FIXED</v>
      </c>
      <c r="AV924">
        <f>_xll.BDP($B924,"CPN")</f>
        <v>3.875</v>
      </c>
    </row>
    <row r="925" spans="1:48" x14ac:dyDescent="0.25">
      <c r="A925" t="s">
        <v>2823</v>
      </c>
      <c r="B925" t="s">
        <v>77</v>
      </c>
      <c r="C925" s="1" t="s">
        <v>78</v>
      </c>
      <c r="D925" t="s">
        <v>79</v>
      </c>
      <c r="E925" t="str">
        <f>_xll.BDP($B925,"LEGAL_ENTITY_IDENTIFIER")</f>
        <v>549300R5MYM6VZF1RM44</v>
      </c>
      <c r="F925" t="s">
        <v>80</v>
      </c>
      <c r="G925" t="str">
        <f>custodian!D925</f>
        <v>31846V336</v>
      </c>
      <c r="H925" t="str">
        <f>_xll.BDP($B925,"ID_ISIN")</f>
        <v>US31846V3362</v>
      </c>
      <c r="I925" s="1" t="s">
        <v>78</v>
      </c>
      <c r="J925" t="str">
        <f>_xll.BDP($B925,"CNTRY_OF_DOMICILE")</f>
        <v>US</v>
      </c>
      <c r="K925" t="s">
        <v>81</v>
      </c>
      <c r="L925" t="s">
        <v>82</v>
      </c>
      <c r="O925" s="1"/>
      <c r="AQ925" s="1"/>
      <c r="AR925" s="1"/>
      <c r="AS925" s="1"/>
    </row>
    <row r="926" spans="1:48" x14ac:dyDescent="0.25">
      <c r="A926" t="s">
        <v>2823</v>
      </c>
      <c r="C926" s="1" t="s">
        <v>52</v>
      </c>
      <c r="E926" s="1"/>
      <c r="G926" t="str">
        <f>custodian!D926</f>
        <v>Cash&amp;Other</v>
      </c>
      <c r="H926" s="1"/>
      <c r="I926" s="1"/>
      <c r="O926" s="1"/>
      <c r="AQ926" s="1"/>
      <c r="AR926" s="1"/>
      <c r="AS926" s="1"/>
    </row>
    <row r="927" spans="1:48" x14ac:dyDescent="0.25">
      <c r="A927" t="s">
        <v>3100</v>
      </c>
      <c r="B927" t="s">
        <v>3101</v>
      </c>
      <c r="C927" s="1" t="s">
        <v>3102</v>
      </c>
      <c r="D927" t="s">
        <v>3103</v>
      </c>
      <c r="E927" t="str">
        <f>_xll.BDP($B927,"LEGAL_ENTITY_IDENTIFIER")</f>
        <v>254900MBSC9P2UCI6623</v>
      </c>
      <c r="F927" t="s">
        <v>3103</v>
      </c>
      <c r="G927" t="str">
        <f>custodian!D927</f>
        <v>00217D100</v>
      </c>
      <c r="H927" t="str">
        <f>_xll.BDP($B927,"ID_ISIN")</f>
        <v>US00217D1000</v>
      </c>
      <c r="I927" s="1" t="s">
        <v>3102</v>
      </c>
      <c r="J927" t="str">
        <f>_xll.BDP($B927,"CNTRY_OF_DOMICILE")</f>
        <v>US</v>
      </c>
      <c r="K927" t="s">
        <v>98</v>
      </c>
      <c r="L927" t="s">
        <v>99</v>
      </c>
      <c r="O927" s="1"/>
      <c r="AQ927" s="1"/>
      <c r="AR927" s="1"/>
      <c r="AS927" s="1"/>
    </row>
    <row r="928" spans="1:48" x14ac:dyDescent="0.25">
      <c r="A928" t="s">
        <v>3100</v>
      </c>
      <c r="B928" t="s">
        <v>3104</v>
      </c>
      <c r="C928" s="1" t="s">
        <v>3105</v>
      </c>
      <c r="D928" t="s">
        <v>3106</v>
      </c>
      <c r="E928" t="str">
        <f>_xll.BDP($B928,"LEGAL_ENTITY_IDENTIFIER")</f>
        <v>#N/A N/A</v>
      </c>
      <c r="F928" t="s">
        <v>3106</v>
      </c>
      <c r="G928" t="str">
        <f>custodian!D928</f>
        <v>09263B207</v>
      </c>
      <c r="H928" t="str">
        <f>_xll.BDP($B928,"ID_ISIN")</f>
        <v>US09263B2079</v>
      </c>
      <c r="I928" s="1" t="s">
        <v>3105</v>
      </c>
      <c r="J928" t="str">
        <f>_xll.BDP($B928,"CNTRY_OF_DOMICILE")</f>
        <v>US</v>
      </c>
      <c r="K928" t="s">
        <v>98</v>
      </c>
      <c r="L928" t="s">
        <v>99</v>
      </c>
      <c r="O928" s="1"/>
      <c r="AQ928" s="1"/>
      <c r="AR928" s="1"/>
      <c r="AS928" s="1"/>
    </row>
    <row r="929" spans="1:45" x14ac:dyDescent="0.25">
      <c r="A929" t="s">
        <v>3100</v>
      </c>
      <c r="B929" t="s">
        <v>3107</v>
      </c>
      <c r="C929" s="1" t="s">
        <v>3108</v>
      </c>
      <c r="D929" t="s">
        <v>3109</v>
      </c>
      <c r="E929" t="str">
        <f>_xll.BDP($B929,"LEGAL_ENTITY_IDENTIFIER")</f>
        <v>549300NP85N265KWMS58</v>
      </c>
      <c r="F929" t="s">
        <v>3109</v>
      </c>
      <c r="G929" t="str">
        <f>custodian!D929</f>
        <v>05605H100</v>
      </c>
      <c r="H929" t="str">
        <f>_xll.BDP($B929,"ID_ISIN")</f>
        <v>US05605H1005</v>
      </c>
      <c r="I929" s="1" t="s">
        <v>3108</v>
      </c>
      <c r="J929" t="str">
        <f>_xll.BDP($B929,"CNTRY_OF_DOMICILE")</f>
        <v>US</v>
      </c>
      <c r="K929" t="s">
        <v>98</v>
      </c>
      <c r="L929" t="s">
        <v>99</v>
      </c>
      <c r="O929" s="1"/>
      <c r="AQ929" s="1"/>
      <c r="AR929" s="1"/>
      <c r="AS929" s="1"/>
    </row>
    <row r="930" spans="1:45" x14ac:dyDescent="0.25">
      <c r="A930" t="s">
        <v>3100</v>
      </c>
      <c r="B930" t="s">
        <v>3110</v>
      </c>
      <c r="C930" s="1" t="s">
        <v>3111</v>
      </c>
      <c r="D930" t="s">
        <v>3112</v>
      </c>
      <c r="E930" t="str">
        <f>_xll.BDP($B930,"LEGAL_ENTITY_IDENTIFIER")</f>
        <v>549300EE20907QZ9GT38</v>
      </c>
      <c r="F930" t="s">
        <v>3112</v>
      </c>
      <c r="G930" t="str">
        <f>custodian!D930</f>
        <v>278768106</v>
      </c>
      <c r="H930" t="str">
        <f>_xll.BDP($B930,"ID_ISIN")</f>
        <v>US2787681061</v>
      </c>
      <c r="I930" s="1" t="s">
        <v>3111</v>
      </c>
      <c r="J930" t="str">
        <f>_xll.BDP($B930,"CNTRY_OF_DOMICILE")</f>
        <v>US</v>
      </c>
      <c r="K930" t="s">
        <v>98</v>
      </c>
      <c r="L930" t="s">
        <v>99</v>
      </c>
      <c r="O930" s="1"/>
      <c r="AQ930" s="1"/>
      <c r="AR930" s="1"/>
      <c r="AS930" s="1"/>
    </row>
    <row r="931" spans="1:45" x14ac:dyDescent="0.25">
      <c r="A931" t="s">
        <v>3100</v>
      </c>
      <c r="B931" t="s">
        <v>3113</v>
      </c>
      <c r="C931" s="1" t="s">
        <v>3114</v>
      </c>
      <c r="D931" t="s">
        <v>3115</v>
      </c>
      <c r="E931" t="str">
        <f>_xll.BDP($B931,"LEGAL_ENTITY_IDENTIFIER")</f>
        <v>549300S56SO2JB5JBE31</v>
      </c>
      <c r="F931" t="s">
        <v>3115</v>
      </c>
      <c r="G931" t="str">
        <f>custodian!D931</f>
        <v>358010106</v>
      </c>
      <c r="H931" t="str">
        <f>_xll.BDP($B931,"ID_ISIN")</f>
        <v>US3580101067</v>
      </c>
      <c r="I931" s="1" t="s">
        <v>3114</v>
      </c>
      <c r="J931" t="str">
        <f>_xll.BDP($B931,"CNTRY_OF_DOMICILE")</f>
        <v>US</v>
      </c>
      <c r="K931" t="s">
        <v>98</v>
      </c>
      <c r="L931" t="s">
        <v>99</v>
      </c>
      <c r="O931" s="1"/>
      <c r="AQ931" s="1"/>
      <c r="AR931" s="1"/>
      <c r="AS931" s="1"/>
    </row>
    <row r="932" spans="1:45" x14ac:dyDescent="0.25">
      <c r="A932" t="s">
        <v>3100</v>
      </c>
      <c r="B932" t="s">
        <v>77</v>
      </c>
      <c r="C932" s="1" t="s">
        <v>78</v>
      </c>
      <c r="D932" t="s">
        <v>79</v>
      </c>
      <c r="E932" t="str">
        <f>_xll.BDP($B932,"LEGAL_ENTITY_IDENTIFIER")</f>
        <v>549300R5MYM6VZF1RM44</v>
      </c>
      <c r="F932" t="s">
        <v>80</v>
      </c>
      <c r="G932" t="str">
        <f>custodian!D932</f>
        <v>31846V336</v>
      </c>
      <c r="H932" t="str">
        <f>_xll.BDP($B932,"ID_ISIN")</f>
        <v>US31846V3362</v>
      </c>
      <c r="I932" s="1" t="s">
        <v>78</v>
      </c>
      <c r="J932" t="str">
        <f>_xll.BDP($B932,"CNTRY_OF_DOMICILE")</f>
        <v>US</v>
      </c>
      <c r="K932" t="s">
        <v>81</v>
      </c>
      <c r="L932" t="s">
        <v>82</v>
      </c>
      <c r="O932" s="1"/>
      <c r="AQ932" s="1"/>
      <c r="AR932" s="1"/>
      <c r="AS932" s="1"/>
    </row>
    <row r="933" spans="1:45" x14ac:dyDescent="0.25">
      <c r="A933" t="s">
        <v>3100</v>
      </c>
      <c r="B933" t="s">
        <v>3116</v>
      </c>
      <c r="C933" s="1" t="s">
        <v>3117</v>
      </c>
      <c r="D933" t="s">
        <v>3118</v>
      </c>
      <c r="E933" t="str">
        <f>_xll.BDP($B933,"LEGAL_ENTITY_IDENTIFIER")</f>
        <v>529900JPYLDP30163X55</v>
      </c>
      <c r="F933" t="s">
        <v>3118</v>
      </c>
      <c r="G933" t="str">
        <f>custodian!D933</f>
        <v>31816X106</v>
      </c>
      <c r="H933" t="str">
        <f>_xll.BDP($B933,"ID_ISIN")</f>
        <v>US31816X1063</v>
      </c>
      <c r="I933" s="1" t="s">
        <v>3117</v>
      </c>
      <c r="J933" t="str">
        <f>_xll.BDP($B933,"CNTRY_OF_DOMICILE")</f>
        <v>US</v>
      </c>
      <c r="K933" t="s">
        <v>98</v>
      </c>
      <c r="L933" t="s">
        <v>99</v>
      </c>
      <c r="O933" s="1"/>
      <c r="AQ933" s="1"/>
      <c r="AR933" s="1"/>
      <c r="AS933" s="1"/>
    </row>
    <row r="934" spans="1:45" x14ac:dyDescent="0.25">
      <c r="A934" t="s">
        <v>3100</v>
      </c>
      <c r="B934" t="s">
        <v>3119</v>
      </c>
      <c r="C934" s="1" t="s">
        <v>3120</v>
      </c>
      <c r="D934" t="s">
        <v>3121</v>
      </c>
      <c r="E934" t="str">
        <f>_xll.BDP($B934,"LEGAL_ENTITY_IDENTIFIER")</f>
        <v>529900RVHDCYJ5YWHP12</v>
      </c>
      <c r="F934" t="s">
        <v>3121</v>
      </c>
      <c r="G934" t="str">
        <f>custodian!D934</f>
        <v>M51474118</v>
      </c>
      <c r="H934" t="str">
        <f>_xll.BDP($B934,"ID_ISIN")</f>
        <v>IL0010825102</v>
      </c>
      <c r="I934" s="1" t="s">
        <v>3120</v>
      </c>
      <c r="J934" t="str">
        <f>_xll.BDP($B934,"CNTRY_OF_DOMICILE")</f>
        <v>IL</v>
      </c>
      <c r="K934" t="s">
        <v>98</v>
      </c>
      <c r="L934" t="s">
        <v>99</v>
      </c>
      <c r="O934" s="1"/>
      <c r="AQ934" s="1"/>
      <c r="AR934" s="1"/>
      <c r="AS934" s="1"/>
    </row>
    <row r="935" spans="1:45" x14ac:dyDescent="0.25">
      <c r="A935" t="s">
        <v>3100</v>
      </c>
      <c r="B935" t="s">
        <v>3122</v>
      </c>
      <c r="C935" s="1" t="s">
        <v>3123</v>
      </c>
      <c r="D935" t="s">
        <v>3124</v>
      </c>
      <c r="E935" t="str">
        <f>_xll.BDP($B935,"LEGAL_ENTITY_IDENTIFIER")</f>
        <v>549300VL3DIHSFHYTO04</v>
      </c>
      <c r="F935" t="s">
        <v>3124</v>
      </c>
      <c r="G935" t="str">
        <f>custodian!D935</f>
        <v>38046C109</v>
      </c>
      <c r="H935" t="str">
        <f>_xll.BDP($B935,"ID_ISIN")</f>
        <v>US38046C1099</v>
      </c>
      <c r="I935" s="1" t="s">
        <v>3123</v>
      </c>
      <c r="J935" t="str">
        <f>_xll.BDP($B935,"CNTRY_OF_DOMICILE")</f>
        <v>US</v>
      </c>
      <c r="K935" t="s">
        <v>98</v>
      </c>
      <c r="L935" t="s">
        <v>99</v>
      </c>
      <c r="O935" s="1"/>
      <c r="AQ935" s="1"/>
      <c r="AR935" s="1"/>
      <c r="AS935" s="1"/>
    </row>
    <row r="936" spans="1:45" x14ac:dyDescent="0.25">
      <c r="A936" t="s">
        <v>3100</v>
      </c>
      <c r="B936" t="s">
        <v>3125</v>
      </c>
      <c r="C936" s="1" t="s">
        <v>3126</v>
      </c>
      <c r="D936" t="s">
        <v>3127</v>
      </c>
      <c r="E936" t="str">
        <f>_xll.BDP($B936,"LEGAL_ENTITY_IDENTIFIER")</f>
        <v>2549001E0HIPIJQ0W046</v>
      </c>
      <c r="F936" t="s">
        <v>3127</v>
      </c>
      <c r="G936" t="str">
        <f>custodian!D936</f>
        <v>H2906T109</v>
      </c>
      <c r="H936" t="str">
        <f>_xll.BDP($B936,"ID_ISIN")</f>
        <v>CH0114405324</v>
      </c>
      <c r="I936" s="1" t="s">
        <v>3126</v>
      </c>
      <c r="J936" t="str">
        <f>_xll.BDP($B936,"CNTRY_OF_DOMICILE")</f>
        <v>CH</v>
      </c>
      <c r="K936" t="s">
        <v>98</v>
      </c>
      <c r="L936" t="s">
        <v>99</v>
      </c>
      <c r="O936" s="1"/>
      <c r="AQ936" s="1"/>
      <c r="AR936" s="1"/>
      <c r="AS936" s="1"/>
    </row>
    <row r="937" spans="1:45" x14ac:dyDescent="0.25">
      <c r="A937" t="s">
        <v>3100</v>
      </c>
      <c r="B937" t="s">
        <v>3128</v>
      </c>
      <c r="C937" s="1" t="s">
        <v>3129</v>
      </c>
      <c r="D937" t="s">
        <v>3130</v>
      </c>
      <c r="E937" t="str">
        <f>_xll.BDP($B937,"LEGAL_ENTITY_IDENTIFIER")</f>
        <v>549300NEX8I0MSOW0R64</v>
      </c>
      <c r="F937" t="s">
        <v>3130</v>
      </c>
      <c r="G937" t="str">
        <f>custodian!D937</f>
        <v>378973507</v>
      </c>
      <c r="H937" t="str">
        <f>_xll.BDP($B937,"ID_ISIN")</f>
        <v>US3789735079</v>
      </c>
      <c r="I937" s="1" t="s">
        <v>3129</v>
      </c>
      <c r="J937" t="str">
        <f>_xll.BDP($B937,"CNTRY_OF_DOMICILE")</f>
        <v>US</v>
      </c>
      <c r="K937" t="s">
        <v>98</v>
      </c>
      <c r="L937" t="s">
        <v>99</v>
      </c>
      <c r="O937" s="1"/>
      <c r="AQ937" s="1"/>
      <c r="AR937" s="1"/>
      <c r="AS937" s="1"/>
    </row>
    <row r="938" spans="1:45" x14ac:dyDescent="0.25">
      <c r="A938" t="s">
        <v>3100</v>
      </c>
      <c r="B938" t="s">
        <v>3131</v>
      </c>
      <c r="C938" s="1" t="s">
        <v>3132</v>
      </c>
      <c r="D938" t="s">
        <v>3133</v>
      </c>
      <c r="E938" t="str">
        <f>_xll.BDP($B938,"LEGAL_ENTITY_IDENTIFIER")</f>
        <v>549300U620NVQ4J1CT96</v>
      </c>
      <c r="F938" t="s">
        <v>3133</v>
      </c>
      <c r="G938" t="str">
        <f>custodian!D938</f>
        <v>46269C102</v>
      </c>
      <c r="H938" t="str">
        <f>_xll.BDP($B938,"ID_ISIN")</f>
        <v>US46269C1027</v>
      </c>
      <c r="I938" s="1" t="s">
        <v>3132</v>
      </c>
      <c r="J938" t="str">
        <f>_xll.BDP($B938,"CNTRY_OF_DOMICILE")</f>
        <v>US</v>
      </c>
      <c r="K938" t="s">
        <v>98</v>
      </c>
      <c r="L938" t="s">
        <v>99</v>
      </c>
      <c r="O938" s="1"/>
      <c r="AQ938" s="1"/>
      <c r="AR938" s="1"/>
      <c r="AS938" s="1"/>
    </row>
    <row r="939" spans="1:45" x14ac:dyDescent="0.25">
      <c r="A939" t="s">
        <v>3100</v>
      </c>
      <c r="B939" t="s">
        <v>170</v>
      </c>
      <c r="C939" s="1" t="s">
        <v>171</v>
      </c>
      <c r="D939" t="s">
        <v>172</v>
      </c>
      <c r="E939" t="str">
        <f>_xll.BDP($B939,"LEGAL_ENTITY_IDENTIFIER")</f>
        <v>DPRBOZP0K5RM2YE8UU08</v>
      </c>
      <c r="F939" t="s">
        <v>172</v>
      </c>
      <c r="G939" t="str">
        <f>custodian!D939</f>
        <v>539830109</v>
      </c>
      <c r="H939" t="str">
        <f>_xll.BDP($B939,"ID_ISIN")</f>
        <v>US5398301094</v>
      </c>
      <c r="I939" s="1" t="s">
        <v>171</v>
      </c>
      <c r="J939" t="str">
        <f>_xll.BDP($B939,"CNTRY_OF_DOMICILE")</f>
        <v>US</v>
      </c>
      <c r="K939" t="s">
        <v>98</v>
      </c>
      <c r="L939" t="s">
        <v>99</v>
      </c>
      <c r="O939" s="1"/>
      <c r="AQ939" s="1"/>
      <c r="AR939" s="1"/>
      <c r="AS939" s="1"/>
    </row>
    <row r="940" spans="1:45" x14ac:dyDescent="0.25">
      <c r="A940" t="s">
        <v>3100</v>
      </c>
      <c r="B940" t="s">
        <v>3134</v>
      </c>
      <c r="C940" s="1" t="s">
        <v>3135</v>
      </c>
      <c r="D940" t="s">
        <v>3136</v>
      </c>
      <c r="E940" t="str">
        <f>_xll.BDP($B940,"LEGAL_ENTITY_IDENTIFIER")</f>
        <v>254900386IE2PEPLVM59</v>
      </c>
      <c r="F940" t="s">
        <v>3136</v>
      </c>
      <c r="G940" t="str">
        <f>custodian!D940</f>
        <v>46125A100</v>
      </c>
      <c r="H940" t="str">
        <f>_xll.BDP($B940,"ID_ISIN")</f>
        <v>US46125A1007</v>
      </c>
      <c r="I940" s="1" t="s">
        <v>3135</v>
      </c>
      <c r="J940" t="str">
        <f>_xll.BDP($B940,"CNTRY_OF_DOMICILE")</f>
        <v>US</v>
      </c>
      <c r="K940" t="s">
        <v>98</v>
      </c>
      <c r="L940" t="s">
        <v>99</v>
      </c>
      <c r="O940" s="1"/>
      <c r="AQ940" s="1"/>
      <c r="AR940" s="1"/>
      <c r="AS940" s="1"/>
    </row>
    <row r="941" spans="1:45" x14ac:dyDescent="0.25">
      <c r="A941" t="s">
        <v>3100</v>
      </c>
      <c r="B941" t="s">
        <v>3137</v>
      </c>
      <c r="C941" s="1" t="s">
        <v>3138</v>
      </c>
      <c r="D941" t="s">
        <v>3139</v>
      </c>
      <c r="E941" t="str">
        <f>_xll.BDP($B941,"LEGAL_ENTITY_IDENTIFIER")</f>
        <v>984500ND87A4R2K6ED80</v>
      </c>
      <c r="F941" t="s">
        <v>3139</v>
      </c>
      <c r="G941" t="str">
        <f>custodian!D941</f>
        <v>55293N109</v>
      </c>
      <c r="H941" t="str">
        <f>_xll.BDP($B941,"ID_ISIN")</f>
        <v>CA55293N1096</v>
      </c>
      <c r="I941" s="1" t="s">
        <v>3138</v>
      </c>
      <c r="J941" t="str">
        <f>_xll.BDP($B941,"CNTRY_OF_DOMICILE")</f>
        <v>CA</v>
      </c>
      <c r="K941" t="s">
        <v>98</v>
      </c>
      <c r="L941" t="s">
        <v>99</v>
      </c>
      <c r="O941" s="1"/>
      <c r="AQ941" s="1"/>
      <c r="AR941" s="1"/>
      <c r="AS941" s="1"/>
    </row>
    <row r="942" spans="1:45" x14ac:dyDescent="0.25">
      <c r="A942" t="s">
        <v>3100</v>
      </c>
      <c r="B942" t="s">
        <v>3140</v>
      </c>
      <c r="C942" s="1" t="s">
        <v>3141</v>
      </c>
      <c r="D942" t="s">
        <v>3142</v>
      </c>
      <c r="E942" t="str">
        <f>_xll.BDP($B942,"LEGAL_ENTITY_IDENTIFIER")</f>
        <v>549300P3B84SGK7HH679</v>
      </c>
      <c r="F942" t="s">
        <v>3142</v>
      </c>
      <c r="G942" t="str">
        <f>custodian!D942</f>
        <v>589378108</v>
      </c>
      <c r="H942" t="str">
        <f>_xll.BDP($B942,"ID_ISIN")</f>
        <v>US5893781089</v>
      </c>
      <c r="I942" s="1" t="s">
        <v>3141</v>
      </c>
      <c r="J942" t="str">
        <f>_xll.BDP($B942,"CNTRY_OF_DOMICILE")</f>
        <v>US</v>
      </c>
      <c r="K942" t="s">
        <v>98</v>
      </c>
      <c r="L942" t="s">
        <v>99</v>
      </c>
      <c r="O942" s="1"/>
      <c r="AQ942" s="1"/>
      <c r="AR942" s="1"/>
      <c r="AS942" s="1"/>
    </row>
    <row r="943" spans="1:45" x14ac:dyDescent="0.25">
      <c r="A943" t="s">
        <v>3100</v>
      </c>
      <c r="B943" t="s">
        <v>3143</v>
      </c>
      <c r="C943" s="1" t="s">
        <v>3144</v>
      </c>
      <c r="D943" t="s">
        <v>3145</v>
      </c>
      <c r="E943" t="str">
        <f>_xll.BDP($B943,"LEGAL_ENTITY_IDENTIFIER")</f>
        <v>#N/A N/A</v>
      </c>
      <c r="F943" t="s">
        <v>3146</v>
      </c>
      <c r="G943" t="str">
        <f>custodian!D943</f>
        <v>55405Y100</v>
      </c>
      <c r="H943" t="str">
        <f>_xll.BDP($B943,"ID_ISIN")</f>
        <v>US55405Y1001</v>
      </c>
      <c r="I943" s="1" t="s">
        <v>3144</v>
      </c>
      <c r="J943" t="str">
        <f>_xll.BDP($B943,"CNTRY_OF_DOMICILE")</f>
        <v>US</v>
      </c>
      <c r="K943" t="s">
        <v>98</v>
      </c>
      <c r="L943" t="s">
        <v>99</v>
      </c>
      <c r="O943" s="1"/>
      <c r="AQ943" s="1"/>
      <c r="AR943" s="1"/>
      <c r="AS943" s="1"/>
    </row>
    <row r="944" spans="1:45" x14ac:dyDescent="0.25">
      <c r="A944" t="s">
        <v>3100</v>
      </c>
      <c r="B944" t="s">
        <v>3147</v>
      </c>
      <c r="C944" s="1" t="s">
        <v>3148</v>
      </c>
      <c r="D944" t="s">
        <v>3149</v>
      </c>
      <c r="E944" t="str">
        <f>_xll.BDP($B944,"LEGAL_ENTITY_IDENTIFIER")</f>
        <v>254900Q7PVI3HTQBRB44</v>
      </c>
      <c r="F944" t="s">
        <v>3149</v>
      </c>
      <c r="G944" t="str">
        <f>custodian!D944</f>
        <v>72703X106</v>
      </c>
      <c r="H944" t="str">
        <f>_xll.BDP($B944,"ID_ISIN")</f>
        <v>US72703X1063</v>
      </c>
      <c r="I944" s="1" t="s">
        <v>3148</v>
      </c>
      <c r="J944" t="str">
        <f>_xll.BDP($B944,"CNTRY_OF_DOMICILE")</f>
        <v>US</v>
      </c>
      <c r="K944" t="s">
        <v>98</v>
      </c>
      <c r="L944" t="s">
        <v>99</v>
      </c>
      <c r="O944" s="1"/>
      <c r="AQ944" s="1"/>
      <c r="AR944" s="1"/>
      <c r="AS944" s="1"/>
    </row>
    <row r="945" spans="1:45" x14ac:dyDescent="0.25">
      <c r="A945" t="s">
        <v>3100</v>
      </c>
      <c r="B945" t="s">
        <v>3150</v>
      </c>
      <c r="C945" s="1" t="s">
        <v>3151</v>
      </c>
      <c r="D945" t="s">
        <v>3152</v>
      </c>
      <c r="E945" t="str">
        <f>_xll.BDP($B945,"LEGAL_ENTITY_IDENTIFIER")</f>
        <v>5299003GVI811TBDK812</v>
      </c>
      <c r="F945" t="s">
        <v>3152</v>
      </c>
      <c r="G945" t="str">
        <f>custodian!D945</f>
        <v>75776W103</v>
      </c>
      <c r="H945" t="str">
        <f>_xll.BDP($B945,"ID_ISIN")</f>
        <v>US75776W1036</v>
      </c>
      <c r="I945" s="1" t="s">
        <v>3151</v>
      </c>
      <c r="J945" t="str">
        <f>_xll.BDP($B945,"CNTRY_OF_DOMICILE")</f>
        <v>US</v>
      </c>
      <c r="K945" t="s">
        <v>98</v>
      </c>
      <c r="L945" t="s">
        <v>99</v>
      </c>
      <c r="O945" s="1"/>
      <c r="AQ945" s="1"/>
      <c r="AR945" s="1"/>
      <c r="AS945" s="1"/>
    </row>
    <row r="946" spans="1:45" x14ac:dyDescent="0.25">
      <c r="A946" t="s">
        <v>3100</v>
      </c>
      <c r="B946" t="s">
        <v>3153</v>
      </c>
      <c r="C946" s="1" t="s">
        <v>3154</v>
      </c>
      <c r="D946" t="s">
        <v>3155</v>
      </c>
      <c r="E946" t="str">
        <f>_xll.BDP($B946,"LEGAL_ENTITY_IDENTIFIER")</f>
        <v>254900LNRW7906KUMM93</v>
      </c>
      <c r="F946" t="s">
        <v>3155</v>
      </c>
      <c r="G946" t="str">
        <f>custodian!D946</f>
        <v>773121108</v>
      </c>
      <c r="H946" t="str">
        <f>_xll.BDP($B946,"ID_ISIN")</f>
        <v>US7731211089</v>
      </c>
      <c r="I946" s="1" t="s">
        <v>3154</v>
      </c>
      <c r="J946" t="str">
        <f>_xll.BDP($B946,"CNTRY_OF_DOMICILE")</f>
        <v>US</v>
      </c>
      <c r="K946" t="s">
        <v>98</v>
      </c>
      <c r="L946" t="s">
        <v>99</v>
      </c>
      <c r="O946" s="1"/>
      <c r="AQ946" s="1"/>
      <c r="AR946" s="1"/>
      <c r="AS946" s="1"/>
    </row>
    <row r="947" spans="1:45" x14ac:dyDescent="0.25">
      <c r="A947" t="s">
        <v>3100</v>
      </c>
      <c r="B947" t="s">
        <v>3156</v>
      </c>
      <c r="C947" s="1" t="s">
        <v>3157</v>
      </c>
      <c r="D947" t="s">
        <v>3158</v>
      </c>
      <c r="E947" t="str">
        <f>_xll.BDP($B947,"LEGAL_ENTITY_IDENTIFIER")</f>
        <v>5299009D26BMHHTAHA11</v>
      </c>
      <c r="F947" t="s">
        <v>3158</v>
      </c>
      <c r="G947" t="str">
        <f>custodian!D947</f>
        <v>80401C100</v>
      </c>
      <c r="H947" t="str">
        <f>_xll.BDP($B947,"ID_ISIN")</f>
        <v>US80401C1009</v>
      </c>
      <c r="I947" s="1" t="s">
        <v>3157</v>
      </c>
      <c r="J947" t="str">
        <f>_xll.BDP($B947,"CNTRY_OF_DOMICILE")</f>
        <v>US</v>
      </c>
      <c r="K947" t="s">
        <v>98</v>
      </c>
      <c r="L947" t="s">
        <v>99</v>
      </c>
      <c r="O947" s="1"/>
      <c r="AQ947" s="1"/>
      <c r="AR947" s="1"/>
      <c r="AS947" s="1"/>
    </row>
    <row r="948" spans="1:45" x14ac:dyDescent="0.25">
      <c r="A948" t="s">
        <v>3100</v>
      </c>
      <c r="B948" t="s">
        <v>3159</v>
      </c>
      <c r="C948" s="1" t="s">
        <v>3160</v>
      </c>
      <c r="D948" t="s">
        <v>3161</v>
      </c>
      <c r="E948" t="str">
        <f>_xll.BDP($B948,"LEGAL_ENTITY_IDENTIFIER")</f>
        <v>#N/A N/A</v>
      </c>
      <c r="F948" t="s">
        <v>3161</v>
      </c>
      <c r="G948" t="str">
        <f>custodian!D948</f>
        <v>826165201</v>
      </c>
      <c r="H948" t="str">
        <f>_xll.BDP($B948,"ID_ISIN")</f>
        <v>US8261652015</v>
      </c>
      <c r="I948" s="1" t="s">
        <v>3160</v>
      </c>
      <c r="J948" t="str">
        <f>_xll.BDP($B948,"CNTRY_OF_DOMICILE")</f>
        <v>US</v>
      </c>
      <c r="K948" t="s">
        <v>98</v>
      </c>
      <c r="L948" t="s">
        <v>99</v>
      </c>
      <c r="O948" s="1"/>
      <c r="AQ948" s="1"/>
      <c r="AR948" s="1"/>
      <c r="AS948" s="1"/>
    </row>
    <row r="949" spans="1:45" x14ac:dyDescent="0.25">
      <c r="A949" t="s">
        <v>3100</v>
      </c>
      <c r="B949" t="s">
        <v>3162</v>
      </c>
      <c r="C949" s="1" t="s">
        <v>3163</v>
      </c>
      <c r="D949" t="s">
        <v>3164</v>
      </c>
      <c r="E949" t="str">
        <f>_xll.BDP($B949,"LEGAL_ENTITY_IDENTIFIER")</f>
        <v>#N/A N/A</v>
      </c>
      <c r="F949" t="s">
        <v>3164</v>
      </c>
      <c r="G949" t="str">
        <f>custodian!D949</f>
        <v>829933100</v>
      </c>
      <c r="H949" t="str">
        <f>_xll.BDP($B949,"ID_ISIN")</f>
        <v>US8299331004</v>
      </c>
      <c r="I949" s="1" t="s">
        <v>3163</v>
      </c>
      <c r="J949" t="str">
        <f>_xll.BDP($B949,"CNTRY_OF_DOMICILE")</f>
        <v>US</v>
      </c>
      <c r="K949" t="s">
        <v>98</v>
      </c>
      <c r="L949" t="s">
        <v>99</v>
      </c>
      <c r="O949" s="1"/>
      <c r="AQ949" s="1"/>
      <c r="AR949" s="1"/>
      <c r="AS949" s="1"/>
    </row>
    <row r="950" spans="1:45" x14ac:dyDescent="0.25">
      <c r="A950" t="s">
        <v>3100</v>
      </c>
      <c r="B950" t="s">
        <v>3165</v>
      </c>
      <c r="C950" s="1" t="s">
        <v>3166</v>
      </c>
      <c r="D950" t="s">
        <v>3167</v>
      </c>
      <c r="E950" t="str">
        <f>_xll.BDP($B950,"LEGAL_ENTITY_IDENTIFIER")</f>
        <v>549300C631IMXCSMN048</v>
      </c>
      <c r="F950" t="s">
        <v>3167</v>
      </c>
      <c r="G950" t="str">
        <f>custodian!D950</f>
        <v>92766K403</v>
      </c>
      <c r="H950" t="str">
        <f>_xll.BDP($B950,"ID_ISIN")</f>
        <v>US92766K4031</v>
      </c>
      <c r="I950" s="1" t="s">
        <v>3166</v>
      </c>
      <c r="J950" t="str">
        <f>_xll.BDP($B950,"CNTRY_OF_DOMICILE")</f>
        <v>US</v>
      </c>
      <c r="K950" t="s">
        <v>98</v>
      </c>
      <c r="L950" t="s">
        <v>99</v>
      </c>
      <c r="O950" s="1"/>
      <c r="AQ950" s="1"/>
      <c r="AR950" s="1"/>
      <c r="AS950" s="1"/>
    </row>
    <row r="951" spans="1:45" x14ac:dyDescent="0.25">
      <c r="A951" t="s">
        <v>3100</v>
      </c>
      <c r="B951" t="s">
        <v>3168</v>
      </c>
      <c r="C951" s="1" t="s">
        <v>3169</v>
      </c>
      <c r="D951" t="s">
        <v>3170</v>
      </c>
      <c r="E951" t="str">
        <f>_xll.BDP($B951,"LEGAL_ENTITY_IDENTIFIER")</f>
        <v>549300EZFBLFFHJ5MF06</v>
      </c>
      <c r="F951" t="s">
        <v>3170</v>
      </c>
      <c r="G951" t="str">
        <f>custodian!D951</f>
        <v>848560306</v>
      </c>
      <c r="H951" t="str">
        <f>_xll.BDP($B951,"ID_ISIN")</f>
        <v>US8485603067</v>
      </c>
      <c r="I951" s="1" t="s">
        <v>3169</v>
      </c>
      <c r="J951" t="str">
        <f>_xll.BDP($B951,"CNTRY_OF_DOMICILE")</f>
        <v>US</v>
      </c>
      <c r="K951" t="s">
        <v>98</v>
      </c>
      <c r="L951" t="s">
        <v>99</v>
      </c>
      <c r="O951" s="1"/>
      <c r="AQ951" s="1"/>
      <c r="AR951" s="1"/>
      <c r="AS951" s="1"/>
    </row>
    <row r="952" spans="1:45" x14ac:dyDescent="0.25">
      <c r="A952" t="s">
        <v>3100</v>
      </c>
      <c r="B952" t="s">
        <v>597</v>
      </c>
      <c r="C952" s="1" t="s">
        <v>598</v>
      </c>
      <c r="D952" t="s">
        <v>599</v>
      </c>
      <c r="E952" t="str">
        <f>_xll.BDP($B952,"LEGAL_ENTITY_IDENTIFIER")</f>
        <v>549300E2MI7NSZFQWS19</v>
      </c>
      <c r="F952" t="s">
        <v>599</v>
      </c>
      <c r="G952" t="str">
        <f>custodian!D952</f>
        <v>896239100</v>
      </c>
      <c r="H952" t="str">
        <f>_xll.BDP($B952,"ID_ISIN")</f>
        <v>US8962391004</v>
      </c>
      <c r="I952" s="1" t="s">
        <v>598</v>
      </c>
      <c r="J952" t="str">
        <f>_xll.BDP($B952,"CNTRY_OF_DOMICILE")</f>
        <v>US</v>
      </c>
      <c r="K952" t="s">
        <v>98</v>
      </c>
      <c r="L952" t="s">
        <v>99</v>
      </c>
      <c r="O952" s="1"/>
      <c r="AQ952" s="1"/>
      <c r="AR952" s="1"/>
      <c r="AS952" s="1"/>
    </row>
    <row r="953" spans="1:45" x14ac:dyDescent="0.25">
      <c r="A953" t="s">
        <v>3100</v>
      </c>
      <c r="B953" t="s">
        <v>3171</v>
      </c>
      <c r="C953" s="1" t="s">
        <v>3172</v>
      </c>
      <c r="D953" t="s">
        <v>3173</v>
      </c>
      <c r="E953" t="str">
        <f>_xll.BDP($B953,"LEGAL_ENTITY_IDENTIFIER")</f>
        <v>#N/A N/A</v>
      </c>
      <c r="F953" t="s">
        <v>3173</v>
      </c>
      <c r="G953" t="str">
        <f>custodian!D953</f>
        <v>879512309</v>
      </c>
      <c r="H953" t="str">
        <f>_xll.BDP($B953,"ID_ISIN")</f>
        <v>CA8795123097</v>
      </c>
      <c r="I953" s="1" t="s">
        <v>3172</v>
      </c>
      <c r="J953" t="str">
        <f>_xll.BDP($B953,"CNTRY_OF_DOMICILE")</f>
        <v>CA</v>
      </c>
      <c r="K953" t="s">
        <v>98</v>
      </c>
      <c r="L953" t="s">
        <v>99</v>
      </c>
      <c r="O953" s="1"/>
      <c r="AQ953" s="1"/>
      <c r="AR953" s="1"/>
      <c r="AS953" s="1"/>
    </row>
    <row r="954" spans="1:45" x14ac:dyDescent="0.25">
      <c r="A954" t="s">
        <v>3100</v>
      </c>
      <c r="B954" t="s">
        <v>3174</v>
      </c>
      <c r="C954" s="1" t="s">
        <v>3175</v>
      </c>
      <c r="D954" t="s">
        <v>3176</v>
      </c>
      <c r="E954" t="str">
        <f>_xll.BDP($B954,"LEGAL_ENTITY_IDENTIFIER")</f>
        <v>254900DDCLSP240FE187</v>
      </c>
      <c r="F954" t="s">
        <v>3176</v>
      </c>
      <c r="G954" t="str">
        <f>custodian!D954</f>
        <v>92892B103</v>
      </c>
      <c r="H954" t="str">
        <f>_xll.BDP($B954,"ID_ISIN")</f>
        <v>US92892B1035</v>
      </c>
      <c r="I954" s="1" t="s">
        <v>3175</v>
      </c>
      <c r="J954" t="str">
        <f>_xll.BDP($B954,"CNTRY_OF_DOMICILE")</f>
        <v>US</v>
      </c>
      <c r="K954" t="s">
        <v>98</v>
      </c>
      <c r="L954" t="s">
        <v>99</v>
      </c>
      <c r="O954" s="1"/>
      <c r="AQ954" s="1"/>
      <c r="AR954" s="1"/>
      <c r="AS954" s="1"/>
    </row>
    <row r="955" spans="1:45" x14ac:dyDescent="0.25">
      <c r="A955" t="s">
        <v>3100</v>
      </c>
      <c r="B955" t="s">
        <v>3177</v>
      </c>
      <c r="C955" s="1" t="s">
        <v>3178</v>
      </c>
      <c r="D955" t="s">
        <v>3179</v>
      </c>
      <c r="E955" t="str">
        <f>_xll.BDP($B955,"LEGAL_ENTITY_IDENTIFIER")</f>
        <v>UFC8NYMNFSYIHNSM2I38</v>
      </c>
      <c r="F955" t="s">
        <v>3179</v>
      </c>
      <c r="G955" t="str">
        <f>custodian!D955</f>
        <v>92552V100</v>
      </c>
      <c r="H955" t="str">
        <f>_xll.BDP($B955,"ID_ISIN")</f>
        <v>US92552V1008</v>
      </c>
      <c r="I955" s="1" t="s">
        <v>3178</v>
      </c>
      <c r="J955" t="str">
        <f>_xll.BDP($B955,"CNTRY_OF_DOMICILE")</f>
        <v>US</v>
      </c>
      <c r="K955" t="s">
        <v>98</v>
      </c>
      <c r="L955" t="s">
        <v>99</v>
      </c>
      <c r="O955" s="1"/>
      <c r="AQ955" s="1"/>
      <c r="AR955" s="1"/>
      <c r="AS955" s="1"/>
    </row>
    <row r="956" spans="1:45" x14ac:dyDescent="0.25">
      <c r="A956" t="s">
        <v>3100</v>
      </c>
      <c r="B956" t="s">
        <v>3180</v>
      </c>
      <c r="C956" s="1" t="s">
        <v>3181</v>
      </c>
      <c r="D956" t="s">
        <v>3182</v>
      </c>
      <c r="E956" t="str">
        <f>_xll.BDP($B956,"LEGAL_ENTITY_IDENTIFIER")</f>
        <v>#N/A N/A</v>
      </c>
      <c r="F956" t="s">
        <v>3182</v>
      </c>
      <c r="G956" t="str">
        <f>custodian!D956</f>
        <v>987084100</v>
      </c>
      <c r="H956" t="str">
        <f>_xll.BDP($B956,"ID_ISIN")</f>
        <v>US9870841007</v>
      </c>
      <c r="I956" s="1" t="s">
        <v>3181</v>
      </c>
      <c r="J956" t="str">
        <f>_xll.BDP($B956,"CNTRY_OF_DOMICILE")</f>
        <v>US</v>
      </c>
      <c r="K956" t="s">
        <v>98</v>
      </c>
      <c r="L956" t="s">
        <v>99</v>
      </c>
      <c r="O956" s="1"/>
      <c r="AQ956" s="1"/>
      <c r="AR956" s="1"/>
      <c r="AS956" s="1"/>
    </row>
    <row r="957" spans="1:45" x14ac:dyDescent="0.25">
      <c r="A957" t="s">
        <v>3100</v>
      </c>
      <c r="C957" s="1" t="s">
        <v>52</v>
      </c>
      <c r="E957" s="1"/>
      <c r="G957" t="str">
        <f>custodian!D957</f>
        <v>Cash&amp;Other</v>
      </c>
      <c r="H957" s="1"/>
      <c r="I957" s="1"/>
      <c r="O957" s="1"/>
      <c r="AQ957" s="1"/>
      <c r="AR957" s="1"/>
      <c r="AS957" s="1"/>
    </row>
    <row r="958" spans="1:45" x14ac:dyDescent="0.25">
      <c r="A958" t="s">
        <v>3183</v>
      </c>
      <c r="B958" t="s">
        <v>3184</v>
      </c>
      <c r="C958" s="1" t="s">
        <v>3185</v>
      </c>
      <c r="D958" t="s">
        <v>3186</v>
      </c>
      <c r="E958" t="str">
        <f>_xll.BDP($B958,"LEGAL_ENTITY_IDENTIFIER")</f>
        <v>529900RP7DJ882LI9T83</v>
      </c>
      <c r="F958" t="s">
        <v>3187</v>
      </c>
      <c r="G958" t="str">
        <f>custodian!D958</f>
        <v>01973R101</v>
      </c>
      <c r="H958" t="str">
        <f>_xll.BDP($B958,"ID_ISIN")</f>
        <v>US01973R1014</v>
      </c>
      <c r="I958" s="1" t="s">
        <v>3185</v>
      </c>
      <c r="J958" t="str">
        <f>_xll.BDP($B958,"CNTRY_OF_DOMICILE")</f>
        <v>US</v>
      </c>
      <c r="K958" t="s">
        <v>98</v>
      </c>
      <c r="L958" t="s">
        <v>99</v>
      </c>
      <c r="O958" s="1"/>
      <c r="AQ958" s="1"/>
      <c r="AR958" s="1"/>
      <c r="AS958" s="1"/>
    </row>
    <row r="959" spans="1:45" x14ac:dyDescent="0.25">
      <c r="A959" t="s">
        <v>3183</v>
      </c>
      <c r="B959" t="s">
        <v>3188</v>
      </c>
      <c r="C959" s="1" t="s">
        <v>3189</v>
      </c>
      <c r="D959" t="s">
        <v>3190</v>
      </c>
      <c r="E959" t="str">
        <f>_xll.BDP($B959,"LEGAL_ENTITY_IDENTIFIER")</f>
        <v>5493006S3KBNE8ZS3J23</v>
      </c>
      <c r="F959" t="s">
        <v>3190</v>
      </c>
      <c r="G959" t="str">
        <f>custodian!D959</f>
        <v>03937C105</v>
      </c>
      <c r="H959" t="str">
        <f>_xll.BDP($B959,"ID_ISIN")</f>
        <v>US03937C1053</v>
      </c>
      <c r="I959" s="1" t="s">
        <v>3189</v>
      </c>
      <c r="J959" t="str">
        <f>_xll.BDP($B959,"CNTRY_OF_DOMICILE")</f>
        <v>US</v>
      </c>
      <c r="K959" t="s">
        <v>98</v>
      </c>
      <c r="L959" t="s">
        <v>99</v>
      </c>
      <c r="O959" s="1"/>
      <c r="AQ959" s="1"/>
      <c r="AR959" s="1"/>
      <c r="AS959" s="1"/>
    </row>
    <row r="960" spans="1:45" x14ac:dyDescent="0.25">
      <c r="A960" t="s">
        <v>3183</v>
      </c>
      <c r="B960" t="s">
        <v>3191</v>
      </c>
      <c r="C960" s="1" t="s">
        <v>3192</v>
      </c>
      <c r="D960" t="s">
        <v>3193</v>
      </c>
      <c r="E960" t="str">
        <f>_xll.BDP($B960,"LEGAL_ENTITY_IDENTIFIER")</f>
        <v>529900WNWN5L0OVDHA79</v>
      </c>
      <c r="F960" t="s">
        <v>3193</v>
      </c>
      <c r="G960" t="str">
        <f>custodian!D960</f>
        <v>12541W209</v>
      </c>
      <c r="H960" t="str">
        <f>_xll.BDP($B960,"ID_ISIN")</f>
        <v>US12541W2098</v>
      </c>
      <c r="I960" s="1" t="s">
        <v>3192</v>
      </c>
      <c r="J960" t="str">
        <f>_xll.BDP($B960,"CNTRY_OF_DOMICILE")</f>
        <v>US</v>
      </c>
      <c r="K960" t="s">
        <v>98</v>
      </c>
      <c r="L960" t="s">
        <v>99</v>
      </c>
      <c r="O960" s="1"/>
      <c r="AQ960" s="1"/>
      <c r="AR960" s="1"/>
      <c r="AS960" s="1"/>
    </row>
    <row r="961" spans="1:45" x14ac:dyDescent="0.25">
      <c r="A961" t="s">
        <v>3183</v>
      </c>
      <c r="B961" t="s">
        <v>3194</v>
      </c>
      <c r="C961" s="1" t="s">
        <v>3195</v>
      </c>
      <c r="D961" t="s">
        <v>3196</v>
      </c>
      <c r="E961" t="str">
        <f>_xll.BDP($B961,"LEGAL_ENTITY_IDENTIFIER")</f>
        <v>ZUNI8PYC725B6H8JU438</v>
      </c>
      <c r="F961" t="s">
        <v>3196</v>
      </c>
      <c r="G961" t="str">
        <f>custodian!D961</f>
        <v>231021106</v>
      </c>
      <c r="H961" t="str">
        <f>_xll.BDP($B961,"ID_ISIN")</f>
        <v>US2310211063</v>
      </c>
      <c r="I961" s="1" t="s">
        <v>3195</v>
      </c>
      <c r="J961" t="str">
        <f>_xll.BDP($B961,"CNTRY_OF_DOMICILE")</f>
        <v>US</v>
      </c>
      <c r="K961" t="s">
        <v>98</v>
      </c>
      <c r="L961" t="s">
        <v>99</v>
      </c>
      <c r="O961" s="1"/>
      <c r="AQ961" s="1"/>
      <c r="AR961" s="1"/>
      <c r="AS961" s="1"/>
    </row>
    <row r="962" spans="1:45" x14ac:dyDescent="0.25">
      <c r="A962" t="s">
        <v>3183</v>
      </c>
      <c r="B962" t="s">
        <v>3197</v>
      </c>
      <c r="C962" s="1" t="s">
        <v>3198</v>
      </c>
      <c r="D962" t="s">
        <v>3199</v>
      </c>
      <c r="E962" t="str">
        <f>_xll.BDP($B962,"LEGAL_ENTITY_IDENTIFIER")</f>
        <v>5299003L6NPTZ25LN818</v>
      </c>
      <c r="F962" t="s">
        <v>3199</v>
      </c>
      <c r="G962" t="str">
        <f>custodian!D962</f>
        <v>Y1771G102</v>
      </c>
      <c r="H962" t="str">
        <f>_xll.BDP($B962,"ID_ISIN")</f>
        <v>MHY1771G1026</v>
      </c>
      <c r="I962" s="1" t="s">
        <v>3198</v>
      </c>
      <c r="J962" t="str">
        <f>_xll.BDP($B962,"CNTRY_OF_DOMICILE")</f>
        <v>MC</v>
      </c>
      <c r="K962" t="s">
        <v>98</v>
      </c>
      <c r="L962" t="s">
        <v>99</v>
      </c>
      <c r="O962" s="1"/>
      <c r="AQ962" s="1"/>
      <c r="AR962" s="1"/>
      <c r="AS962" s="1"/>
    </row>
    <row r="963" spans="1:45" x14ac:dyDescent="0.25">
      <c r="A963" t="s">
        <v>3183</v>
      </c>
      <c r="B963" t="s">
        <v>3200</v>
      </c>
      <c r="C963" s="1" t="s">
        <v>3201</v>
      </c>
      <c r="D963" t="s">
        <v>3202</v>
      </c>
      <c r="E963" t="str">
        <f>_xll.BDP($B963,"LEGAL_ENTITY_IDENTIFIER")</f>
        <v>3SU7BEP7TH9YEQOZCS77</v>
      </c>
      <c r="F963" t="s">
        <v>3202</v>
      </c>
      <c r="G963" t="str">
        <f>custodian!D963</f>
        <v>136375102</v>
      </c>
      <c r="H963" t="str">
        <f>_xll.BDP($B963,"ID_ISIN")</f>
        <v>CA1363751027</v>
      </c>
      <c r="I963" s="1" t="s">
        <v>3201</v>
      </c>
      <c r="J963" t="str">
        <f>_xll.BDP($B963,"CNTRY_OF_DOMICILE")</f>
        <v>CA</v>
      </c>
      <c r="K963" t="s">
        <v>98</v>
      </c>
      <c r="L963" t="s">
        <v>99</v>
      </c>
      <c r="O963" s="1"/>
      <c r="AQ963" s="1"/>
      <c r="AR963" s="1"/>
      <c r="AS963" s="1"/>
    </row>
    <row r="964" spans="1:45" x14ac:dyDescent="0.25">
      <c r="A964" t="s">
        <v>3183</v>
      </c>
      <c r="B964" t="s">
        <v>3203</v>
      </c>
      <c r="C964" s="1" t="s">
        <v>3204</v>
      </c>
      <c r="D964" t="s">
        <v>3205</v>
      </c>
      <c r="E964" t="str">
        <f>_xll.BDP($B964,"LEGAL_ENTITY_IDENTIFIER")</f>
        <v>#N/A N/A</v>
      </c>
      <c r="F964" t="s">
        <v>3206</v>
      </c>
      <c r="G964" t="str">
        <f>custodian!D964</f>
        <v>13646K108</v>
      </c>
      <c r="H964" t="str">
        <f>_xll.BDP($B964,"ID_ISIN")</f>
        <v>CA13646K1084</v>
      </c>
      <c r="I964" s="1" t="s">
        <v>3204</v>
      </c>
      <c r="J964" t="str">
        <f>_xll.BDP($B964,"CNTRY_OF_DOMICILE")</f>
        <v>CA</v>
      </c>
      <c r="K964" t="s">
        <v>98</v>
      </c>
      <c r="L964" t="s">
        <v>99</v>
      </c>
      <c r="O964" s="1"/>
      <c r="AQ964" s="1"/>
      <c r="AR964" s="1"/>
      <c r="AS964" s="1"/>
    </row>
    <row r="965" spans="1:45" x14ac:dyDescent="0.25">
      <c r="A965" t="s">
        <v>3183</v>
      </c>
      <c r="B965" t="s">
        <v>3207</v>
      </c>
      <c r="C965" s="1" t="s">
        <v>3208</v>
      </c>
      <c r="D965" t="s">
        <v>3209</v>
      </c>
      <c r="E965" t="str">
        <f>_xll.BDP($B965,"LEGAL_ENTITY_IDENTIFIER")</f>
        <v>549300JVQR4N1MMP3Q88</v>
      </c>
      <c r="F965" t="s">
        <v>3209</v>
      </c>
      <c r="G965" t="str">
        <f>custodian!D965</f>
        <v>126408103</v>
      </c>
      <c r="H965" t="str">
        <f>_xll.BDP($B965,"ID_ISIN")</f>
        <v>US1264081035</v>
      </c>
      <c r="I965" s="1" t="s">
        <v>3208</v>
      </c>
      <c r="J965" t="str">
        <f>_xll.BDP($B965,"CNTRY_OF_DOMICILE")</f>
        <v>US</v>
      </c>
      <c r="K965" t="s">
        <v>98</v>
      </c>
      <c r="L965" t="s">
        <v>99</v>
      </c>
      <c r="O965" s="1"/>
      <c r="AQ965" s="1"/>
      <c r="AR965" s="1"/>
      <c r="AS965" s="1"/>
    </row>
    <row r="966" spans="1:45" x14ac:dyDescent="0.25">
      <c r="A966" t="s">
        <v>3183</v>
      </c>
      <c r="B966" t="s">
        <v>3210</v>
      </c>
      <c r="C966" s="1" t="s">
        <v>3211</v>
      </c>
      <c r="D966" t="s">
        <v>3212</v>
      </c>
      <c r="E966" t="str">
        <f>_xll.BDP($B966,"LEGAL_ENTITY_IDENTIFIER")</f>
        <v>#N/A N/A</v>
      </c>
      <c r="F966" t="s">
        <v>3212</v>
      </c>
      <c r="G966" t="str">
        <f>custodian!D966</f>
        <v>22284P105</v>
      </c>
      <c r="H966" t="str">
        <f>_xll.BDP($B966,"ID_ISIN")</f>
        <v>US22284P1057</v>
      </c>
      <c r="I966" s="1" t="s">
        <v>3211</v>
      </c>
      <c r="J966" t="str">
        <f>_xll.BDP($B966,"CNTRY_OF_DOMICILE")</f>
        <v>US</v>
      </c>
      <c r="K966" t="s">
        <v>98</v>
      </c>
      <c r="L966" t="s">
        <v>99</v>
      </c>
      <c r="O966" s="1"/>
      <c r="AQ966" s="1"/>
      <c r="AR966" s="1"/>
      <c r="AS966" s="1"/>
    </row>
    <row r="967" spans="1:45" x14ac:dyDescent="0.25">
      <c r="A967" t="s">
        <v>3183</v>
      </c>
      <c r="B967" t="s">
        <v>3213</v>
      </c>
      <c r="C967" s="1" t="s">
        <v>3214</v>
      </c>
      <c r="D967" t="s">
        <v>3215</v>
      </c>
      <c r="E967" t="str">
        <f>_xll.BDP($B967,"LEGAL_ENTITY_IDENTIFIER")</f>
        <v>734IM3DNDNT36T7YTD24</v>
      </c>
      <c r="F967" t="s">
        <v>3215</v>
      </c>
      <c r="G967" t="str">
        <f>custodian!D967</f>
        <v>Y1968P121</v>
      </c>
      <c r="H967" t="str">
        <f>_xll.BDP($B967,"ID_ISIN")</f>
        <v>MHY1968P1218</v>
      </c>
      <c r="I967" s="1" t="s">
        <v>3214</v>
      </c>
      <c r="J967" t="str">
        <f>_xll.BDP($B967,"CNTRY_OF_DOMICILE")</f>
        <v>GR</v>
      </c>
      <c r="K967" t="s">
        <v>98</v>
      </c>
      <c r="L967" t="s">
        <v>99</v>
      </c>
      <c r="O967" s="1"/>
      <c r="AQ967" s="1"/>
      <c r="AR967" s="1"/>
      <c r="AS967" s="1"/>
    </row>
    <row r="968" spans="1:45" x14ac:dyDescent="0.25">
      <c r="A968" t="s">
        <v>3183</v>
      </c>
      <c r="B968" t="s">
        <v>3216</v>
      </c>
      <c r="C968" s="1" t="s">
        <v>3217</v>
      </c>
      <c r="D968" t="s">
        <v>3218</v>
      </c>
      <c r="E968" t="str">
        <f>_xll.BDP($B968,"LEGAL_ENTITY_IDENTIFIER")</f>
        <v>984500B055A804AB6E40</v>
      </c>
      <c r="F968" t="s">
        <v>3219</v>
      </c>
      <c r="G968" t="str">
        <f>custodian!D968</f>
        <v>302130109</v>
      </c>
      <c r="H968" t="str">
        <f>_xll.BDP($B968,"ID_ISIN")</f>
        <v>US3021301094</v>
      </c>
      <c r="I968" s="1" t="s">
        <v>3217</v>
      </c>
      <c r="J968" t="str">
        <f>_xll.BDP($B968,"CNTRY_OF_DOMICILE")</f>
        <v>US</v>
      </c>
      <c r="K968" t="s">
        <v>98</v>
      </c>
      <c r="L968" t="s">
        <v>99</v>
      </c>
      <c r="O968" s="1"/>
      <c r="AQ968" s="1"/>
      <c r="AR968" s="1"/>
      <c r="AS968" s="1"/>
    </row>
    <row r="969" spans="1:45" x14ac:dyDescent="0.25">
      <c r="A969" t="s">
        <v>3183</v>
      </c>
      <c r="B969" t="s">
        <v>140</v>
      </c>
      <c r="C969" s="1" t="s">
        <v>141</v>
      </c>
      <c r="D969" t="s">
        <v>142</v>
      </c>
      <c r="E969" t="str">
        <f>_xll.BDP($B969,"LEGAL_ENTITY_IDENTIFIER")</f>
        <v>549300E707U7WNPZN687</v>
      </c>
      <c r="F969" t="s">
        <v>142</v>
      </c>
      <c r="G969" t="str">
        <f>custodian!D969</f>
        <v>31428X106</v>
      </c>
      <c r="H969" t="str">
        <f>_xll.BDP($B969,"ID_ISIN")</f>
        <v>US31428X1063</v>
      </c>
      <c r="I969" s="1" t="s">
        <v>141</v>
      </c>
      <c r="J969" t="str">
        <f>_xll.BDP($B969,"CNTRY_OF_DOMICILE")</f>
        <v>US</v>
      </c>
      <c r="K969" t="s">
        <v>98</v>
      </c>
      <c r="L969" t="s">
        <v>99</v>
      </c>
      <c r="O969" s="1"/>
      <c r="AQ969" s="1"/>
      <c r="AR969" s="1"/>
      <c r="AS969" s="1"/>
    </row>
    <row r="970" spans="1:45" x14ac:dyDescent="0.25">
      <c r="A970" t="s">
        <v>3183</v>
      </c>
      <c r="B970" t="s">
        <v>143</v>
      </c>
      <c r="C970" s="1" t="s">
        <v>144</v>
      </c>
      <c r="D970" t="s">
        <v>145</v>
      </c>
      <c r="E970" t="str">
        <f>_xll.BDP($B970,"LEGAL_ENTITY_IDENTIFIER")</f>
        <v>984500Y1DA5A58ICE336</v>
      </c>
      <c r="F970" t="s">
        <v>145</v>
      </c>
      <c r="G970" t="str">
        <f>custodian!D970</f>
        <v>314352105</v>
      </c>
      <c r="H970" t="str">
        <f>_xll.BDP($B970,"ID_ISIN")</f>
        <v>US3143521058</v>
      </c>
      <c r="I970" s="1" t="s">
        <v>144</v>
      </c>
      <c r="J970" t="str">
        <f>_xll.BDP($B970,"CNTRY_OF_DOMICILE")</f>
        <v>US</v>
      </c>
      <c r="K970" t="s">
        <v>98</v>
      </c>
      <c r="L970" t="s">
        <v>99</v>
      </c>
      <c r="O970" s="1"/>
      <c r="AQ970" s="1"/>
      <c r="AR970" s="1"/>
      <c r="AS970" s="1"/>
    </row>
    <row r="971" spans="1:45" x14ac:dyDescent="0.25">
      <c r="A971" t="s">
        <v>3183</v>
      </c>
      <c r="B971" t="s">
        <v>77</v>
      </c>
      <c r="C971" s="1" t="s">
        <v>78</v>
      </c>
      <c r="D971" t="s">
        <v>79</v>
      </c>
      <c r="E971" t="str">
        <f>_xll.BDP($B971,"LEGAL_ENTITY_IDENTIFIER")</f>
        <v>549300R5MYM6VZF1RM44</v>
      </c>
      <c r="F971" t="s">
        <v>80</v>
      </c>
      <c r="G971" t="str">
        <f>custodian!D971</f>
        <v>31846V336</v>
      </c>
      <c r="H971" t="str">
        <f>_xll.BDP($B971,"ID_ISIN")</f>
        <v>US31846V3362</v>
      </c>
      <c r="I971" s="1" t="s">
        <v>78</v>
      </c>
      <c r="J971" t="str">
        <f>_xll.BDP($B971,"CNTRY_OF_DOMICILE")</f>
        <v>US</v>
      </c>
      <c r="K971" t="s">
        <v>81</v>
      </c>
      <c r="L971" t="s">
        <v>82</v>
      </c>
      <c r="O971" s="1"/>
      <c r="AQ971" s="1"/>
      <c r="AR971" s="1"/>
      <c r="AS971" s="1"/>
    </row>
    <row r="972" spans="1:45" x14ac:dyDescent="0.25">
      <c r="A972" t="s">
        <v>3183</v>
      </c>
      <c r="B972" t="s">
        <v>3220</v>
      </c>
      <c r="C972" s="1" t="s">
        <v>3221</v>
      </c>
      <c r="D972" t="s">
        <v>3222</v>
      </c>
      <c r="E972" t="str">
        <f>_xll.BDP($B972,"LEGAL_ENTITY_IDENTIFIER")</f>
        <v>#N/A N/A</v>
      </c>
      <c r="F972" t="s">
        <v>3222</v>
      </c>
      <c r="G972" t="str">
        <f>custodian!D972</f>
        <v>34986A104</v>
      </c>
      <c r="H972" t="str">
        <f>_xll.BDP($B972,"ID_ISIN")</f>
        <v>US34986A1043</v>
      </c>
      <c r="I972" s="1" t="s">
        <v>3221</v>
      </c>
      <c r="J972" t="str">
        <f>_xll.BDP($B972,"CNTRY_OF_DOMICILE")</f>
        <v>US</v>
      </c>
      <c r="K972" t="s">
        <v>98</v>
      </c>
      <c r="L972" t="s">
        <v>99</v>
      </c>
      <c r="O972" s="1"/>
      <c r="AQ972" s="1"/>
      <c r="AR972" s="1"/>
      <c r="AS972" s="1"/>
    </row>
    <row r="973" spans="1:45" x14ac:dyDescent="0.25">
      <c r="A973" t="s">
        <v>3183</v>
      </c>
      <c r="B973" t="s">
        <v>3223</v>
      </c>
      <c r="C973" s="1" t="s">
        <v>3224</v>
      </c>
      <c r="D973" t="s">
        <v>3225</v>
      </c>
      <c r="E973" t="str">
        <f>_xll.BDP($B973,"LEGAL_ENTITY_IDENTIFIER")</f>
        <v>549300IHYHCQP2PIR591</v>
      </c>
      <c r="F973" t="s">
        <v>3225</v>
      </c>
      <c r="G973" t="str">
        <f>custodian!D973</f>
        <v>361448103</v>
      </c>
      <c r="H973" t="str">
        <f>_xll.BDP($B973,"ID_ISIN")</f>
        <v>US3614481030</v>
      </c>
      <c r="I973" s="1" t="s">
        <v>3224</v>
      </c>
      <c r="J973" t="str">
        <f>_xll.BDP($B973,"CNTRY_OF_DOMICILE")</f>
        <v>US</v>
      </c>
      <c r="K973" t="s">
        <v>98</v>
      </c>
      <c r="L973" t="s">
        <v>99</v>
      </c>
      <c r="O973" s="1"/>
      <c r="AQ973" s="1"/>
      <c r="AR973" s="1"/>
      <c r="AS973" s="1"/>
    </row>
    <row r="974" spans="1:45" x14ac:dyDescent="0.25">
      <c r="A974" t="s">
        <v>3183</v>
      </c>
      <c r="B974" t="s">
        <v>3226</v>
      </c>
      <c r="C974" s="1" t="s">
        <v>3227</v>
      </c>
      <c r="D974" t="s">
        <v>3228</v>
      </c>
      <c r="E974" t="str">
        <f>_xll.BDP($B974,"LEGAL_ENTITY_IDENTIFIER")</f>
        <v>254900GLZ0J5N8UZM071</v>
      </c>
      <c r="F974" t="s">
        <v>3228</v>
      </c>
      <c r="G974" t="str">
        <f>custodian!D974</f>
        <v>Y27183600</v>
      </c>
      <c r="H974" t="str">
        <f>_xll.BDP($B974,"ID_ISIN")</f>
        <v>MHY271836006</v>
      </c>
      <c r="I974" s="1" t="s">
        <v>3227</v>
      </c>
      <c r="J974" t="str">
        <f>_xll.BDP($B974,"CNTRY_OF_DOMICILE")</f>
        <v>GB</v>
      </c>
      <c r="K974" t="s">
        <v>98</v>
      </c>
      <c r="L974" t="s">
        <v>99</v>
      </c>
      <c r="O974" s="1"/>
      <c r="AQ974" s="1"/>
      <c r="AR974" s="1"/>
      <c r="AS974" s="1"/>
    </row>
    <row r="975" spans="1:45" x14ac:dyDescent="0.25">
      <c r="A975" t="s">
        <v>3183</v>
      </c>
      <c r="B975" t="s">
        <v>3229</v>
      </c>
      <c r="C975" s="1" t="s">
        <v>3230</v>
      </c>
      <c r="D975" t="s">
        <v>3231</v>
      </c>
      <c r="E975" t="str">
        <f>_xll.BDP($B975,"LEGAL_ENTITY_IDENTIFIER")</f>
        <v>5493007CNWMXN78JRN66</v>
      </c>
      <c r="F975" t="s">
        <v>3231</v>
      </c>
      <c r="G975" t="str">
        <f>custodian!D975</f>
        <v>36262G101</v>
      </c>
      <c r="H975" t="str">
        <f>_xll.BDP($B975,"ID_ISIN")</f>
        <v>US36262G1013</v>
      </c>
      <c r="I975" s="1" t="s">
        <v>3230</v>
      </c>
      <c r="J975" t="str">
        <f>_xll.BDP($B975,"CNTRY_OF_DOMICILE")</f>
        <v>US</v>
      </c>
      <c r="K975" t="s">
        <v>98</v>
      </c>
      <c r="L975" t="s">
        <v>99</v>
      </c>
      <c r="O975" s="1"/>
      <c r="AQ975" s="1"/>
      <c r="AR975" s="1"/>
      <c r="AS975" s="1"/>
    </row>
    <row r="976" spans="1:45" x14ac:dyDescent="0.25">
      <c r="A976" t="s">
        <v>3183</v>
      </c>
      <c r="B976" t="s">
        <v>3232</v>
      </c>
      <c r="C976" s="1" t="s">
        <v>3233</v>
      </c>
      <c r="D976" t="s">
        <v>3234</v>
      </c>
      <c r="E976" t="str">
        <f>_xll.BDP($B976,"LEGAL_ENTITY_IDENTIFIER")</f>
        <v>5299005V45FZIQGLOG39</v>
      </c>
      <c r="F976" t="s">
        <v>3234</v>
      </c>
      <c r="G976" t="str">
        <f>custodian!D976</f>
        <v>422347104</v>
      </c>
      <c r="H976" t="str">
        <f>_xll.BDP($B976,"ID_ISIN")</f>
        <v>US4223471040</v>
      </c>
      <c r="I976" s="1" t="s">
        <v>3233</v>
      </c>
      <c r="J976" t="str">
        <f>_xll.BDP($B976,"CNTRY_OF_DOMICILE")</f>
        <v>US</v>
      </c>
      <c r="K976" t="s">
        <v>98</v>
      </c>
      <c r="L976" t="s">
        <v>99</v>
      </c>
      <c r="O976" s="1"/>
      <c r="AQ976" s="1"/>
      <c r="AR976" s="1"/>
      <c r="AS976" s="1"/>
    </row>
    <row r="977" spans="1:45" x14ac:dyDescent="0.25">
      <c r="A977" t="s">
        <v>3183</v>
      </c>
      <c r="B977" t="s">
        <v>3235</v>
      </c>
      <c r="C977" s="1" t="s">
        <v>3236</v>
      </c>
      <c r="D977" t="s">
        <v>3237</v>
      </c>
      <c r="E977" t="str">
        <f>_xll.BDP($B977,"LEGAL_ENTITY_IDENTIFIER")</f>
        <v>#N/A N/A</v>
      </c>
      <c r="F977" t="s">
        <v>3237</v>
      </c>
      <c r="G977" t="str">
        <f>custodian!D977</f>
        <v>443320106</v>
      </c>
      <c r="H977" t="str">
        <f>_xll.BDP($B977,"ID_ISIN")</f>
        <v>US4433201062</v>
      </c>
      <c r="I977" s="1" t="s">
        <v>3236</v>
      </c>
      <c r="J977" t="str">
        <f>_xll.BDP($B977,"CNTRY_OF_DOMICILE")</f>
        <v>US</v>
      </c>
      <c r="K977" t="s">
        <v>98</v>
      </c>
      <c r="L977" t="s">
        <v>99</v>
      </c>
      <c r="O977" s="1"/>
      <c r="AQ977" s="1"/>
      <c r="AR977" s="1"/>
      <c r="AS977" s="1"/>
    </row>
    <row r="978" spans="1:45" x14ac:dyDescent="0.25">
      <c r="A978" t="s">
        <v>3183</v>
      </c>
      <c r="B978" t="s">
        <v>3238</v>
      </c>
      <c r="C978" s="1" t="s">
        <v>3239</v>
      </c>
      <c r="D978" t="s">
        <v>3240</v>
      </c>
      <c r="E978" t="str">
        <f>_xll.BDP($B978,"LEGAL_ENTITY_IDENTIFIER")</f>
        <v>549300XCD1MPI1C5GK90</v>
      </c>
      <c r="F978" t="s">
        <v>3240</v>
      </c>
      <c r="G978" t="str">
        <f>custodian!D978</f>
        <v>445658107</v>
      </c>
      <c r="H978" t="str">
        <f>_xll.BDP($B978,"ID_ISIN")</f>
        <v>US4456581077</v>
      </c>
      <c r="I978" s="1" t="s">
        <v>3239</v>
      </c>
      <c r="J978" t="str">
        <f>_xll.BDP($B978,"CNTRY_OF_DOMICILE")</f>
        <v>US</v>
      </c>
      <c r="K978" t="s">
        <v>98</v>
      </c>
      <c r="L978" t="s">
        <v>99</v>
      </c>
      <c r="O978" s="1"/>
      <c r="AQ978" s="1"/>
      <c r="AR978" s="1"/>
      <c r="AS978" s="1"/>
    </row>
    <row r="979" spans="1:45" x14ac:dyDescent="0.25">
      <c r="A979" t="s">
        <v>3183</v>
      </c>
      <c r="B979" t="s">
        <v>3241</v>
      </c>
      <c r="C979" s="1" t="s">
        <v>3242</v>
      </c>
      <c r="D979" t="s">
        <v>3243</v>
      </c>
      <c r="E979" t="str">
        <f>_xll.BDP($B979,"LEGAL_ENTITY_IDENTIFIER")</f>
        <v>I7NO6FZO5GUCG585T325</v>
      </c>
      <c r="F979" t="s">
        <v>3243</v>
      </c>
      <c r="G979" t="str">
        <f>custodian!D979</f>
        <v>497266106</v>
      </c>
      <c r="H979" t="str">
        <f>_xll.BDP($B979,"ID_ISIN")</f>
        <v>US4972661064</v>
      </c>
      <c r="I979" s="1" t="s">
        <v>3242</v>
      </c>
      <c r="J979" t="str">
        <f>_xll.BDP($B979,"CNTRY_OF_DOMICILE")</f>
        <v>US</v>
      </c>
      <c r="K979" t="s">
        <v>98</v>
      </c>
      <c r="L979" t="s">
        <v>99</v>
      </c>
      <c r="O979" s="1"/>
      <c r="AQ979" s="1"/>
      <c r="AR979" s="1"/>
      <c r="AS979" s="1"/>
    </row>
    <row r="980" spans="1:45" x14ac:dyDescent="0.25">
      <c r="A980" t="s">
        <v>3183</v>
      </c>
      <c r="B980" t="s">
        <v>3244</v>
      </c>
      <c r="C980" s="1" t="s">
        <v>3245</v>
      </c>
      <c r="D980" t="s">
        <v>3246</v>
      </c>
      <c r="E980" t="str">
        <f>_xll.BDP($B980,"LEGAL_ENTITY_IDENTIFIER")</f>
        <v>2549007VHKP3K6E1XF67</v>
      </c>
      <c r="F980" t="s">
        <v>3247</v>
      </c>
      <c r="G980" t="str">
        <f>custodian!D980</f>
        <v>499049104</v>
      </c>
      <c r="H980" t="str">
        <f>_xll.BDP($B980,"ID_ISIN")</f>
        <v>US4990491049</v>
      </c>
      <c r="I980" s="1" t="s">
        <v>3245</v>
      </c>
      <c r="J980" t="str">
        <f>_xll.BDP($B980,"CNTRY_OF_DOMICILE")</f>
        <v>US</v>
      </c>
      <c r="K980" t="s">
        <v>98</v>
      </c>
      <c r="L980" t="s">
        <v>99</v>
      </c>
      <c r="O980" s="1"/>
      <c r="AQ980" s="1"/>
      <c r="AR980" s="1"/>
      <c r="AS980" s="1"/>
    </row>
    <row r="981" spans="1:45" x14ac:dyDescent="0.25">
      <c r="A981" t="s">
        <v>3183</v>
      </c>
      <c r="B981" t="s">
        <v>3248</v>
      </c>
      <c r="C981" s="1" t="s">
        <v>3249</v>
      </c>
      <c r="D981" t="s">
        <v>3250</v>
      </c>
      <c r="E981" t="str">
        <f>_xll.BDP($B981,"LEGAL_ENTITY_IDENTIFIER")</f>
        <v>254900CUQXQRL09MEI52</v>
      </c>
      <c r="F981" t="s">
        <v>3250</v>
      </c>
      <c r="G981" t="str">
        <f>custodian!D981</f>
        <v>515098101</v>
      </c>
      <c r="H981" t="str">
        <f>_xll.BDP($B981,"ID_ISIN")</f>
        <v>US5150981018</v>
      </c>
      <c r="I981" s="1" t="s">
        <v>3249</v>
      </c>
      <c r="J981" t="str">
        <f>_xll.BDP($B981,"CNTRY_OF_DOMICILE")</f>
        <v>US</v>
      </c>
      <c r="K981" t="s">
        <v>98</v>
      </c>
      <c r="L981" t="s">
        <v>99</v>
      </c>
      <c r="O981" s="1"/>
      <c r="AQ981" s="1"/>
      <c r="AR981" s="1"/>
      <c r="AS981" s="1"/>
    </row>
    <row r="982" spans="1:45" x14ac:dyDescent="0.25">
      <c r="A982" t="s">
        <v>3183</v>
      </c>
      <c r="B982" t="s">
        <v>3251</v>
      </c>
      <c r="C982" s="1" t="s">
        <v>3252</v>
      </c>
      <c r="D982" t="s">
        <v>3253</v>
      </c>
      <c r="E982" t="str">
        <f>_xll.BDP($B982,"LEGAL_ENTITY_IDENTIFIER")</f>
        <v>529900Q1GJP7KD52SW51</v>
      </c>
      <c r="F982" t="s">
        <v>3253</v>
      </c>
      <c r="G982" t="str">
        <f>custodian!D982</f>
        <v>562750109</v>
      </c>
      <c r="H982" t="str">
        <f>_xll.BDP($B982,"ID_ISIN")</f>
        <v>US5627501092</v>
      </c>
      <c r="I982" s="1" t="s">
        <v>3252</v>
      </c>
      <c r="J982" t="str">
        <f>_xll.BDP($B982,"CNTRY_OF_DOMICILE")</f>
        <v>US</v>
      </c>
      <c r="K982" t="s">
        <v>98</v>
      </c>
      <c r="L982" t="s">
        <v>99</v>
      </c>
      <c r="O982" s="1"/>
      <c r="AQ982" s="1"/>
      <c r="AR982" s="1"/>
      <c r="AS982" s="1"/>
    </row>
    <row r="983" spans="1:45" x14ac:dyDescent="0.25">
      <c r="A983" t="s">
        <v>3183</v>
      </c>
      <c r="B983" t="s">
        <v>3254</v>
      </c>
      <c r="C983" s="1" t="s">
        <v>3255</v>
      </c>
      <c r="D983" t="s">
        <v>3256</v>
      </c>
      <c r="E983" t="str">
        <f>_xll.BDP($B983,"LEGAL_ENTITY_IDENTIFIER")</f>
        <v>549300OI5H3Y0I9I4I12</v>
      </c>
      <c r="F983" t="s">
        <v>3256</v>
      </c>
      <c r="G983" t="str">
        <f>custodian!D983</f>
        <v>57686G105</v>
      </c>
      <c r="H983" t="str">
        <f>_xll.BDP($B983,"ID_ISIN")</f>
        <v>US57686G1058</v>
      </c>
      <c r="I983" s="1" t="s">
        <v>3255</v>
      </c>
      <c r="J983" t="str">
        <f>_xll.BDP($B983,"CNTRY_OF_DOMICILE")</f>
        <v>US</v>
      </c>
      <c r="K983" t="s">
        <v>98</v>
      </c>
      <c r="L983" t="s">
        <v>99</v>
      </c>
      <c r="O983" s="1"/>
      <c r="AQ983" s="1"/>
      <c r="AR983" s="1"/>
      <c r="AS983" s="1"/>
    </row>
    <row r="984" spans="1:45" x14ac:dyDescent="0.25">
      <c r="A984" t="s">
        <v>3183</v>
      </c>
      <c r="B984" t="s">
        <v>3257</v>
      </c>
      <c r="C984" s="1" t="s">
        <v>3258</v>
      </c>
      <c r="D984" t="s">
        <v>3259</v>
      </c>
      <c r="E984" t="str">
        <f>_xll.BDP($B984,"LEGAL_ENTITY_IDENTIFIER")</f>
        <v>#N/A N/A</v>
      </c>
      <c r="F984" t="s">
        <v>3259</v>
      </c>
      <c r="G984" t="str">
        <f>custodian!D984</f>
        <v>573075108</v>
      </c>
      <c r="H984" t="str">
        <f>_xll.BDP($B984,"ID_ISIN")</f>
        <v>US5730751089</v>
      </c>
      <c r="I984" s="1" t="s">
        <v>3258</v>
      </c>
      <c r="J984" t="str">
        <f>_xll.BDP($B984,"CNTRY_OF_DOMICILE")</f>
        <v>US</v>
      </c>
      <c r="K984" t="s">
        <v>98</v>
      </c>
      <c r="L984" t="s">
        <v>99</v>
      </c>
      <c r="O984" s="1"/>
      <c r="AQ984" s="1"/>
      <c r="AR984" s="1"/>
      <c r="AS984" s="1"/>
    </row>
    <row r="985" spans="1:45" x14ac:dyDescent="0.25">
      <c r="A985" t="s">
        <v>3183</v>
      </c>
      <c r="B985" t="s">
        <v>3260</v>
      </c>
      <c r="C985" s="1" t="s">
        <v>3261</v>
      </c>
      <c r="D985" t="s">
        <v>3262</v>
      </c>
      <c r="E985" t="str">
        <f>_xll.BDP($B985,"LEGAL_ENTITY_IDENTIFIER")</f>
        <v>54930036C8MWP850MI84</v>
      </c>
      <c r="F985" t="s">
        <v>3262</v>
      </c>
      <c r="G985" t="str">
        <f>custodian!D985</f>
        <v>655844108</v>
      </c>
      <c r="H985" t="str">
        <f>_xll.BDP($B985,"ID_ISIN")</f>
        <v>US6558441084</v>
      </c>
      <c r="I985" s="1" t="s">
        <v>3261</v>
      </c>
      <c r="J985" t="str">
        <f>_xll.BDP($B985,"CNTRY_OF_DOMICILE")</f>
        <v>US</v>
      </c>
      <c r="K985" t="s">
        <v>98</v>
      </c>
      <c r="L985" t="s">
        <v>99</v>
      </c>
      <c r="O985" s="1"/>
      <c r="AQ985" s="1"/>
      <c r="AR985" s="1"/>
      <c r="AS985" s="1"/>
    </row>
    <row r="986" spans="1:45" x14ac:dyDescent="0.25">
      <c r="A986" t="s">
        <v>3183</v>
      </c>
      <c r="B986" t="s">
        <v>3263</v>
      </c>
      <c r="C986" s="1" t="s">
        <v>3264</v>
      </c>
      <c r="D986" t="s">
        <v>3265</v>
      </c>
      <c r="E986" t="str">
        <f>_xll.BDP($B986,"LEGAL_ENTITY_IDENTIFIER")</f>
        <v>5299009TWK32WE417T96</v>
      </c>
      <c r="F986" t="s">
        <v>3265</v>
      </c>
      <c r="G986" t="str">
        <f>custodian!D986</f>
        <v>679580100</v>
      </c>
      <c r="H986" t="str">
        <f>_xll.BDP($B986,"ID_ISIN")</f>
        <v>US6795801009</v>
      </c>
      <c r="I986" s="1" t="s">
        <v>3264</v>
      </c>
      <c r="J986" t="str">
        <f>_xll.BDP($B986,"CNTRY_OF_DOMICILE")</f>
        <v>US</v>
      </c>
      <c r="K986" t="s">
        <v>98</v>
      </c>
      <c r="L986" t="s">
        <v>99</v>
      </c>
      <c r="O986" s="1"/>
      <c r="AQ986" s="1"/>
      <c r="AR986" s="1"/>
      <c r="AS986" s="1"/>
    </row>
    <row r="987" spans="1:45" x14ac:dyDescent="0.25">
      <c r="A987" t="s">
        <v>3183</v>
      </c>
      <c r="B987" t="s">
        <v>3266</v>
      </c>
      <c r="C987" s="1" t="s">
        <v>3267</v>
      </c>
      <c r="D987" t="s">
        <v>3268</v>
      </c>
      <c r="E987" t="str">
        <f>_xll.BDP($B987,"LEGAL_ENTITY_IDENTIFIER")</f>
        <v>KDTEY8BWE486IKZ3CC07</v>
      </c>
      <c r="F987" t="s">
        <v>3268</v>
      </c>
      <c r="G987" t="str">
        <f>custodian!D987</f>
        <v>693718108</v>
      </c>
      <c r="H987" t="str">
        <f>_xll.BDP($B987,"ID_ISIN")</f>
        <v>US6937181088</v>
      </c>
      <c r="I987" s="1" t="s">
        <v>3267</v>
      </c>
      <c r="J987" t="str">
        <f>_xll.BDP($B987,"CNTRY_OF_DOMICILE")</f>
        <v>US</v>
      </c>
      <c r="K987" t="s">
        <v>98</v>
      </c>
      <c r="L987" t="s">
        <v>99</v>
      </c>
      <c r="O987" s="1"/>
      <c r="AQ987" s="1"/>
      <c r="AR987" s="1"/>
      <c r="AS987" s="1"/>
    </row>
    <row r="988" spans="1:45" x14ac:dyDescent="0.25">
      <c r="A988" t="s">
        <v>3183</v>
      </c>
      <c r="B988" t="s">
        <v>3269</v>
      </c>
      <c r="C988" s="1" t="s">
        <v>3270</v>
      </c>
      <c r="D988" t="s">
        <v>3271</v>
      </c>
      <c r="E988" t="str">
        <f>_xll.BDP($B988,"LEGAL_ENTITY_IDENTIFIER")</f>
        <v>ZXJ6Y2OSPZXIVGRILD15</v>
      </c>
      <c r="F988" t="s">
        <v>3271</v>
      </c>
      <c r="G988" t="str">
        <f>custodian!D988</f>
        <v>783549108</v>
      </c>
      <c r="H988" t="str">
        <f>_xll.BDP($B988,"ID_ISIN")</f>
        <v>US7835491082</v>
      </c>
      <c r="I988" s="1" t="s">
        <v>3270</v>
      </c>
      <c r="J988" t="str">
        <f>_xll.BDP($B988,"CNTRY_OF_DOMICILE")</f>
        <v>US</v>
      </c>
      <c r="K988" t="s">
        <v>98</v>
      </c>
      <c r="L988" t="s">
        <v>99</v>
      </c>
      <c r="O988" s="1"/>
      <c r="AQ988" s="1"/>
      <c r="AR988" s="1"/>
      <c r="AS988" s="1"/>
    </row>
    <row r="989" spans="1:45" x14ac:dyDescent="0.25">
      <c r="A989" t="s">
        <v>3183</v>
      </c>
      <c r="B989" t="s">
        <v>3272</v>
      </c>
      <c r="C989" s="1" t="s">
        <v>3273</v>
      </c>
      <c r="D989" t="s">
        <v>3274</v>
      </c>
      <c r="E989" t="str">
        <f>_xll.BDP($B989,"LEGAL_ENTITY_IDENTIFIER")</f>
        <v>254900UEML23YM2EQB31</v>
      </c>
      <c r="F989" t="s">
        <v>3274</v>
      </c>
      <c r="G989" t="str">
        <f>custodian!D989</f>
        <v>357023100</v>
      </c>
      <c r="H989" t="str">
        <f>_xll.BDP($B989,"ID_ISIN")</f>
        <v>US3570231007</v>
      </c>
      <c r="I989" s="1" t="s">
        <v>3273</v>
      </c>
      <c r="J989" t="str">
        <f>_xll.BDP($B989,"CNTRY_OF_DOMICILE")</f>
        <v>US</v>
      </c>
      <c r="K989" t="s">
        <v>98</v>
      </c>
      <c r="L989" t="s">
        <v>99</v>
      </c>
      <c r="O989" s="1"/>
      <c r="AQ989" s="1"/>
      <c r="AR989" s="1"/>
      <c r="AS989" s="1"/>
    </row>
    <row r="990" spans="1:45" x14ac:dyDescent="0.25">
      <c r="A990" t="s">
        <v>3183</v>
      </c>
      <c r="B990" t="s">
        <v>3275</v>
      </c>
      <c r="C990" s="1" t="s">
        <v>3276</v>
      </c>
      <c r="D990" t="s">
        <v>3277</v>
      </c>
      <c r="E990" t="str">
        <f>_xll.BDP($B990,"LEGAL_ENTITY_IDENTIFIER")</f>
        <v>549300HWCW2HBOG4GN20</v>
      </c>
      <c r="F990" t="s">
        <v>3277</v>
      </c>
      <c r="G990" t="str">
        <f>custodian!D990</f>
        <v>75025X100</v>
      </c>
      <c r="H990" t="str">
        <f>_xll.BDP($B990,"ID_ISIN")</f>
        <v>US75025X1000</v>
      </c>
      <c r="I990" s="1" t="s">
        <v>3276</v>
      </c>
      <c r="J990" t="str">
        <f>_xll.BDP($B990,"CNTRY_OF_DOMICILE")</f>
        <v>US</v>
      </c>
      <c r="K990" t="s">
        <v>98</v>
      </c>
      <c r="L990" t="s">
        <v>99</v>
      </c>
      <c r="O990" s="1"/>
      <c r="AQ990" s="1"/>
      <c r="AR990" s="1"/>
      <c r="AS990" s="1"/>
    </row>
    <row r="991" spans="1:45" x14ac:dyDescent="0.25">
      <c r="A991" t="s">
        <v>3183</v>
      </c>
      <c r="B991" t="s">
        <v>3278</v>
      </c>
      <c r="C991" s="1" t="s">
        <v>3279</v>
      </c>
      <c r="D991" t="s">
        <v>3280</v>
      </c>
      <c r="E991" t="str">
        <f>_xll.BDP($B991,"LEGAL_ENTITY_IDENTIFIER")</f>
        <v>549300KL8CA6GP8XPM30</v>
      </c>
      <c r="F991" t="s">
        <v>3280</v>
      </c>
      <c r="G991" t="str">
        <f>custodian!D991</f>
        <v>74982T103</v>
      </c>
      <c r="H991" t="str">
        <f>_xll.BDP($B991,"ID_ISIN")</f>
        <v>US74982T1034</v>
      </c>
      <c r="I991" s="1" t="s">
        <v>3279</v>
      </c>
      <c r="J991" t="str">
        <f>_xll.BDP($B991,"CNTRY_OF_DOMICILE")</f>
        <v>US</v>
      </c>
      <c r="K991" t="s">
        <v>98</v>
      </c>
      <c r="L991" t="s">
        <v>99</v>
      </c>
      <c r="O991" s="1"/>
      <c r="AQ991" s="1"/>
      <c r="AR991" s="1"/>
      <c r="AS991" s="1"/>
    </row>
    <row r="992" spans="1:45" x14ac:dyDescent="0.25">
      <c r="A992" t="s">
        <v>3183</v>
      </c>
      <c r="B992" t="s">
        <v>3281</v>
      </c>
      <c r="C992" s="1" t="s">
        <v>3282</v>
      </c>
      <c r="D992" t="s">
        <v>3283</v>
      </c>
      <c r="E992" t="str">
        <f>_xll.BDP($B992,"LEGAL_ENTITY_IDENTIFIER")</f>
        <v>549300WNPG4N9GBOYB29</v>
      </c>
      <c r="F992" t="s">
        <v>3283</v>
      </c>
      <c r="G992" t="str">
        <f>custodian!D992</f>
        <v>78709Y105</v>
      </c>
      <c r="H992" t="str">
        <f>_xll.BDP($B992,"ID_ISIN")</f>
        <v>US78709Y1055</v>
      </c>
      <c r="I992" s="1" t="s">
        <v>3282</v>
      </c>
      <c r="J992" t="str">
        <f>_xll.BDP($B992,"CNTRY_OF_DOMICILE")</f>
        <v>US</v>
      </c>
      <c r="K992" t="s">
        <v>98</v>
      </c>
      <c r="L992" t="s">
        <v>99</v>
      </c>
      <c r="O992" s="1"/>
      <c r="AQ992" s="1"/>
      <c r="AR992" s="1"/>
      <c r="AS992" s="1"/>
    </row>
    <row r="993" spans="1:45" x14ac:dyDescent="0.25">
      <c r="A993" t="s">
        <v>3183</v>
      </c>
      <c r="B993" t="s">
        <v>3284</v>
      </c>
      <c r="C993" s="1" t="s">
        <v>3285</v>
      </c>
      <c r="D993" t="s">
        <v>3286</v>
      </c>
      <c r="E993" t="str">
        <f>_xll.BDP($B993,"LEGAL_ENTITY_IDENTIFIER")</f>
        <v>529900V6GZ6G6E3BLV72</v>
      </c>
      <c r="F993" t="s">
        <v>3286</v>
      </c>
      <c r="G993" t="str">
        <f>custodian!D993</f>
        <v>80689H102</v>
      </c>
      <c r="H993" t="str">
        <f>_xll.BDP($B993,"ID_ISIN")</f>
        <v>US80689H1023</v>
      </c>
      <c r="I993" s="1" t="s">
        <v>3285</v>
      </c>
      <c r="J993" t="str">
        <f>_xll.BDP($B993,"CNTRY_OF_DOMICILE")</f>
        <v>US</v>
      </c>
      <c r="K993" t="s">
        <v>98</v>
      </c>
      <c r="L993" t="s">
        <v>99</v>
      </c>
      <c r="O993" s="1"/>
      <c r="AQ993" s="1"/>
      <c r="AR993" s="1"/>
      <c r="AS993" s="1"/>
    </row>
    <row r="994" spans="1:45" x14ac:dyDescent="0.25">
      <c r="A994" t="s">
        <v>3183</v>
      </c>
      <c r="B994" t="s">
        <v>3287</v>
      </c>
      <c r="C994" s="1" t="s">
        <v>3288</v>
      </c>
      <c r="D994" t="s">
        <v>3289</v>
      </c>
      <c r="E994" t="str">
        <f>_xll.BDP($B994,"LEGAL_ENTITY_IDENTIFIER")</f>
        <v>YAWJZJYEQ7M1SYMOS462</v>
      </c>
      <c r="F994" t="s">
        <v>3289</v>
      </c>
      <c r="G994" t="str">
        <f>custodian!D994</f>
        <v>880779103</v>
      </c>
      <c r="H994" t="str">
        <f>_xll.BDP($B994,"ID_ISIN")</f>
        <v>US8807791038</v>
      </c>
      <c r="I994" s="1" t="s">
        <v>3288</v>
      </c>
      <c r="J994" t="str">
        <f>_xll.BDP($B994,"CNTRY_OF_DOMICILE")</f>
        <v>US</v>
      </c>
      <c r="K994" t="s">
        <v>98</v>
      </c>
      <c r="L994" t="s">
        <v>99</v>
      </c>
      <c r="O994" s="1"/>
      <c r="AQ994" s="1"/>
      <c r="AR994" s="1"/>
      <c r="AS994" s="1"/>
    </row>
    <row r="995" spans="1:45" x14ac:dyDescent="0.25">
      <c r="A995" t="s">
        <v>3183</v>
      </c>
      <c r="B995" t="s">
        <v>3290</v>
      </c>
      <c r="C995" s="1" t="s">
        <v>3291</v>
      </c>
      <c r="D995" t="s">
        <v>3292</v>
      </c>
      <c r="E995" t="str">
        <f>_xll.BDP($B995,"LEGAL_ENTITY_IDENTIFIER")</f>
        <v>5493007R9W7KO7SJN678</v>
      </c>
      <c r="F995" t="s">
        <v>3292</v>
      </c>
      <c r="G995" t="str">
        <f>custodian!D995</f>
        <v>87241L109</v>
      </c>
      <c r="H995" t="str">
        <f>_xll.BDP($B995,"ID_ISIN")</f>
        <v>CA87241L1094</v>
      </c>
      <c r="I995" s="1" t="s">
        <v>3291</v>
      </c>
      <c r="J995" t="str">
        <f>_xll.BDP($B995,"CNTRY_OF_DOMICILE")</f>
        <v>CA</v>
      </c>
      <c r="K995" t="s">
        <v>98</v>
      </c>
      <c r="L995" t="s">
        <v>99</v>
      </c>
      <c r="O995" s="1"/>
      <c r="AQ995" s="1"/>
      <c r="AR995" s="1"/>
      <c r="AS995" s="1"/>
    </row>
    <row r="996" spans="1:45" x14ac:dyDescent="0.25">
      <c r="A996" t="s">
        <v>3183</v>
      </c>
      <c r="B996" t="s">
        <v>3293</v>
      </c>
      <c r="C996" s="1" t="s">
        <v>3294</v>
      </c>
      <c r="D996" t="s">
        <v>3295</v>
      </c>
      <c r="E996" t="str">
        <f>_xll.BDP($B996,"LEGAL_ENTITY_IDENTIFIER")</f>
        <v>R1JB4KXN77XFCXOQKV49</v>
      </c>
      <c r="F996" t="s">
        <v>3295</v>
      </c>
      <c r="G996" t="str">
        <f>custodian!D996</f>
        <v>896522109</v>
      </c>
      <c r="H996" t="str">
        <f>_xll.BDP($B996,"ID_ISIN")</f>
        <v>US8965221091</v>
      </c>
      <c r="I996" s="1" t="s">
        <v>3294</v>
      </c>
      <c r="J996" t="str">
        <f>_xll.BDP($B996,"CNTRY_OF_DOMICILE")</f>
        <v>US</v>
      </c>
      <c r="K996" t="s">
        <v>98</v>
      </c>
      <c r="L996" t="s">
        <v>99</v>
      </c>
      <c r="O996" s="1"/>
      <c r="AQ996" s="1"/>
      <c r="AR996" s="1"/>
      <c r="AS996" s="1"/>
    </row>
    <row r="997" spans="1:45" x14ac:dyDescent="0.25">
      <c r="A997" t="s">
        <v>3183</v>
      </c>
      <c r="B997" t="s">
        <v>3296</v>
      </c>
      <c r="C997" s="1" t="s">
        <v>3297</v>
      </c>
      <c r="D997" t="s">
        <v>3298</v>
      </c>
      <c r="E997" t="str">
        <f>_xll.BDP($B997,"LEGAL_ENTITY_IDENTIFIER")</f>
        <v>549300LMMRSZZCZ8CL11</v>
      </c>
      <c r="F997" t="s">
        <v>3298</v>
      </c>
      <c r="G997" t="str">
        <f>custodian!D997</f>
        <v>907818108</v>
      </c>
      <c r="H997" t="str">
        <f>_xll.BDP($B997,"ID_ISIN")</f>
        <v>US9078181081</v>
      </c>
      <c r="I997" s="1" t="s">
        <v>3297</v>
      </c>
      <c r="J997" t="str">
        <f>_xll.BDP($B997,"CNTRY_OF_DOMICILE")</f>
        <v>US</v>
      </c>
      <c r="K997" t="s">
        <v>98</v>
      </c>
      <c r="L997" t="s">
        <v>99</v>
      </c>
      <c r="O997" s="1"/>
      <c r="AQ997" s="1"/>
      <c r="AR997" s="1"/>
      <c r="AS997" s="1"/>
    </row>
    <row r="998" spans="1:45" x14ac:dyDescent="0.25">
      <c r="A998" t="s">
        <v>3183</v>
      </c>
      <c r="B998" t="s">
        <v>210</v>
      </c>
      <c r="C998" s="1" t="s">
        <v>211</v>
      </c>
      <c r="D998" t="s">
        <v>212</v>
      </c>
      <c r="E998" t="str">
        <f>_xll.BDP($B998,"LEGAL_ENTITY_IDENTIFIER")</f>
        <v>D01LMJZU09ULLNCY6Z23</v>
      </c>
      <c r="F998" t="s">
        <v>212</v>
      </c>
      <c r="G998" t="str">
        <f>custodian!D998</f>
        <v>911312106</v>
      </c>
      <c r="H998" t="str">
        <f>_xll.BDP($B998,"ID_ISIN")</f>
        <v>US9113121068</v>
      </c>
      <c r="I998" s="1" t="s">
        <v>211</v>
      </c>
      <c r="J998" t="str">
        <f>_xll.BDP($B998,"CNTRY_OF_DOMICILE")</f>
        <v>US</v>
      </c>
      <c r="K998" t="s">
        <v>98</v>
      </c>
      <c r="L998" t="s">
        <v>99</v>
      </c>
      <c r="O998" s="1"/>
      <c r="AQ998" s="1"/>
      <c r="AR998" s="1"/>
      <c r="AS998" s="1"/>
    </row>
    <row r="999" spans="1:45" x14ac:dyDescent="0.25">
      <c r="A999" t="s">
        <v>3183</v>
      </c>
      <c r="B999" t="s">
        <v>3299</v>
      </c>
      <c r="C999" s="1" t="s">
        <v>3300</v>
      </c>
      <c r="D999" t="s">
        <v>3301</v>
      </c>
      <c r="E999" t="str">
        <f>_xll.BDP($B999,"LEGAL_ENTITY_IDENTIFIER")</f>
        <v>06BTX5UWZD0GQ5N5Y745</v>
      </c>
      <c r="F999" t="s">
        <v>3302</v>
      </c>
      <c r="G999" t="str">
        <f>custodian!D999</f>
        <v>929740108</v>
      </c>
      <c r="H999" t="str">
        <f>_xll.BDP($B999,"ID_ISIN")</f>
        <v>US9297401088</v>
      </c>
      <c r="I999" s="1" t="s">
        <v>3300</v>
      </c>
      <c r="J999" t="str">
        <f>_xll.BDP($B999,"CNTRY_OF_DOMICILE")</f>
        <v>US</v>
      </c>
      <c r="K999" t="s">
        <v>98</v>
      </c>
      <c r="L999" t="s">
        <v>99</v>
      </c>
      <c r="O999" s="1"/>
      <c r="AQ999" s="1"/>
      <c r="AR999" s="1"/>
      <c r="AS999" s="1"/>
    </row>
    <row r="1000" spans="1:45" x14ac:dyDescent="0.25">
      <c r="A1000" t="s">
        <v>3183</v>
      </c>
      <c r="B1000" t="s">
        <v>3303</v>
      </c>
      <c r="C1000" s="1" t="s">
        <v>3304</v>
      </c>
      <c r="D1000" t="s">
        <v>3305</v>
      </c>
      <c r="E1000" t="str">
        <f>_xll.BDP($B1000,"LEGAL_ENTITY_IDENTIFIER")</f>
        <v>549300P6XRGOCHHJST37</v>
      </c>
      <c r="F1000" t="s">
        <v>3305</v>
      </c>
      <c r="G1000" t="str">
        <f>custodian!D1000</f>
        <v>950755108</v>
      </c>
      <c r="H1000" t="str">
        <f>_xll.BDP($B1000,"ID_ISIN")</f>
        <v>US9507551086</v>
      </c>
      <c r="I1000" s="1" t="s">
        <v>3304</v>
      </c>
      <c r="J1000" t="str">
        <f>_xll.BDP($B1000,"CNTRY_OF_DOMICILE")</f>
        <v>US</v>
      </c>
      <c r="K1000" t="s">
        <v>98</v>
      </c>
      <c r="L1000" t="s">
        <v>99</v>
      </c>
      <c r="O1000" s="1"/>
      <c r="AQ1000" s="1"/>
      <c r="AR1000" s="1"/>
      <c r="AS1000" s="1"/>
    </row>
    <row r="1001" spans="1:45" x14ac:dyDescent="0.25">
      <c r="A1001" t="s">
        <v>3183</v>
      </c>
      <c r="B1001" t="s">
        <v>3306</v>
      </c>
      <c r="C1001" s="1" t="s">
        <v>3307</v>
      </c>
      <c r="D1001" t="s">
        <v>3308</v>
      </c>
      <c r="E1001" t="str">
        <f>_xll.BDP($B1001,"LEGAL_ENTITY_IDENTIFIER")</f>
        <v>5299004ZAWHQZI5XO485</v>
      </c>
      <c r="F1001" t="s">
        <v>3308</v>
      </c>
      <c r="G1001" t="str">
        <f>custodian!D1001</f>
        <v>929566107</v>
      </c>
      <c r="H1001" t="str">
        <f>_xll.BDP($B1001,"ID_ISIN")</f>
        <v>US9295661071</v>
      </c>
      <c r="I1001" s="1" t="s">
        <v>3307</v>
      </c>
      <c r="J1001" t="str">
        <f>_xll.BDP($B1001,"CNTRY_OF_DOMICILE")</f>
        <v>US</v>
      </c>
      <c r="K1001" t="s">
        <v>98</v>
      </c>
      <c r="L1001" t="s">
        <v>99</v>
      </c>
      <c r="O1001" s="1"/>
      <c r="AQ1001" s="1"/>
      <c r="AR1001" s="1"/>
      <c r="AS1001" s="1"/>
    </row>
    <row r="1002" spans="1:45" x14ac:dyDescent="0.25">
      <c r="A1002" t="s">
        <v>3183</v>
      </c>
      <c r="B1002" t="s">
        <v>3309</v>
      </c>
      <c r="C1002" s="1" t="s">
        <v>3310</v>
      </c>
      <c r="D1002" t="s">
        <v>3311</v>
      </c>
      <c r="E1002" t="str">
        <f>_xll.BDP($B1002,"LEGAL_ENTITY_IDENTIFIER")</f>
        <v>54930096DB9LCLPN7H13</v>
      </c>
      <c r="F1002" t="s">
        <v>3311</v>
      </c>
      <c r="G1002" t="str">
        <f>custodian!D1002</f>
        <v>983793100</v>
      </c>
      <c r="H1002" t="str">
        <f>_xll.BDP($B1002,"ID_ISIN")</f>
        <v>US9837931008</v>
      </c>
      <c r="I1002" s="1" t="s">
        <v>3310</v>
      </c>
      <c r="J1002" t="str">
        <f>_xll.BDP($B1002,"CNTRY_OF_DOMICILE")</f>
        <v>US</v>
      </c>
      <c r="K1002" t="s">
        <v>98</v>
      </c>
      <c r="L1002" t="s">
        <v>99</v>
      </c>
      <c r="O1002" s="1"/>
      <c r="AQ1002" s="1"/>
      <c r="AR1002" s="1"/>
      <c r="AS1002" s="1"/>
    </row>
    <row r="1003" spans="1:45" x14ac:dyDescent="0.25">
      <c r="A1003" t="s">
        <v>3183</v>
      </c>
      <c r="B1003" t="s">
        <v>3312</v>
      </c>
      <c r="C1003" s="1" t="s">
        <v>3313</v>
      </c>
      <c r="D1003" t="s">
        <v>3314</v>
      </c>
      <c r="E1003" t="str">
        <f>_xll.BDP($B1003,"LEGAL_ENTITY_IDENTIFIER")</f>
        <v>21380089EIJRELKAIL21</v>
      </c>
      <c r="F1003" t="s">
        <v>3315</v>
      </c>
      <c r="G1003" t="str">
        <f>custodian!D1003</f>
        <v>M9T951109</v>
      </c>
      <c r="H1003" t="str">
        <f>_xll.BDP($B1003,"ID_ISIN")</f>
        <v>IL0065100930</v>
      </c>
      <c r="I1003" s="1" t="s">
        <v>3313</v>
      </c>
      <c r="J1003" t="str">
        <f>_xll.BDP($B1003,"CNTRY_OF_DOMICILE")</f>
        <v>IL</v>
      </c>
      <c r="K1003" t="s">
        <v>98</v>
      </c>
      <c r="L1003" t="s">
        <v>99</v>
      </c>
      <c r="O1003" s="1"/>
      <c r="AQ1003" s="1"/>
      <c r="AR1003" s="1"/>
      <c r="AS1003" s="1"/>
    </row>
    <row r="1004" spans="1:45" x14ac:dyDescent="0.25">
      <c r="A1004" t="s">
        <v>3183</v>
      </c>
      <c r="C1004" s="1" t="s">
        <v>52</v>
      </c>
      <c r="E1004" s="1"/>
      <c r="G1004" t="str">
        <f>custodian!D1004</f>
        <v>Cash&amp;Other</v>
      </c>
      <c r="H1004" s="1"/>
      <c r="I1004" s="1"/>
      <c r="O1004" s="1"/>
      <c r="AQ1004" s="1"/>
      <c r="AR1004" s="1"/>
      <c r="AS1004" s="1"/>
    </row>
    <row r="1005" spans="1:45" x14ac:dyDescent="0.25">
      <c r="A1005" t="s">
        <v>3316</v>
      </c>
      <c r="C1005" s="1" t="s">
        <v>3317</v>
      </c>
      <c r="D1005" t="s">
        <v>3318</v>
      </c>
      <c r="E1005" s="1" t="s">
        <v>56</v>
      </c>
      <c r="F1005" t="s">
        <v>3318</v>
      </c>
      <c r="G1005" t="str">
        <f>custodian!D1005</f>
        <v>2EEM  270528C00014020</v>
      </c>
      <c r="H1005" s="1"/>
      <c r="I1005" s="1" t="s">
        <v>3319</v>
      </c>
      <c r="J1005" t="s">
        <v>58</v>
      </c>
      <c r="K1005" t="s">
        <v>59</v>
      </c>
      <c r="L1005" t="s">
        <v>99</v>
      </c>
      <c r="M1005" t="s">
        <v>2598</v>
      </c>
      <c r="N1005" t="s">
        <v>2599</v>
      </c>
      <c r="O1005" s="1" t="s">
        <v>2600</v>
      </c>
      <c r="P1005" t="s">
        <v>2601</v>
      </c>
      <c r="Q1005" t="s">
        <v>2602</v>
      </c>
      <c r="R1005" t="s">
        <v>3320</v>
      </c>
      <c r="S1005" t="s">
        <v>68</v>
      </c>
      <c r="T1005" t="s">
        <v>2604</v>
      </c>
      <c r="U1005" t="s">
        <v>56</v>
      </c>
      <c r="V1005" t="s">
        <v>2605</v>
      </c>
      <c r="W1005" t="s">
        <v>3321</v>
      </c>
      <c r="X1005" t="s">
        <v>3322</v>
      </c>
      <c r="AD1005" t="s">
        <v>3323</v>
      </c>
      <c r="AE1005" t="s">
        <v>3324</v>
      </c>
      <c r="AQ1005" s="1"/>
      <c r="AR1005" s="1"/>
      <c r="AS1005" s="1"/>
    </row>
    <row r="1006" spans="1:45" x14ac:dyDescent="0.25">
      <c r="A1006" t="s">
        <v>3316</v>
      </c>
      <c r="C1006" s="1" t="s">
        <v>3325</v>
      </c>
      <c r="D1006" t="s">
        <v>3326</v>
      </c>
      <c r="E1006" s="1" t="s">
        <v>56</v>
      </c>
      <c r="F1006" t="s">
        <v>3326</v>
      </c>
      <c r="G1006" t="str">
        <f>custodian!D1006</f>
        <v>2EEM  270528C00087030</v>
      </c>
      <c r="H1006" s="1"/>
      <c r="I1006" s="1" t="s">
        <v>3327</v>
      </c>
      <c r="J1006" t="s">
        <v>58</v>
      </c>
      <c r="K1006" t="s">
        <v>59</v>
      </c>
      <c r="L1006" t="s">
        <v>99</v>
      </c>
      <c r="M1006" t="s">
        <v>2598</v>
      </c>
      <c r="N1006" t="s">
        <v>2599</v>
      </c>
      <c r="O1006" s="1" t="s">
        <v>2600</v>
      </c>
      <c r="P1006" t="s">
        <v>2601</v>
      </c>
      <c r="Q1006" t="s">
        <v>2613</v>
      </c>
      <c r="R1006" t="s">
        <v>3328</v>
      </c>
      <c r="S1006" t="s">
        <v>68</v>
      </c>
      <c r="T1006" t="s">
        <v>2604</v>
      </c>
      <c r="U1006" t="s">
        <v>56</v>
      </c>
      <c r="V1006" t="s">
        <v>2605</v>
      </c>
      <c r="W1006" t="s">
        <v>3321</v>
      </c>
      <c r="X1006" t="s">
        <v>3322</v>
      </c>
      <c r="AD1006" t="s">
        <v>3329</v>
      </c>
      <c r="AE1006" t="s">
        <v>3330</v>
      </c>
      <c r="AQ1006" s="1"/>
      <c r="AR1006" s="1"/>
      <c r="AS1006" s="1"/>
    </row>
    <row r="1007" spans="1:45" x14ac:dyDescent="0.25">
      <c r="A1007" t="s">
        <v>3316</v>
      </c>
      <c r="C1007" s="1" t="s">
        <v>3331</v>
      </c>
      <c r="D1007" t="s">
        <v>3332</v>
      </c>
      <c r="E1007" s="1" t="s">
        <v>56</v>
      </c>
      <c r="F1007" t="s">
        <v>3332</v>
      </c>
      <c r="G1007" t="str">
        <f>custodian!D1007</f>
        <v>2EEM  270528P00059570</v>
      </c>
      <c r="H1007" s="1"/>
      <c r="I1007" s="1" t="s">
        <v>3333</v>
      </c>
      <c r="J1007" t="s">
        <v>58</v>
      </c>
      <c r="K1007" t="s">
        <v>59</v>
      </c>
      <c r="L1007" t="s">
        <v>99</v>
      </c>
      <c r="M1007" t="s">
        <v>2598</v>
      </c>
      <c r="N1007" t="s">
        <v>2599</v>
      </c>
      <c r="O1007" s="1" t="s">
        <v>2600</v>
      </c>
      <c r="P1007" t="s">
        <v>2620</v>
      </c>
      <c r="Q1007" t="s">
        <v>2613</v>
      </c>
      <c r="R1007" t="s">
        <v>3334</v>
      </c>
      <c r="S1007" t="s">
        <v>68</v>
      </c>
      <c r="T1007" t="s">
        <v>2604</v>
      </c>
      <c r="U1007" t="s">
        <v>56</v>
      </c>
      <c r="V1007" t="s">
        <v>2605</v>
      </c>
      <c r="W1007" t="s">
        <v>3321</v>
      </c>
      <c r="X1007" t="s">
        <v>3322</v>
      </c>
      <c r="AD1007" t="s">
        <v>3335</v>
      </c>
      <c r="AE1007" t="s">
        <v>3336</v>
      </c>
      <c r="AQ1007" s="1"/>
      <c r="AR1007" s="1"/>
      <c r="AS1007" s="1"/>
    </row>
    <row r="1008" spans="1:45" x14ac:dyDescent="0.25">
      <c r="A1008" t="s">
        <v>3316</v>
      </c>
      <c r="C1008" s="1" t="s">
        <v>3337</v>
      </c>
      <c r="D1008" t="s">
        <v>3338</v>
      </c>
      <c r="E1008" s="1" t="s">
        <v>56</v>
      </c>
      <c r="F1008" t="s">
        <v>3338</v>
      </c>
      <c r="G1008" t="str">
        <f>custodian!D1008</f>
        <v>2EEM  270528P00070080</v>
      </c>
      <c r="H1008" s="1"/>
      <c r="I1008" s="1" t="s">
        <v>3339</v>
      </c>
      <c r="J1008" t="s">
        <v>58</v>
      </c>
      <c r="K1008" t="s">
        <v>59</v>
      </c>
      <c r="L1008" t="s">
        <v>99</v>
      </c>
      <c r="M1008" t="s">
        <v>2598</v>
      </c>
      <c r="N1008" t="s">
        <v>2599</v>
      </c>
      <c r="O1008" s="1" t="s">
        <v>2600</v>
      </c>
      <c r="P1008" t="s">
        <v>2620</v>
      </c>
      <c r="Q1008" t="s">
        <v>2602</v>
      </c>
      <c r="R1008" t="s">
        <v>3340</v>
      </c>
      <c r="S1008" t="s">
        <v>68</v>
      </c>
      <c r="T1008" t="s">
        <v>2604</v>
      </c>
      <c r="U1008" t="s">
        <v>56</v>
      </c>
      <c r="V1008" t="s">
        <v>2605</v>
      </c>
      <c r="W1008" t="s">
        <v>3321</v>
      </c>
      <c r="X1008" t="s">
        <v>3322</v>
      </c>
      <c r="AD1008" t="s">
        <v>3341</v>
      </c>
      <c r="AE1008" t="s">
        <v>3342</v>
      </c>
      <c r="AQ1008" s="1"/>
      <c r="AR1008" s="1"/>
      <c r="AS1008" s="1"/>
    </row>
    <row r="1009" spans="1:48" x14ac:dyDescent="0.25">
      <c r="A1009" t="s">
        <v>3316</v>
      </c>
      <c r="B1009" t="s">
        <v>2630</v>
      </c>
      <c r="C1009" s="1" t="s">
        <v>2631</v>
      </c>
      <c r="D1009" t="s">
        <v>1574</v>
      </c>
      <c r="E1009" t="str">
        <f>_xll.BDP($B1009,"LEGAL_ENTITY_IDENTIFIER")</f>
        <v>254900HROIFWPRGM1V77</v>
      </c>
      <c r="F1009" t="s">
        <v>2632</v>
      </c>
      <c r="G1009" t="str">
        <f>custodian!D1009</f>
        <v>912828ZS2</v>
      </c>
      <c r="H1009" t="str">
        <f>_xll.BDP($B1009,"ID_ISIN")</f>
        <v>US912828ZS21</v>
      </c>
      <c r="I1009" s="1"/>
      <c r="J1009" t="str">
        <f>_xll.BDP($B1009,"CNTRY_OF_DOMICILE")</f>
        <v>US</v>
      </c>
      <c r="K1009" t="s">
        <v>626</v>
      </c>
      <c r="L1009" t="s">
        <v>627</v>
      </c>
      <c r="O1009" s="1"/>
      <c r="AQ1009" s="1"/>
      <c r="AR1009" s="1"/>
      <c r="AS1009" s="1"/>
      <c r="AT1009" t="str">
        <f>TEXT(_xll.BDP($B1009,"MATURITY"),"yyyy-mm-dd")</f>
        <v>2027-05-31</v>
      </c>
      <c r="AU1009" t="str">
        <f>_xll.BDP($B1009,"CPN_TYP")</f>
        <v>FIXED</v>
      </c>
      <c r="AV1009">
        <f>_xll.BDP($B1009,"CPN")</f>
        <v>0.5</v>
      </c>
    </row>
    <row r="1010" spans="1:48" x14ac:dyDescent="0.25">
      <c r="A1010" t="s">
        <v>3316</v>
      </c>
      <c r="B1010" t="s">
        <v>77</v>
      </c>
      <c r="C1010" s="1" t="s">
        <v>78</v>
      </c>
      <c r="D1010" t="s">
        <v>79</v>
      </c>
      <c r="E1010" t="str">
        <f>_xll.BDP($B1010,"LEGAL_ENTITY_IDENTIFIER")</f>
        <v>549300R5MYM6VZF1RM44</v>
      </c>
      <c r="F1010" t="s">
        <v>80</v>
      </c>
      <c r="G1010" t="str">
        <f>custodian!D1010</f>
        <v>31846V336</v>
      </c>
      <c r="H1010" t="str">
        <f>_xll.BDP($B1010,"ID_ISIN")</f>
        <v>US31846V3362</v>
      </c>
      <c r="I1010" s="1" t="s">
        <v>78</v>
      </c>
      <c r="J1010" t="str">
        <f>_xll.BDP($B1010,"CNTRY_OF_DOMICILE")</f>
        <v>US</v>
      </c>
      <c r="K1010" t="s">
        <v>81</v>
      </c>
      <c r="L1010" t="s">
        <v>82</v>
      </c>
      <c r="O1010" s="1"/>
      <c r="AQ1010" s="1"/>
      <c r="AR1010" s="1"/>
      <c r="AS1010" s="1"/>
    </row>
    <row r="1011" spans="1:48" x14ac:dyDescent="0.25">
      <c r="A1011" t="s">
        <v>3316</v>
      </c>
      <c r="C1011" s="1" t="s">
        <v>52</v>
      </c>
      <c r="E1011" s="1"/>
      <c r="G1011" t="str">
        <f>custodian!D1011</f>
        <v>Cash&amp;Other</v>
      </c>
      <c r="H1011" s="1"/>
      <c r="I1011" s="1"/>
      <c r="O1011" s="1"/>
      <c r="AQ1011" s="1"/>
      <c r="AR1011" s="1"/>
      <c r="AS1011" s="1"/>
    </row>
    <row r="1012" spans="1:48" x14ac:dyDescent="0.25">
      <c r="A1012" t="s">
        <v>3343</v>
      </c>
      <c r="C1012" s="1" t="s">
        <v>3344</v>
      </c>
      <c r="D1012" t="s">
        <v>3345</v>
      </c>
      <c r="E1012" s="1" t="s">
        <v>56</v>
      </c>
      <c r="F1012" t="s">
        <v>3345</v>
      </c>
      <c r="G1012" t="str">
        <f>custodian!D1012</f>
        <v>2EEM  270430C00013080</v>
      </c>
      <c r="H1012" s="1"/>
      <c r="I1012" s="1" t="s">
        <v>3346</v>
      </c>
      <c r="J1012" t="s">
        <v>58</v>
      </c>
      <c r="K1012" t="s">
        <v>59</v>
      </c>
      <c r="L1012" t="s">
        <v>99</v>
      </c>
      <c r="M1012" t="s">
        <v>2598</v>
      </c>
      <c r="N1012" t="s">
        <v>2599</v>
      </c>
      <c r="O1012" s="1" t="s">
        <v>2600</v>
      </c>
      <c r="P1012" t="s">
        <v>2601</v>
      </c>
      <c r="Q1012" t="s">
        <v>2602</v>
      </c>
      <c r="R1012" t="s">
        <v>3347</v>
      </c>
      <c r="S1012" t="s">
        <v>68</v>
      </c>
      <c r="T1012" t="s">
        <v>2692</v>
      </c>
      <c r="U1012" t="s">
        <v>56</v>
      </c>
      <c r="V1012" t="s">
        <v>2605</v>
      </c>
      <c r="W1012" t="s">
        <v>3321</v>
      </c>
      <c r="X1012" t="s">
        <v>3322</v>
      </c>
      <c r="AD1012" t="s">
        <v>3348</v>
      </c>
      <c r="AE1012" t="s">
        <v>3349</v>
      </c>
      <c r="AQ1012" s="1"/>
      <c r="AR1012" s="1"/>
      <c r="AS1012" s="1"/>
    </row>
    <row r="1013" spans="1:48" x14ac:dyDescent="0.25">
      <c r="A1013" t="s">
        <v>3343</v>
      </c>
      <c r="C1013" s="1" t="s">
        <v>3350</v>
      </c>
      <c r="D1013" t="s">
        <v>3351</v>
      </c>
      <c r="E1013" s="1" t="s">
        <v>56</v>
      </c>
      <c r="F1013" t="s">
        <v>3351</v>
      </c>
      <c r="G1013" t="str">
        <f>custodian!D1013</f>
        <v>2EEM  270430C00081100</v>
      </c>
      <c r="H1013" s="1"/>
      <c r="I1013" s="1" t="s">
        <v>3352</v>
      </c>
      <c r="J1013" t="s">
        <v>58</v>
      </c>
      <c r="K1013" t="s">
        <v>59</v>
      </c>
      <c r="L1013" t="s">
        <v>99</v>
      </c>
      <c r="M1013" t="s">
        <v>2598</v>
      </c>
      <c r="N1013" t="s">
        <v>2599</v>
      </c>
      <c r="O1013" s="1" t="s">
        <v>2600</v>
      </c>
      <c r="P1013" t="s">
        <v>2601</v>
      </c>
      <c r="Q1013" t="s">
        <v>2613</v>
      </c>
      <c r="R1013" t="s">
        <v>3353</v>
      </c>
      <c r="S1013" t="s">
        <v>68</v>
      </c>
      <c r="T1013" t="s">
        <v>2692</v>
      </c>
      <c r="U1013" t="s">
        <v>56</v>
      </c>
      <c r="V1013" t="s">
        <v>2605</v>
      </c>
      <c r="W1013" t="s">
        <v>3321</v>
      </c>
      <c r="X1013" t="s">
        <v>3322</v>
      </c>
      <c r="AD1013" t="s">
        <v>3354</v>
      </c>
      <c r="AE1013" t="s">
        <v>3355</v>
      </c>
      <c r="AQ1013" s="1"/>
      <c r="AR1013" s="1"/>
      <c r="AS1013" s="1"/>
    </row>
    <row r="1014" spans="1:48" x14ac:dyDescent="0.25">
      <c r="A1014" t="s">
        <v>3343</v>
      </c>
      <c r="C1014" s="1" t="s">
        <v>3356</v>
      </c>
      <c r="D1014" t="s">
        <v>3357</v>
      </c>
      <c r="E1014" s="1" t="s">
        <v>56</v>
      </c>
      <c r="F1014" t="s">
        <v>3357</v>
      </c>
      <c r="G1014" t="str">
        <f>custodian!D1014</f>
        <v>2EEM  270430P00055590</v>
      </c>
      <c r="H1014" s="1"/>
      <c r="I1014" s="1" t="s">
        <v>3358</v>
      </c>
      <c r="J1014" t="s">
        <v>58</v>
      </c>
      <c r="K1014" t="s">
        <v>59</v>
      </c>
      <c r="L1014" t="s">
        <v>99</v>
      </c>
      <c r="M1014" t="s">
        <v>2598</v>
      </c>
      <c r="N1014" t="s">
        <v>2599</v>
      </c>
      <c r="O1014" s="1" t="s">
        <v>2600</v>
      </c>
      <c r="P1014" t="s">
        <v>2620</v>
      </c>
      <c r="Q1014" t="s">
        <v>2613</v>
      </c>
      <c r="R1014" t="s">
        <v>3359</v>
      </c>
      <c r="S1014" t="s">
        <v>68</v>
      </c>
      <c r="T1014" t="s">
        <v>2692</v>
      </c>
      <c r="U1014" t="s">
        <v>56</v>
      </c>
      <c r="V1014" t="s">
        <v>2605</v>
      </c>
      <c r="W1014" t="s">
        <v>3321</v>
      </c>
      <c r="X1014" t="s">
        <v>3322</v>
      </c>
      <c r="AD1014" t="s">
        <v>3360</v>
      </c>
      <c r="AE1014" t="s">
        <v>3361</v>
      </c>
      <c r="AQ1014" s="1"/>
      <c r="AR1014" s="1"/>
      <c r="AS1014" s="1"/>
    </row>
    <row r="1015" spans="1:48" x14ac:dyDescent="0.25">
      <c r="A1015" t="s">
        <v>3343</v>
      </c>
      <c r="C1015" s="1" t="s">
        <v>3362</v>
      </c>
      <c r="D1015" t="s">
        <v>3363</v>
      </c>
      <c r="E1015" s="1" t="s">
        <v>56</v>
      </c>
      <c r="F1015" t="s">
        <v>3363</v>
      </c>
      <c r="G1015" t="str">
        <f>custodian!D1015</f>
        <v>2EEM  270430P00065400</v>
      </c>
      <c r="H1015" s="1"/>
      <c r="I1015" s="1" t="s">
        <v>3364</v>
      </c>
      <c r="J1015" t="s">
        <v>58</v>
      </c>
      <c r="K1015" t="s">
        <v>59</v>
      </c>
      <c r="L1015" t="s">
        <v>99</v>
      </c>
      <c r="M1015" t="s">
        <v>2598</v>
      </c>
      <c r="N1015" t="s">
        <v>2599</v>
      </c>
      <c r="O1015" s="1" t="s">
        <v>2600</v>
      </c>
      <c r="P1015" t="s">
        <v>2620</v>
      </c>
      <c r="Q1015" t="s">
        <v>2602</v>
      </c>
      <c r="R1015" t="s">
        <v>3365</v>
      </c>
      <c r="S1015" t="s">
        <v>68</v>
      </c>
      <c r="T1015" t="s">
        <v>2692</v>
      </c>
      <c r="U1015" t="s">
        <v>56</v>
      </c>
      <c r="V1015" t="s">
        <v>2605</v>
      </c>
      <c r="W1015" t="s">
        <v>3321</v>
      </c>
      <c r="X1015" t="s">
        <v>3322</v>
      </c>
      <c r="AD1015" t="s">
        <v>3366</v>
      </c>
      <c r="AE1015" t="s">
        <v>3367</v>
      </c>
      <c r="AQ1015" s="1"/>
      <c r="AR1015" s="1"/>
      <c r="AS1015" s="1"/>
    </row>
    <row r="1016" spans="1:48" x14ac:dyDescent="0.25">
      <c r="A1016" t="s">
        <v>3343</v>
      </c>
      <c r="B1016" t="s">
        <v>2820</v>
      </c>
      <c r="C1016" s="1" t="s">
        <v>2821</v>
      </c>
      <c r="D1016" t="s">
        <v>1574</v>
      </c>
      <c r="E1016" t="str">
        <f>_xll.BDP($B1016,"LEGAL_ENTITY_IDENTIFIER")</f>
        <v>254900HROIFWPRGM1V77</v>
      </c>
      <c r="F1016" t="s">
        <v>2822</v>
      </c>
      <c r="G1016" t="str">
        <f>custodian!D1016</f>
        <v>91282CMY4</v>
      </c>
      <c r="H1016" t="str">
        <f>_xll.BDP($B1016,"ID_ISIN")</f>
        <v>US91282CMY48</v>
      </c>
      <c r="I1016" s="1"/>
      <c r="J1016" t="str">
        <f>_xll.BDP($B1016,"CNTRY_OF_DOMICILE")</f>
        <v>US</v>
      </c>
      <c r="K1016" t="s">
        <v>626</v>
      </c>
      <c r="L1016" t="s">
        <v>627</v>
      </c>
      <c r="O1016" s="1"/>
      <c r="AQ1016" s="1"/>
      <c r="AR1016" s="1"/>
      <c r="AS1016" s="1"/>
      <c r="AT1016" t="str">
        <f>TEXT(_xll.BDP($B1016,"MATURITY"),"yyyy-mm-dd")</f>
        <v>2027-04-30</v>
      </c>
      <c r="AU1016" t="str">
        <f>_xll.BDP($B1016,"CPN_TYP")</f>
        <v>FIXED</v>
      </c>
      <c r="AV1016">
        <f>_xll.BDP($B1016,"CPN")</f>
        <v>3.75</v>
      </c>
    </row>
    <row r="1017" spans="1:48" x14ac:dyDescent="0.25">
      <c r="A1017" t="s">
        <v>3343</v>
      </c>
      <c r="B1017" t="s">
        <v>77</v>
      </c>
      <c r="C1017" s="1" t="s">
        <v>78</v>
      </c>
      <c r="D1017" t="s">
        <v>79</v>
      </c>
      <c r="E1017" t="str">
        <f>_xll.BDP($B1017,"LEGAL_ENTITY_IDENTIFIER")</f>
        <v>549300R5MYM6VZF1RM44</v>
      </c>
      <c r="F1017" t="s">
        <v>80</v>
      </c>
      <c r="G1017" t="str">
        <f>custodian!D1017</f>
        <v>31846V336</v>
      </c>
      <c r="H1017" t="str">
        <f>_xll.BDP($B1017,"ID_ISIN")</f>
        <v>US31846V3362</v>
      </c>
      <c r="I1017" s="1" t="s">
        <v>78</v>
      </c>
      <c r="J1017" t="str">
        <f>_xll.BDP($B1017,"CNTRY_OF_DOMICILE")</f>
        <v>US</v>
      </c>
      <c r="K1017" t="s">
        <v>81</v>
      </c>
      <c r="L1017" t="s">
        <v>82</v>
      </c>
      <c r="O1017" s="1"/>
      <c r="AQ1017" s="1"/>
      <c r="AR1017" s="1"/>
      <c r="AS1017" s="1"/>
    </row>
    <row r="1018" spans="1:48" x14ac:dyDescent="0.25">
      <c r="A1018" t="s">
        <v>3343</v>
      </c>
      <c r="C1018" s="1" t="s">
        <v>52</v>
      </c>
      <c r="E1018" s="1"/>
      <c r="G1018" t="str">
        <f>custodian!D1018</f>
        <v>Cash&amp;Other</v>
      </c>
      <c r="H1018" s="1"/>
      <c r="I1018" s="1"/>
      <c r="O1018" s="1"/>
      <c r="AQ1018" s="1"/>
      <c r="AR1018" s="1"/>
      <c r="AS1018" s="1"/>
    </row>
    <row r="1019" spans="1:48" x14ac:dyDescent="0.25">
      <c r="A1019" t="s">
        <v>3368</v>
      </c>
      <c r="B1019" t="s">
        <v>3369</v>
      </c>
      <c r="C1019" s="1" t="s">
        <v>3370</v>
      </c>
      <c r="D1019" t="s">
        <v>56</v>
      </c>
      <c r="E1019" s="1" t="s">
        <v>56</v>
      </c>
      <c r="F1019" t="s">
        <v>3371</v>
      </c>
      <c r="G1019" t="str">
        <f>custodian!D1019</f>
        <v>922042858-TRS-07/07/27-L-CLST</v>
      </c>
      <c r="H1019" s="1"/>
      <c r="I1019" s="1" t="s">
        <v>3370</v>
      </c>
      <c r="J1019" t="s">
        <v>58</v>
      </c>
      <c r="K1019" t="s">
        <v>59</v>
      </c>
      <c r="L1019" t="s">
        <v>60</v>
      </c>
      <c r="M1019" t="s">
        <v>61</v>
      </c>
      <c r="N1019" t="s">
        <v>3372</v>
      </c>
      <c r="O1019" s="1" t="s">
        <v>3373</v>
      </c>
      <c r="V1019" t="s">
        <v>64</v>
      </c>
      <c r="Y1019" t="s">
        <v>65</v>
      </c>
      <c r="Z1019" t="s">
        <v>3374</v>
      </c>
      <c r="AA1019" t="s">
        <v>3375</v>
      </c>
      <c r="AB1019" t="s">
        <v>68</v>
      </c>
      <c r="AD1019" t="s">
        <v>3375</v>
      </c>
      <c r="AE1019" t="s">
        <v>3376</v>
      </c>
      <c r="AF1019" t="s">
        <v>70</v>
      </c>
      <c r="AG1019" t="s">
        <v>3377</v>
      </c>
      <c r="AH1019" t="s">
        <v>72</v>
      </c>
      <c r="AI1019" t="s">
        <v>73</v>
      </c>
      <c r="AK1019" t="s">
        <v>3375</v>
      </c>
      <c r="AL1019" t="s">
        <v>68</v>
      </c>
      <c r="AM1019" t="s">
        <v>74</v>
      </c>
      <c r="AN1019" t="s">
        <v>75</v>
      </c>
      <c r="AO1019" t="str">
        <f>_xll.BDP($B1019,"ISSUER")</f>
        <v>Vanguard FTSE Emerging Markets</v>
      </c>
      <c r="AP1019" t="str">
        <f>_xll.BDP($B1019,"NAME")</f>
        <v>VANGUARD FTSE EMERGING MARKE</v>
      </c>
      <c r="AQ1019" s="1" t="s">
        <v>3378</v>
      </c>
      <c r="AR1019" t="str">
        <f>_xll.BDP($B1019,"ID_ISIN")</f>
        <v>US9220428588</v>
      </c>
      <c r="AS1019" t="str">
        <f>_xll.BDP($B1019,"TICKER")</f>
        <v>VWO</v>
      </c>
    </row>
    <row r="1020" spans="1:48" x14ac:dyDescent="0.25">
      <c r="A1020" t="s">
        <v>3368</v>
      </c>
      <c r="B1020" t="s">
        <v>77</v>
      </c>
      <c r="C1020" s="1" t="s">
        <v>78</v>
      </c>
      <c r="D1020" t="s">
        <v>79</v>
      </c>
      <c r="E1020" t="str">
        <f>_xll.BDP($B1020,"LEGAL_ENTITY_IDENTIFIER")</f>
        <v>549300R5MYM6VZF1RM44</v>
      </c>
      <c r="F1020" t="s">
        <v>80</v>
      </c>
      <c r="G1020" t="str">
        <f>custodian!D1020</f>
        <v>31846V336</v>
      </c>
      <c r="H1020" t="str">
        <f>_xll.BDP($B1020,"ID_ISIN")</f>
        <v>US31846V3362</v>
      </c>
      <c r="I1020" s="1" t="s">
        <v>78</v>
      </c>
      <c r="J1020" t="str">
        <f>_xll.BDP($B1020,"CNTRY_OF_DOMICILE")</f>
        <v>US</v>
      </c>
      <c r="K1020" t="s">
        <v>81</v>
      </c>
      <c r="L1020" t="s">
        <v>82</v>
      </c>
      <c r="O1020" s="1"/>
      <c r="AQ1020" s="1"/>
      <c r="AR1020" s="1"/>
      <c r="AS1020" s="1"/>
    </row>
    <row r="1021" spans="1:48" x14ac:dyDescent="0.25">
      <c r="A1021" t="s">
        <v>3368</v>
      </c>
      <c r="C1021" s="1" t="s">
        <v>52</v>
      </c>
      <c r="E1021" s="1"/>
      <c r="G1021" t="str">
        <f>custodian!D1021</f>
        <v>Cash&amp;Other</v>
      </c>
      <c r="H1021" s="1"/>
      <c r="I1021" s="1"/>
      <c r="O1021" s="1"/>
      <c r="AQ1021" s="1"/>
      <c r="AR1021" s="1"/>
      <c r="AS1021" s="1"/>
    </row>
    <row r="1022" spans="1:48" x14ac:dyDescent="0.25">
      <c r="A1022" t="s">
        <v>3379</v>
      </c>
      <c r="B1022" t="s">
        <v>3380</v>
      </c>
      <c r="C1022" s="1" t="s">
        <v>3381</v>
      </c>
      <c r="D1022" t="s">
        <v>3382</v>
      </c>
      <c r="E1022" t="str">
        <f>_xll.BDP($B1022,"LEGAL_ENTITY_IDENTIFIER")</f>
        <v>529900I8U6Q5SYDNLT48</v>
      </c>
      <c r="F1022" t="s">
        <v>3382</v>
      </c>
      <c r="G1022" t="str">
        <f>custodian!D1022</f>
        <v>03823U102</v>
      </c>
      <c r="H1022" t="str">
        <f>_xll.BDP($B1022,"ID_ISIN")</f>
        <v>US03823U1025</v>
      </c>
      <c r="I1022" s="1" t="s">
        <v>3381</v>
      </c>
      <c r="J1022" t="str">
        <f>_xll.BDP($B1022,"CNTRY_OF_DOMICILE")</f>
        <v>US</v>
      </c>
      <c r="K1022" t="s">
        <v>98</v>
      </c>
      <c r="L1022" t="s">
        <v>99</v>
      </c>
      <c r="O1022" s="1"/>
      <c r="AQ1022" s="1"/>
      <c r="AR1022" s="1"/>
      <c r="AS1022" s="1"/>
    </row>
    <row r="1023" spans="1:48" x14ac:dyDescent="0.25">
      <c r="A1023" t="s">
        <v>3379</v>
      </c>
      <c r="B1023" t="s">
        <v>3383</v>
      </c>
      <c r="C1023" s="1" t="s">
        <v>3384</v>
      </c>
      <c r="D1023" t="s">
        <v>3385</v>
      </c>
      <c r="E1023" t="str">
        <f>_xll.BDP($B1023,"LEGAL_ENTITY_IDENTIFIER")</f>
        <v>549300VV36J86CRRWF77</v>
      </c>
      <c r="F1023" t="s">
        <v>3385</v>
      </c>
      <c r="G1023" t="str">
        <f>custodian!D1023</f>
        <v>00486H105</v>
      </c>
      <c r="H1023" t="str">
        <f>_xll.BDP($B1023,"ID_ISIN")</f>
        <v>US00486H1059</v>
      </c>
      <c r="I1023" s="1" t="s">
        <v>3384</v>
      </c>
      <c r="J1023" t="str">
        <f>_xll.BDP($B1023,"CNTRY_OF_DOMICILE")</f>
        <v>US</v>
      </c>
      <c r="K1023" t="s">
        <v>98</v>
      </c>
      <c r="L1023" t="s">
        <v>99</v>
      </c>
      <c r="O1023" s="1"/>
      <c r="AQ1023" s="1"/>
      <c r="AR1023" s="1"/>
      <c r="AS1023" s="1"/>
    </row>
    <row r="1024" spans="1:48" x14ac:dyDescent="0.25">
      <c r="A1024" t="s">
        <v>3379</v>
      </c>
      <c r="B1024" t="s">
        <v>3386</v>
      </c>
      <c r="C1024" s="1" t="s">
        <v>3387</v>
      </c>
      <c r="D1024" t="s">
        <v>3388</v>
      </c>
      <c r="E1024" t="str">
        <f>_xll.BDP($B1024,"LEGAL_ENTITY_IDENTIFIER")</f>
        <v>529900A4GWWZFRU2RE97</v>
      </c>
      <c r="F1024" t="s">
        <v>3388</v>
      </c>
      <c r="G1024" t="str">
        <f>custodian!D1024</f>
        <v>00760J108</v>
      </c>
      <c r="H1024" t="str">
        <f>_xll.BDP($B1024,"ID_ISIN")</f>
        <v>US00760J1088</v>
      </c>
      <c r="I1024" s="1" t="s">
        <v>3387</v>
      </c>
      <c r="J1024" t="str">
        <f>_xll.BDP($B1024,"CNTRY_OF_DOMICILE")</f>
        <v>US</v>
      </c>
      <c r="K1024" t="s">
        <v>98</v>
      </c>
      <c r="L1024" t="s">
        <v>99</v>
      </c>
      <c r="O1024" s="1"/>
      <c r="AQ1024" s="1"/>
      <c r="AR1024" s="1"/>
      <c r="AS1024" s="1"/>
    </row>
    <row r="1025" spans="1:45" x14ac:dyDescent="0.25">
      <c r="A1025" t="s">
        <v>3379</v>
      </c>
      <c r="B1025" t="s">
        <v>3389</v>
      </c>
      <c r="C1025" s="1" t="s">
        <v>3390</v>
      </c>
      <c r="D1025" t="s">
        <v>3391</v>
      </c>
      <c r="E1025" t="str">
        <f>_xll.BDP($B1025,"LEGAL_ENTITY_IDENTIFIER")</f>
        <v>529900EOW3TB2FR95A21</v>
      </c>
      <c r="F1025" t="s">
        <v>3391</v>
      </c>
      <c r="G1025" t="str">
        <f>custodian!D1025</f>
        <v>00835Q202</v>
      </c>
      <c r="H1025" t="str">
        <f>_xll.BDP($B1025,"ID_ISIN")</f>
        <v>US00835Q2021</v>
      </c>
      <c r="I1025" s="1" t="s">
        <v>3390</v>
      </c>
      <c r="J1025" t="str">
        <f>_xll.BDP($B1025,"CNTRY_OF_DOMICILE")</f>
        <v>US</v>
      </c>
      <c r="K1025" t="s">
        <v>98</v>
      </c>
      <c r="L1025" t="s">
        <v>99</v>
      </c>
      <c r="O1025" s="1"/>
      <c r="AQ1025" s="1"/>
      <c r="AR1025" s="1"/>
      <c r="AS1025" s="1"/>
    </row>
    <row r="1026" spans="1:45" x14ac:dyDescent="0.25">
      <c r="A1026" t="s">
        <v>3379</v>
      </c>
      <c r="B1026" t="s">
        <v>235</v>
      </c>
      <c r="C1026" s="1" t="s">
        <v>236</v>
      </c>
      <c r="D1026" t="s">
        <v>237</v>
      </c>
      <c r="E1026" t="str">
        <f>_xll.BDP($B1026,"LEGAL_ENTITY_IDENTIFIER")</f>
        <v>41BNNE1AFPNAZELZ6K07</v>
      </c>
      <c r="F1026" t="s">
        <v>237</v>
      </c>
      <c r="G1026" t="str">
        <f>custodian!D1026</f>
        <v>038222105</v>
      </c>
      <c r="H1026" t="str">
        <f>_xll.BDP($B1026,"ID_ISIN")</f>
        <v>US0382221051</v>
      </c>
      <c r="I1026" s="1" t="s">
        <v>236</v>
      </c>
      <c r="J1026" t="str">
        <f>_xll.BDP($B1026,"CNTRY_OF_DOMICILE")</f>
        <v>US</v>
      </c>
      <c r="K1026" t="s">
        <v>98</v>
      </c>
      <c r="L1026" t="s">
        <v>99</v>
      </c>
      <c r="O1026" s="1"/>
      <c r="AQ1026" s="1"/>
      <c r="AR1026" s="1"/>
      <c r="AS1026" s="1"/>
    </row>
    <row r="1027" spans="1:45" x14ac:dyDescent="0.25">
      <c r="A1027" t="s">
        <v>3379</v>
      </c>
      <c r="B1027" t="s">
        <v>3392</v>
      </c>
      <c r="C1027" s="1" t="s">
        <v>3393</v>
      </c>
      <c r="D1027" t="s">
        <v>3394</v>
      </c>
      <c r="E1027" t="str">
        <f>_xll.BDP($B1027,"LEGAL_ENTITY_IDENTIFIER")</f>
        <v>724500Y6DUVHQD6OXN27</v>
      </c>
      <c r="F1027" t="s">
        <v>3394</v>
      </c>
      <c r="G1027" t="str">
        <f>custodian!D1027</f>
        <v>N07059210</v>
      </c>
      <c r="H1027" t="str">
        <f>_xll.BDP($B1027,"ID_ISIN")</f>
        <v>USN070592100</v>
      </c>
      <c r="I1027" s="1" t="s">
        <v>3393</v>
      </c>
      <c r="J1027" t="str">
        <f>_xll.BDP($B1027,"CNTRY_OF_DOMICILE")</f>
        <v>NL</v>
      </c>
      <c r="K1027" t="s">
        <v>98</v>
      </c>
      <c r="L1027" t="s">
        <v>99</v>
      </c>
      <c r="O1027" s="1"/>
      <c r="AQ1027" s="1"/>
      <c r="AR1027" s="1"/>
      <c r="AS1027" s="1"/>
    </row>
    <row r="1028" spans="1:45" x14ac:dyDescent="0.25">
      <c r="A1028" t="s">
        <v>3379</v>
      </c>
      <c r="B1028" t="s">
        <v>3395</v>
      </c>
      <c r="C1028" s="1" t="s">
        <v>3396</v>
      </c>
      <c r="D1028" t="s">
        <v>3397</v>
      </c>
      <c r="E1028" t="str">
        <f>_xll.BDP($B1028,"LEGAL_ENTITY_IDENTIFIER")</f>
        <v>549300M2142IVLVIJN37</v>
      </c>
      <c r="F1028" t="s">
        <v>3397</v>
      </c>
      <c r="G1028" t="str">
        <f>custodian!D1028</f>
        <v>00246W103</v>
      </c>
      <c r="H1028" t="str">
        <f>_xll.BDP($B1028,"ID_ISIN")</f>
        <v>US00246W1036</v>
      </c>
      <c r="I1028" s="1" t="s">
        <v>3396</v>
      </c>
      <c r="J1028" t="str">
        <f>_xll.BDP($B1028,"CNTRY_OF_DOMICILE")</f>
        <v>US</v>
      </c>
      <c r="K1028" t="s">
        <v>98</v>
      </c>
      <c r="L1028" t="s">
        <v>99</v>
      </c>
      <c r="O1028" s="1"/>
      <c r="AQ1028" s="1"/>
      <c r="AR1028" s="1"/>
      <c r="AS1028" s="1"/>
    </row>
    <row r="1029" spans="1:45" x14ac:dyDescent="0.25">
      <c r="A1029" t="s">
        <v>3379</v>
      </c>
      <c r="B1029" t="s">
        <v>3398</v>
      </c>
      <c r="C1029" s="1" t="s">
        <v>3399</v>
      </c>
      <c r="D1029" t="s">
        <v>3400</v>
      </c>
      <c r="E1029" t="str">
        <f>_xll.BDP($B1029,"LEGAL_ENTITY_IDENTIFIER")</f>
        <v>5493000H80W07HCKGS43</v>
      </c>
      <c r="F1029" t="s">
        <v>3400</v>
      </c>
      <c r="G1029" t="str">
        <f>custodian!D1029</f>
        <v>M20791105</v>
      </c>
      <c r="H1029" t="str">
        <f>_xll.BDP($B1029,"ID_ISIN")</f>
        <v>IL0010952641</v>
      </c>
      <c r="I1029" s="1" t="s">
        <v>3399</v>
      </c>
      <c r="J1029" t="str">
        <f>_xll.BDP($B1029,"CNTRY_OF_DOMICILE")</f>
        <v>IL</v>
      </c>
      <c r="K1029" t="s">
        <v>98</v>
      </c>
      <c r="L1029" t="s">
        <v>99</v>
      </c>
      <c r="O1029" s="1"/>
      <c r="AQ1029" s="1"/>
      <c r="AR1029" s="1"/>
      <c r="AS1029" s="1"/>
    </row>
    <row r="1030" spans="1:45" x14ac:dyDescent="0.25">
      <c r="A1030" t="s">
        <v>3379</v>
      </c>
      <c r="B1030" t="s">
        <v>3401</v>
      </c>
      <c r="C1030" s="1" t="s">
        <v>3402</v>
      </c>
      <c r="D1030" t="s">
        <v>3403</v>
      </c>
      <c r="E1030" t="str">
        <f>_xll.BDP($B1030,"LEGAL_ENTITY_IDENTIFIER")</f>
        <v>W0CZ7N0GH8UIGXDM1H41</v>
      </c>
      <c r="F1030" t="s">
        <v>3403</v>
      </c>
      <c r="G1030" t="str">
        <f>custodian!D1030</f>
        <v>171779309</v>
      </c>
      <c r="H1030" t="str">
        <f>_xll.BDP($B1030,"ID_ISIN")</f>
        <v>US1717793095</v>
      </c>
      <c r="I1030" s="1" t="s">
        <v>3402</v>
      </c>
      <c r="J1030" t="str">
        <f>_xll.BDP($B1030,"CNTRY_OF_DOMICILE")</f>
        <v>US</v>
      </c>
      <c r="K1030" t="s">
        <v>98</v>
      </c>
      <c r="L1030" t="s">
        <v>99</v>
      </c>
      <c r="O1030" s="1"/>
      <c r="AQ1030" s="1"/>
      <c r="AR1030" s="1"/>
      <c r="AS1030" s="1"/>
    </row>
    <row r="1031" spans="1:45" x14ac:dyDescent="0.25">
      <c r="A1031" t="s">
        <v>3379</v>
      </c>
      <c r="B1031" t="s">
        <v>3404</v>
      </c>
      <c r="C1031" s="1" t="s">
        <v>3405</v>
      </c>
      <c r="D1031" t="s">
        <v>3406</v>
      </c>
      <c r="E1031" t="str">
        <f>_xll.BDP($B1031,"LEGAL_ENTITY_IDENTIFIER")</f>
        <v>549300O5C25A0MMHHU33</v>
      </c>
      <c r="F1031" t="s">
        <v>3406</v>
      </c>
      <c r="G1031" t="str">
        <f>custodian!D1031</f>
        <v>19247G107</v>
      </c>
      <c r="H1031" t="str">
        <f>_xll.BDP($B1031,"ID_ISIN")</f>
        <v>US19247G1076</v>
      </c>
      <c r="I1031" s="1" t="s">
        <v>3405</v>
      </c>
      <c r="J1031" t="str">
        <f>_xll.BDP($B1031,"CNTRY_OF_DOMICILE")</f>
        <v>US</v>
      </c>
      <c r="K1031" t="s">
        <v>98</v>
      </c>
      <c r="L1031" t="s">
        <v>99</v>
      </c>
      <c r="O1031" s="1"/>
      <c r="AQ1031" s="1"/>
      <c r="AR1031" s="1"/>
      <c r="AS1031" s="1"/>
    </row>
    <row r="1032" spans="1:45" x14ac:dyDescent="0.25">
      <c r="A1032" t="s">
        <v>3379</v>
      </c>
      <c r="B1032" t="s">
        <v>3407</v>
      </c>
      <c r="C1032" s="1" t="s">
        <v>3408</v>
      </c>
      <c r="D1032" t="s">
        <v>3409</v>
      </c>
      <c r="E1032" t="str">
        <f>_xll.BDP($B1032,"LEGAL_ENTITY_IDENTIFIER")</f>
        <v>#N/A N/A</v>
      </c>
      <c r="F1032" t="s">
        <v>3410</v>
      </c>
      <c r="G1032" t="str">
        <f>custodian!D1032</f>
        <v>G25457105</v>
      </c>
      <c r="H1032" t="str">
        <f>_xll.BDP($B1032,"ID_ISIN")</f>
        <v>KYG254571055</v>
      </c>
      <c r="I1032" s="1" t="s">
        <v>3408</v>
      </c>
      <c r="J1032" t="str">
        <f>_xll.BDP($B1032,"CNTRY_OF_DOMICILE")</f>
        <v>US</v>
      </c>
      <c r="K1032" t="s">
        <v>98</v>
      </c>
      <c r="L1032" t="s">
        <v>99</v>
      </c>
      <c r="O1032" s="1"/>
      <c r="AQ1032" s="1"/>
      <c r="AR1032" s="1"/>
      <c r="AS1032" s="1"/>
    </row>
    <row r="1033" spans="1:45" x14ac:dyDescent="0.25">
      <c r="A1033" t="s">
        <v>3379</v>
      </c>
      <c r="B1033" t="s">
        <v>3411</v>
      </c>
      <c r="C1033" s="1" t="s">
        <v>3412</v>
      </c>
      <c r="D1033" t="s">
        <v>3413</v>
      </c>
      <c r="E1033" t="str">
        <f>_xll.BDP($B1033,"LEGAL_ENTITY_IDENTIFIER")</f>
        <v>IYX6OWO7BT5DKO3BYG52</v>
      </c>
      <c r="F1033" t="s">
        <v>3413</v>
      </c>
      <c r="G1033" t="str">
        <f>custodian!D1033</f>
        <v>29362U104</v>
      </c>
      <c r="H1033" t="str">
        <f>_xll.BDP($B1033,"ID_ISIN")</f>
        <v>US29362U1043</v>
      </c>
      <c r="I1033" s="1" t="s">
        <v>3412</v>
      </c>
      <c r="J1033" t="str">
        <f>_xll.BDP($B1033,"CNTRY_OF_DOMICILE")</f>
        <v>US</v>
      </c>
      <c r="K1033" t="s">
        <v>98</v>
      </c>
      <c r="L1033" t="s">
        <v>99</v>
      </c>
      <c r="O1033" s="1"/>
      <c r="AQ1033" s="1"/>
      <c r="AR1033" s="1"/>
      <c r="AS1033" s="1"/>
    </row>
    <row r="1034" spans="1:45" x14ac:dyDescent="0.25">
      <c r="A1034" t="s">
        <v>3379</v>
      </c>
      <c r="B1034" t="s">
        <v>77</v>
      </c>
      <c r="C1034" s="1" t="s">
        <v>78</v>
      </c>
      <c r="D1034" t="s">
        <v>79</v>
      </c>
      <c r="E1034" t="str">
        <f>_xll.BDP($B1034,"LEGAL_ENTITY_IDENTIFIER")</f>
        <v>549300R5MYM6VZF1RM44</v>
      </c>
      <c r="F1034" t="s">
        <v>80</v>
      </c>
      <c r="G1034" t="str">
        <f>custodian!D1034</f>
        <v>31846V336</v>
      </c>
      <c r="H1034" t="str">
        <f>_xll.BDP($B1034,"ID_ISIN")</f>
        <v>US31846V3362</v>
      </c>
      <c r="I1034" s="1" t="s">
        <v>78</v>
      </c>
      <c r="J1034" t="str">
        <f>_xll.BDP($B1034,"CNTRY_OF_DOMICILE")</f>
        <v>US</v>
      </c>
      <c r="K1034" t="s">
        <v>81</v>
      </c>
      <c r="L1034" t="s">
        <v>82</v>
      </c>
      <c r="O1034" s="1"/>
      <c r="AQ1034" s="1"/>
      <c r="AR1034" s="1"/>
      <c r="AS1034" s="1"/>
    </row>
    <row r="1035" spans="1:45" x14ac:dyDescent="0.25">
      <c r="A1035" t="s">
        <v>3379</v>
      </c>
      <c r="B1035" t="s">
        <v>3414</v>
      </c>
      <c r="C1035" s="1" t="s">
        <v>3415</v>
      </c>
      <c r="D1035" t="s">
        <v>3416</v>
      </c>
      <c r="E1035" t="str">
        <f>_xll.BDP($B1035,"LEGAL_ENTITY_IDENTIFIER")</f>
        <v>5493004TETZ6IYF7CV44</v>
      </c>
      <c r="F1035" t="s">
        <v>3416</v>
      </c>
      <c r="G1035" t="str">
        <f>custodian!D1035</f>
        <v>G3323L100</v>
      </c>
      <c r="H1035" t="str">
        <f>_xll.BDP($B1035,"ID_ISIN")</f>
        <v>KYG3323L1005</v>
      </c>
      <c r="I1035" s="1" t="s">
        <v>3415</v>
      </c>
      <c r="J1035" t="str">
        <f>_xll.BDP($B1035,"CNTRY_OF_DOMICILE")</f>
        <v>TH</v>
      </c>
      <c r="K1035" t="s">
        <v>98</v>
      </c>
      <c r="L1035" t="s">
        <v>99</v>
      </c>
      <c r="O1035" s="1"/>
      <c r="AQ1035" s="1"/>
      <c r="AR1035" s="1"/>
      <c r="AS1035" s="1"/>
    </row>
    <row r="1036" spans="1:45" x14ac:dyDescent="0.25">
      <c r="A1036" t="s">
        <v>3379</v>
      </c>
      <c r="B1036" t="s">
        <v>2723</v>
      </c>
      <c r="C1036" s="1" t="s">
        <v>2724</v>
      </c>
      <c r="D1036" t="s">
        <v>2725</v>
      </c>
      <c r="E1036" t="str">
        <f>_xll.BDP($B1036,"LEGAL_ENTITY_IDENTIFIER")</f>
        <v>549300YCEEO6SZD1ZR61</v>
      </c>
      <c r="F1036" t="s">
        <v>2725</v>
      </c>
      <c r="G1036" t="str">
        <f>custodian!D1036</f>
        <v>346375108</v>
      </c>
      <c r="H1036" t="str">
        <f>_xll.BDP($B1036,"ID_ISIN")</f>
        <v>US3463751087</v>
      </c>
      <c r="I1036" s="1" t="s">
        <v>2724</v>
      </c>
      <c r="J1036" t="str">
        <f>_xll.BDP($B1036,"CNTRY_OF_DOMICILE")</f>
        <v>US</v>
      </c>
      <c r="K1036" t="s">
        <v>98</v>
      </c>
      <c r="L1036" t="s">
        <v>99</v>
      </c>
      <c r="O1036" s="1"/>
      <c r="AQ1036" s="1"/>
      <c r="AR1036" s="1"/>
      <c r="AS1036" s="1"/>
    </row>
    <row r="1037" spans="1:45" x14ac:dyDescent="0.25">
      <c r="A1037" t="s">
        <v>3379</v>
      </c>
      <c r="B1037" t="s">
        <v>3417</v>
      </c>
      <c r="C1037" s="1" t="s">
        <v>3418</v>
      </c>
      <c r="D1037" t="s">
        <v>3419</v>
      </c>
      <c r="E1037" t="str">
        <f>_xll.BDP($B1037,"LEGAL_ENTITY_IDENTIFIER")</f>
        <v>549300BA76VK784VMX48</v>
      </c>
      <c r="F1037" t="s">
        <v>3419</v>
      </c>
      <c r="G1037" t="str">
        <f>custodian!D1037</f>
        <v>G39387108</v>
      </c>
      <c r="H1037" t="str">
        <f>_xll.BDP($B1037,"ID_ISIN")</f>
        <v>KYG393871085</v>
      </c>
      <c r="I1037" s="1" t="s">
        <v>3418</v>
      </c>
      <c r="J1037" t="str">
        <f>_xll.BDP($B1037,"CNTRY_OF_DOMICILE")</f>
        <v>US</v>
      </c>
      <c r="K1037" t="s">
        <v>98</v>
      </c>
      <c r="L1037" t="s">
        <v>99</v>
      </c>
      <c r="O1037" s="1"/>
      <c r="AQ1037" s="1"/>
      <c r="AR1037" s="1"/>
      <c r="AS1037" s="1"/>
    </row>
    <row r="1038" spans="1:45" x14ac:dyDescent="0.25">
      <c r="A1038" t="s">
        <v>3379</v>
      </c>
      <c r="B1038" t="s">
        <v>3420</v>
      </c>
      <c r="C1038" s="1" t="s">
        <v>3421</v>
      </c>
      <c r="D1038" t="s">
        <v>3422</v>
      </c>
      <c r="E1038" t="str">
        <f>_xll.BDP($B1038,"LEGAL_ENTITY_IDENTIFIER")</f>
        <v>549300X2937PB0CJ7I56</v>
      </c>
      <c r="F1038" t="s">
        <v>3422</v>
      </c>
      <c r="G1038" t="str">
        <f>custodian!D1038</f>
        <v>219350105</v>
      </c>
      <c r="H1038" t="str">
        <f>_xll.BDP($B1038,"ID_ISIN")</f>
        <v>US2193501051</v>
      </c>
      <c r="I1038" s="1" t="s">
        <v>3421</v>
      </c>
      <c r="J1038" t="str">
        <f>_xll.BDP($B1038,"CNTRY_OF_DOMICILE")</f>
        <v>US</v>
      </c>
      <c r="K1038" t="s">
        <v>98</v>
      </c>
      <c r="L1038" t="s">
        <v>99</v>
      </c>
      <c r="O1038" s="1"/>
      <c r="AQ1038" s="1"/>
      <c r="AR1038" s="1"/>
      <c r="AS1038" s="1"/>
    </row>
    <row r="1039" spans="1:45" x14ac:dyDescent="0.25">
      <c r="A1039" t="s">
        <v>3379</v>
      </c>
      <c r="B1039" t="s">
        <v>3423</v>
      </c>
      <c r="C1039" s="1" t="s">
        <v>3424</v>
      </c>
      <c r="D1039" t="s">
        <v>3425</v>
      </c>
      <c r="E1039" t="str">
        <f>_xll.BDP($B1039,"LEGAL_ENTITY_IDENTIFIER")</f>
        <v>836800KOYHURQT1JZY11</v>
      </c>
      <c r="F1039" t="s">
        <v>3425</v>
      </c>
      <c r="G1039" t="str">
        <f>custodian!D1039</f>
        <v>428050108</v>
      </c>
      <c r="H1039" t="str">
        <f>_xll.BDP($B1039,"ID_ISIN")</f>
        <v>US4280501085</v>
      </c>
      <c r="I1039" s="1" t="s">
        <v>3424</v>
      </c>
      <c r="J1039" t="str">
        <f>_xll.BDP($B1039,"CNTRY_OF_DOMICILE")</f>
        <v>CN</v>
      </c>
      <c r="K1039" t="s">
        <v>98</v>
      </c>
      <c r="L1039" t="s">
        <v>99</v>
      </c>
      <c r="O1039" s="1"/>
      <c r="AQ1039" s="1"/>
      <c r="AR1039" s="1"/>
      <c r="AS1039" s="1"/>
    </row>
    <row r="1040" spans="1:45" x14ac:dyDescent="0.25">
      <c r="A1040" t="s">
        <v>3379</v>
      </c>
      <c r="B1040" t="s">
        <v>3426</v>
      </c>
      <c r="C1040" s="1" t="s">
        <v>3427</v>
      </c>
      <c r="D1040" t="s">
        <v>3428</v>
      </c>
      <c r="E1040" t="str">
        <f>_xll.BDP($B1040,"LEGAL_ENTITY_IDENTIFIER")</f>
        <v>5493002KZ51CADQ94G15</v>
      </c>
      <c r="F1040" t="s">
        <v>3428</v>
      </c>
      <c r="G1040" t="str">
        <f>custodian!D1040</f>
        <v>44980X109</v>
      </c>
      <c r="H1040" t="str">
        <f>_xll.BDP($B1040,"ID_ISIN")</f>
        <v>US44980X1090</v>
      </c>
      <c r="I1040" s="1" t="s">
        <v>3427</v>
      </c>
      <c r="J1040" t="str">
        <f>_xll.BDP($B1040,"CNTRY_OF_DOMICILE")</f>
        <v>US</v>
      </c>
      <c r="K1040" t="s">
        <v>98</v>
      </c>
      <c r="L1040" t="s">
        <v>99</v>
      </c>
      <c r="O1040" s="1"/>
      <c r="AQ1040" s="1"/>
      <c r="AR1040" s="1"/>
      <c r="AS1040" s="1"/>
    </row>
    <row r="1041" spans="1:45" x14ac:dyDescent="0.25">
      <c r="A1041" t="s">
        <v>3379</v>
      </c>
      <c r="B1041" t="s">
        <v>3429</v>
      </c>
      <c r="C1041" s="1" t="s">
        <v>3430</v>
      </c>
      <c r="D1041" t="s">
        <v>3431</v>
      </c>
      <c r="E1041" t="str">
        <f>_xll.BDP($B1041,"LEGAL_ENTITY_IDENTIFIER")</f>
        <v>549300H0BF5JCG96TJ81</v>
      </c>
      <c r="F1041" t="s">
        <v>3431</v>
      </c>
      <c r="G1041" t="str">
        <f>custodian!D1041</f>
        <v>482480100</v>
      </c>
      <c r="H1041" t="str">
        <f>_xll.BDP($B1041,"ID_ISIN")</f>
        <v>US4824801009</v>
      </c>
      <c r="I1041" s="1" t="s">
        <v>3430</v>
      </c>
      <c r="J1041" t="str">
        <f>_xll.BDP($B1041,"CNTRY_OF_DOMICILE")</f>
        <v>US</v>
      </c>
      <c r="K1041" t="s">
        <v>98</v>
      </c>
      <c r="L1041" t="s">
        <v>99</v>
      </c>
      <c r="O1041" s="1"/>
      <c r="AQ1041" s="1"/>
      <c r="AR1041" s="1"/>
      <c r="AS1041" s="1"/>
    </row>
    <row r="1042" spans="1:45" x14ac:dyDescent="0.25">
      <c r="A1042" t="s">
        <v>3379</v>
      </c>
      <c r="B1042" t="s">
        <v>3432</v>
      </c>
      <c r="C1042" s="1" t="s">
        <v>3433</v>
      </c>
      <c r="D1042" t="s">
        <v>3434</v>
      </c>
      <c r="E1042" t="str">
        <f>_xll.BDP($B1042,"LEGAL_ENTITY_IDENTIFIER")</f>
        <v>#N/A N/A</v>
      </c>
      <c r="F1042" t="s">
        <v>3434</v>
      </c>
      <c r="G1042" t="str">
        <f>custodian!D1042</f>
        <v>65487K100</v>
      </c>
      <c r="H1042" t="str">
        <f>_xll.BDP($B1042,"ID_ISIN")</f>
        <v>US65487K1007</v>
      </c>
      <c r="I1042" s="1" t="s">
        <v>3433</v>
      </c>
      <c r="J1042" t="str">
        <f>_xll.BDP($B1042,"CNTRY_OF_DOMICILE")</f>
        <v>US</v>
      </c>
      <c r="K1042" t="s">
        <v>98</v>
      </c>
      <c r="L1042" t="s">
        <v>99</v>
      </c>
      <c r="O1042" s="1"/>
      <c r="AQ1042" s="1"/>
      <c r="AR1042" s="1"/>
      <c r="AS1042" s="1"/>
    </row>
    <row r="1043" spans="1:45" x14ac:dyDescent="0.25">
      <c r="A1043" t="s">
        <v>3379</v>
      </c>
      <c r="B1043" t="s">
        <v>301</v>
      </c>
      <c r="C1043" s="1" t="s">
        <v>302</v>
      </c>
      <c r="D1043" t="s">
        <v>303</v>
      </c>
      <c r="E1043" t="str">
        <f>_xll.BDP($B1043,"LEGAL_ENTITY_IDENTIFIER")</f>
        <v>549300JLWRRC38DWEF52</v>
      </c>
      <c r="F1043" t="s">
        <v>303</v>
      </c>
      <c r="G1043" t="str">
        <f>custodian!D1043</f>
        <v>55024U109</v>
      </c>
      <c r="H1043" t="str">
        <f>_xll.BDP($B1043,"ID_ISIN")</f>
        <v>US55024U1097</v>
      </c>
      <c r="I1043" s="1" t="s">
        <v>302</v>
      </c>
      <c r="J1043" t="str">
        <f>_xll.BDP($B1043,"CNTRY_OF_DOMICILE")</f>
        <v>US</v>
      </c>
      <c r="K1043" t="s">
        <v>98</v>
      </c>
      <c r="L1043" t="s">
        <v>99</v>
      </c>
      <c r="O1043" s="1"/>
      <c r="AQ1043" s="1"/>
      <c r="AR1043" s="1"/>
      <c r="AS1043" s="1"/>
    </row>
    <row r="1044" spans="1:45" x14ac:dyDescent="0.25">
      <c r="A1044" t="s">
        <v>3379</v>
      </c>
      <c r="B1044" t="s">
        <v>304</v>
      </c>
      <c r="C1044" s="1" t="s">
        <v>305</v>
      </c>
      <c r="D1044" t="s">
        <v>306</v>
      </c>
      <c r="E1044" t="str">
        <f>_xll.BDP($B1044,"LEGAL_ENTITY_IDENTIFIER")</f>
        <v>549300I4GMO6D34U1T02</v>
      </c>
      <c r="F1044" t="s">
        <v>306</v>
      </c>
      <c r="G1044" t="str">
        <f>custodian!D1044</f>
        <v>512807306</v>
      </c>
      <c r="H1044" t="str">
        <f>_xll.BDP($B1044,"ID_ISIN")</f>
        <v>US5128073062</v>
      </c>
      <c r="I1044" s="1" t="s">
        <v>305</v>
      </c>
      <c r="J1044" t="str">
        <f>_xll.BDP($B1044,"CNTRY_OF_DOMICILE")</f>
        <v>US</v>
      </c>
      <c r="K1044" t="s">
        <v>98</v>
      </c>
      <c r="L1044" t="s">
        <v>99</v>
      </c>
      <c r="O1044" s="1"/>
      <c r="AQ1044" s="1"/>
      <c r="AR1044" s="1"/>
      <c r="AS1044" s="1"/>
    </row>
    <row r="1045" spans="1:45" x14ac:dyDescent="0.25">
      <c r="A1045" t="s">
        <v>3379</v>
      </c>
      <c r="B1045" t="s">
        <v>3435</v>
      </c>
      <c r="C1045" s="1" t="s">
        <v>3436</v>
      </c>
      <c r="D1045" t="s">
        <v>3437</v>
      </c>
      <c r="E1045" t="str">
        <f>_xll.BDP($B1045,"LEGAL_ENTITY_IDENTIFIER")</f>
        <v>#N/A N/A</v>
      </c>
      <c r="F1045" t="s">
        <v>3437</v>
      </c>
      <c r="G1045" t="str">
        <f>custodian!D1045</f>
        <v>532275104</v>
      </c>
      <c r="H1045" t="str">
        <f>_xll.BDP($B1045,"ID_ISIN")</f>
        <v>US5322751042</v>
      </c>
      <c r="I1045" s="1" t="s">
        <v>3436</v>
      </c>
      <c r="J1045" t="str">
        <f>_xll.BDP($B1045,"CNTRY_OF_DOMICILE")</f>
        <v>US</v>
      </c>
      <c r="K1045" t="s">
        <v>98</v>
      </c>
      <c r="L1045" t="s">
        <v>99</v>
      </c>
      <c r="O1045" s="1"/>
      <c r="AQ1045" s="1"/>
      <c r="AR1045" s="1"/>
      <c r="AS1045" s="1"/>
    </row>
    <row r="1046" spans="1:45" x14ac:dyDescent="0.25">
      <c r="A1046" t="s">
        <v>3379</v>
      </c>
      <c r="B1046" t="s">
        <v>310</v>
      </c>
      <c r="C1046" s="1" t="s">
        <v>311</v>
      </c>
      <c r="D1046" t="s">
        <v>312</v>
      </c>
      <c r="E1046" t="str">
        <f>_xll.BDP($B1046,"LEGAL_ENTITY_IDENTIFIER")</f>
        <v>254900WVU0BM7ZCJ9E93</v>
      </c>
      <c r="F1046" t="s">
        <v>312</v>
      </c>
      <c r="G1046" t="str">
        <f>custodian!D1046</f>
        <v>573874104</v>
      </c>
      <c r="H1046" t="str">
        <f>_xll.BDP($B1046,"ID_ISIN")</f>
        <v>US5738741041</v>
      </c>
      <c r="I1046" s="1" t="s">
        <v>311</v>
      </c>
      <c r="J1046" t="str">
        <f>_xll.BDP($B1046,"CNTRY_OF_DOMICILE")</f>
        <v>US</v>
      </c>
      <c r="K1046" t="s">
        <v>98</v>
      </c>
      <c r="L1046" t="s">
        <v>99</v>
      </c>
      <c r="O1046" s="1"/>
      <c r="AQ1046" s="1"/>
      <c r="AR1046" s="1"/>
      <c r="AS1046" s="1"/>
    </row>
    <row r="1047" spans="1:45" x14ac:dyDescent="0.25">
      <c r="A1047" t="s">
        <v>3379</v>
      </c>
      <c r="B1047" t="s">
        <v>3438</v>
      </c>
      <c r="C1047" s="1" t="s">
        <v>3439</v>
      </c>
      <c r="D1047" t="s">
        <v>3440</v>
      </c>
      <c r="E1047" t="str">
        <f>_xll.BDP($B1047,"LEGAL_ENTITY_IDENTIFIER")</f>
        <v>549300CJ5RI351SUYT02</v>
      </c>
      <c r="F1047" t="s">
        <v>3440</v>
      </c>
      <c r="G1047" t="str">
        <f>custodian!D1047</f>
        <v>576690101</v>
      </c>
      <c r="H1047" t="str">
        <f>_xll.BDP($B1047,"ID_ISIN")</f>
        <v>US5766901012</v>
      </c>
      <c r="I1047" s="1" t="s">
        <v>3439</v>
      </c>
      <c r="J1047" t="str">
        <f>_xll.BDP($B1047,"CNTRY_OF_DOMICILE")</f>
        <v>US</v>
      </c>
      <c r="K1047" t="s">
        <v>98</v>
      </c>
      <c r="L1047" t="s">
        <v>99</v>
      </c>
      <c r="O1047" s="1"/>
      <c r="AQ1047" s="1"/>
      <c r="AR1047" s="1"/>
      <c r="AS1047" s="1"/>
    </row>
    <row r="1048" spans="1:45" x14ac:dyDescent="0.25">
      <c r="A1048" t="s">
        <v>3379</v>
      </c>
      <c r="B1048" t="s">
        <v>3143</v>
      </c>
      <c r="C1048" s="1" t="s">
        <v>3144</v>
      </c>
      <c r="D1048" t="s">
        <v>3145</v>
      </c>
      <c r="E1048" t="str">
        <f>_xll.BDP($B1048,"LEGAL_ENTITY_IDENTIFIER")</f>
        <v>#N/A N/A</v>
      </c>
      <c r="F1048" t="s">
        <v>3146</v>
      </c>
      <c r="G1048" t="str">
        <f>custodian!D1048</f>
        <v>55405Y100</v>
      </c>
      <c r="H1048" t="str">
        <f>_xll.BDP($B1048,"ID_ISIN")</f>
        <v>US55405Y1001</v>
      </c>
      <c r="I1048" s="1" t="s">
        <v>3144</v>
      </c>
      <c r="J1048" t="str">
        <f>_xll.BDP($B1048,"CNTRY_OF_DOMICILE")</f>
        <v>US</v>
      </c>
      <c r="K1048" t="s">
        <v>98</v>
      </c>
      <c r="L1048" t="s">
        <v>99</v>
      </c>
      <c r="O1048" s="1"/>
      <c r="AQ1048" s="1"/>
      <c r="AR1048" s="1"/>
      <c r="AS1048" s="1"/>
    </row>
    <row r="1049" spans="1:45" x14ac:dyDescent="0.25">
      <c r="A1049" t="s">
        <v>3379</v>
      </c>
      <c r="B1049" t="s">
        <v>729</v>
      </c>
      <c r="C1049" s="1" t="s">
        <v>730</v>
      </c>
      <c r="D1049" t="s">
        <v>731</v>
      </c>
      <c r="E1049" t="str">
        <f>_xll.BDP($B1049,"LEGAL_ENTITY_IDENTIFIER")</f>
        <v>#N/A N/A</v>
      </c>
      <c r="F1049" t="s">
        <v>731</v>
      </c>
      <c r="G1049" t="str">
        <f>custodian!D1049</f>
        <v>67000B104</v>
      </c>
      <c r="H1049" t="str">
        <f>_xll.BDP($B1049,"ID_ISIN")</f>
        <v>CA67000B1040</v>
      </c>
      <c r="I1049" s="1" t="s">
        <v>730</v>
      </c>
      <c r="J1049" t="str">
        <f>_xll.BDP($B1049,"CNTRY_OF_DOMICILE")</f>
        <v>US</v>
      </c>
      <c r="K1049" t="s">
        <v>98</v>
      </c>
      <c r="L1049" t="s">
        <v>99</v>
      </c>
      <c r="O1049" s="1"/>
      <c r="AQ1049" s="1"/>
      <c r="AR1049" s="1"/>
      <c r="AS1049" s="1"/>
    </row>
    <row r="1050" spans="1:45" x14ac:dyDescent="0.25">
      <c r="A1050" t="s">
        <v>3379</v>
      </c>
      <c r="B1050" t="s">
        <v>3441</v>
      </c>
      <c r="C1050" s="1" t="s">
        <v>3442</v>
      </c>
      <c r="D1050" t="s">
        <v>3443</v>
      </c>
      <c r="E1050" t="str">
        <f>_xll.BDP($B1050,"LEGAL_ENTITY_IDENTIFIER")</f>
        <v>529900B2DSWE5V3SC292</v>
      </c>
      <c r="F1050" t="s">
        <v>3443</v>
      </c>
      <c r="G1050" t="str">
        <f>custodian!D1050</f>
        <v>M7516K103</v>
      </c>
      <c r="H1050" t="str">
        <f>_xll.BDP($B1050,"ID_ISIN")</f>
        <v>IL0010845571</v>
      </c>
      <c r="I1050" s="1" t="s">
        <v>3442</v>
      </c>
      <c r="J1050" t="str">
        <f>_xll.BDP($B1050,"CNTRY_OF_DOMICILE")</f>
        <v>IL</v>
      </c>
      <c r="K1050" t="s">
        <v>98</v>
      </c>
      <c r="L1050" t="s">
        <v>99</v>
      </c>
      <c r="O1050" s="1"/>
      <c r="AQ1050" s="1"/>
      <c r="AR1050" s="1"/>
      <c r="AS1050" s="1"/>
    </row>
    <row r="1051" spans="1:45" x14ac:dyDescent="0.25">
      <c r="A1051" t="s">
        <v>3379</v>
      </c>
      <c r="B1051" t="s">
        <v>3444</v>
      </c>
      <c r="C1051" s="1" t="s">
        <v>3445</v>
      </c>
      <c r="D1051" t="s">
        <v>3446</v>
      </c>
      <c r="E1051" t="str">
        <f>_xll.BDP($B1051,"LEGAL_ENTITY_IDENTIFIER")</f>
        <v>254900RXZVN73CHOO062</v>
      </c>
      <c r="F1051" t="s">
        <v>3446</v>
      </c>
      <c r="G1051" t="str">
        <f>custodian!D1051</f>
        <v>683344105</v>
      </c>
      <c r="H1051" t="str">
        <f>_xll.BDP($B1051,"ID_ISIN")</f>
        <v>US6833441057</v>
      </c>
      <c r="I1051" s="1" t="s">
        <v>3445</v>
      </c>
      <c r="J1051" t="str">
        <f>_xll.BDP($B1051,"CNTRY_OF_DOMICILE")</f>
        <v>US</v>
      </c>
      <c r="K1051" t="s">
        <v>98</v>
      </c>
      <c r="L1051" t="s">
        <v>99</v>
      </c>
      <c r="O1051" s="1"/>
      <c r="AQ1051" s="1"/>
      <c r="AR1051" s="1"/>
      <c r="AS1051" s="1"/>
    </row>
    <row r="1052" spans="1:45" x14ac:dyDescent="0.25">
      <c r="A1052" t="s">
        <v>3379</v>
      </c>
      <c r="B1052" t="s">
        <v>585</v>
      </c>
      <c r="C1052" s="1" t="s">
        <v>586</v>
      </c>
      <c r="D1052" t="s">
        <v>587</v>
      </c>
      <c r="E1052" t="str">
        <f>_xll.BDP($B1052,"LEGAL_ENTITY_IDENTIFIER")</f>
        <v>#N/A N/A</v>
      </c>
      <c r="F1052" t="s">
        <v>587</v>
      </c>
      <c r="G1052" t="str">
        <f>custodian!D1052</f>
        <v>68989M202</v>
      </c>
      <c r="H1052" t="str">
        <f>_xll.BDP($B1052,"ID_ISIN")</f>
        <v>US68989M2026</v>
      </c>
      <c r="I1052" s="1" t="s">
        <v>586</v>
      </c>
      <c r="J1052" t="str">
        <f>_xll.BDP($B1052,"CNTRY_OF_DOMICILE")</f>
        <v>US</v>
      </c>
      <c r="K1052" t="s">
        <v>98</v>
      </c>
      <c r="L1052" t="s">
        <v>99</v>
      </c>
      <c r="O1052" s="1"/>
      <c r="AQ1052" s="1"/>
      <c r="AR1052" s="1"/>
      <c r="AS1052" s="1"/>
    </row>
    <row r="1053" spans="1:45" x14ac:dyDescent="0.25">
      <c r="A1053" t="s">
        <v>3379</v>
      </c>
      <c r="B1053" t="s">
        <v>3447</v>
      </c>
      <c r="C1053" s="1" t="s">
        <v>3448</v>
      </c>
      <c r="D1053" t="s">
        <v>3449</v>
      </c>
      <c r="E1053" t="str">
        <f>_xll.BDP($B1053,"LEGAL_ENTITY_IDENTIFIER")</f>
        <v>549300GMSP6MROFBI160</v>
      </c>
      <c r="F1053" t="s">
        <v>3449</v>
      </c>
      <c r="G1053" t="str">
        <f>custodian!D1053</f>
        <v>693282105</v>
      </c>
      <c r="H1053" t="str">
        <f>_xll.BDP($B1053,"ID_ISIN")</f>
        <v>US6932821050</v>
      </c>
      <c r="I1053" s="1" t="s">
        <v>3448</v>
      </c>
      <c r="J1053" t="str">
        <f>_xll.BDP($B1053,"CNTRY_OF_DOMICILE")</f>
        <v>US</v>
      </c>
      <c r="K1053" t="s">
        <v>98</v>
      </c>
      <c r="L1053" t="s">
        <v>99</v>
      </c>
      <c r="O1053" s="1"/>
      <c r="AQ1053" s="1"/>
      <c r="AR1053" s="1"/>
      <c r="AS1053" s="1"/>
    </row>
    <row r="1054" spans="1:45" x14ac:dyDescent="0.25">
      <c r="A1054" t="s">
        <v>3379</v>
      </c>
      <c r="B1054" t="s">
        <v>3450</v>
      </c>
      <c r="C1054" s="1" t="s">
        <v>3451</v>
      </c>
      <c r="D1054" t="s">
        <v>3452</v>
      </c>
      <c r="E1054" t="str">
        <f>_xll.BDP($B1054,"LEGAL_ENTITY_IDENTIFIER")</f>
        <v>549300OK5JVNIBNY6F63</v>
      </c>
      <c r="F1054" t="s">
        <v>3452</v>
      </c>
      <c r="G1054" t="str">
        <f>custodian!D1054</f>
        <v>719405102</v>
      </c>
      <c r="H1054" t="str">
        <f>_xll.BDP($B1054,"ID_ISIN")</f>
        <v>US7194051022</v>
      </c>
      <c r="I1054" s="1" t="s">
        <v>3451</v>
      </c>
      <c r="J1054" t="str">
        <f>_xll.BDP($B1054,"CNTRY_OF_DOMICILE")</f>
        <v>US</v>
      </c>
      <c r="K1054" t="s">
        <v>98</v>
      </c>
      <c r="L1054" t="s">
        <v>99</v>
      </c>
      <c r="O1054" s="1"/>
      <c r="AQ1054" s="1"/>
      <c r="AR1054" s="1"/>
      <c r="AS1054" s="1"/>
    </row>
    <row r="1055" spans="1:45" x14ac:dyDescent="0.25">
      <c r="A1055" t="s">
        <v>3379</v>
      </c>
      <c r="B1055" t="s">
        <v>3453</v>
      </c>
      <c r="C1055" s="1" t="s">
        <v>3454</v>
      </c>
      <c r="D1055" t="s">
        <v>3455</v>
      </c>
      <c r="E1055" t="str">
        <f>_xll.BDP($B1055,"LEGAL_ENTITY_IDENTIFIER")</f>
        <v>529900HTWKO62IAAQD05</v>
      </c>
      <c r="F1055" t="s">
        <v>3455</v>
      </c>
      <c r="G1055" t="str">
        <f>custodian!D1055</f>
        <v>73044W302</v>
      </c>
      <c r="H1055" t="str">
        <f>_xll.BDP($B1055,"ID_ISIN")</f>
        <v>CA73044W3021</v>
      </c>
      <c r="I1055" s="1" t="s">
        <v>3454</v>
      </c>
      <c r="J1055" t="str">
        <f>_xll.BDP($B1055,"CNTRY_OF_DOMICILE")</f>
        <v>CA</v>
      </c>
      <c r="K1055" t="s">
        <v>98</v>
      </c>
      <c r="L1055" t="s">
        <v>99</v>
      </c>
      <c r="O1055" s="1"/>
      <c r="AQ1055" s="1"/>
      <c r="AR1055" s="1"/>
      <c r="AS1055" s="1"/>
    </row>
    <row r="1056" spans="1:45" x14ac:dyDescent="0.25">
      <c r="A1056" t="s">
        <v>3379</v>
      </c>
      <c r="B1056" t="s">
        <v>594</v>
      </c>
      <c r="C1056" s="1" t="s">
        <v>595</v>
      </c>
      <c r="D1056" t="s">
        <v>596</v>
      </c>
      <c r="E1056" t="str">
        <f>_xll.BDP($B1056,"LEGAL_ENTITY_IDENTIFIER")</f>
        <v>549300VSMO9KYQWDND94</v>
      </c>
      <c r="F1056" t="s">
        <v>596</v>
      </c>
      <c r="G1056" t="str">
        <f>custodian!D1056</f>
        <v>879360105</v>
      </c>
      <c r="H1056" t="str">
        <f>_xll.BDP($B1056,"ID_ISIN")</f>
        <v>US8793601050</v>
      </c>
      <c r="I1056" s="1" t="s">
        <v>595</v>
      </c>
      <c r="J1056" t="str">
        <f>_xll.BDP($B1056,"CNTRY_OF_DOMICILE")</f>
        <v>US</v>
      </c>
      <c r="K1056" t="s">
        <v>98</v>
      </c>
      <c r="L1056" t="s">
        <v>99</v>
      </c>
      <c r="O1056" s="1"/>
      <c r="AQ1056" s="1"/>
      <c r="AR1056" s="1"/>
      <c r="AS1056" s="1"/>
    </row>
    <row r="1057" spans="1:45" x14ac:dyDescent="0.25">
      <c r="A1057" t="s">
        <v>3379</v>
      </c>
      <c r="B1057" t="s">
        <v>3456</v>
      </c>
      <c r="C1057" s="1" t="s">
        <v>3457</v>
      </c>
      <c r="D1057" t="s">
        <v>3458</v>
      </c>
      <c r="E1057" t="str">
        <f>_xll.BDP($B1057,"LEGAL_ENTITY_IDENTIFIER")</f>
        <v>54930086ZSNXZOUX0C54</v>
      </c>
      <c r="F1057" t="s">
        <v>3458</v>
      </c>
      <c r="G1057" t="str">
        <f>custodian!D1057</f>
        <v>M87915274</v>
      </c>
      <c r="H1057" t="str">
        <f>_xll.BDP($B1057,"ID_ISIN")</f>
        <v>IL0010823792</v>
      </c>
      <c r="I1057" s="1" t="s">
        <v>3457</v>
      </c>
      <c r="J1057" t="str">
        <f>_xll.BDP($B1057,"CNTRY_OF_DOMICILE")</f>
        <v>IL</v>
      </c>
      <c r="K1057" t="s">
        <v>98</v>
      </c>
      <c r="L1057" t="s">
        <v>99</v>
      </c>
      <c r="O1057" s="1"/>
      <c r="AQ1057" s="1"/>
      <c r="AR1057" s="1"/>
      <c r="AS1057" s="1"/>
    </row>
    <row r="1058" spans="1:45" x14ac:dyDescent="0.25">
      <c r="A1058" t="s">
        <v>3379</v>
      </c>
      <c r="B1058" t="s">
        <v>3459</v>
      </c>
      <c r="C1058" s="1" t="s">
        <v>3460</v>
      </c>
      <c r="D1058" t="s">
        <v>3461</v>
      </c>
      <c r="E1058" t="str">
        <f>_xll.BDP($B1058,"LEGAL_ENTITY_IDENTIFIER")</f>
        <v>549300KB6NK5SBD14S87</v>
      </c>
      <c r="F1058" t="s">
        <v>3462</v>
      </c>
      <c r="G1058" t="str">
        <f>custodian!D1058</f>
        <v>874039100</v>
      </c>
      <c r="H1058" t="str">
        <f>_xll.BDP($B1058,"ID_ISIN")</f>
        <v>US8740391003</v>
      </c>
      <c r="I1058" s="1" t="s">
        <v>3460</v>
      </c>
      <c r="J1058" t="str">
        <f>_xll.BDP($B1058,"CNTRY_OF_DOMICILE")</f>
        <v>TW</v>
      </c>
      <c r="K1058" t="s">
        <v>98</v>
      </c>
      <c r="L1058" t="s">
        <v>99</v>
      </c>
      <c r="O1058" s="1"/>
      <c r="AQ1058" s="1"/>
      <c r="AR1058" s="1"/>
      <c r="AS1058" s="1"/>
    </row>
    <row r="1059" spans="1:45" x14ac:dyDescent="0.25">
      <c r="A1059" t="s">
        <v>3379</v>
      </c>
      <c r="B1059" t="s">
        <v>3463</v>
      </c>
      <c r="C1059" s="1" t="s">
        <v>3464</v>
      </c>
      <c r="D1059" t="s">
        <v>3465</v>
      </c>
      <c r="E1059" t="str">
        <f>_xll.BDP($B1059,"LEGAL_ENTITY_IDENTIFIER")</f>
        <v>5493007L6LS7QX18PE75</v>
      </c>
      <c r="F1059" t="s">
        <v>3465</v>
      </c>
      <c r="G1059" t="str">
        <f>custodian!D1059</f>
        <v>90385V107</v>
      </c>
      <c r="H1059" t="str">
        <f>_xll.BDP($B1059,"ID_ISIN")</f>
        <v>US90385V1070</v>
      </c>
      <c r="I1059" s="1" t="s">
        <v>3464</v>
      </c>
      <c r="J1059" t="str">
        <f>_xll.BDP($B1059,"CNTRY_OF_DOMICILE")</f>
        <v>US</v>
      </c>
      <c r="K1059" t="s">
        <v>98</v>
      </c>
      <c r="L1059" t="s">
        <v>99</v>
      </c>
      <c r="O1059" s="1"/>
      <c r="AQ1059" s="1"/>
      <c r="AR1059" s="1"/>
      <c r="AS1059" s="1"/>
    </row>
    <row r="1060" spans="1:45" x14ac:dyDescent="0.25">
      <c r="A1060" t="s">
        <v>3379</v>
      </c>
      <c r="B1060" t="s">
        <v>3466</v>
      </c>
      <c r="C1060" s="1" t="s">
        <v>3467</v>
      </c>
      <c r="D1060" t="s">
        <v>3468</v>
      </c>
      <c r="E1060" t="str">
        <f>_xll.BDP($B1060,"LEGAL_ENTITY_IDENTIFIER")</f>
        <v>5493004201F72ADDZW04</v>
      </c>
      <c r="F1060" t="s">
        <v>3468</v>
      </c>
      <c r="G1060" t="str">
        <f>custodian!D1060</f>
        <v>922417100</v>
      </c>
      <c r="H1060" t="str">
        <f>_xll.BDP($B1060,"ID_ISIN")</f>
        <v>US9224171002</v>
      </c>
      <c r="I1060" s="1" t="s">
        <v>3467</v>
      </c>
      <c r="J1060" t="str">
        <f>_xll.BDP($B1060,"CNTRY_OF_DOMICILE")</f>
        <v>US</v>
      </c>
      <c r="K1060" t="s">
        <v>98</v>
      </c>
      <c r="L1060" t="s">
        <v>99</v>
      </c>
      <c r="O1060" s="1"/>
      <c r="AQ1060" s="1"/>
      <c r="AR1060" s="1"/>
      <c r="AS1060" s="1"/>
    </row>
    <row r="1061" spans="1:45" x14ac:dyDescent="0.25">
      <c r="A1061" t="s">
        <v>3379</v>
      </c>
      <c r="B1061" t="s">
        <v>3469</v>
      </c>
      <c r="C1061" s="1" t="s">
        <v>3470</v>
      </c>
      <c r="D1061" t="s">
        <v>3471</v>
      </c>
      <c r="E1061" t="str">
        <f>_xll.BDP($B1061,"LEGAL_ENTITY_IDENTIFIER")</f>
        <v>5493006K3E3N1QOBF092</v>
      </c>
      <c r="F1061" t="s">
        <v>3471</v>
      </c>
      <c r="G1061" t="str">
        <f>custodian!D1061</f>
        <v>925550105</v>
      </c>
      <c r="H1061" t="str">
        <f>_xll.BDP($B1061,"ID_ISIN")</f>
        <v>US9255501051</v>
      </c>
      <c r="I1061" s="1" t="s">
        <v>3470</v>
      </c>
      <c r="J1061" t="str">
        <f>_xll.BDP($B1061,"CNTRY_OF_DOMICILE")</f>
        <v>US</v>
      </c>
      <c r="K1061" t="s">
        <v>98</v>
      </c>
      <c r="L1061" t="s">
        <v>99</v>
      </c>
      <c r="O1061" s="1"/>
      <c r="AQ1061" s="1"/>
      <c r="AR1061" s="1"/>
      <c r="AS1061" s="1"/>
    </row>
    <row r="1062" spans="1:45" x14ac:dyDescent="0.25">
      <c r="A1062" t="s">
        <v>3379</v>
      </c>
      <c r="C1062" s="1" t="s">
        <v>52</v>
      </c>
      <c r="E1062" s="1"/>
      <c r="G1062" t="str">
        <f>custodian!D1062</f>
        <v>Cash&amp;Other</v>
      </c>
      <c r="H1062" s="1"/>
      <c r="I1062" s="1"/>
      <c r="O1062" s="1"/>
      <c r="AQ1062" s="1"/>
      <c r="AR1062" s="1"/>
      <c r="AS1062" s="1"/>
    </row>
    <row r="1063" spans="1:45" x14ac:dyDescent="0.25">
      <c r="A1063" t="s">
        <v>3472</v>
      </c>
      <c r="B1063" t="s">
        <v>3473</v>
      </c>
      <c r="C1063" s="1" t="s">
        <v>3474</v>
      </c>
      <c r="D1063" t="s">
        <v>56</v>
      </c>
      <c r="E1063" s="1" t="s">
        <v>56</v>
      </c>
      <c r="F1063" t="s">
        <v>3475</v>
      </c>
      <c r="G1063" t="str">
        <f>custodian!D1063</f>
        <v>218946663-TRS-07/07/27-L-CLST</v>
      </c>
      <c r="H1063" s="1"/>
      <c r="I1063" s="1" t="s">
        <v>3474</v>
      </c>
      <c r="J1063" t="s">
        <v>58</v>
      </c>
      <c r="K1063" t="s">
        <v>59</v>
      </c>
      <c r="L1063" t="s">
        <v>60</v>
      </c>
      <c r="M1063" t="s">
        <v>61</v>
      </c>
      <c r="N1063" t="s">
        <v>3372</v>
      </c>
      <c r="O1063" s="1" t="s">
        <v>3373</v>
      </c>
      <c r="V1063" t="s">
        <v>64</v>
      </c>
      <c r="Y1063" t="s">
        <v>65</v>
      </c>
      <c r="Z1063" t="s">
        <v>3374</v>
      </c>
      <c r="AA1063" t="s">
        <v>3476</v>
      </c>
      <c r="AB1063" t="s">
        <v>68</v>
      </c>
      <c r="AD1063" t="s">
        <v>3476</v>
      </c>
      <c r="AE1063" t="s">
        <v>3477</v>
      </c>
      <c r="AF1063" t="s">
        <v>70</v>
      </c>
      <c r="AG1063" t="s">
        <v>3478</v>
      </c>
      <c r="AH1063" t="s">
        <v>72</v>
      </c>
      <c r="AI1063" t="s">
        <v>73</v>
      </c>
      <c r="AK1063" t="s">
        <v>3476</v>
      </c>
      <c r="AL1063" t="s">
        <v>68</v>
      </c>
      <c r="AM1063" t="s">
        <v>74</v>
      </c>
      <c r="AN1063" t="s">
        <v>75</v>
      </c>
      <c r="AO1063" t="str">
        <f>_xll.BDP($B1063,"ISSUER")</f>
        <v>Corgi Lithography &amp; Semiconduc</v>
      </c>
      <c r="AP1063" t="str">
        <f>_xll.BDP($B1063,"NAME")</f>
        <v>CORGI LITHO &amp; SEMICOND PHOTO</v>
      </c>
      <c r="AQ1063" s="1" t="s">
        <v>3479</v>
      </c>
      <c r="AR1063" t="str">
        <f>_xll.BDP($B1063,"ID_ISIN")</f>
        <v>US2189466632</v>
      </c>
      <c r="AS1063" t="str">
        <f>_xll.BDP($B1063,"TICKER")</f>
        <v>EUV</v>
      </c>
    </row>
    <row r="1064" spans="1:45" x14ac:dyDescent="0.25">
      <c r="A1064" t="s">
        <v>3472</v>
      </c>
      <c r="B1064" t="s">
        <v>77</v>
      </c>
      <c r="C1064" s="1" t="s">
        <v>78</v>
      </c>
      <c r="D1064" t="s">
        <v>79</v>
      </c>
      <c r="E1064" t="str">
        <f>_xll.BDP($B1064,"LEGAL_ENTITY_IDENTIFIER")</f>
        <v>549300R5MYM6VZF1RM44</v>
      </c>
      <c r="F1064" t="s">
        <v>80</v>
      </c>
      <c r="G1064" t="str">
        <f>custodian!D1064</f>
        <v>31846V336</v>
      </c>
      <c r="H1064" t="str">
        <f>_xll.BDP($B1064,"ID_ISIN")</f>
        <v>US31846V3362</v>
      </c>
      <c r="I1064" s="1" t="s">
        <v>78</v>
      </c>
      <c r="J1064" t="str">
        <f>_xll.BDP($B1064,"CNTRY_OF_DOMICILE")</f>
        <v>US</v>
      </c>
      <c r="K1064" t="s">
        <v>81</v>
      </c>
      <c r="L1064" t="s">
        <v>82</v>
      </c>
      <c r="O1064" s="1"/>
      <c r="AQ1064" s="1"/>
      <c r="AR1064" s="1"/>
      <c r="AS1064" s="1"/>
    </row>
    <row r="1065" spans="1:45" x14ac:dyDescent="0.25">
      <c r="A1065" t="s">
        <v>3472</v>
      </c>
      <c r="C1065" s="1" t="s">
        <v>52</v>
      </c>
      <c r="E1065" s="1"/>
      <c r="G1065" t="str">
        <f>custodian!D1065</f>
        <v>Cash&amp;Other</v>
      </c>
      <c r="H1065" s="1"/>
      <c r="I1065" s="1"/>
      <c r="O1065" s="1"/>
      <c r="AQ1065" s="1"/>
      <c r="AR1065" s="1"/>
      <c r="AS1065" s="1"/>
    </row>
    <row r="1066" spans="1:45" x14ac:dyDescent="0.25">
      <c r="A1066" t="s">
        <v>3480</v>
      </c>
      <c r="B1066" t="s">
        <v>3481</v>
      </c>
      <c r="C1066" s="1" t="s">
        <v>3482</v>
      </c>
      <c r="D1066" t="s">
        <v>3483</v>
      </c>
      <c r="E1066" t="str">
        <f>_xll.BDP($B1066,"LEGAL_ENTITY_IDENTIFIER")</f>
        <v>#N/A N/A</v>
      </c>
      <c r="F1066" t="s">
        <v>3483</v>
      </c>
      <c r="G1066" t="str">
        <f>custodian!D1066</f>
        <v>00090Q103</v>
      </c>
      <c r="H1066" t="str">
        <f>_xll.BDP($B1066,"ID_ISIN")</f>
        <v>US00090Q1031</v>
      </c>
      <c r="I1066" s="1" t="s">
        <v>3482</v>
      </c>
      <c r="J1066" t="str">
        <f>_xll.BDP($B1066,"CNTRY_OF_DOMICILE")</f>
        <v>US</v>
      </c>
      <c r="K1066" t="s">
        <v>98</v>
      </c>
      <c r="L1066" t="s">
        <v>99</v>
      </c>
      <c r="O1066" s="1"/>
      <c r="AQ1066" s="1"/>
      <c r="AR1066" s="1"/>
      <c r="AS1066" s="1"/>
    </row>
    <row r="1067" spans="1:45" x14ac:dyDescent="0.25">
      <c r="A1067" t="s">
        <v>3480</v>
      </c>
      <c r="B1067" t="s">
        <v>3484</v>
      </c>
      <c r="C1067" s="1" t="s">
        <v>3485</v>
      </c>
      <c r="D1067" t="s">
        <v>3486</v>
      </c>
      <c r="E1067" t="str">
        <f>_xll.BDP($B1067,"LEGAL_ENTITY_IDENTIFIER")</f>
        <v>2549007NKEFPYEH4MF81</v>
      </c>
      <c r="F1067" t="s">
        <v>3486</v>
      </c>
      <c r="G1067" t="str">
        <f>custodian!D1067</f>
        <v>73931J109</v>
      </c>
      <c r="H1067" t="str">
        <f>_xll.BDP($B1067,"ID_ISIN")</f>
        <v>US73931J1097</v>
      </c>
      <c r="I1067" s="1" t="s">
        <v>3485</v>
      </c>
      <c r="J1067" t="str">
        <f>_xll.BDP($B1067,"CNTRY_OF_DOMICILE")</f>
        <v>US</v>
      </c>
      <c r="K1067" t="s">
        <v>98</v>
      </c>
      <c r="L1067" t="s">
        <v>99</v>
      </c>
      <c r="O1067" s="1"/>
      <c r="AQ1067" s="1"/>
      <c r="AR1067" s="1"/>
      <c r="AS1067" s="1"/>
    </row>
    <row r="1068" spans="1:45" x14ac:dyDescent="0.25">
      <c r="A1068" t="s">
        <v>3480</v>
      </c>
      <c r="B1068" t="s">
        <v>560</v>
      </c>
      <c r="C1068" s="1" t="s">
        <v>561</v>
      </c>
      <c r="D1068" t="s">
        <v>562</v>
      </c>
      <c r="E1068" t="str">
        <f>_xll.BDP($B1068,"LEGAL_ENTITY_IDENTIFIER")</f>
        <v>549300QP2IEEGFE16681</v>
      </c>
      <c r="F1068" t="s">
        <v>562</v>
      </c>
      <c r="G1068" t="str">
        <f>custodian!D1068</f>
        <v>05464C101</v>
      </c>
      <c r="H1068" t="str">
        <f>_xll.BDP($B1068,"ID_ISIN")</f>
        <v>US05464C1018</v>
      </c>
      <c r="I1068" s="1" t="s">
        <v>561</v>
      </c>
      <c r="J1068" t="str">
        <f>_xll.BDP($B1068,"CNTRY_OF_DOMICILE")</f>
        <v>US</v>
      </c>
      <c r="K1068" t="s">
        <v>98</v>
      </c>
      <c r="L1068" t="s">
        <v>99</v>
      </c>
      <c r="O1068" s="1"/>
      <c r="AQ1068" s="1"/>
      <c r="AR1068" s="1"/>
      <c r="AS1068" s="1"/>
    </row>
    <row r="1069" spans="1:45" x14ac:dyDescent="0.25">
      <c r="A1069" t="s">
        <v>3480</v>
      </c>
      <c r="B1069" t="s">
        <v>3487</v>
      </c>
      <c r="C1069" s="1" t="s">
        <v>3488</v>
      </c>
      <c r="D1069" t="s">
        <v>3489</v>
      </c>
      <c r="E1069" t="str">
        <f>_xll.BDP($B1069,"LEGAL_ENTITY_IDENTIFIER")</f>
        <v>529900JPV47PIUWMA015</v>
      </c>
      <c r="F1069" t="s">
        <v>3490</v>
      </c>
      <c r="G1069" t="str">
        <f>custodian!D1069</f>
        <v>099502106</v>
      </c>
      <c r="H1069" t="str">
        <f>_xll.BDP($B1069,"ID_ISIN")</f>
        <v>US0995021062</v>
      </c>
      <c r="I1069" s="1" t="s">
        <v>3488</v>
      </c>
      <c r="J1069" t="str">
        <f>_xll.BDP($B1069,"CNTRY_OF_DOMICILE")</f>
        <v>US</v>
      </c>
      <c r="K1069" t="s">
        <v>98</v>
      </c>
      <c r="L1069" t="s">
        <v>99</v>
      </c>
      <c r="O1069" s="1"/>
      <c r="AQ1069" s="1"/>
      <c r="AR1069" s="1"/>
      <c r="AS1069" s="1"/>
    </row>
    <row r="1070" spans="1:45" x14ac:dyDescent="0.25">
      <c r="A1070" t="s">
        <v>3480</v>
      </c>
      <c r="B1070" t="s">
        <v>3491</v>
      </c>
      <c r="C1070" s="1" t="s">
        <v>3492</v>
      </c>
      <c r="D1070" t="s">
        <v>3493</v>
      </c>
      <c r="E1070" t="str">
        <f>_xll.BDP($B1070,"LEGAL_ENTITY_IDENTIFIER")</f>
        <v>549300XGCF2ELN28CS63</v>
      </c>
      <c r="F1070" t="s">
        <v>3493</v>
      </c>
      <c r="G1070" t="str">
        <f>custodian!D1070</f>
        <v>08975B109</v>
      </c>
      <c r="H1070" t="str">
        <f>_xll.BDP($B1070,"ID_ISIN")</f>
        <v>US08975B1098</v>
      </c>
      <c r="I1070" s="1" t="s">
        <v>3492</v>
      </c>
      <c r="J1070" t="str">
        <f>_xll.BDP($B1070,"CNTRY_OF_DOMICILE")</f>
        <v>US</v>
      </c>
      <c r="K1070" t="s">
        <v>98</v>
      </c>
      <c r="L1070" t="s">
        <v>99</v>
      </c>
      <c r="O1070" s="1"/>
      <c r="AQ1070" s="1"/>
      <c r="AR1070" s="1"/>
      <c r="AS1070" s="1"/>
    </row>
    <row r="1071" spans="1:45" x14ac:dyDescent="0.25">
      <c r="A1071" t="s">
        <v>3480</v>
      </c>
      <c r="B1071" t="s">
        <v>3104</v>
      </c>
      <c r="C1071" s="1" t="s">
        <v>3105</v>
      </c>
      <c r="D1071" t="s">
        <v>3106</v>
      </c>
      <c r="E1071" t="str">
        <f>_xll.BDP($B1071,"LEGAL_ENTITY_IDENTIFIER")</f>
        <v>#N/A N/A</v>
      </c>
      <c r="F1071" t="s">
        <v>3106</v>
      </c>
      <c r="G1071" t="str">
        <f>custodian!D1071</f>
        <v>09263B207</v>
      </c>
      <c r="H1071" t="str">
        <f>_xll.BDP($B1071,"ID_ISIN")</f>
        <v>US09263B2079</v>
      </c>
      <c r="I1071" s="1" t="s">
        <v>3105</v>
      </c>
      <c r="J1071" t="str">
        <f>_xll.BDP($B1071,"CNTRY_OF_DOMICILE")</f>
        <v>US</v>
      </c>
      <c r="K1071" t="s">
        <v>98</v>
      </c>
      <c r="L1071" t="s">
        <v>99</v>
      </c>
      <c r="O1071" s="1"/>
      <c r="AQ1071" s="1"/>
      <c r="AR1071" s="1"/>
      <c r="AS1071" s="1"/>
    </row>
    <row r="1072" spans="1:45" x14ac:dyDescent="0.25">
      <c r="A1072" t="s">
        <v>3480</v>
      </c>
      <c r="B1072" t="s">
        <v>3494</v>
      </c>
      <c r="C1072" s="1" t="s">
        <v>3495</v>
      </c>
      <c r="D1072" t="s">
        <v>3496</v>
      </c>
      <c r="E1072" t="str">
        <f>_xll.BDP($B1072,"LEGAL_ENTITY_IDENTIFIER")</f>
        <v>SYRPI2D1O9WRTS2WX210</v>
      </c>
      <c r="F1072" t="s">
        <v>3496</v>
      </c>
      <c r="G1072" t="str">
        <f>custodian!D1072</f>
        <v>127190304</v>
      </c>
      <c r="H1072" t="str">
        <f>_xll.BDP($B1072,"ID_ISIN")</f>
        <v>US1271903049</v>
      </c>
      <c r="I1072" s="1" t="s">
        <v>3495</v>
      </c>
      <c r="J1072" t="str">
        <f>_xll.BDP($B1072,"CNTRY_OF_DOMICILE")</f>
        <v>US</v>
      </c>
      <c r="K1072" t="s">
        <v>98</v>
      </c>
      <c r="L1072" t="s">
        <v>99</v>
      </c>
      <c r="O1072" s="1"/>
      <c r="AQ1072" s="1"/>
      <c r="AR1072" s="1"/>
      <c r="AS1072" s="1"/>
    </row>
    <row r="1073" spans="1:45" x14ac:dyDescent="0.25">
      <c r="A1073" t="s">
        <v>3480</v>
      </c>
      <c r="B1073" t="s">
        <v>3497</v>
      </c>
      <c r="C1073" s="1" t="s">
        <v>3498</v>
      </c>
      <c r="D1073" t="s">
        <v>3499</v>
      </c>
      <c r="E1073" t="str">
        <f>_xll.BDP($B1073,"LEGAL_ENTITY_IDENTIFIER")</f>
        <v>2549006L803IRJC67B33</v>
      </c>
      <c r="F1073" t="s">
        <v>3499</v>
      </c>
      <c r="G1073" t="str">
        <f>custodian!D1073</f>
        <v>M25133105</v>
      </c>
      <c r="H1073" t="str">
        <f>_xll.BDP($B1073,"ID_ISIN")</f>
        <v>IL0011691438</v>
      </c>
      <c r="I1073" s="1" t="s">
        <v>3498</v>
      </c>
      <c r="J1073" t="str">
        <f>_xll.BDP($B1073,"CNTRY_OF_DOMICILE")</f>
        <v>IL</v>
      </c>
      <c r="K1073" t="s">
        <v>98</v>
      </c>
      <c r="L1073" t="s">
        <v>99</v>
      </c>
      <c r="O1073" s="1"/>
      <c r="AQ1073" s="1"/>
      <c r="AR1073" s="1"/>
      <c r="AS1073" s="1"/>
    </row>
    <row r="1074" spans="1:45" x14ac:dyDescent="0.25">
      <c r="A1074" t="s">
        <v>3480</v>
      </c>
      <c r="B1074" t="s">
        <v>3500</v>
      </c>
      <c r="C1074" s="1" t="s">
        <v>3501</v>
      </c>
      <c r="D1074" t="s">
        <v>3502</v>
      </c>
      <c r="E1074" t="str">
        <f>_xll.BDP($B1074,"LEGAL_ENTITY_IDENTIFIER")</f>
        <v>254900G03462YGP1IO36</v>
      </c>
      <c r="F1074" t="s">
        <v>3502</v>
      </c>
      <c r="G1074" t="str">
        <f>custodian!D1074</f>
        <v>M2197Q107</v>
      </c>
      <c r="H1074" t="str">
        <f>_xll.BDP($B1074,"ID_ISIN")</f>
        <v>IL0011794802</v>
      </c>
      <c r="I1074" s="1" t="s">
        <v>3501</v>
      </c>
      <c r="J1074" t="str">
        <f>_xll.BDP($B1074,"CNTRY_OF_DOMICILE")</f>
        <v>IL</v>
      </c>
      <c r="K1074" t="s">
        <v>98</v>
      </c>
      <c r="L1074" t="s">
        <v>99</v>
      </c>
      <c r="O1074" s="1"/>
      <c r="AQ1074" s="1"/>
      <c r="AR1074" s="1"/>
      <c r="AS1074" s="1"/>
    </row>
    <row r="1075" spans="1:45" x14ac:dyDescent="0.25">
      <c r="A1075" t="s">
        <v>3480</v>
      </c>
      <c r="B1075" t="s">
        <v>3503</v>
      </c>
      <c r="C1075" s="1" t="s">
        <v>3504</v>
      </c>
      <c r="D1075" t="s">
        <v>3505</v>
      </c>
      <c r="E1075" t="str">
        <f>_xll.BDP($B1075,"LEGAL_ENTITY_IDENTIFIER")</f>
        <v>549300F6JNO0KRPO1K63</v>
      </c>
      <c r="F1075" t="s">
        <v>3505</v>
      </c>
      <c r="G1075" t="str">
        <f>custodian!D1075</f>
        <v>23804L103</v>
      </c>
      <c r="H1075" t="str">
        <f>_xll.BDP($B1075,"ID_ISIN")</f>
        <v>US23804L1035</v>
      </c>
      <c r="I1075" s="1" t="s">
        <v>3504</v>
      </c>
      <c r="J1075" t="str">
        <f>_xll.BDP($B1075,"CNTRY_OF_DOMICILE")</f>
        <v>US</v>
      </c>
      <c r="K1075" t="s">
        <v>98</v>
      </c>
      <c r="L1075" t="s">
        <v>99</v>
      </c>
      <c r="O1075" s="1"/>
      <c r="AQ1075" s="1"/>
      <c r="AR1075" s="1"/>
      <c r="AS1075" s="1"/>
    </row>
    <row r="1076" spans="1:45" x14ac:dyDescent="0.25">
      <c r="A1076" t="s">
        <v>3480</v>
      </c>
      <c r="B1076" t="s">
        <v>3506</v>
      </c>
      <c r="C1076" s="1" t="s">
        <v>3507</v>
      </c>
      <c r="D1076" t="s">
        <v>3508</v>
      </c>
      <c r="E1076" t="str">
        <f>_xll.BDP($B1076,"LEGAL_ENTITY_IDENTIFIER")</f>
        <v>529900KG656HGROI4N27</v>
      </c>
      <c r="F1076" t="s">
        <v>3508</v>
      </c>
      <c r="G1076" t="str">
        <f>custodian!D1076</f>
        <v>253798102</v>
      </c>
      <c r="H1076" t="str">
        <f>_xll.BDP($B1076,"ID_ISIN")</f>
        <v>US2537981027</v>
      </c>
      <c r="I1076" s="1" t="s">
        <v>3507</v>
      </c>
      <c r="J1076" t="str">
        <f>_xll.BDP($B1076,"CNTRY_OF_DOMICILE")</f>
        <v>US</v>
      </c>
      <c r="K1076" t="s">
        <v>98</v>
      </c>
      <c r="L1076" t="s">
        <v>99</v>
      </c>
      <c r="O1076" s="1"/>
      <c r="AQ1076" s="1"/>
      <c r="AR1076" s="1"/>
      <c r="AS1076" s="1"/>
    </row>
    <row r="1077" spans="1:45" x14ac:dyDescent="0.25">
      <c r="A1077" t="s">
        <v>3480</v>
      </c>
      <c r="B1077" t="s">
        <v>3509</v>
      </c>
      <c r="C1077" s="1" t="s">
        <v>3510</v>
      </c>
      <c r="D1077" t="s">
        <v>3511</v>
      </c>
      <c r="E1077" t="str">
        <f>_xll.BDP($B1077,"LEGAL_ENTITY_IDENTIFIER")</f>
        <v>6488T0Z33CE9L61EX904</v>
      </c>
      <c r="F1077" t="s">
        <v>3511</v>
      </c>
      <c r="G1077" t="str">
        <f>custodian!D1077</f>
        <v>268150109</v>
      </c>
      <c r="H1077" t="str">
        <f>_xll.BDP($B1077,"ID_ISIN")</f>
        <v>US2681501092</v>
      </c>
      <c r="I1077" s="1" t="s">
        <v>3510</v>
      </c>
      <c r="J1077" t="str">
        <f>_xll.BDP($B1077,"CNTRY_OF_DOMICILE")</f>
        <v>US</v>
      </c>
      <c r="K1077" t="s">
        <v>98</v>
      </c>
      <c r="L1077" t="s">
        <v>99</v>
      </c>
      <c r="O1077" s="1"/>
      <c r="AQ1077" s="1"/>
      <c r="AR1077" s="1"/>
      <c r="AS1077" s="1"/>
    </row>
    <row r="1078" spans="1:45" x14ac:dyDescent="0.25">
      <c r="A1078" t="s">
        <v>3480</v>
      </c>
      <c r="B1078" t="s">
        <v>3512</v>
      </c>
      <c r="C1078" s="1" t="s">
        <v>3513</v>
      </c>
      <c r="D1078" t="s">
        <v>3514</v>
      </c>
      <c r="E1078" t="str">
        <f>_xll.BDP($B1078,"LEGAL_ENTITY_IDENTIFIER")</f>
        <v>2549003I48WHHH937I59</v>
      </c>
      <c r="F1078" t="s">
        <v>3514</v>
      </c>
      <c r="G1078" t="str">
        <f>custodian!D1078</f>
        <v>N14506104</v>
      </c>
      <c r="H1078" t="str">
        <f>_xll.BDP($B1078,"ID_ISIN")</f>
        <v>NL0013056914</v>
      </c>
      <c r="I1078" s="1" t="s">
        <v>3513</v>
      </c>
      <c r="J1078" t="str">
        <f>_xll.BDP($B1078,"CNTRY_OF_DOMICILE")</f>
        <v>US</v>
      </c>
      <c r="K1078" t="s">
        <v>98</v>
      </c>
      <c r="L1078" t="s">
        <v>99</v>
      </c>
      <c r="O1078" s="1"/>
      <c r="AQ1078" s="1"/>
      <c r="AR1078" s="1"/>
      <c r="AS1078" s="1"/>
    </row>
    <row r="1079" spans="1:45" x14ac:dyDescent="0.25">
      <c r="A1079" t="s">
        <v>3480</v>
      </c>
      <c r="B1079" t="s">
        <v>77</v>
      </c>
      <c r="C1079" s="1" t="s">
        <v>78</v>
      </c>
      <c r="D1079" t="s">
        <v>79</v>
      </c>
      <c r="E1079" t="str">
        <f>_xll.BDP($B1079,"LEGAL_ENTITY_IDENTIFIER")</f>
        <v>549300R5MYM6VZF1RM44</v>
      </c>
      <c r="F1079" t="s">
        <v>80</v>
      </c>
      <c r="G1079" t="str">
        <f>custodian!D1079</f>
        <v>31846V336</v>
      </c>
      <c r="H1079" t="str">
        <f>_xll.BDP($B1079,"ID_ISIN")</f>
        <v>US31846V3362</v>
      </c>
      <c r="I1079" s="1" t="s">
        <v>78</v>
      </c>
      <c r="J1079" t="str">
        <f>_xll.BDP($B1079,"CNTRY_OF_DOMICILE")</f>
        <v>US</v>
      </c>
      <c r="K1079" t="s">
        <v>81</v>
      </c>
      <c r="L1079" t="s">
        <v>82</v>
      </c>
      <c r="O1079" s="1"/>
      <c r="AQ1079" s="1"/>
      <c r="AR1079" s="1"/>
      <c r="AS1079" s="1"/>
    </row>
    <row r="1080" spans="1:45" x14ac:dyDescent="0.25">
      <c r="A1080" t="s">
        <v>3480</v>
      </c>
      <c r="B1080" t="s">
        <v>3515</v>
      </c>
      <c r="C1080" s="1" t="s">
        <v>3516</v>
      </c>
      <c r="D1080" t="s">
        <v>3517</v>
      </c>
      <c r="E1080" t="str">
        <f>_xll.BDP($B1080,"LEGAL_ENTITY_IDENTIFIER")</f>
        <v>5299008KH3C585Z0DS77</v>
      </c>
      <c r="F1080" t="s">
        <v>3517</v>
      </c>
      <c r="G1080" t="str">
        <f>custodian!D1080</f>
        <v>45170X205</v>
      </c>
      <c r="H1080" t="str">
        <f>_xll.BDP($B1080,"ID_ISIN")</f>
        <v>US45170X2053</v>
      </c>
      <c r="I1080" s="1" t="s">
        <v>3516</v>
      </c>
      <c r="J1080" t="str">
        <f>_xll.BDP($B1080,"CNTRY_OF_DOMICILE")</f>
        <v>US</v>
      </c>
      <c r="K1080" t="s">
        <v>98</v>
      </c>
      <c r="L1080" t="s">
        <v>99</v>
      </c>
      <c r="O1080" s="1"/>
      <c r="AQ1080" s="1"/>
      <c r="AR1080" s="1"/>
      <c r="AS1080" s="1"/>
    </row>
    <row r="1081" spans="1:45" x14ac:dyDescent="0.25">
      <c r="A1081" t="s">
        <v>3480</v>
      </c>
      <c r="B1081" t="s">
        <v>295</v>
      </c>
      <c r="C1081" s="1" t="s">
        <v>296</v>
      </c>
      <c r="D1081" t="s">
        <v>297</v>
      </c>
      <c r="E1081" t="str">
        <f>_xll.BDP($B1081,"LEGAL_ENTITY_IDENTIFIER")</f>
        <v>529900IE80DQBIFK3M88</v>
      </c>
      <c r="F1081" t="s">
        <v>297</v>
      </c>
      <c r="G1081" t="str">
        <f>custodian!D1081</f>
        <v>79589L106</v>
      </c>
      <c r="H1081" t="str">
        <f>_xll.BDP($B1081,"ID_ISIN")</f>
        <v>US79589L1061</v>
      </c>
      <c r="I1081" s="1" t="s">
        <v>296</v>
      </c>
      <c r="J1081" t="str">
        <f>_xll.BDP($B1081,"CNTRY_OF_DOMICILE")</f>
        <v>US</v>
      </c>
      <c r="K1081" t="s">
        <v>98</v>
      </c>
      <c r="L1081" t="s">
        <v>99</v>
      </c>
      <c r="O1081" s="1"/>
      <c r="AQ1081" s="1"/>
      <c r="AR1081" s="1"/>
      <c r="AS1081" s="1"/>
    </row>
    <row r="1082" spans="1:45" x14ac:dyDescent="0.25">
      <c r="A1082" t="s">
        <v>3480</v>
      </c>
      <c r="B1082" t="s">
        <v>3518</v>
      </c>
      <c r="C1082" s="1" t="s">
        <v>3519</v>
      </c>
      <c r="D1082" t="s">
        <v>3520</v>
      </c>
      <c r="E1082" t="str">
        <f>_xll.BDP($B1082,"LEGAL_ENTITY_IDENTIFIER")</f>
        <v>549300IUTGTP6EJP8124</v>
      </c>
      <c r="F1082" t="s">
        <v>3520</v>
      </c>
      <c r="G1082" t="str">
        <f>custodian!D1082</f>
        <v>525327102</v>
      </c>
      <c r="H1082" t="str">
        <f>_xll.BDP($B1082,"ID_ISIN")</f>
        <v>US5253271028</v>
      </c>
      <c r="I1082" s="1" t="s">
        <v>3519</v>
      </c>
      <c r="J1082" t="str">
        <f>_xll.BDP($B1082,"CNTRY_OF_DOMICILE")</f>
        <v>US</v>
      </c>
      <c r="K1082" t="s">
        <v>98</v>
      </c>
      <c r="L1082" t="s">
        <v>99</v>
      </c>
      <c r="O1082" s="1"/>
      <c r="AQ1082" s="1"/>
      <c r="AR1082" s="1"/>
      <c r="AS1082" s="1"/>
    </row>
    <row r="1083" spans="1:45" x14ac:dyDescent="0.25">
      <c r="A1083" t="s">
        <v>3480</v>
      </c>
      <c r="B1083" t="s">
        <v>579</v>
      </c>
      <c r="C1083" s="1" t="s">
        <v>580</v>
      </c>
      <c r="D1083" t="s">
        <v>581</v>
      </c>
      <c r="E1083" t="str">
        <f>_xll.BDP($B1083,"LEGAL_ENTITY_IDENTIFIER")</f>
        <v>549300UTE50ZMDBG8A20</v>
      </c>
      <c r="F1083" t="s">
        <v>581</v>
      </c>
      <c r="G1083" t="str">
        <f>custodian!D1083</f>
        <v>502431109</v>
      </c>
      <c r="H1083" t="str">
        <f>_xll.BDP($B1083,"ID_ISIN")</f>
        <v>US5024311095</v>
      </c>
      <c r="I1083" s="1" t="s">
        <v>580</v>
      </c>
      <c r="J1083" t="str">
        <f>_xll.BDP($B1083,"CNTRY_OF_DOMICILE")</f>
        <v>US</v>
      </c>
      <c r="K1083" t="s">
        <v>98</v>
      </c>
      <c r="L1083" t="s">
        <v>99</v>
      </c>
      <c r="O1083" s="1"/>
      <c r="AQ1083" s="1"/>
      <c r="AR1083" s="1"/>
      <c r="AS1083" s="1"/>
    </row>
    <row r="1084" spans="1:45" x14ac:dyDescent="0.25">
      <c r="A1084" t="s">
        <v>3480</v>
      </c>
      <c r="B1084" t="s">
        <v>3521</v>
      </c>
      <c r="C1084" s="1" t="s">
        <v>3522</v>
      </c>
      <c r="D1084" t="s">
        <v>3523</v>
      </c>
      <c r="E1084" t="str">
        <f>_xll.BDP($B1084,"LEGAL_ENTITY_IDENTIFIER")</f>
        <v>549300ABZAQ3R25XG118</v>
      </c>
      <c r="F1084" t="s">
        <v>3523</v>
      </c>
      <c r="G1084" t="str">
        <f>custodian!D1084</f>
        <v>606710200</v>
      </c>
      <c r="H1084" t="str">
        <f>_xll.BDP($B1084,"ID_ISIN")</f>
        <v>US6067102003</v>
      </c>
      <c r="I1084" s="1" t="s">
        <v>3522</v>
      </c>
      <c r="J1084" t="str">
        <f>_xll.BDP($B1084,"CNTRY_OF_DOMICILE")</f>
        <v>US</v>
      </c>
      <c r="K1084" t="s">
        <v>98</v>
      </c>
      <c r="L1084" t="s">
        <v>99</v>
      </c>
      <c r="O1084" s="1"/>
      <c r="AQ1084" s="1"/>
      <c r="AR1084" s="1"/>
      <c r="AS1084" s="1"/>
    </row>
    <row r="1085" spans="1:45" x14ac:dyDescent="0.25">
      <c r="A1085" t="s">
        <v>3480</v>
      </c>
      <c r="B1085" t="s">
        <v>3524</v>
      </c>
      <c r="C1085" s="1" t="s">
        <v>3525</v>
      </c>
      <c r="D1085" t="s">
        <v>3526</v>
      </c>
      <c r="E1085" t="str">
        <f>_xll.BDP($B1085,"LEGAL_ENTITY_IDENTIFIER")</f>
        <v>6S552MUG6KGJVEBSEC55</v>
      </c>
      <c r="F1085" t="s">
        <v>3526</v>
      </c>
      <c r="G1085" t="str">
        <f>custodian!D1085</f>
        <v>620076307</v>
      </c>
      <c r="H1085" t="str">
        <f>_xll.BDP($B1085,"ID_ISIN")</f>
        <v>US6200763075</v>
      </c>
      <c r="I1085" s="1" t="s">
        <v>3525</v>
      </c>
      <c r="J1085" t="str">
        <f>_xll.BDP($B1085,"CNTRY_OF_DOMICILE")</f>
        <v>US</v>
      </c>
      <c r="K1085" t="s">
        <v>98</v>
      </c>
      <c r="L1085" t="s">
        <v>99</v>
      </c>
      <c r="O1085" s="1"/>
      <c r="AQ1085" s="1"/>
      <c r="AR1085" s="1"/>
      <c r="AS1085" s="1"/>
    </row>
    <row r="1086" spans="1:45" x14ac:dyDescent="0.25">
      <c r="A1086" t="s">
        <v>3480</v>
      </c>
      <c r="B1086" t="s">
        <v>3527</v>
      </c>
      <c r="C1086" s="1" t="s">
        <v>3528</v>
      </c>
      <c r="D1086" t="s">
        <v>3529</v>
      </c>
      <c r="E1086" t="str">
        <f>_xll.BDP($B1086,"LEGAL_ENTITY_IDENTIFIER")</f>
        <v>529900Z0P0XAM4O3H416</v>
      </c>
      <c r="F1086" t="s">
        <v>3529</v>
      </c>
      <c r="G1086" t="str">
        <f>custodian!D1086</f>
        <v>G63755105</v>
      </c>
      <c r="H1086" t="str">
        <f>_xll.BDP($B1086,"ID_ISIN")</f>
        <v>IE000JMT8VI3</v>
      </c>
      <c r="I1086" s="1" t="s">
        <v>3528</v>
      </c>
      <c r="J1086" t="str">
        <f>_xll.BDP($B1086,"CNTRY_OF_DOMICILE")</f>
        <v>US</v>
      </c>
      <c r="K1086" t="s">
        <v>98</v>
      </c>
      <c r="L1086" t="s">
        <v>99</v>
      </c>
      <c r="O1086" s="1"/>
      <c r="AQ1086" s="1"/>
      <c r="AR1086" s="1"/>
      <c r="AS1086" s="1"/>
    </row>
    <row r="1087" spans="1:45" x14ac:dyDescent="0.25">
      <c r="A1087" t="s">
        <v>3480</v>
      </c>
      <c r="B1087" t="s">
        <v>3530</v>
      </c>
      <c r="C1087" s="1" t="s">
        <v>3531</v>
      </c>
      <c r="D1087" t="s">
        <v>3532</v>
      </c>
      <c r="E1087" t="str">
        <f>_xll.BDP($B1087,"LEGAL_ENTITY_IDENTIFIER")</f>
        <v>DDX3MPX1Y8YD30050X33</v>
      </c>
      <c r="F1087" t="s">
        <v>3532</v>
      </c>
      <c r="G1087" t="str">
        <f>custodian!D1087</f>
        <v>671044105</v>
      </c>
      <c r="H1087" t="str">
        <f>_xll.BDP($B1087,"ID_ISIN")</f>
        <v>US6710441055</v>
      </c>
      <c r="I1087" s="1" t="s">
        <v>3531</v>
      </c>
      <c r="J1087" t="str">
        <f>_xll.BDP($B1087,"CNTRY_OF_DOMICILE")</f>
        <v>US</v>
      </c>
      <c r="K1087" t="s">
        <v>98</v>
      </c>
      <c r="L1087" t="s">
        <v>99</v>
      </c>
      <c r="O1087" s="1"/>
      <c r="AQ1087" s="1"/>
      <c r="AR1087" s="1"/>
      <c r="AS1087" s="1"/>
    </row>
    <row r="1088" spans="1:45" x14ac:dyDescent="0.25">
      <c r="A1088" t="s">
        <v>3480</v>
      </c>
      <c r="B1088" t="s">
        <v>3533</v>
      </c>
      <c r="C1088" s="1" t="s">
        <v>3534</v>
      </c>
      <c r="D1088" t="s">
        <v>3535</v>
      </c>
      <c r="E1088" t="str">
        <f>_xll.BDP($B1088,"LEGAL_ENTITY_IDENTIFIER")</f>
        <v>549300M26VGKSMMWWN17</v>
      </c>
      <c r="F1088" t="s">
        <v>3535</v>
      </c>
      <c r="G1088" t="str">
        <f>custodian!D1088</f>
        <v>453204109</v>
      </c>
      <c r="H1088" t="str">
        <f>_xll.BDP($B1088,"ID_ISIN")</f>
        <v>US4532041096</v>
      </c>
      <c r="I1088" s="1" t="s">
        <v>3534</v>
      </c>
      <c r="J1088" t="str">
        <f>_xll.BDP($B1088,"CNTRY_OF_DOMICILE")</f>
        <v>US</v>
      </c>
      <c r="K1088" t="s">
        <v>98</v>
      </c>
      <c r="L1088" t="s">
        <v>99</v>
      </c>
      <c r="O1088" s="1"/>
      <c r="AQ1088" s="1"/>
      <c r="AR1088" s="1"/>
      <c r="AS1088" s="1"/>
    </row>
    <row r="1089" spans="1:45" x14ac:dyDescent="0.25">
      <c r="A1089" t="s">
        <v>3480</v>
      </c>
      <c r="B1089" t="s">
        <v>3147</v>
      </c>
      <c r="C1089" s="1" t="s">
        <v>3148</v>
      </c>
      <c r="D1089" t="s">
        <v>3149</v>
      </c>
      <c r="E1089" t="str">
        <f>_xll.BDP($B1089,"LEGAL_ENTITY_IDENTIFIER")</f>
        <v>254900Q7PVI3HTQBRB44</v>
      </c>
      <c r="F1089" t="s">
        <v>3149</v>
      </c>
      <c r="G1089" t="str">
        <f>custodian!D1089</f>
        <v>72703X106</v>
      </c>
      <c r="H1089" t="str">
        <f>_xll.BDP($B1089,"ID_ISIN")</f>
        <v>US72703X1063</v>
      </c>
      <c r="I1089" s="1" t="s">
        <v>3148</v>
      </c>
      <c r="J1089" t="str">
        <f>_xll.BDP($B1089,"CNTRY_OF_DOMICILE")</f>
        <v>US</v>
      </c>
      <c r="K1089" t="s">
        <v>98</v>
      </c>
      <c r="L1089" t="s">
        <v>99</v>
      </c>
      <c r="O1089" s="1"/>
      <c r="AQ1089" s="1"/>
      <c r="AR1089" s="1"/>
      <c r="AS1089" s="1"/>
    </row>
    <row r="1090" spans="1:45" x14ac:dyDescent="0.25">
      <c r="A1090" t="s">
        <v>3480</v>
      </c>
      <c r="B1090" t="s">
        <v>3536</v>
      </c>
      <c r="C1090" s="1" t="s">
        <v>3537</v>
      </c>
      <c r="D1090" t="s">
        <v>3538</v>
      </c>
      <c r="E1090" t="str">
        <f>_xll.BDP($B1090,"LEGAL_ENTITY_IDENTIFIER")</f>
        <v>549300UVN46B3BBDHO85</v>
      </c>
      <c r="F1090" t="s">
        <v>3538</v>
      </c>
      <c r="G1090" t="str">
        <f>custodian!D1090</f>
        <v>69608A108</v>
      </c>
      <c r="H1090" t="str">
        <f>_xll.BDP($B1090,"ID_ISIN")</f>
        <v>US69608A1088</v>
      </c>
      <c r="I1090" s="1" t="s">
        <v>3537</v>
      </c>
      <c r="J1090" t="str">
        <f>_xll.BDP($B1090,"CNTRY_OF_DOMICILE")</f>
        <v>US</v>
      </c>
      <c r="K1090" t="s">
        <v>98</v>
      </c>
      <c r="L1090" t="s">
        <v>99</v>
      </c>
      <c r="O1090" s="1"/>
      <c r="AQ1090" s="1"/>
      <c r="AR1090" s="1"/>
      <c r="AS1090" s="1"/>
    </row>
    <row r="1091" spans="1:45" x14ac:dyDescent="0.25">
      <c r="A1091" t="s">
        <v>3480</v>
      </c>
      <c r="B1091" t="s">
        <v>3539</v>
      </c>
      <c r="C1091" s="1" t="s">
        <v>3540</v>
      </c>
      <c r="D1091" t="s">
        <v>3541</v>
      </c>
      <c r="E1091" t="str">
        <f>_xll.BDP($B1091,"LEGAL_ENTITY_IDENTIFIER")</f>
        <v>894500GU19M0O0BYWM49</v>
      </c>
      <c r="F1091" t="s">
        <v>3541</v>
      </c>
      <c r="G1091" t="str">
        <f>custodian!D1091</f>
        <v>M8216R109</v>
      </c>
      <c r="H1091" t="str">
        <f>_xll.BDP($B1091,"ID_ISIN")</f>
        <v>IL0011786493</v>
      </c>
      <c r="I1091" s="1" t="s">
        <v>3540</v>
      </c>
      <c r="J1091" t="str">
        <f>_xll.BDP($B1091,"CNTRY_OF_DOMICILE")</f>
        <v>IL</v>
      </c>
      <c r="K1091" t="s">
        <v>98</v>
      </c>
      <c r="L1091" t="s">
        <v>99</v>
      </c>
      <c r="O1091" s="1"/>
      <c r="AQ1091" s="1"/>
      <c r="AR1091" s="1"/>
      <c r="AS1091" s="1"/>
    </row>
    <row r="1092" spans="1:45" x14ac:dyDescent="0.25">
      <c r="A1092" t="s">
        <v>3480</v>
      </c>
      <c r="B1092" t="s">
        <v>3542</v>
      </c>
      <c r="C1092" s="1" t="s">
        <v>3543</v>
      </c>
      <c r="D1092" t="s">
        <v>3544</v>
      </c>
      <c r="E1092" t="str">
        <f>_xll.BDP($B1092,"LEGAL_ENTITY_IDENTIFIER")</f>
        <v>529900IRT8OM8CEOPC03</v>
      </c>
      <c r="F1092" t="s">
        <v>3544</v>
      </c>
      <c r="G1092" t="str">
        <f>custodian!D1092</f>
        <v>78781J109</v>
      </c>
      <c r="H1092" t="str">
        <f>_xll.BDP($B1092,"ID_ISIN")</f>
        <v>US78781J1097</v>
      </c>
      <c r="I1092" s="1" t="s">
        <v>3543</v>
      </c>
      <c r="J1092" t="str">
        <f>_xll.BDP($B1092,"CNTRY_OF_DOMICILE")</f>
        <v>US</v>
      </c>
      <c r="K1092" t="s">
        <v>98</v>
      </c>
      <c r="L1092" t="s">
        <v>99</v>
      </c>
      <c r="O1092" s="1"/>
      <c r="AQ1092" s="1"/>
      <c r="AR1092" s="1"/>
      <c r="AS1092" s="1"/>
    </row>
    <row r="1093" spans="1:45" x14ac:dyDescent="0.25">
      <c r="A1093" t="s">
        <v>3480</v>
      </c>
      <c r="B1093" t="s">
        <v>3156</v>
      </c>
      <c r="C1093" s="1" t="s">
        <v>3157</v>
      </c>
      <c r="D1093" t="s">
        <v>3158</v>
      </c>
      <c r="E1093" t="str">
        <f>_xll.BDP($B1093,"LEGAL_ENTITY_IDENTIFIER")</f>
        <v>5299009D26BMHHTAHA11</v>
      </c>
      <c r="F1093" t="s">
        <v>3158</v>
      </c>
      <c r="G1093" t="str">
        <f>custodian!D1093</f>
        <v>80401C100</v>
      </c>
      <c r="H1093" t="str">
        <f>_xll.BDP($B1093,"ID_ISIN")</f>
        <v>US80401C1009</v>
      </c>
      <c r="I1093" s="1" t="s">
        <v>3157</v>
      </c>
      <c r="J1093" t="str">
        <f>_xll.BDP($B1093,"CNTRY_OF_DOMICILE")</f>
        <v>US</v>
      </c>
      <c r="K1093" t="s">
        <v>98</v>
      </c>
      <c r="L1093" t="s">
        <v>99</v>
      </c>
      <c r="O1093" s="1"/>
      <c r="AQ1093" s="1"/>
      <c r="AR1093" s="1"/>
      <c r="AS1093" s="1"/>
    </row>
    <row r="1094" spans="1:45" x14ac:dyDescent="0.25">
      <c r="A1094" t="s">
        <v>3480</v>
      </c>
      <c r="B1094" t="s">
        <v>3168</v>
      </c>
      <c r="C1094" s="1" t="s">
        <v>3169</v>
      </c>
      <c r="D1094" t="s">
        <v>3170</v>
      </c>
      <c r="E1094" t="str">
        <f>_xll.BDP($B1094,"LEGAL_ENTITY_IDENTIFIER")</f>
        <v>549300EZFBLFFHJ5MF06</v>
      </c>
      <c r="F1094" t="s">
        <v>3170</v>
      </c>
      <c r="G1094" t="str">
        <f>custodian!D1094</f>
        <v>848560306</v>
      </c>
      <c r="H1094" t="str">
        <f>_xll.BDP($B1094,"ID_ISIN")</f>
        <v>US8485603067</v>
      </c>
      <c r="I1094" s="1" t="s">
        <v>3169</v>
      </c>
      <c r="J1094" t="str">
        <f>_xll.BDP($B1094,"CNTRY_OF_DOMICILE")</f>
        <v>US</v>
      </c>
      <c r="K1094" t="s">
        <v>98</v>
      </c>
      <c r="L1094" t="s">
        <v>99</v>
      </c>
      <c r="O1094" s="1"/>
      <c r="AQ1094" s="1"/>
      <c r="AR1094" s="1"/>
      <c r="AS1094" s="1"/>
    </row>
    <row r="1095" spans="1:45" x14ac:dyDescent="0.25">
      <c r="A1095" t="s">
        <v>3480</v>
      </c>
      <c r="B1095" t="s">
        <v>594</v>
      </c>
      <c r="C1095" s="1" t="s">
        <v>595</v>
      </c>
      <c r="D1095" t="s">
        <v>596</v>
      </c>
      <c r="E1095" t="str">
        <f>_xll.BDP($B1095,"LEGAL_ENTITY_IDENTIFIER")</f>
        <v>549300VSMO9KYQWDND94</v>
      </c>
      <c r="F1095" t="s">
        <v>596</v>
      </c>
      <c r="G1095" t="str">
        <f>custodian!D1095</f>
        <v>879360105</v>
      </c>
      <c r="H1095" t="str">
        <f>_xll.BDP($B1095,"ID_ISIN")</f>
        <v>US8793601050</v>
      </c>
      <c r="I1095" s="1" t="s">
        <v>595</v>
      </c>
      <c r="J1095" t="str">
        <f>_xll.BDP($B1095,"CNTRY_OF_DOMICILE")</f>
        <v>US</v>
      </c>
      <c r="K1095" t="s">
        <v>98</v>
      </c>
      <c r="L1095" t="s">
        <v>99</v>
      </c>
      <c r="O1095" s="1"/>
      <c r="AQ1095" s="1"/>
      <c r="AR1095" s="1"/>
      <c r="AS1095" s="1"/>
    </row>
    <row r="1096" spans="1:45" x14ac:dyDescent="0.25">
      <c r="A1096" t="s">
        <v>3480</v>
      </c>
      <c r="B1096" t="s">
        <v>597</v>
      </c>
      <c r="C1096" s="1" t="s">
        <v>598</v>
      </c>
      <c r="D1096" t="s">
        <v>599</v>
      </c>
      <c r="E1096" t="str">
        <f>_xll.BDP($B1096,"LEGAL_ENTITY_IDENTIFIER")</f>
        <v>549300E2MI7NSZFQWS19</v>
      </c>
      <c r="F1096" t="s">
        <v>599</v>
      </c>
      <c r="G1096" t="str">
        <f>custodian!D1096</f>
        <v>896239100</v>
      </c>
      <c r="H1096" t="str">
        <f>_xll.BDP($B1096,"ID_ISIN")</f>
        <v>US8962391004</v>
      </c>
      <c r="I1096" s="1" t="s">
        <v>598</v>
      </c>
      <c r="J1096" t="str">
        <f>_xll.BDP($B1096,"CNTRY_OF_DOMICILE")</f>
        <v>US</v>
      </c>
      <c r="K1096" t="s">
        <v>98</v>
      </c>
      <c r="L1096" t="s">
        <v>99</v>
      </c>
      <c r="O1096" s="1"/>
      <c r="AQ1096" s="1"/>
      <c r="AR1096" s="1"/>
      <c r="AS1096" s="1"/>
    </row>
    <row r="1097" spans="1:45" x14ac:dyDescent="0.25">
      <c r="A1097" t="s">
        <v>3480</v>
      </c>
      <c r="B1097" t="s">
        <v>3545</v>
      </c>
      <c r="C1097" s="1" t="s">
        <v>3546</v>
      </c>
      <c r="D1097" t="s">
        <v>3547</v>
      </c>
      <c r="E1097" t="str">
        <f>_xll.BDP($B1097,"LEGAL_ENTITY_IDENTIFIER")</f>
        <v>25490040SMU4Z8LBCW70</v>
      </c>
      <c r="F1097" t="s">
        <v>3547</v>
      </c>
      <c r="G1097" t="str">
        <f>custodian!D1097</f>
        <v>902252105</v>
      </c>
      <c r="H1097" t="str">
        <f>_xll.BDP($B1097,"ID_ISIN")</f>
        <v>US9022521051</v>
      </c>
      <c r="I1097" s="1" t="s">
        <v>3546</v>
      </c>
      <c r="J1097" t="str">
        <f>_xll.BDP($B1097,"CNTRY_OF_DOMICILE")</f>
        <v>US</v>
      </c>
      <c r="K1097" t="s">
        <v>98</v>
      </c>
      <c r="L1097" t="s">
        <v>99</v>
      </c>
      <c r="O1097" s="1"/>
      <c r="AQ1097" s="1"/>
      <c r="AR1097" s="1"/>
      <c r="AS1097" s="1"/>
    </row>
    <row r="1098" spans="1:45" x14ac:dyDescent="0.25">
      <c r="A1098" t="s">
        <v>3480</v>
      </c>
      <c r="B1098" t="s">
        <v>3548</v>
      </c>
      <c r="C1098" s="1" t="s">
        <v>3549</v>
      </c>
      <c r="D1098" t="s">
        <v>3550</v>
      </c>
      <c r="E1098" t="str">
        <f>_xll.BDP($B1098,"LEGAL_ENTITY_IDENTIFIER")</f>
        <v>549300SHIVNRRH7STS26</v>
      </c>
      <c r="F1098" t="s">
        <v>3550</v>
      </c>
      <c r="G1098" t="str">
        <f>custodian!D1098</f>
        <v>922280102</v>
      </c>
      <c r="H1098" t="str">
        <f>_xll.BDP($B1098,"ID_ISIN")</f>
        <v>US9222801022</v>
      </c>
      <c r="I1098" s="1" t="s">
        <v>3549</v>
      </c>
      <c r="J1098" t="str">
        <f>_xll.BDP($B1098,"CNTRY_OF_DOMICILE")</f>
        <v>US</v>
      </c>
      <c r="K1098" t="s">
        <v>98</v>
      </c>
      <c r="L1098" t="s">
        <v>99</v>
      </c>
      <c r="O1098" s="1"/>
      <c r="AQ1098" s="1"/>
      <c r="AR1098" s="1"/>
      <c r="AS1098" s="1"/>
    </row>
    <row r="1099" spans="1:45" x14ac:dyDescent="0.25">
      <c r="A1099" t="s">
        <v>3480</v>
      </c>
      <c r="B1099" t="s">
        <v>3551</v>
      </c>
      <c r="C1099" s="1" t="s">
        <v>3552</v>
      </c>
      <c r="D1099" t="s">
        <v>3553</v>
      </c>
      <c r="E1099" t="str">
        <f>_xll.BDP($B1099,"LEGAL_ENTITY_IDENTIFIER")</f>
        <v>#N/A N/A</v>
      </c>
      <c r="F1099" t="s">
        <v>3553</v>
      </c>
      <c r="G1099" t="str">
        <f>custodian!D1099</f>
        <v>18467V109</v>
      </c>
      <c r="H1099" t="str">
        <f>_xll.BDP($B1099,"ID_ISIN")</f>
        <v>US18467V1098</v>
      </c>
      <c r="I1099" s="1" t="s">
        <v>3552</v>
      </c>
      <c r="J1099" t="str">
        <f>_xll.BDP($B1099,"CNTRY_OF_DOMICILE")</f>
        <v>US</v>
      </c>
      <c r="K1099" t="s">
        <v>98</v>
      </c>
      <c r="L1099" t="s">
        <v>99</v>
      </c>
      <c r="O1099" s="1"/>
      <c r="AQ1099" s="1"/>
      <c r="AR1099" s="1"/>
      <c r="AS1099" s="1"/>
    </row>
    <row r="1100" spans="1:45" x14ac:dyDescent="0.25">
      <c r="A1100" t="s">
        <v>3480</v>
      </c>
      <c r="B1100" t="s">
        <v>3554</v>
      </c>
      <c r="C1100" s="1" t="s">
        <v>3555</v>
      </c>
      <c r="D1100" t="s">
        <v>3556</v>
      </c>
      <c r="E1100" t="str">
        <f>_xll.BDP($B1100,"LEGAL_ENTITY_IDENTIFIER")</f>
        <v>PO0I32GKZ3HZMMDPZZ08</v>
      </c>
      <c r="F1100" t="s">
        <v>3556</v>
      </c>
      <c r="G1100" t="str">
        <f>custodian!D1100</f>
        <v>989207105</v>
      </c>
      <c r="H1100" t="str">
        <f>_xll.BDP($B1100,"ID_ISIN")</f>
        <v>US9892071054</v>
      </c>
      <c r="I1100" s="1" t="s">
        <v>3555</v>
      </c>
      <c r="J1100" t="str">
        <f>_xll.BDP($B1100,"CNTRY_OF_DOMICILE")</f>
        <v>US</v>
      </c>
      <c r="K1100" t="s">
        <v>98</v>
      </c>
      <c r="L1100" t="s">
        <v>99</v>
      </c>
      <c r="O1100" s="1"/>
      <c r="AQ1100" s="1"/>
      <c r="AR1100" s="1"/>
      <c r="AS1100" s="1"/>
    </row>
    <row r="1101" spans="1:45" x14ac:dyDescent="0.25">
      <c r="A1101" t="s">
        <v>3480</v>
      </c>
      <c r="C1101" s="1" t="s">
        <v>52</v>
      </c>
      <c r="E1101" s="1"/>
      <c r="G1101" t="str">
        <f>custodian!D1101</f>
        <v>Cash&amp;Other</v>
      </c>
      <c r="H1101" s="1"/>
      <c r="I1101" s="1"/>
      <c r="O1101" s="1"/>
      <c r="AQ1101" s="1"/>
      <c r="AR1101" s="1"/>
      <c r="AS1101" s="1"/>
    </row>
    <row r="1102" spans="1:45" x14ac:dyDescent="0.25">
      <c r="A1102" t="s">
        <v>3557</v>
      </c>
      <c r="B1102" t="s">
        <v>220</v>
      </c>
      <c r="C1102" s="1" t="s">
        <v>221</v>
      </c>
      <c r="D1102" t="s">
        <v>222</v>
      </c>
      <c r="E1102" t="str">
        <f>_xll.BDP($B1102,"LEGAL_ENTITY_IDENTIFIER")</f>
        <v>549300HMUDNO0RY56D37</v>
      </c>
      <c r="F1102" t="s">
        <v>222</v>
      </c>
      <c r="G1102" t="str">
        <f>custodian!D1102</f>
        <v>009066101</v>
      </c>
      <c r="H1102" t="str">
        <f>_xll.BDP($B1102,"ID_ISIN")</f>
        <v>US0090661010</v>
      </c>
      <c r="I1102" s="1" t="s">
        <v>221</v>
      </c>
      <c r="J1102" t="str">
        <f>_xll.BDP($B1102,"CNTRY_OF_DOMICILE")</f>
        <v>US</v>
      </c>
      <c r="K1102" t="s">
        <v>98</v>
      </c>
      <c r="L1102" t="s">
        <v>99</v>
      </c>
      <c r="O1102" s="1"/>
      <c r="AQ1102" s="1"/>
      <c r="AR1102" s="1"/>
      <c r="AS1102" s="1"/>
    </row>
    <row r="1103" spans="1:45" x14ac:dyDescent="0.25">
      <c r="A1103" t="s">
        <v>3557</v>
      </c>
      <c r="B1103" t="s">
        <v>232</v>
      </c>
      <c r="C1103" s="1" t="s">
        <v>233</v>
      </c>
      <c r="D1103" t="s">
        <v>234</v>
      </c>
      <c r="E1103" t="str">
        <f>_xll.BDP($B1103,"LEGAL_ENTITY_IDENTIFIER")</f>
        <v>529900LJL8TUEGF7HG20</v>
      </c>
      <c r="F1103" t="s">
        <v>234</v>
      </c>
      <c r="G1103" t="str">
        <f>custodian!D1103</f>
        <v>04626A103</v>
      </c>
      <c r="H1103" t="str">
        <f>_xll.BDP($B1103,"ID_ISIN")</f>
        <v>US04626A1034</v>
      </c>
      <c r="I1103" s="1" t="s">
        <v>233</v>
      </c>
      <c r="J1103" t="str">
        <f>_xll.BDP($B1103,"CNTRY_OF_DOMICILE")</f>
        <v>US</v>
      </c>
      <c r="K1103" t="s">
        <v>98</v>
      </c>
      <c r="L1103" t="s">
        <v>99</v>
      </c>
      <c r="O1103" s="1"/>
      <c r="AQ1103" s="1"/>
      <c r="AR1103" s="1"/>
      <c r="AS1103" s="1"/>
    </row>
    <row r="1104" spans="1:45" x14ac:dyDescent="0.25">
      <c r="A1104" t="s">
        <v>3557</v>
      </c>
      <c r="B1104" t="s">
        <v>3558</v>
      </c>
      <c r="C1104" s="1" t="s">
        <v>3559</v>
      </c>
      <c r="D1104" t="s">
        <v>3560</v>
      </c>
      <c r="E1104" t="str">
        <f>_xll.BDP($B1104,"LEGAL_ENTITY_IDENTIFIER")</f>
        <v>635400H1WKBLOQERUU95</v>
      </c>
      <c r="F1104" t="s">
        <v>3560</v>
      </c>
      <c r="G1104" t="str">
        <f>custodian!D1104</f>
        <v>040413205</v>
      </c>
      <c r="H1104" t="str">
        <f>_xll.BDP($B1104,"ID_ISIN")</f>
        <v>US0404132054</v>
      </c>
      <c r="I1104" s="1" t="s">
        <v>3559</v>
      </c>
      <c r="J1104" t="str">
        <f>_xll.BDP($B1104,"CNTRY_OF_DOMICILE")</f>
        <v>US</v>
      </c>
      <c r="K1104" t="s">
        <v>98</v>
      </c>
      <c r="L1104" t="s">
        <v>99</v>
      </c>
      <c r="O1104" s="1"/>
      <c r="AQ1104" s="1"/>
      <c r="AR1104" s="1"/>
      <c r="AS1104" s="1"/>
    </row>
    <row r="1105" spans="1:45" x14ac:dyDescent="0.25">
      <c r="A1105" t="s">
        <v>3557</v>
      </c>
      <c r="B1105" t="s">
        <v>3561</v>
      </c>
      <c r="C1105" s="1" t="s">
        <v>3562</v>
      </c>
      <c r="D1105" t="s">
        <v>3563</v>
      </c>
      <c r="E1105" t="str">
        <f>_xll.BDP($B1105,"LEGAL_ENTITY_IDENTIFIER")</f>
        <v>254900LMFT1CY9IYB476</v>
      </c>
      <c r="F1105" t="s">
        <v>3563</v>
      </c>
      <c r="G1105" t="str">
        <f>custodian!D1105</f>
        <v>03769M106</v>
      </c>
      <c r="H1105" t="str">
        <f>_xll.BDP($B1105,"ID_ISIN")</f>
        <v>US03769M1062</v>
      </c>
      <c r="I1105" s="1" t="s">
        <v>3562</v>
      </c>
      <c r="J1105" t="str">
        <f>_xll.BDP($B1105,"CNTRY_OF_DOMICILE")</f>
        <v>US</v>
      </c>
      <c r="K1105" t="s">
        <v>98</v>
      </c>
      <c r="L1105" t="s">
        <v>99</v>
      </c>
      <c r="O1105" s="1"/>
      <c r="AQ1105" s="1"/>
      <c r="AR1105" s="1"/>
      <c r="AS1105" s="1"/>
    </row>
    <row r="1106" spans="1:45" x14ac:dyDescent="0.25">
      <c r="A1106" t="s">
        <v>3557</v>
      </c>
      <c r="B1106" t="s">
        <v>241</v>
      </c>
      <c r="C1106" s="1" t="s">
        <v>242</v>
      </c>
      <c r="D1106" t="s">
        <v>243</v>
      </c>
      <c r="E1106" t="str">
        <f>_xll.BDP($B1106,"LEGAL_ENTITY_IDENTIFIER")</f>
        <v>549300LLVXMUAOL3SQ07</v>
      </c>
      <c r="F1106" t="s">
        <v>243</v>
      </c>
      <c r="G1106" t="str">
        <f>custodian!D1106</f>
        <v>03831W108</v>
      </c>
      <c r="H1106" t="str">
        <f>_xll.BDP($B1106,"ID_ISIN")</f>
        <v>US03831W1080</v>
      </c>
      <c r="I1106" s="1" t="s">
        <v>242</v>
      </c>
      <c r="J1106" t="str">
        <f>_xll.BDP($B1106,"CNTRY_OF_DOMICILE")</f>
        <v>US</v>
      </c>
      <c r="K1106" t="s">
        <v>98</v>
      </c>
      <c r="L1106" t="s">
        <v>99</v>
      </c>
      <c r="O1106" s="1"/>
      <c r="AQ1106" s="1"/>
      <c r="AR1106" s="1"/>
      <c r="AS1106" s="1"/>
    </row>
    <row r="1107" spans="1:45" x14ac:dyDescent="0.25">
      <c r="A1107" t="s">
        <v>3557</v>
      </c>
      <c r="B1107" t="s">
        <v>3564</v>
      </c>
      <c r="C1107" s="1" t="s">
        <v>3565</v>
      </c>
      <c r="D1107" t="s">
        <v>3566</v>
      </c>
      <c r="E1107" t="str">
        <f>_xll.BDP($B1107,"LEGAL_ENTITY_IDENTIFIER")</f>
        <v>529900JUV61FH7B8VW38</v>
      </c>
      <c r="F1107" t="s">
        <v>3566</v>
      </c>
      <c r="G1107" t="str">
        <f>custodian!D1107</f>
        <v>03990B101</v>
      </c>
      <c r="H1107" t="str">
        <f>_xll.BDP($B1107,"ID_ISIN")</f>
        <v>US03990B1017</v>
      </c>
      <c r="I1107" s="1" t="s">
        <v>3565</v>
      </c>
      <c r="J1107" t="str">
        <f>_xll.BDP($B1107,"CNTRY_OF_DOMICILE")</f>
        <v>US</v>
      </c>
      <c r="K1107" t="s">
        <v>98</v>
      </c>
      <c r="L1107" t="s">
        <v>99</v>
      </c>
      <c r="O1107" s="1"/>
      <c r="AQ1107" s="1"/>
      <c r="AR1107" s="1"/>
      <c r="AS1107" s="1"/>
    </row>
    <row r="1108" spans="1:45" x14ac:dyDescent="0.25">
      <c r="A1108" t="s">
        <v>3557</v>
      </c>
      <c r="B1108" t="s">
        <v>3101</v>
      </c>
      <c r="C1108" s="1" t="s">
        <v>3102</v>
      </c>
      <c r="D1108" t="s">
        <v>3103</v>
      </c>
      <c r="E1108" t="str">
        <f>_xll.BDP($B1108,"LEGAL_ENTITY_IDENTIFIER")</f>
        <v>254900MBSC9P2UCI6623</v>
      </c>
      <c r="F1108" t="s">
        <v>3103</v>
      </c>
      <c r="G1108" t="str">
        <f>custodian!D1108</f>
        <v>00217D100</v>
      </c>
      <c r="H1108" t="str">
        <f>_xll.BDP($B1108,"ID_ISIN")</f>
        <v>US00217D1000</v>
      </c>
      <c r="I1108" s="1" t="s">
        <v>3102</v>
      </c>
      <c r="J1108" t="str">
        <f>_xll.BDP($B1108,"CNTRY_OF_DOMICILE")</f>
        <v>US</v>
      </c>
      <c r="K1108" t="s">
        <v>98</v>
      </c>
      <c r="L1108" t="s">
        <v>99</v>
      </c>
      <c r="O1108" s="1"/>
      <c r="AQ1108" s="1"/>
      <c r="AR1108" s="1"/>
      <c r="AS1108" s="1"/>
    </row>
    <row r="1109" spans="1:45" x14ac:dyDescent="0.25">
      <c r="A1109" t="s">
        <v>3557</v>
      </c>
      <c r="B1109" t="s">
        <v>560</v>
      </c>
      <c r="C1109" s="1" t="s">
        <v>561</v>
      </c>
      <c r="D1109" t="s">
        <v>562</v>
      </c>
      <c r="E1109" t="str">
        <f>_xll.BDP($B1109,"LEGAL_ENTITY_IDENTIFIER")</f>
        <v>549300QP2IEEGFE16681</v>
      </c>
      <c r="F1109" t="s">
        <v>562</v>
      </c>
      <c r="G1109" t="str">
        <f>custodian!D1109</f>
        <v>05464C101</v>
      </c>
      <c r="H1109" t="str">
        <f>_xll.BDP($B1109,"ID_ISIN")</f>
        <v>US05464C1018</v>
      </c>
      <c r="I1109" s="1" t="s">
        <v>561</v>
      </c>
      <c r="J1109" t="str">
        <f>_xll.BDP($B1109,"CNTRY_OF_DOMICILE")</f>
        <v>US</v>
      </c>
      <c r="K1109" t="s">
        <v>98</v>
      </c>
      <c r="L1109" t="s">
        <v>99</v>
      </c>
      <c r="O1109" s="1"/>
      <c r="AQ1109" s="1"/>
      <c r="AR1109" s="1"/>
      <c r="AS1109" s="1"/>
    </row>
    <row r="1110" spans="1:45" x14ac:dyDescent="0.25">
      <c r="A1110" t="s">
        <v>3557</v>
      </c>
      <c r="B1110" t="s">
        <v>250</v>
      </c>
      <c r="C1110" s="1" t="s">
        <v>251</v>
      </c>
      <c r="D1110" t="s">
        <v>252</v>
      </c>
      <c r="E1110" t="str">
        <f>_xll.BDP($B1110,"LEGAL_ENTITY_IDENTIFIER")</f>
        <v>549300XB5J9BFW5JXV97</v>
      </c>
      <c r="F1110" t="s">
        <v>252</v>
      </c>
      <c r="G1110" t="str">
        <f>custodian!D1110</f>
        <v>093712107</v>
      </c>
      <c r="H1110" t="str">
        <f>_xll.BDP($B1110,"ID_ISIN")</f>
        <v>US0937121079</v>
      </c>
      <c r="I1110" s="1" t="s">
        <v>251</v>
      </c>
      <c r="J1110" t="str">
        <f>_xll.BDP($B1110,"CNTRY_OF_DOMICILE")</f>
        <v>US</v>
      </c>
      <c r="K1110" t="s">
        <v>98</v>
      </c>
      <c r="L1110" t="s">
        <v>99</v>
      </c>
      <c r="O1110" s="1"/>
      <c r="AQ1110" s="1"/>
      <c r="AR1110" s="1"/>
      <c r="AS1110" s="1"/>
    </row>
    <row r="1111" spans="1:45" x14ac:dyDescent="0.25">
      <c r="A1111" t="s">
        <v>3557</v>
      </c>
      <c r="B1111" t="s">
        <v>3567</v>
      </c>
      <c r="C1111" s="1" t="s">
        <v>3568</v>
      </c>
      <c r="D1111" t="s">
        <v>3569</v>
      </c>
      <c r="E1111" t="str">
        <f>_xll.BDP($B1111,"LEGAL_ENTITY_IDENTIFIER")</f>
        <v>529900VBK42Y5HHRMD23</v>
      </c>
      <c r="F1111" t="s">
        <v>3569</v>
      </c>
      <c r="G1111" t="str">
        <f>custodian!D1111</f>
        <v>09290D101</v>
      </c>
      <c r="H1111" t="str">
        <f>_xll.BDP($B1111,"ID_ISIN")</f>
        <v>US09290D1019</v>
      </c>
      <c r="I1111" s="1" t="s">
        <v>3568</v>
      </c>
      <c r="J1111" t="str">
        <f>_xll.BDP($B1111,"CNTRY_OF_DOMICILE")</f>
        <v>US</v>
      </c>
      <c r="K1111" t="s">
        <v>98</v>
      </c>
      <c r="L1111" t="s">
        <v>99</v>
      </c>
      <c r="O1111" s="1"/>
      <c r="AQ1111" s="1"/>
      <c r="AR1111" s="1"/>
      <c r="AS1111" s="1"/>
    </row>
    <row r="1112" spans="1:45" x14ac:dyDescent="0.25">
      <c r="A1112" t="s">
        <v>3557</v>
      </c>
      <c r="B1112" t="s">
        <v>3570</v>
      </c>
      <c r="C1112" s="1" t="s">
        <v>3571</v>
      </c>
      <c r="D1112" t="s">
        <v>3572</v>
      </c>
      <c r="E1112" t="str">
        <f>_xll.BDP($B1112,"LEGAL_ENTITY_IDENTIFIER")</f>
        <v>5299004LW4QWGZUB8Y96</v>
      </c>
      <c r="F1112" t="s">
        <v>3572</v>
      </c>
      <c r="G1112" t="str">
        <f>custodian!D1112</f>
        <v>09260D107</v>
      </c>
      <c r="H1112" t="str">
        <f>_xll.BDP($B1112,"ID_ISIN")</f>
        <v>US09260D1072</v>
      </c>
      <c r="I1112" s="1" t="s">
        <v>3571</v>
      </c>
      <c r="J1112" t="str">
        <f>_xll.BDP($B1112,"CNTRY_OF_DOMICILE")</f>
        <v>US</v>
      </c>
      <c r="K1112" t="s">
        <v>98</v>
      </c>
      <c r="L1112" t="s">
        <v>99</v>
      </c>
      <c r="O1112" s="1"/>
      <c r="AQ1112" s="1"/>
      <c r="AR1112" s="1"/>
      <c r="AS1112" s="1"/>
    </row>
    <row r="1113" spans="1:45" x14ac:dyDescent="0.25">
      <c r="A1113" t="s">
        <v>3557</v>
      </c>
      <c r="B1113" t="s">
        <v>3573</v>
      </c>
      <c r="C1113" s="1" t="s">
        <v>3574</v>
      </c>
      <c r="D1113" t="s">
        <v>3575</v>
      </c>
      <c r="E1113" t="str">
        <f>_xll.BDP($B1113,"LEGAL_ENTITY_IDENTIFIER")</f>
        <v>ZUE8T73ROZOF6FLBAR73</v>
      </c>
      <c r="F1113" t="s">
        <v>3575</v>
      </c>
      <c r="G1113" t="str">
        <f>custodian!D1113</f>
        <v>14040H105</v>
      </c>
      <c r="H1113" t="str">
        <f>_xll.BDP($B1113,"ID_ISIN")</f>
        <v>US14040H1059</v>
      </c>
      <c r="I1113" s="1" t="s">
        <v>3574</v>
      </c>
      <c r="J1113" t="str">
        <f>_xll.BDP($B1113,"CNTRY_OF_DOMICILE")</f>
        <v>US</v>
      </c>
      <c r="K1113" t="s">
        <v>98</v>
      </c>
      <c r="L1113" t="s">
        <v>99</v>
      </c>
      <c r="O1113" s="1"/>
      <c r="AQ1113" s="1"/>
      <c r="AR1113" s="1"/>
      <c r="AS1113" s="1"/>
    </row>
    <row r="1114" spans="1:45" x14ac:dyDescent="0.25">
      <c r="A1114" t="s">
        <v>3557</v>
      </c>
      <c r="B1114" t="s">
        <v>256</v>
      </c>
      <c r="C1114" s="1" t="s">
        <v>257</v>
      </c>
      <c r="D1114" t="s">
        <v>258</v>
      </c>
      <c r="E1114" t="str">
        <f>_xll.BDP($B1114,"LEGAL_ENTITY_IDENTIFIER")</f>
        <v>5493004G3J2SC154DU06</v>
      </c>
      <c r="F1114" t="s">
        <v>258</v>
      </c>
      <c r="G1114" t="str">
        <f>custodian!D1114</f>
        <v>19260Q107</v>
      </c>
      <c r="H1114" t="str">
        <f>_xll.BDP($B1114,"ID_ISIN")</f>
        <v>US19260Q1076</v>
      </c>
      <c r="I1114" s="1" t="s">
        <v>257</v>
      </c>
      <c r="J1114" t="str">
        <f>_xll.BDP($B1114,"CNTRY_OF_DOMICILE")</f>
        <v>US</v>
      </c>
      <c r="K1114" t="s">
        <v>98</v>
      </c>
      <c r="L1114" t="s">
        <v>99</v>
      </c>
      <c r="O1114" s="1"/>
      <c r="AQ1114" s="1"/>
      <c r="AR1114" s="1"/>
      <c r="AS1114" s="1"/>
    </row>
    <row r="1115" spans="1:45" x14ac:dyDescent="0.25">
      <c r="A1115" t="s">
        <v>3557</v>
      </c>
      <c r="B1115" t="s">
        <v>3576</v>
      </c>
      <c r="C1115" s="1" t="s">
        <v>3577</v>
      </c>
      <c r="D1115" t="s">
        <v>3578</v>
      </c>
      <c r="E1115" t="str">
        <f>_xll.BDP($B1115,"LEGAL_ENTITY_IDENTIFIER")</f>
        <v>549300XR4L1D80AK4W76</v>
      </c>
      <c r="F1115" t="s">
        <v>3578</v>
      </c>
      <c r="G1115" t="str">
        <f>custodian!D1115</f>
        <v>22266T109</v>
      </c>
      <c r="H1115" t="str">
        <f>_xll.BDP($B1115,"ID_ISIN")</f>
        <v>US22266T1097</v>
      </c>
      <c r="I1115" s="1" t="s">
        <v>3577</v>
      </c>
      <c r="J1115" t="str">
        <f>_xll.BDP($B1115,"CNTRY_OF_DOMICILE")</f>
        <v>US</v>
      </c>
      <c r="K1115" t="s">
        <v>98</v>
      </c>
      <c r="L1115" t="s">
        <v>99</v>
      </c>
      <c r="O1115" s="1"/>
      <c r="AQ1115" s="1"/>
      <c r="AR1115" s="1"/>
      <c r="AS1115" s="1"/>
    </row>
    <row r="1116" spans="1:45" x14ac:dyDescent="0.25">
      <c r="A1116" t="s">
        <v>3557</v>
      </c>
      <c r="B1116" t="s">
        <v>3407</v>
      </c>
      <c r="C1116" s="1" t="s">
        <v>3408</v>
      </c>
      <c r="D1116" t="s">
        <v>3409</v>
      </c>
      <c r="E1116" t="str">
        <f>_xll.BDP($B1116,"LEGAL_ENTITY_IDENTIFIER")</f>
        <v>#N/A N/A</v>
      </c>
      <c r="F1116" t="s">
        <v>3410</v>
      </c>
      <c r="G1116" t="str">
        <f>custodian!D1116</f>
        <v>G25457105</v>
      </c>
      <c r="H1116" t="str">
        <f>_xll.BDP($B1116,"ID_ISIN")</f>
        <v>KYG254571055</v>
      </c>
      <c r="I1116" s="1" t="s">
        <v>3408</v>
      </c>
      <c r="J1116" t="str">
        <f>_xll.BDP($B1116,"CNTRY_OF_DOMICILE")</f>
        <v>US</v>
      </c>
      <c r="K1116" t="s">
        <v>98</v>
      </c>
      <c r="L1116" t="s">
        <v>99</v>
      </c>
      <c r="O1116" s="1"/>
      <c r="AQ1116" s="1"/>
      <c r="AR1116" s="1"/>
      <c r="AS1116" s="1"/>
    </row>
    <row r="1117" spans="1:45" x14ac:dyDescent="0.25">
      <c r="A1117" t="s">
        <v>3557</v>
      </c>
      <c r="B1117" t="s">
        <v>262</v>
      </c>
      <c r="C1117" s="1" t="s">
        <v>263</v>
      </c>
      <c r="D1117" t="s">
        <v>264</v>
      </c>
      <c r="E1117" t="str">
        <f>_xll.BDP($B1117,"LEGAL_ENTITY_IDENTIFIER")</f>
        <v>RCGZFPDMRW58VJ54VR07</v>
      </c>
      <c r="F1117" t="s">
        <v>264</v>
      </c>
      <c r="G1117" t="str">
        <f>custodian!D1117</f>
        <v>79466L302</v>
      </c>
      <c r="H1117" t="str">
        <f>_xll.BDP($B1117,"ID_ISIN")</f>
        <v>US79466L3024</v>
      </c>
      <c r="I1117" s="1" t="s">
        <v>263</v>
      </c>
      <c r="J1117" t="str">
        <f>_xll.BDP($B1117,"CNTRY_OF_DOMICILE")</f>
        <v>US</v>
      </c>
      <c r="K1117" t="s">
        <v>98</v>
      </c>
      <c r="L1117" t="s">
        <v>99</v>
      </c>
      <c r="O1117" s="1"/>
      <c r="AQ1117" s="1"/>
      <c r="AR1117" s="1"/>
      <c r="AS1117" s="1"/>
    </row>
    <row r="1118" spans="1:45" x14ac:dyDescent="0.25">
      <c r="A1118" t="s">
        <v>3557</v>
      </c>
      <c r="B1118" t="s">
        <v>3579</v>
      </c>
      <c r="C1118" s="1" t="s">
        <v>3580</v>
      </c>
      <c r="D1118" t="s">
        <v>3581</v>
      </c>
      <c r="E1118" t="str">
        <f>_xll.BDP($B1118,"LEGAL_ENTITY_IDENTIFIER")</f>
        <v>549300YBY08K9KM4HX32</v>
      </c>
      <c r="F1118" t="s">
        <v>3581</v>
      </c>
      <c r="G1118" t="str">
        <f>custodian!D1118</f>
        <v>22788C105</v>
      </c>
      <c r="H1118" t="str">
        <f>_xll.BDP($B1118,"ID_ISIN")</f>
        <v>US22788C1053</v>
      </c>
      <c r="I1118" s="1" t="s">
        <v>3580</v>
      </c>
      <c r="J1118" t="str">
        <f>_xll.BDP($B1118,"CNTRY_OF_DOMICILE")</f>
        <v>US</v>
      </c>
      <c r="K1118" t="s">
        <v>98</v>
      </c>
      <c r="L1118" t="s">
        <v>99</v>
      </c>
      <c r="O1118" s="1"/>
      <c r="AQ1118" s="1"/>
      <c r="AR1118" s="1"/>
      <c r="AS1118" s="1"/>
    </row>
    <row r="1119" spans="1:45" x14ac:dyDescent="0.25">
      <c r="A1119" t="s">
        <v>3557</v>
      </c>
      <c r="B1119" t="s">
        <v>3582</v>
      </c>
      <c r="C1119" s="1" t="s">
        <v>3583</v>
      </c>
      <c r="D1119" t="s">
        <v>3584</v>
      </c>
      <c r="E1119" t="str">
        <f>_xll.BDP($B1119,"LEGAL_ENTITY_IDENTIFIER")</f>
        <v>984500511DP2B6186053</v>
      </c>
      <c r="F1119" t="s">
        <v>3584</v>
      </c>
      <c r="G1119" t="str">
        <f>custodian!D1119</f>
        <v>21873S108</v>
      </c>
      <c r="H1119" t="str">
        <f>_xll.BDP($B1119,"ID_ISIN")</f>
        <v>US21873S1087</v>
      </c>
      <c r="I1119" s="1" t="s">
        <v>3583</v>
      </c>
      <c r="J1119" t="str">
        <f>_xll.BDP($B1119,"CNTRY_OF_DOMICILE")</f>
        <v>US</v>
      </c>
      <c r="K1119" t="s">
        <v>98</v>
      </c>
      <c r="L1119" t="s">
        <v>99</v>
      </c>
      <c r="O1119" s="1"/>
      <c r="AQ1119" s="1"/>
      <c r="AR1119" s="1"/>
      <c r="AS1119" s="1"/>
    </row>
    <row r="1120" spans="1:45" x14ac:dyDescent="0.25">
      <c r="A1120" t="s">
        <v>3557</v>
      </c>
      <c r="B1120" t="s">
        <v>3585</v>
      </c>
      <c r="C1120" s="1" t="s">
        <v>3586</v>
      </c>
      <c r="D1120" t="s">
        <v>3587</v>
      </c>
      <c r="E1120" t="str">
        <f>_xll.BDP($B1120,"LEGAL_ENTITY_IDENTIFIER")</f>
        <v>5493003WEAK2PJ5WS063</v>
      </c>
      <c r="F1120" t="s">
        <v>3587</v>
      </c>
      <c r="G1120" t="str">
        <f>custodian!D1120</f>
        <v>146869102</v>
      </c>
      <c r="H1120" t="str">
        <f>_xll.BDP($B1120,"ID_ISIN")</f>
        <v>US1468691027</v>
      </c>
      <c r="I1120" s="1" t="s">
        <v>3586</v>
      </c>
      <c r="J1120" t="str">
        <f>_xll.BDP($B1120,"CNTRY_OF_DOMICILE")</f>
        <v>US</v>
      </c>
      <c r="K1120" t="s">
        <v>98</v>
      </c>
      <c r="L1120" t="s">
        <v>99</v>
      </c>
      <c r="O1120" s="1"/>
      <c r="AQ1120" s="1"/>
      <c r="AR1120" s="1"/>
      <c r="AS1120" s="1"/>
    </row>
    <row r="1121" spans="1:45" x14ac:dyDescent="0.25">
      <c r="A1121" t="s">
        <v>3557</v>
      </c>
      <c r="B1121" t="s">
        <v>268</v>
      </c>
      <c r="C1121" s="1" t="s">
        <v>269</v>
      </c>
      <c r="D1121" t="s">
        <v>270</v>
      </c>
      <c r="E1121" t="str">
        <f>_xll.BDP($B1121,"LEGAL_ENTITY_IDENTIFIER")</f>
        <v>549300NUQ43FGGSK5051</v>
      </c>
      <c r="F1121" t="s">
        <v>270</v>
      </c>
      <c r="G1121" t="str">
        <f>custodian!D1121</f>
        <v>25809K105</v>
      </c>
      <c r="H1121" t="str">
        <f>_xll.BDP($B1121,"ID_ISIN")</f>
        <v>US25809K1051</v>
      </c>
      <c r="I1121" s="1" t="s">
        <v>269</v>
      </c>
      <c r="J1121" t="str">
        <f>_xll.BDP($B1121,"CNTRY_OF_DOMICILE")</f>
        <v>US</v>
      </c>
      <c r="K1121" t="s">
        <v>98</v>
      </c>
      <c r="L1121" t="s">
        <v>99</v>
      </c>
      <c r="O1121" s="1"/>
      <c r="AQ1121" s="1"/>
      <c r="AR1121" s="1"/>
      <c r="AS1121" s="1"/>
    </row>
    <row r="1122" spans="1:45" x14ac:dyDescent="0.25">
      <c r="A1122" t="s">
        <v>3557</v>
      </c>
      <c r="B1122" t="s">
        <v>3503</v>
      </c>
      <c r="C1122" s="1" t="s">
        <v>3504</v>
      </c>
      <c r="D1122" t="s">
        <v>3505</v>
      </c>
      <c r="E1122" t="str">
        <f>_xll.BDP($B1122,"LEGAL_ENTITY_IDENTIFIER")</f>
        <v>549300F6JNO0KRPO1K63</v>
      </c>
      <c r="F1122" t="s">
        <v>3505</v>
      </c>
      <c r="G1122" t="str">
        <f>custodian!D1122</f>
        <v>23804L103</v>
      </c>
      <c r="H1122" t="str">
        <f>_xll.BDP($B1122,"ID_ISIN")</f>
        <v>US23804L1035</v>
      </c>
      <c r="I1122" s="1" t="s">
        <v>3504</v>
      </c>
      <c r="J1122" t="str">
        <f>_xll.BDP($B1122,"CNTRY_OF_DOMICILE")</f>
        <v>US</v>
      </c>
      <c r="K1122" t="s">
        <v>98</v>
      </c>
      <c r="L1122" t="s">
        <v>99</v>
      </c>
      <c r="O1122" s="1"/>
      <c r="AQ1122" s="1"/>
      <c r="AR1122" s="1"/>
      <c r="AS1122" s="1"/>
    </row>
    <row r="1123" spans="1:45" x14ac:dyDescent="0.25">
      <c r="A1123" t="s">
        <v>3557</v>
      </c>
      <c r="B1123" t="s">
        <v>3588</v>
      </c>
      <c r="C1123" s="1" t="s">
        <v>3589</v>
      </c>
      <c r="D1123" t="s">
        <v>3590</v>
      </c>
      <c r="E1123" t="str">
        <f>_xll.BDP($B1123,"LEGAL_ENTITY_IDENTIFIER")</f>
        <v>549300TJB5YBRUPOG437</v>
      </c>
      <c r="F1123" t="s">
        <v>3590</v>
      </c>
      <c r="G1123" t="str">
        <f>custodian!D1123</f>
        <v>24703L202</v>
      </c>
      <c r="H1123" t="str">
        <f>_xll.BDP($B1123,"ID_ISIN")</f>
        <v>US24703L2025</v>
      </c>
      <c r="I1123" s="1" t="s">
        <v>3589</v>
      </c>
      <c r="J1123" t="str">
        <f>_xll.BDP($B1123,"CNTRY_OF_DOMICILE")</f>
        <v>US</v>
      </c>
      <c r="K1123" t="s">
        <v>98</v>
      </c>
      <c r="L1123" t="s">
        <v>99</v>
      </c>
      <c r="O1123" s="1"/>
      <c r="AQ1123" s="1"/>
      <c r="AR1123" s="1"/>
      <c r="AS1123" s="1"/>
    </row>
    <row r="1124" spans="1:45" x14ac:dyDescent="0.25">
      <c r="A1124" t="s">
        <v>3557</v>
      </c>
      <c r="B1124" t="s">
        <v>77</v>
      </c>
      <c r="C1124" s="1" t="s">
        <v>78</v>
      </c>
      <c r="D1124" t="s">
        <v>79</v>
      </c>
      <c r="E1124" t="str">
        <f>_xll.BDP($B1124,"LEGAL_ENTITY_IDENTIFIER")</f>
        <v>549300R5MYM6VZF1RM44</v>
      </c>
      <c r="F1124" t="s">
        <v>80</v>
      </c>
      <c r="G1124" t="str">
        <f>custodian!D1124</f>
        <v>31846V336</v>
      </c>
      <c r="H1124" t="str">
        <f>_xll.BDP($B1124,"ID_ISIN")</f>
        <v>US31846V3362</v>
      </c>
      <c r="I1124" s="1" t="s">
        <v>78</v>
      </c>
      <c r="J1124" t="str">
        <f>_xll.BDP($B1124,"CNTRY_OF_DOMICILE")</f>
        <v>US</v>
      </c>
      <c r="K1124" t="s">
        <v>81</v>
      </c>
      <c r="L1124" t="s">
        <v>82</v>
      </c>
      <c r="O1124" s="1"/>
      <c r="AQ1124" s="1"/>
      <c r="AR1124" s="1"/>
      <c r="AS1124" s="1"/>
    </row>
    <row r="1125" spans="1:45" x14ac:dyDescent="0.25">
      <c r="A1125" t="s">
        <v>3557</v>
      </c>
      <c r="B1125" t="s">
        <v>277</v>
      </c>
      <c r="C1125" s="1" t="s">
        <v>278</v>
      </c>
      <c r="D1125" t="s">
        <v>279</v>
      </c>
      <c r="E1125" t="str">
        <f>_xll.BDP($B1125,"LEGAL_ENTITY_IDENTIFIER")</f>
        <v>549300O0QJWDBAS0QX03</v>
      </c>
      <c r="F1125" t="s">
        <v>279</v>
      </c>
      <c r="G1125" t="str">
        <f>custodian!D1125</f>
        <v>34959E109</v>
      </c>
      <c r="H1125" t="str">
        <f>_xll.BDP($B1125,"ID_ISIN")</f>
        <v>US34959E1091</v>
      </c>
      <c r="I1125" s="1" t="s">
        <v>278</v>
      </c>
      <c r="J1125" t="str">
        <f>_xll.BDP($B1125,"CNTRY_OF_DOMICILE")</f>
        <v>US</v>
      </c>
      <c r="K1125" t="s">
        <v>98</v>
      </c>
      <c r="L1125" t="s">
        <v>99</v>
      </c>
      <c r="O1125" s="1"/>
      <c r="AQ1125" s="1"/>
      <c r="AR1125" s="1"/>
      <c r="AS1125" s="1"/>
    </row>
    <row r="1126" spans="1:45" x14ac:dyDescent="0.25">
      <c r="A1126" t="s">
        <v>3557</v>
      </c>
      <c r="B1126" t="s">
        <v>286</v>
      </c>
      <c r="C1126" s="1" t="s">
        <v>287</v>
      </c>
      <c r="D1126" t="s">
        <v>288</v>
      </c>
      <c r="E1126" t="str">
        <f>_xll.BDP($B1126,"LEGAL_ENTITY_IDENTIFIER")</f>
        <v>213800FS5AO3YWIE6F63</v>
      </c>
      <c r="F1126" t="s">
        <v>288</v>
      </c>
      <c r="G1126" t="str">
        <f>custodian!D1126</f>
        <v>770700102</v>
      </c>
      <c r="H1126" t="str">
        <f>_xll.BDP($B1126,"ID_ISIN")</f>
        <v>US7707001027</v>
      </c>
      <c r="I1126" s="1" t="s">
        <v>287</v>
      </c>
      <c r="J1126" t="str">
        <f>_xll.BDP($B1126,"CNTRY_OF_DOMICILE")</f>
        <v>US</v>
      </c>
      <c r="K1126" t="s">
        <v>98</v>
      </c>
      <c r="L1126" t="s">
        <v>99</v>
      </c>
      <c r="O1126" s="1"/>
      <c r="AQ1126" s="1"/>
      <c r="AR1126" s="1"/>
      <c r="AS1126" s="1"/>
    </row>
    <row r="1127" spans="1:45" x14ac:dyDescent="0.25">
      <c r="A1127" t="s">
        <v>3557</v>
      </c>
      <c r="B1127" t="s">
        <v>3591</v>
      </c>
      <c r="C1127" s="1" t="s">
        <v>3592</v>
      </c>
      <c r="D1127" t="s">
        <v>3593</v>
      </c>
      <c r="E1127" t="str">
        <f>_xll.BDP($B1127,"LEGAL_ENTITY_IDENTIFIER")</f>
        <v>5493000F4ZO33MV32P92</v>
      </c>
      <c r="F1127" t="s">
        <v>3593</v>
      </c>
      <c r="G1127" t="str">
        <f>custodian!D1127</f>
        <v>45866F104</v>
      </c>
      <c r="H1127" t="str">
        <f>_xll.BDP($B1127,"ID_ISIN")</f>
        <v>US45866F1049</v>
      </c>
      <c r="I1127" s="1" t="s">
        <v>3592</v>
      </c>
      <c r="J1127" t="str">
        <f>_xll.BDP($B1127,"CNTRY_OF_DOMICILE")</f>
        <v>US</v>
      </c>
      <c r="K1127" t="s">
        <v>98</v>
      </c>
      <c r="L1127" t="s">
        <v>99</v>
      </c>
      <c r="O1127" s="1"/>
      <c r="AQ1127" s="1"/>
      <c r="AR1127" s="1"/>
      <c r="AS1127" s="1"/>
    </row>
    <row r="1128" spans="1:45" x14ac:dyDescent="0.25">
      <c r="A1128" t="s">
        <v>3557</v>
      </c>
      <c r="B1128" t="s">
        <v>307</v>
      </c>
      <c r="C1128" s="1" t="s">
        <v>308</v>
      </c>
      <c r="D1128" t="s">
        <v>309</v>
      </c>
      <c r="E1128" t="str">
        <f>_xll.BDP($B1128,"LEGAL_ENTITY_IDENTIFIER")</f>
        <v>BQ4BKCS1HXDV9HN80Z93</v>
      </c>
      <c r="F1128" t="s">
        <v>309</v>
      </c>
      <c r="G1128" t="str">
        <f>custodian!D1128</f>
        <v>30303M102</v>
      </c>
      <c r="H1128" t="str">
        <f>_xll.BDP($B1128,"ID_ISIN")</f>
        <v>US30303M1027</v>
      </c>
      <c r="I1128" s="1" t="s">
        <v>308</v>
      </c>
      <c r="J1128" t="str">
        <f>_xll.BDP($B1128,"CNTRY_OF_DOMICILE")</f>
        <v>US</v>
      </c>
      <c r="K1128" t="s">
        <v>98</v>
      </c>
      <c r="L1128" t="s">
        <v>99</v>
      </c>
      <c r="O1128" s="1"/>
      <c r="AQ1128" s="1"/>
      <c r="AR1128" s="1"/>
      <c r="AS1128" s="1"/>
    </row>
    <row r="1129" spans="1:45" x14ac:dyDescent="0.25">
      <c r="A1129" t="s">
        <v>3557</v>
      </c>
      <c r="B1129" t="s">
        <v>3594</v>
      </c>
      <c r="C1129" s="1" t="s">
        <v>3595</v>
      </c>
      <c r="D1129" t="s">
        <v>3596</v>
      </c>
      <c r="E1129" t="str">
        <f>_xll.BDP($B1129,"LEGAL_ENTITY_IDENTIFIER")</f>
        <v>529900TB7O85LSZ1XU31</v>
      </c>
      <c r="F1129" t="s">
        <v>3596</v>
      </c>
      <c r="G1129" t="str">
        <f>custodian!D1129</f>
        <v>609839105</v>
      </c>
      <c r="H1129" t="str">
        <f>_xll.BDP($B1129,"ID_ISIN")</f>
        <v>US6098391054</v>
      </c>
      <c r="I1129" s="1" t="s">
        <v>3595</v>
      </c>
      <c r="J1129" t="str">
        <f>_xll.BDP($B1129,"CNTRY_OF_DOMICILE")</f>
        <v>US</v>
      </c>
      <c r="K1129" t="s">
        <v>98</v>
      </c>
      <c r="L1129" t="s">
        <v>99</v>
      </c>
      <c r="O1129" s="1"/>
      <c r="AQ1129" s="1"/>
      <c r="AR1129" s="1"/>
      <c r="AS1129" s="1"/>
    </row>
    <row r="1130" spans="1:45" x14ac:dyDescent="0.25">
      <c r="A1130" t="s">
        <v>3557</v>
      </c>
      <c r="B1130" t="s">
        <v>3597</v>
      </c>
      <c r="C1130" s="1" t="s">
        <v>3598</v>
      </c>
      <c r="D1130" t="s">
        <v>3599</v>
      </c>
      <c r="E1130" t="str">
        <f>_xll.BDP($B1130,"LEGAL_ENTITY_IDENTIFIER")</f>
        <v>549300WQTWEJUEHXQX21</v>
      </c>
      <c r="F1130" t="s">
        <v>3599</v>
      </c>
      <c r="G1130" t="str">
        <f>custodian!D1130</f>
        <v>594972408</v>
      </c>
      <c r="H1130" t="str">
        <f>_xll.BDP($B1130,"ID_ISIN")</f>
        <v>US5949724083</v>
      </c>
      <c r="I1130" s="1" t="s">
        <v>3598</v>
      </c>
      <c r="J1130" t="str">
        <f>_xll.BDP($B1130,"CNTRY_OF_DOMICILE")</f>
        <v>US</v>
      </c>
      <c r="K1130" t="s">
        <v>98</v>
      </c>
      <c r="L1130" t="s">
        <v>99</v>
      </c>
      <c r="O1130" s="1"/>
      <c r="AQ1130" s="1"/>
      <c r="AR1130" s="1"/>
      <c r="AS1130" s="1"/>
    </row>
    <row r="1131" spans="1:45" x14ac:dyDescent="0.25">
      <c r="A1131" t="s">
        <v>3557</v>
      </c>
      <c r="B1131" t="s">
        <v>3600</v>
      </c>
      <c r="C1131" s="1" t="s">
        <v>3601</v>
      </c>
      <c r="D1131" t="s">
        <v>3602</v>
      </c>
      <c r="E1131" t="str">
        <f>_xll.BDP($B1131,"LEGAL_ENTITY_IDENTIFIER")</f>
        <v>549300GGZHJ5Q1B18P93</v>
      </c>
      <c r="F1131" t="s">
        <v>3602</v>
      </c>
      <c r="G1131" t="str">
        <f>custodian!D1131</f>
        <v>N97284108</v>
      </c>
      <c r="H1131" t="str">
        <f>_xll.BDP($B1131,"ID_ISIN")</f>
        <v>NL0009805522</v>
      </c>
      <c r="I1131" s="1" t="s">
        <v>3601</v>
      </c>
      <c r="J1131" t="str">
        <f>_xll.BDP($B1131,"CNTRY_OF_DOMICILE")</f>
        <v>NL</v>
      </c>
      <c r="K1131" t="s">
        <v>98</v>
      </c>
      <c r="L1131" t="s">
        <v>99</v>
      </c>
      <c r="O1131" s="1"/>
      <c r="AQ1131" s="1"/>
      <c r="AR1131" s="1"/>
      <c r="AS1131" s="1"/>
    </row>
    <row r="1132" spans="1:45" x14ac:dyDescent="0.25">
      <c r="A1132" t="s">
        <v>3557</v>
      </c>
      <c r="B1132" t="s">
        <v>313</v>
      </c>
      <c r="C1132" s="1" t="s">
        <v>314</v>
      </c>
      <c r="D1132" t="s">
        <v>315</v>
      </c>
      <c r="E1132" t="str">
        <f>_xll.BDP($B1132,"LEGAL_ENTITY_IDENTIFIER")</f>
        <v>5493007DY18BGNLDWU14</v>
      </c>
      <c r="F1132" t="s">
        <v>315</v>
      </c>
      <c r="G1132" t="str">
        <f>custodian!D1132</f>
        <v>18915M107</v>
      </c>
      <c r="H1132" t="str">
        <f>_xll.BDP($B1132,"ID_ISIN")</f>
        <v>US18915M1071</v>
      </c>
      <c r="I1132" s="1" t="s">
        <v>314</v>
      </c>
      <c r="J1132" t="str">
        <f>_xll.BDP($B1132,"CNTRY_OF_DOMICILE")</f>
        <v>US</v>
      </c>
      <c r="K1132" t="s">
        <v>98</v>
      </c>
      <c r="L1132" t="s">
        <v>99</v>
      </c>
      <c r="O1132" s="1"/>
      <c r="AQ1132" s="1"/>
      <c r="AR1132" s="1"/>
      <c r="AS1132" s="1"/>
    </row>
    <row r="1133" spans="1:45" x14ac:dyDescent="0.25">
      <c r="A1133" t="s">
        <v>3557</v>
      </c>
      <c r="B1133" t="s">
        <v>3603</v>
      </c>
      <c r="C1133" s="1" t="s">
        <v>3604</v>
      </c>
      <c r="D1133" t="s">
        <v>3605</v>
      </c>
      <c r="E1133" t="str">
        <f>_xll.BDP($B1133,"LEGAL_ENTITY_IDENTIFIER")</f>
        <v>5493002DG1RHWK9W2X27</v>
      </c>
      <c r="F1133" t="s">
        <v>3605</v>
      </c>
      <c r="G1133" t="str">
        <f>custodian!D1133</f>
        <v>G6683N103</v>
      </c>
      <c r="H1133" t="str">
        <f>_xll.BDP($B1133,"ID_ISIN")</f>
        <v>KYG6683N1034</v>
      </c>
      <c r="I1133" s="1" t="s">
        <v>3604</v>
      </c>
      <c r="J1133" t="str">
        <f>_xll.BDP($B1133,"CNTRY_OF_DOMICILE")</f>
        <v>BR</v>
      </c>
      <c r="K1133" t="s">
        <v>98</v>
      </c>
      <c r="L1133" t="s">
        <v>99</v>
      </c>
      <c r="O1133" s="1"/>
      <c r="AQ1133" s="1"/>
      <c r="AR1133" s="1"/>
      <c r="AS1133" s="1"/>
    </row>
    <row r="1134" spans="1:45" x14ac:dyDescent="0.25">
      <c r="A1134" t="s">
        <v>3557</v>
      </c>
      <c r="B1134" t="s">
        <v>322</v>
      </c>
      <c r="C1134" s="1" t="s">
        <v>323</v>
      </c>
      <c r="D1134" t="s">
        <v>324</v>
      </c>
      <c r="E1134" t="str">
        <f>_xll.BDP($B1134,"LEGAL_ENTITY_IDENTIFIER")</f>
        <v>549300S4KLFTLO7GSQ80</v>
      </c>
      <c r="F1134" t="s">
        <v>324</v>
      </c>
      <c r="G1134" t="str">
        <f>custodian!D1134</f>
        <v>67066G104</v>
      </c>
      <c r="H1134" t="str">
        <f>_xll.BDP($B1134,"ID_ISIN")</f>
        <v>US67066G1040</v>
      </c>
      <c r="I1134" s="1" t="s">
        <v>323</v>
      </c>
      <c r="J1134" t="str">
        <f>_xll.BDP($B1134,"CNTRY_OF_DOMICILE")</f>
        <v>US</v>
      </c>
      <c r="K1134" t="s">
        <v>98</v>
      </c>
      <c r="L1134" t="s">
        <v>99</v>
      </c>
      <c r="O1134" s="1"/>
      <c r="AQ1134" s="1"/>
      <c r="AR1134" s="1"/>
      <c r="AS1134" s="1"/>
    </row>
    <row r="1135" spans="1:45" x14ac:dyDescent="0.25">
      <c r="A1135" t="s">
        <v>3557</v>
      </c>
      <c r="B1135" t="s">
        <v>3606</v>
      </c>
      <c r="C1135" s="1" t="s">
        <v>3607</v>
      </c>
      <c r="D1135" t="s">
        <v>3608</v>
      </c>
      <c r="E1135" t="str">
        <f>_xll.BDP($B1135,"LEGAL_ENTITY_IDENTIFIER")</f>
        <v>1Z4GXXU7ZHVWFCD8TV52</v>
      </c>
      <c r="F1135" t="s">
        <v>3608</v>
      </c>
      <c r="G1135" t="str">
        <f>custodian!D1135</f>
        <v>68389X105</v>
      </c>
      <c r="H1135" t="str">
        <f>_xll.BDP($B1135,"ID_ISIN")</f>
        <v>US68389X1054</v>
      </c>
      <c r="I1135" s="1" t="s">
        <v>3607</v>
      </c>
      <c r="J1135" t="str">
        <f>_xll.BDP($B1135,"CNTRY_OF_DOMICILE")</f>
        <v>US</v>
      </c>
      <c r="K1135" t="s">
        <v>98</v>
      </c>
      <c r="L1135" t="s">
        <v>99</v>
      </c>
      <c r="O1135" s="1"/>
      <c r="AQ1135" s="1"/>
      <c r="AR1135" s="1"/>
      <c r="AS1135" s="1"/>
    </row>
    <row r="1136" spans="1:45" x14ac:dyDescent="0.25">
      <c r="A1136" t="s">
        <v>3557</v>
      </c>
      <c r="B1136" t="s">
        <v>3609</v>
      </c>
      <c r="C1136" s="1" t="s">
        <v>3610</v>
      </c>
      <c r="D1136" t="s">
        <v>3611</v>
      </c>
      <c r="E1136" t="str">
        <f>_xll.BDP($B1136,"LEGAL_ENTITY_IDENTIFIER")</f>
        <v>549300NPDB0BZTK3WO90</v>
      </c>
      <c r="F1136" t="s">
        <v>3611</v>
      </c>
      <c r="G1136" t="str">
        <f>custodian!D1136</f>
        <v>74624M102</v>
      </c>
      <c r="H1136" t="str">
        <f>_xll.BDP($B1136,"ID_ISIN")</f>
        <v>US74624M1027</v>
      </c>
      <c r="I1136" s="1" t="s">
        <v>3610</v>
      </c>
      <c r="J1136" t="str">
        <f>_xll.BDP($B1136,"CNTRY_OF_DOMICILE")</f>
        <v>US</v>
      </c>
      <c r="K1136" t="s">
        <v>98</v>
      </c>
      <c r="L1136" t="s">
        <v>99</v>
      </c>
      <c r="O1136" s="1"/>
      <c r="AQ1136" s="1"/>
      <c r="AR1136" s="1"/>
      <c r="AS1136" s="1"/>
    </row>
    <row r="1137" spans="1:45" x14ac:dyDescent="0.25">
      <c r="A1137" t="s">
        <v>3557</v>
      </c>
      <c r="B1137" t="s">
        <v>3536</v>
      </c>
      <c r="C1137" s="1" t="s">
        <v>3537</v>
      </c>
      <c r="D1137" t="s">
        <v>3538</v>
      </c>
      <c r="E1137" t="str">
        <f>_xll.BDP($B1137,"LEGAL_ENTITY_IDENTIFIER")</f>
        <v>549300UVN46B3BBDHO85</v>
      </c>
      <c r="F1137" t="s">
        <v>3538</v>
      </c>
      <c r="G1137" t="str">
        <f>custodian!D1137</f>
        <v>69608A108</v>
      </c>
      <c r="H1137" t="str">
        <f>_xll.BDP($B1137,"ID_ISIN")</f>
        <v>US69608A1088</v>
      </c>
      <c r="I1137" s="1" t="s">
        <v>3537</v>
      </c>
      <c r="J1137" t="str">
        <f>_xll.BDP($B1137,"CNTRY_OF_DOMICILE")</f>
        <v>US</v>
      </c>
      <c r="K1137" t="s">
        <v>98</v>
      </c>
      <c r="L1137" t="s">
        <v>99</v>
      </c>
      <c r="O1137" s="1"/>
      <c r="AQ1137" s="1"/>
      <c r="AR1137" s="1"/>
      <c r="AS1137" s="1"/>
    </row>
    <row r="1138" spans="1:45" x14ac:dyDescent="0.25">
      <c r="A1138" t="s">
        <v>3557</v>
      </c>
      <c r="B1138" t="s">
        <v>334</v>
      </c>
      <c r="C1138" s="1" t="s">
        <v>335</v>
      </c>
      <c r="D1138" t="s">
        <v>336</v>
      </c>
      <c r="E1138" t="str">
        <f>_xll.BDP($B1138,"LEGAL_ENTITY_IDENTIFIER")</f>
        <v>529900ANZDBDFU91SO19</v>
      </c>
      <c r="F1138" t="s">
        <v>336</v>
      </c>
      <c r="G1138" t="str">
        <f>custodian!D1138</f>
        <v>771049103</v>
      </c>
      <c r="H1138" t="str">
        <f>_xll.BDP($B1138,"ID_ISIN")</f>
        <v>US7710491033</v>
      </c>
      <c r="I1138" s="1" t="s">
        <v>335</v>
      </c>
      <c r="J1138" t="str">
        <f>_xll.BDP($B1138,"CNTRY_OF_DOMICILE")</f>
        <v>US</v>
      </c>
      <c r="K1138" t="s">
        <v>98</v>
      </c>
      <c r="L1138" t="s">
        <v>99</v>
      </c>
      <c r="O1138" s="1"/>
      <c r="AQ1138" s="1"/>
      <c r="AR1138" s="1"/>
      <c r="AS1138" s="1"/>
    </row>
    <row r="1139" spans="1:45" x14ac:dyDescent="0.25">
      <c r="A1139" t="s">
        <v>3557</v>
      </c>
      <c r="B1139" t="s">
        <v>337</v>
      </c>
      <c r="C1139" s="1" t="s">
        <v>338</v>
      </c>
      <c r="D1139" t="s">
        <v>339</v>
      </c>
      <c r="E1139" t="str">
        <f>_xll.BDP($B1139,"LEGAL_ENTITY_IDENTIFIER")</f>
        <v>529900APN1YHPBHPI679</v>
      </c>
      <c r="F1139" t="s">
        <v>339</v>
      </c>
      <c r="G1139" t="str">
        <f>custodian!D1139</f>
        <v>75734B100</v>
      </c>
      <c r="H1139" t="str">
        <f>_xll.BDP($B1139,"ID_ISIN")</f>
        <v>US75734B1008</v>
      </c>
      <c r="I1139" s="1" t="s">
        <v>338</v>
      </c>
      <c r="J1139" t="str">
        <f>_xll.BDP($B1139,"CNTRY_OF_DOMICILE")</f>
        <v>US</v>
      </c>
      <c r="K1139" t="s">
        <v>98</v>
      </c>
      <c r="L1139" t="s">
        <v>99</v>
      </c>
      <c r="O1139" s="1"/>
      <c r="AQ1139" s="1"/>
      <c r="AR1139" s="1"/>
      <c r="AS1139" s="1"/>
    </row>
    <row r="1140" spans="1:45" x14ac:dyDescent="0.25">
      <c r="A1140" t="s">
        <v>3557</v>
      </c>
      <c r="B1140" t="s">
        <v>3612</v>
      </c>
      <c r="C1140" s="1" t="s">
        <v>3613</v>
      </c>
      <c r="D1140" t="s">
        <v>3614</v>
      </c>
      <c r="E1140" t="str">
        <f>_xll.BDP($B1140,"LEGAL_ENTITY_IDENTIFIER")</f>
        <v>549300RCBFWIRX3HYQ56</v>
      </c>
      <c r="F1140" t="s">
        <v>3614</v>
      </c>
      <c r="G1140" t="str">
        <f>custodian!D1140</f>
        <v>75886F107</v>
      </c>
      <c r="H1140" t="str">
        <f>_xll.BDP($B1140,"ID_ISIN")</f>
        <v>US75886F1075</v>
      </c>
      <c r="I1140" s="1" t="s">
        <v>3613</v>
      </c>
      <c r="J1140" t="str">
        <f>_xll.BDP($B1140,"CNTRY_OF_DOMICILE")</f>
        <v>US</v>
      </c>
      <c r="K1140" t="s">
        <v>98</v>
      </c>
      <c r="L1140" t="s">
        <v>99</v>
      </c>
      <c r="O1140" s="1"/>
      <c r="AQ1140" s="1"/>
      <c r="AR1140" s="1"/>
      <c r="AS1140" s="1"/>
    </row>
    <row r="1141" spans="1:45" x14ac:dyDescent="0.25">
      <c r="A1141" t="s">
        <v>3557</v>
      </c>
      <c r="B1141" t="s">
        <v>3153</v>
      </c>
      <c r="C1141" s="1" t="s">
        <v>3154</v>
      </c>
      <c r="D1141" t="s">
        <v>3155</v>
      </c>
      <c r="E1141" t="str">
        <f>_xll.BDP($B1141,"LEGAL_ENTITY_IDENTIFIER")</f>
        <v>254900LNRW7906KUMM93</v>
      </c>
      <c r="F1141" t="s">
        <v>3155</v>
      </c>
      <c r="G1141" t="str">
        <f>custodian!D1141</f>
        <v>773121108</v>
      </c>
      <c r="H1141" t="str">
        <f>_xll.BDP($B1141,"ID_ISIN")</f>
        <v>US7731211089</v>
      </c>
      <c r="I1141" s="1" t="s">
        <v>3154</v>
      </c>
      <c r="J1141" t="str">
        <f>_xll.BDP($B1141,"CNTRY_OF_DOMICILE")</f>
        <v>US</v>
      </c>
      <c r="K1141" t="s">
        <v>98</v>
      </c>
      <c r="L1141" t="s">
        <v>99</v>
      </c>
      <c r="O1141" s="1"/>
      <c r="AQ1141" s="1"/>
      <c r="AR1141" s="1"/>
      <c r="AS1141" s="1"/>
    </row>
    <row r="1142" spans="1:45" x14ac:dyDescent="0.25">
      <c r="A1142" t="s">
        <v>3557</v>
      </c>
      <c r="B1142" t="s">
        <v>3615</v>
      </c>
      <c r="C1142" s="1" t="s">
        <v>3616</v>
      </c>
      <c r="D1142" t="s">
        <v>3617</v>
      </c>
      <c r="E1142" t="str">
        <f>_xll.BDP($B1142,"LEGAL_ENTITY_IDENTIFIER")</f>
        <v>549300HGQ43STJLLP808</v>
      </c>
      <c r="F1142" t="s">
        <v>3617</v>
      </c>
      <c r="G1142" t="str">
        <f>custodian!D1142</f>
        <v>82509L107</v>
      </c>
      <c r="H1142" t="str">
        <f>_xll.BDP($B1142,"ID_ISIN")</f>
        <v>CA82509L1076</v>
      </c>
      <c r="I1142" s="1" t="s">
        <v>3616</v>
      </c>
      <c r="J1142" t="str">
        <f>_xll.BDP($B1142,"CNTRY_OF_DOMICILE")</f>
        <v>CA</v>
      </c>
      <c r="K1142" t="s">
        <v>98</v>
      </c>
      <c r="L1142" t="s">
        <v>99</v>
      </c>
      <c r="O1142" s="1"/>
      <c r="AQ1142" s="1"/>
      <c r="AR1142" s="1"/>
      <c r="AS1142" s="1"/>
    </row>
    <row r="1143" spans="1:45" x14ac:dyDescent="0.25">
      <c r="A1143" t="s">
        <v>3557</v>
      </c>
      <c r="B1143" t="s">
        <v>349</v>
      </c>
      <c r="C1143" s="1" t="s">
        <v>350</v>
      </c>
      <c r="D1143" t="s">
        <v>351</v>
      </c>
      <c r="E1143" t="str">
        <f>_xll.BDP($B1143,"LEGAL_ENTITY_IDENTIFIER")</f>
        <v>254900CJNSY1K7T53Z16</v>
      </c>
      <c r="F1143" t="s">
        <v>351</v>
      </c>
      <c r="G1143" t="str">
        <f>custodian!D1143</f>
        <v>833445109</v>
      </c>
      <c r="H1143" t="str">
        <f>_xll.BDP($B1143,"ID_ISIN")</f>
        <v>US8334451098</v>
      </c>
      <c r="I1143" s="1" t="s">
        <v>350</v>
      </c>
      <c r="J1143" t="str">
        <f>_xll.BDP($B1143,"CNTRY_OF_DOMICILE")</f>
        <v>US</v>
      </c>
      <c r="K1143" t="s">
        <v>98</v>
      </c>
      <c r="L1143" t="s">
        <v>99</v>
      </c>
      <c r="O1143" s="1"/>
      <c r="AQ1143" s="1"/>
      <c r="AR1143" s="1"/>
      <c r="AS1143" s="1"/>
    </row>
    <row r="1144" spans="1:45" x14ac:dyDescent="0.25">
      <c r="A1144" t="s">
        <v>3557</v>
      </c>
      <c r="B1144" t="s">
        <v>3618</v>
      </c>
      <c r="C1144" s="1" t="s">
        <v>3619</v>
      </c>
      <c r="D1144" t="s">
        <v>3620</v>
      </c>
      <c r="E1144" t="str">
        <f>_xll.BDP($B1144,"LEGAL_ENTITY_IDENTIFIER")</f>
        <v>549300B9WLO96RQCXP87</v>
      </c>
      <c r="F1144" t="s">
        <v>3621</v>
      </c>
      <c r="G1144" t="str">
        <f>custodian!D1144</f>
        <v>84615Q103</v>
      </c>
      <c r="H1144" t="str">
        <f>_xll.BDP($B1144,"ID_ISIN")</f>
        <v>US84615Q1031</v>
      </c>
      <c r="I1144" s="1" t="s">
        <v>3619</v>
      </c>
      <c r="J1144" t="str">
        <f>_xll.BDP($B1144,"CNTRY_OF_DOMICILE")</f>
        <v>US</v>
      </c>
      <c r="K1144" t="s">
        <v>98</v>
      </c>
      <c r="L1144" t="s">
        <v>99</v>
      </c>
      <c r="O1144" s="1"/>
      <c r="AQ1144" s="1"/>
      <c r="AR1144" s="1"/>
      <c r="AS1144" s="1"/>
    </row>
    <row r="1145" spans="1:45" x14ac:dyDescent="0.25">
      <c r="A1145" t="s">
        <v>3557</v>
      </c>
      <c r="B1145" t="s">
        <v>3622</v>
      </c>
      <c r="C1145" s="1" t="s">
        <v>3623</v>
      </c>
      <c r="D1145" t="s">
        <v>3624</v>
      </c>
      <c r="E1145" t="str">
        <f>_xll.BDP($B1145,"LEGAL_ENTITY_IDENTIFIER")</f>
        <v>549300HGGKEL4FYTTQ83</v>
      </c>
      <c r="F1145" t="s">
        <v>3624</v>
      </c>
      <c r="G1145" t="str">
        <f>custodian!D1145</f>
        <v>858119100</v>
      </c>
      <c r="H1145" t="str">
        <f>_xll.BDP($B1145,"ID_ISIN")</f>
        <v>US8581191009</v>
      </c>
      <c r="I1145" s="1" t="s">
        <v>3623</v>
      </c>
      <c r="J1145" t="str">
        <f>_xll.BDP($B1145,"CNTRY_OF_DOMICILE")</f>
        <v>US</v>
      </c>
      <c r="K1145" t="s">
        <v>98</v>
      </c>
      <c r="L1145" t="s">
        <v>99</v>
      </c>
      <c r="O1145" s="1"/>
      <c r="AQ1145" s="1"/>
      <c r="AR1145" s="1"/>
      <c r="AS1145" s="1"/>
    </row>
    <row r="1146" spans="1:45" x14ac:dyDescent="0.25">
      <c r="A1146" t="s">
        <v>3557</v>
      </c>
      <c r="B1146" t="s">
        <v>753</v>
      </c>
      <c r="C1146" s="1" t="s">
        <v>754</v>
      </c>
      <c r="D1146" t="s">
        <v>755</v>
      </c>
      <c r="E1146" t="str">
        <f>_xll.BDP($B1146,"LEGAL_ENTITY_IDENTIFIER")</f>
        <v>54930043XZGB27CTOV49</v>
      </c>
      <c r="F1146" t="s">
        <v>755</v>
      </c>
      <c r="G1146" t="str">
        <f>custodian!D1146</f>
        <v>88160R101</v>
      </c>
      <c r="H1146" t="str">
        <f>_xll.BDP($B1146,"ID_ISIN")</f>
        <v>US88160R1014</v>
      </c>
      <c r="I1146" s="1" t="s">
        <v>754</v>
      </c>
      <c r="J1146" t="str">
        <f>_xll.BDP($B1146,"CNTRY_OF_DOMICILE")</f>
        <v>US</v>
      </c>
      <c r="K1146" t="s">
        <v>98</v>
      </c>
      <c r="L1146" t="s">
        <v>99</v>
      </c>
      <c r="O1146" s="1"/>
      <c r="AQ1146" s="1"/>
      <c r="AR1146" s="1"/>
      <c r="AS1146" s="1"/>
    </row>
    <row r="1147" spans="1:45" x14ac:dyDescent="0.25">
      <c r="A1147" t="s">
        <v>3557</v>
      </c>
      <c r="B1147" t="s">
        <v>3625</v>
      </c>
      <c r="C1147" s="1" t="s">
        <v>3626</v>
      </c>
      <c r="D1147" t="s">
        <v>3627</v>
      </c>
      <c r="E1147" t="str">
        <f>_xll.BDP($B1147,"LEGAL_ENTITY_IDENTIFIER")</f>
        <v>5299005C4HZL4UWROC14</v>
      </c>
      <c r="F1147" t="s">
        <v>3627</v>
      </c>
      <c r="G1147" t="str">
        <f>custodian!D1147</f>
        <v>91307C102</v>
      </c>
      <c r="H1147" t="str">
        <f>_xll.BDP($B1147,"ID_ISIN")</f>
        <v>US91307C1027</v>
      </c>
      <c r="I1147" s="1" t="s">
        <v>3626</v>
      </c>
      <c r="J1147" t="str">
        <f>_xll.BDP($B1147,"CNTRY_OF_DOMICILE")</f>
        <v>US</v>
      </c>
      <c r="K1147" t="s">
        <v>98</v>
      </c>
      <c r="L1147" t="s">
        <v>99</v>
      </c>
      <c r="O1147" s="1"/>
      <c r="AQ1147" s="1"/>
      <c r="AR1147" s="1"/>
      <c r="AS1147" s="1"/>
    </row>
    <row r="1148" spans="1:45" x14ac:dyDescent="0.25">
      <c r="A1148" t="s">
        <v>3557</v>
      </c>
      <c r="B1148" t="s">
        <v>371</v>
      </c>
      <c r="C1148" s="1" t="s">
        <v>372</v>
      </c>
      <c r="D1148" t="s">
        <v>373</v>
      </c>
      <c r="E1148" t="str">
        <f>_xll.BDP($B1148,"LEGAL_ENTITY_IDENTIFIER")</f>
        <v>549300YZEXPDB92M2F02</v>
      </c>
      <c r="F1148" t="s">
        <v>373</v>
      </c>
      <c r="G1148" t="str">
        <f>custodian!D1148</f>
        <v>922475108</v>
      </c>
      <c r="H1148" t="str">
        <f>_xll.BDP($B1148,"ID_ISIN")</f>
        <v>US9224751084</v>
      </c>
      <c r="I1148" s="1" t="s">
        <v>372</v>
      </c>
      <c r="J1148" t="str">
        <f>_xll.BDP($B1148,"CNTRY_OF_DOMICILE")</f>
        <v>US</v>
      </c>
      <c r="K1148" t="s">
        <v>98</v>
      </c>
      <c r="L1148" t="s">
        <v>99</v>
      </c>
      <c r="O1148" s="1"/>
      <c r="AQ1148" s="1"/>
      <c r="AR1148" s="1"/>
      <c r="AS1148" s="1"/>
    </row>
    <row r="1149" spans="1:45" x14ac:dyDescent="0.25">
      <c r="A1149" t="s">
        <v>3557</v>
      </c>
      <c r="B1149" t="s">
        <v>3628</v>
      </c>
      <c r="C1149" s="1" t="s">
        <v>3629</v>
      </c>
      <c r="D1149" t="s">
        <v>3630</v>
      </c>
      <c r="E1149" t="str">
        <f>_xll.BDP($B1149,"LEGAL_ENTITY_IDENTIFIER")</f>
        <v>549300HDLRTPBQU69P29</v>
      </c>
      <c r="F1149" t="s">
        <v>3630</v>
      </c>
      <c r="G1149" t="str">
        <f>custodian!D1149</f>
        <v>94106B101</v>
      </c>
      <c r="H1149" t="str">
        <f>_xll.BDP($B1149,"ID_ISIN")</f>
        <v>CA94106B1013</v>
      </c>
      <c r="I1149" s="1" t="s">
        <v>3629</v>
      </c>
      <c r="J1149" t="str">
        <f>_xll.BDP($B1149,"CNTRY_OF_DOMICILE")</f>
        <v>CA</v>
      </c>
      <c r="K1149" t="s">
        <v>98</v>
      </c>
      <c r="L1149" t="s">
        <v>99</v>
      </c>
      <c r="O1149" s="1"/>
      <c r="AQ1149" s="1"/>
      <c r="AR1149" s="1"/>
      <c r="AS1149" s="1"/>
    </row>
    <row r="1150" spans="1:45" x14ac:dyDescent="0.25">
      <c r="A1150" t="s">
        <v>3557</v>
      </c>
      <c r="B1150" t="s">
        <v>374</v>
      </c>
      <c r="C1150" s="1" t="s">
        <v>375</v>
      </c>
      <c r="D1150" t="s">
        <v>376</v>
      </c>
      <c r="E1150" t="str">
        <f>_xll.BDP($B1150,"LEGAL_ENTITY_IDENTIFIER")</f>
        <v>549300J0DYC0N31V7G13</v>
      </c>
      <c r="F1150" t="s">
        <v>376</v>
      </c>
      <c r="G1150" t="str">
        <f>custodian!D1150</f>
        <v>98138H101</v>
      </c>
      <c r="H1150" t="str">
        <f>_xll.BDP($B1150,"ID_ISIN")</f>
        <v>US98138H1014</v>
      </c>
      <c r="I1150" s="1" t="s">
        <v>375</v>
      </c>
      <c r="J1150" t="str">
        <f>_xll.BDP($B1150,"CNTRY_OF_DOMICILE")</f>
        <v>US</v>
      </c>
      <c r="K1150" t="s">
        <v>98</v>
      </c>
      <c r="L1150" t="s">
        <v>99</v>
      </c>
      <c r="O1150" s="1"/>
      <c r="AQ1150" s="1"/>
      <c r="AR1150" s="1"/>
      <c r="AS1150" s="1"/>
    </row>
    <row r="1151" spans="1:45" x14ac:dyDescent="0.25">
      <c r="A1151" t="s">
        <v>3557</v>
      </c>
      <c r="B1151" t="s">
        <v>386</v>
      </c>
      <c r="C1151" s="1" t="s">
        <v>387</v>
      </c>
      <c r="D1151" t="s">
        <v>388</v>
      </c>
      <c r="E1151" t="str">
        <f>_xll.BDP($B1151,"LEGAL_ENTITY_IDENTIFIER")</f>
        <v>549300OHIIUWSTIZME52</v>
      </c>
      <c r="F1151" t="s">
        <v>388</v>
      </c>
      <c r="G1151" t="str">
        <f>custodian!D1151</f>
        <v>852234103</v>
      </c>
      <c r="H1151" t="str">
        <f>_xll.BDP($B1151,"ID_ISIN")</f>
        <v>US8522341036</v>
      </c>
      <c r="I1151" s="1" t="s">
        <v>387</v>
      </c>
      <c r="J1151" t="str">
        <f>_xll.BDP($B1151,"CNTRY_OF_DOMICILE")</f>
        <v>US</v>
      </c>
      <c r="K1151" t="s">
        <v>98</v>
      </c>
      <c r="L1151" t="s">
        <v>99</v>
      </c>
      <c r="O1151" s="1"/>
      <c r="AQ1151" s="1"/>
      <c r="AR1151" s="1"/>
      <c r="AS1151" s="1"/>
    </row>
    <row r="1152" spans="1:45" x14ac:dyDescent="0.25">
      <c r="A1152" t="s">
        <v>3557</v>
      </c>
      <c r="B1152" t="s">
        <v>389</v>
      </c>
      <c r="C1152" s="1" t="s">
        <v>390</v>
      </c>
      <c r="D1152" t="s">
        <v>391</v>
      </c>
      <c r="E1152" t="str">
        <f>_xll.BDP($B1152,"LEGAL_ENTITY_IDENTIFIER")</f>
        <v>549300T9GCHU0ODOM055</v>
      </c>
      <c r="F1152" t="s">
        <v>391</v>
      </c>
      <c r="G1152" t="str">
        <f>custodian!D1152</f>
        <v>98980L101</v>
      </c>
      <c r="H1152" t="str">
        <f>_xll.BDP($B1152,"ID_ISIN")</f>
        <v>US98980L1017</v>
      </c>
      <c r="I1152" s="1" t="s">
        <v>390</v>
      </c>
      <c r="J1152" t="str">
        <f>_xll.BDP($B1152,"CNTRY_OF_DOMICILE")</f>
        <v>US</v>
      </c>
      <c r="K1152" t="s">
        <v>98</v>
      </c>
      <c r="L1152" t="s">
        <v>99</v>
      </c>
      <c r="O1152" s="1"/>
      <c r="AQ1152" s="1"/>
      <c r="AR1152" s="1"/>
      <c r="AS1152" s="1"/>
    </row>
    <row r="1153" spans="1:45" x14ac:dyDescent="0.25">
      <c r="A1153" t="s">
        <v>3557</v>
      </c>
      <c r="C1153" s="1" t="s">
        <v>52</v>
      </c>
      <c r="E1153" s="1"/>
      <c r="G1153" t="str">
        <f>custodian!D1153</f>
        <v>Cash&amp;Other</v>
      </c>
      <c r="H1153" s="1"/>
      <c r="I1153" s="1"/>
      <c r="O1153" s="1"/>
      <c r="AQ1153" s="1"/>
      <c r="AR1153" s="1"/>
      <c r="AS1153" s="1"/>
    </row>
    <row r="1154" spans="1:45" x14ac:dyDescent="0.25">
      <c r="A1154" t="s">
        <v>3631</v>
      </c>
      <c r="B1154" t="s">
        <v>3632</v>
      </c>
      <c r="C1154" s="1" t="s">
        <v>3633</v>
      </c>
      <c r="D1154" t="s">
        <v>56</v>
      </c>
      <c r="E1154" s="1" t="s">
        <v>56</v>
      </c>
      <c r="F1154" t="s">
        <v>3634</v>
      </c>
      <c r="G1154" t="str">
        <f>custodian!D1154</f>
        <v>218946101-TRS-01/19/28-L</v>
      </c>
      <c r="H1154" s="1"/>
      <c r="I1154" s="1" t="s">
        <v>3633</v>
      </c>
      <c r="J1154" t="s">
        <v>58</v>
      </c>
      <c r="K1154" t="s">
        <v>59</v>
      </c>
      <c r="L1154" t="s">
        <v>60</v>
      </c>
      <c r="M1154" t="s">
        <v>61</v>
      </c>
      <c r="N1154" t="s">
        <v>3372</v>
      </c>
      <c r="O1154" s="1" t="s">
        <v>3373</v>
      </c>
      <c r="V1154" t="s">
        <v>64</v>
      </c>
      <c r="Y1154" t="s">
        <v>65</v>
      </c>
      <c r="Z1154" t="s">
        <v>3635</v>
      </c>
      <c r="AA1154" t="s">
        <v>3636</v>
      </c>
      <c r="AB1154" t="s">
        <v>68</v>
      </c>
      <c r="AD1154" t="s">
        <v>3636</v>
      </c>
      <c r="AE1154" t="s">
        <v>3637</v>
      </c>
      <c r="AF1154" t="s">
        <v>70</v>
      </c>
      <c r="AG1154" t="s">
        <v>3638</v>
      </c>
      <c r="AH1154" t="s">
        <v>72</v>
      </c>
      <c r="AI1154" t="s">
        <v>73</v>
      </c>
      <c r="AK1154" t="s">
        <v>3636</v>
      </c>
      <c r="AL1154" t="s">
        <v>68</v>
      </c>
      <c r="AM1154" t="s">
        <v>74</v>
      </c>
      <c r="AN1154" t="s">
        <v>75</v>
      </c>
      <c r="AO1154" t="str">
        <f>_xll.BDP($B1154,"ISSUER")</f>
        <v>Corgi Founder-Led ETF</v>
      </c>
      <c r="AP1154" t="str">
        <f>_xll.BDP($B1154,"NAME")</f>
        <v>CORGI FOUNDER-LED ETF</v>
      </c>
      <c r="AQ1154" s="1" t="s">
        <v>3639</v>
      </c>
      <c r="AR1154" t="str">
        <f>_xll.BDP($B1154,"ID_ISIN")</f>
        <v>US2189461013</v>
      </c>
      <c r="AS1154" t="str">
        <f>_xll.BDP($B1154,"TICKER")</f>
        <v>FDRS</v>
      </c>
    </row>
    <row r="1155" spans="1:45" x14ac:dyDescent="0.25">
      <c r="A1155" t="s">
        <v>3631</v>
      </c>
      <c r="B1155" t="s">
        <v>77</v>
      </c>
      <c r="C1155" s="1" t="s">
        <v>78</v>
      </c>
      <c r="D1155" t="s">
        <v>79</v>
      </c>
      <c r="E1155" t="str">
        <f>_xll.BDP($B1155,"LEGAL_ENTITY_IDENTIFIER")</f>
        <v>549300R5MYM6VZF1RM44</v>
      </c>
      <c r="F1155" t="s">
        <v>80</v>
      </c>
      <c r="G1155" t="str">
        <f>custodian!D1155</f>
        <v>31846V336</v>
      </c>
      <c r="H1155" t="str">
        <f>_xll.BDP($B1155,"ID_ISIN")</f>
        <v>US31846V3362</v>
      </c>
      <c r="I1155" s="1" t="s">
        <v>78</v>
      </c>
      <c r="J1155" t="str">
        <f>_xll.BDP($B1155,"CNTRY_OF_DOMICILE")</f>
        <v>US</v>
      </c>
      <c r="K1155" t="s">
        <v>81</v>
      </c>
      <c r="L1155" t="s">
        <v>82</v>
      </c>
      <c r="O1155" s="1"/>
      <c r="AQ1155" s="1"/>
      <c r="AR1155" s="1"/>
      <c r="AS1155" s="1"/>
    </row>
    <row r="1156" spans="1:45" x14ac:dyDescent="0.25">
      <c r="A1156" t="s">
        <v>3631</v>
      </c>
      <c r="C1156" s="1" t="s">
        <v>52</v>
      </c>
      <c r="E1156" s="1"/>
      <c r="G1156" t="str">
        <f>custodian!D1156</f>
        <v>Cash&amp;Other</v>
      </c>
      <c r="H1156" s="1"/>
      <c r="I1156" s="1"/>
      <c r="O1156" s="1"/>
      <c r="AQ1156" s="1"/>
      <c r="AR1156" s="1"/>
      <c r="AS1156" s="1"/>
    </row>
    <row r="1157" spans="1:45" x14ac:dyDescent="0.25">
      <c r="A1157" t="s">
        <v>3640</v>
      </c>
      <c r="B1157" t="s">
        <v>3641</v>
      </c>
      <c r="C1157" s="1" t="s">
        <v>3642</v>
      </c>
      <c r="D1157" t="s">
        <v>3643</v>
      </c>
      <c r="E1157" t="str">
        <f>_xll.BDP($B1157,"LEGAL_ENTITY_IDENTIFIER")</f>
        <v>529900E4KZWBV9KGBS83</v>
      </c>
      <c r="F1157" t="s">
        <v>3643</v>
      </c>
      <c r="G1157" t="str">
        <f>custodian!D1157</f>
        <v>04010E109</v>
      </c>
      <c r="H1157" t="str">
        <f>_xll.BDP($B1157,"ID_ISIN")</f>
        <v>US04010E1091</v>
      </c>
      <c r="I1157" s="1" t="s">
        <v>3642</v>
      </c>
      <c r="J1157" t="str">
        <f>_xll.BDP($B1157,"CNTRY_OF_DOMICILE")</f>
        <v>US</v>
      </c>
      <c r="K1157" t="s">
        <v>98</v>
      </c>
      <c r="L1157" t="s">
        <v>99</v>
      </c>
      <c r="O1157" s="1"/>
      <c r="AQ1157" s="1"/>
      <c r="AR1157" s="1"/>
      <c r="AS1157" s="1"/>
    </row>
    <row r="1158" spans="1:45" x14ac:dyDescent="0.25">
      <c r="A1158" t="s">
        <v>3640</v>
      </c>
      <c r="B1158" t="s">
        <v>3644</v>
      </c>
      <c r="C1158" s="1" t="s">
        <v>3645</v>
      </c>
      <c r="D1158" t="s">
        <v>3646</v>
      </c>
      <c r="E1158" t="str">
        <f>_xll.BDP($B1158,"LEGAL_ENTITY_IDENTIFIER")</f>
        <v>549300K3RIHMHDVFTL28</v>
      </c>
      <c r="F1158" t="s">
        <v>3646</v>
      </c>
      <c r="G1158" t="str">
        <f>custodian!D1158</f>
        <v>03957W106</v>
      </c>
      <c r="H1158" t="str">
        <f>_xll.BDP($B1158,"ID_ISIN")</f>
        <v>US03957W1062</v>
      </c>
      <c r="I1158" s="1" t="s">
        <v>3645</v>
      </c>
      <c r="J1158" t="str">
        <f>_xll.BDP($B1158,"CNTRY_OF_DOMICILE")</f>
        <v>US</v>
      </c>
      <c r="K1158" t="s">
        <v>98</v>
      </c>
      <c r="L1158" t="s">
        <v>99</v>
      </c>
      <c r="O1158" s="1"/>
      <c r="AQ1158" s="1"/>
      <c r="AR1158" s="1"/>
      <c r="AS1158" s="1"/>
    </row>
    <row r="1159" spans="1:45" x14ac:dyDescent="0.25">
      <c r="A1159" t="s">
        <v>3640</v>
      </c>
      <c r="B1159" t="s">
        <v>3647</v>
      </c>
      <c r="C1159" s="1" t="s">
        <v>3648</v>
      </c>
      <c r="D1159" t="s">
        <v>3649</v>
      </c>
      <c r="E1159" t="str">
        <f>_xll.BDP($B1159,"LEGAL_ENTITY_IDENTIFIER")</f>
        <v>#N/A N/A</v>
      </c>
      <c r="F1159" t="s">
        <v>3649</v>
      </c>
      <c r="G1159" t="str">
        <f>custodian!D1159</f>
        <v>05722G100</v>
      </c>
      <c r="H1159" t="str">
        <f>_xll.BDP($B1159,"ID_ISIN")</f>
        <v>US05722G1004</v>
      </c>
      <c r="I1159" s="1" t="s">
        <v>3648</v>
      </c>
      <c r="J1159" t="str">
        <f>_xll.BDP($B1159,"CNTRY_OF_DOMICILE")</f>
        <v>US</v>
      </c>
      <c r="K1159" t="s">
        <v>98</v>
      </c>
      <c r="L1159" t="s">
        <v>99</v>
      </c>
      <c r="O1159" s="1"/>
      <c r="AQ1159" s="1"/>
      <c r="AR1159" s="1"/>
      <c r="AS1159" s="1"/>
    </row>
    <row r="1160" spans="1:45" x14ac:dyDescent="0.25">
      <c r="A1160" t="s">
        <v>3640</v>
      </c>
      <c r="B1160" t="s">
        <v>712</v>
      </c>
      <c r="C1160" s="1" t="s">
        <v>713</v>
      </c>
      <c r="D1160" t="s">
        <v>714</v>
      </c>
      <c r="E1160" t="str">
        <f>_xll.BDP($B1160,"LEGAL_ENTITY_IDENTIFIER")</f>
        <v>WRJR7GS4GTRECRRTVX92</v>
      </c>
      <c r="F1160" t="s">
        <v>714</v>
      </c>
      <c r="G1160" t="str">
        <f>custodian!D1160</f>
        <v>149123101</v>
      </c>
      <c r="H1160" t="str">
        <f>_xll.BDP($B1160,"ID_ISIN")</f>
        <v>US1491231015</v>
      </c>
      <c r="I1160" s="1" t="s">
        <v>713</v>
      </c>
      <c r="J1160" t="str">
        <f>_xll.BDP($B1160,"CNTRY_OF_DOMICILE")</f>
        <v>US</v>
      </c>
      <c r="K1160" t="s">
        <v>98</v>
      </c>
      <c r="L1160" t="s">
        <v>99</v>
      </c>
      <c r="O1160" s="1"/>
      <c r="AQ1160" s="1"/>
      <c r="AR1160" s="1"/>
      <c r="AS1160" s="1"/>
    </row>
    <row r="1161" spans="1:45" x14ac:dyDescent="0.25">
      <c r="A1161" t="s">
        <v>3640</v>
      </c>
      <c r="B1161" t="s">
        <v>3650</v>
      </c>
      <c r="C1161" s="1" t="s">
        <v>3651</v>
      </c>
      <c r="D1161" t="s">
        <v>3652</v>
      </c>
      <c r="E1161" t="str">
        <f>_xll.BDP($B1161,"LEGAL_ENTITY_IDENTIFIER")</f>
        <v>549300MTQB4VUAOPMF71</v>
      </c>
      <c r="F1161" t="s">
        <v>3652</v>
      </c>
      <c r="G1161" t="str">
        <f>custodian!D1161</f>
        <v>184499101</v>
      </c>
      <c r="H1161" t="str">
        <f>_xll.BDP($B1161,"ID_ISIN")</f>
        <v>US1844991018</v>
      </c>
      <c r="I1161" s="1" t="s">
        <v>3651</v>
      </c>
      <c r="J1161" t="str">
        <f>_xll.BDP($B1161,"CNTRY_OF_DOMICILE")</f>
        <v>US</v>
      </c>
      <c r="K1161" t="s">
        <v>98</v>
      </c>
      <c r="L1161" t="s">
        <v>99</v>
      </c>
      <c r="O1161" s="1"/>
      <c r="AQ1161" s="1"/>
      <c r="AR1161" s="1"/>
      <c r="AS1161" s="1"/>
    </row>
    <row r="1162" spans="1:45" x14ac:dyDescent="0.25">
      <c r="A1162" t="s">
        <v>3640</v>
      </c>
      <c r="B1162" t="s">
        <v>3194</v>
      </c>
      <c r="C1162" s="1" t="s">
        <v>3195</v>
      </c>
      <c r="D1162" t="s">
        <v>3196</v>
      </c>
      <c r="E1162" t="str">
        <f>_xll.BDP($B1162,"LEGAL_ENTITY_IDENTIFIER")</f>
        <v>ZUNI8PYC725B6H8JU438</v>
      </c>
      <c r="F1162" t="s">
        <v>3196</v>
      </c>
      <c r="G1162" t="str">
        <f>custodian!D1162</f>
        <v>231021106</v>
      </c>
      <c r="H1162" t="str">
        <f>_xll.BDP($B1162,"ID_ISIN")</f>
        <v>US2310211063</v>
      </c>
      <c r="I1162" s="1" t="s">
        <v>3195</v>
      </c>
      <c r="J1162" t="str">
        <f>_xll.BDP($B1162,"CNTRY_OF_DOMICILE")</f>
        <v>US</v>
      </c>
      <c r="K1162" t="s">
        <v>98</v>
      </c>
      <c r="L1162" t="s">
        <v>99</v>
      </c>
      <c r="O1162" s="1"/>
      <c r="AQ1162" s="1"/>
      <c r="AR1162" s="1"/>
      <c r="AS1162" s="1"/>
    </row>
    <row r="1163" spans="1:45" x14ac:dyDescent="0.25">
      <c r="A1163" t="s">
        <v>3640</v>
      </c>
      <c r="B1163" t="s">
        <v>3653</v>
      </c>
      <c r="C1163" s="1" t="s">
        <v>3654</v>
      </c>
      <c r="D1163" t="s">
        <v>3655</v>
      </c>
      <c r="E1163" t="str">
        <f>_xll.BDP($B1163,"LEGAL_ENTITY_IDENTIFIER")</f>
        <v>TEL51ETZWP7D0ZM4X325</v>
      </c>
      <c r="F1163" t="s">
        <v>3655</v>
      </c>
      <c r="G1163" t="str">
        <f>custodian!D1163</f>
        <v>231561101</v>
      </c>
      <c r="H1163" t="str">
        <f>_xll.BDP($B1163,"ID_ISIN")</f>
        <v>US2315611010</v>
      </c>
      <c r="I1163" s="1" t="s">
        <v>3654</v>
      </c>
      <c r="J1163" t="str">
        <f>_xll.BDP($B1163,"CNTRY_OF_DOMICILE")</f>
        <v>US</v>
      </c>
      <c r="K1163" t="s">
        <v>98</v>
      </c>
      <c r="L1163" t="s">
        <v>99</v>
      </c>
      <c r="O1163" s="1"/>
      <c r="AQ1163" s="1"/>
      <c r="AR1163" s="1"/>
      <c r="AS1163" s="1"/>
    </row>
    <row r="1164" spans="1:45" x14ac:dyDescent="0.25">
      <c r="A1164" t="s">
        <v>3640</v>
      </c>
      <c r="B1164" t="s">
        <v>3656</v>
      </c>
      <c r="C1164" s="1" t="s">
        <v>3657</v>
      </c>
      <c r="D1164" t="s">
        <v>3658</v>
      </c>
      <c r="E1164" t="str">
        <f>_xll.BDP($B1164,"LEGAL_ENTITY_IDENTIFIER")</f>
        <v>OZE6KXY9QQPR8EJ8WL20</v>
      </c>
      <c r="F1164" t="s">
        <v>3658</v>
      </c>
      <c r="G1164" t="str">
        <f>custodian!D1164</f>
        <v>257651109</v>
      </c>
      <c r="H1164" t="str">
        <f>_xll.BDP($B1164,"ID_ISIN")</f>
        <v>US2576511099</v>
      </c>
      <c r="I1164" s="1" t="s">
        <v>3657</v>
      </c>
      <c r="J1164" t="str">
        <f>_xll.BDP($B1164,"CNTRY_OF_DOMICILE")</f>
        <v>US</v>
      </c>
      <c r="K1164" t="s">
        <v>98</v>
      </c>
      <c r="L1164" t="s">
        <v>99</v>
      </c>
      <c r="O1164" s="1"/>
      <c r="AQ1164" s="1"/>
      <c r="AR1164" s="1"/>
      <c r="AS1164" s="1"/>
    </row>
    <row r="1165" spans="1:45" x14ac:dyDescent="0.25">
      <c r="A1165" t="s">
        <v>3640</v>
      </c>
      <c r="B1165" t="s">
        <v>3659</v>
      </c>
      <c r="C1165" s="1" t="s">
        <v>3660</v>
      </c>
      <c r="D1165" t="s">
        <v>3661</v>
      </c>
      <c r="E1165" t="str">
        <f>_xll.BDP($B1165,"LEGAL_ENTITY_IDENTIFIER")</f>
        <v>549300VDIGTMXUNT7H71</v>
      </c>
      <c r="F1165" t="s">
        <v>3661</v>
      </c>
      <c r="G1165" t="str">
        <f>custodian!D1165</f>
        <v>G29183103</v>
      </c>
      <c r="H1165" t="str">
        <f>_xll.BDP($B1165,"ID_ISIN")</f>
        <v>IE00B8KQN827</v>
      </c>
      <c r="I1165" s="1" t="s">
        <v>3660</v>
      </c>
      <c r="J1165" t="str">
        <f>_xll.BDP($B1165,"CNTRY_OF_DOMICILE")</f>
        <v>IE</v>
      </c>
      <c r="K1165" t="s">
        <v>98</v>
      </c>
      <c r="L1165" t="s">
        <v>99</v>
      </c>
      <c r="O1165" s="1"/>
      <c r="AQ1165" s="1"/>
      <c r="AR1165" s="1"/>
      <c r="AS1165" s="1"/>
    </row>
    <row r="1166" spans="1:45" x14ac:dyDescent="0.25">
      <c r="A1166" t="s">
        <v>3640</v>
      </c>
      <c r="B1166" t="s">
        <v>77</v>
      </c>
      <c r="C1166" s="1" t="s">
        <v>78</v>
      </c>
      <c r="D1166" t="s">
        <v>79</v>
      </c>
      <c r="E1166" t="str">
        <f>_xll.BDP($B1166,"LEGAL_ENTITY_IDENTIFIER")</f>
        <v>549300R5MYM6VZF1RM44</v>
      </c>
      <c r="F1166" t="s">
        <v>80</v>
      </c>
      <c r="G1166" t="str">
        <f>custodian!D1166</f>
        <v>31846V336</v>
      </c>
      <c r="H1166" t="str">
        <f>_xll.BDP($B1166,"ID_ISIN")</f>
        <v>US31846V3362</v>
      </c>
      <c r="I1166" s="1" t="s">
        <v>78</v>
      </c>
      <c r="J1166" t="str">
        <f>_xll.BDP($B1166,"CNTRY_OF_DOMICILE")</f>
        <v>US</v>
      </c>
      <c r="K1166" t="s">
        <v>81</v>
      </c>
      <c r="L1166" t="s">
        <v>82</v>
      </c>
      <c r="O1166" s="1"/>
      <c r="AQ1166" s="1"/>
      <c r="AR1166" s="1"/>
      <c r="AS1166" s="1"/>
    </row>
    <row r="1167" spans="1:45" x14ac:dyDescent="0.25">
      <c r="A1167" t="s">
        <v>3640</v>
      </c>
      <c r="B1167" t="s">
        <v>3662</v>
      </c>
      <c r="C1167" s="1" t="s">
        <v>3663</v>
      </c>
      <c r="D1167" t="s">
        <v>3664</v>
      </c>
      <c r="E1167" t="str">
        <f>_xll.BDP($B1167,"LEGAL_ENTITY_IDENTIFIER")</f>
        <v>CQ7WZ4NOFWT7FAE6Q943</v>
      </c>
      <c r="F1167" t="s">
        <v>3664</v>
      </c>
      <c r="G1167" t="str">
        <f>custodian!D1167</f>
        <v>343412102</v>
      </c>
      <c r="H1167" t="str">
        <f>_xll.BDP($B1167,"ID_ISIN")</f>
        <v>US3434121022</v>
      </c>
      <c r="I1167" s="1" t="s">
        <v>3663</v>
      </c>
      <c r="J1167" t="str">
        <f>_xll.BDP($B1167,"CNTRY_OF_DOMICILE")</f>
        <v>US</v>
      </c>
      <c r="K1167" t="s">
        <v>98</v>
      </c>
      <c r="L1167" t="s">
        <v>99</v>
      </c>
      <c r="O1167" s="1"/>
      <c r="AQ1167" s="1"/>
      <c r="AR1167" s="1"/>
      <c r="AS1167" s="1"/>
    </row>
    <row r="1168" spans="1:45" x14ac:dyDescent="0.25">
      <c r="A1168" t="s">
        <v>3640</v>
      </c>
      <c r="B1168" t="s">
        <v>3665</v>
      </c>
      <c r="C1168" s="1" t="s">
        <v>3666</v>
      </c>
      <c r="D1168" t="s">
        <v>3667</v>
      </c>
      <c r="E1168" t="str">
        <f>_xll.BDP($B1168,"LEGAL_ENTITY_IDENTIFIER")</f>
        <v>6Y0GK87T6V7NJKZJVM41</v>
      </c>
      <c r="F1168" t="s">
        <v>3667</v>
      </c>
      <c r="G1168" t="str">
        <f>custodian!D1168</f>
        <v>34354P105</v>
      </c>
      <c r="H1168" t="str">
        <f>_xll.BDP($B1168,"ID_ISIN")</f>
        <v>US34354P1057</v>
      </c>
      <c r="I1168" s="1" t="s">
        <v>3666</v>
      </c>
      <c r="J1168" t="str">
        <f>_xll.BDP($B1168,"CNTRY_OF_DOMICILE")</f>
        <v>US</v>
      </c>
      <c r="K1168" t="s">
        <v>98</v>
      </c>
      <c r="L1168" t="s">
        <v>99</v>
      </c>
      <c r="O1168" s="1"/>
      <c r="AQ1168" s="1"/>
      <c r="AR1168" s="1"/>
      <c r="AS1168" s="1"/>
    </row>
    <row r="1169" spans="1:45" x14ac:dyDescent="0.25">
      <c r="A1169" t="s">
        <v>3640</v>
      </c>
      <c r="B1169" t="s">
        <v>3668</v>
      </c>
      <c r="C1169" s="1" t="s">
        <v>3669</v>
      </c>
      <c r="D1169" t="s">
        <v>3670</v>
      </c>
      <c r="E1169" t="str">
        <f>_xll.BDP($B1169,"LEGAL_ENTITY_IDENTIFIER")</f>
        <v>549300D5I93QWCJTCK36</v>
      </c>
      <c r="F1169" t="s">
        <v>3670</v>
      </c>
      <c r="G1169" t="str">
        <f>custodian!D1169</f>
        <v>G87110105</v>
      </c>
      <c r="H1169" t="str">
        <f>_xll.BDP($B1169,"ID_ISIN")</f>
        <v>GB00BDSFG982</v>
      </c>
      <c r="I1169" s="1" t="s">
        <v>3669</v>
      </c>
      <c r="J1169" t="str">
        <f>_xll.BDP($B1169,"CNTRY_OF_DOMICILE")</f>
        <v>GB</v>
      </c>
      <c r="K1169" t="s">
        <v>98</v>
      </c>
      <c r="L1169" t="s">
        <v>99</v>
      </c>
      <c r="O1169" s="1"/>
      <c r="AQ1169" s="1"/>
      <c r="AR1169" s="1"/>
      <c r="AS1169" s="1"/>
    </row>
    <row r="1170" spans="1:45" x14ac:dyDescent="0.25">
      <c r="A1170" t="s">
        <v>3640</v>
      </c>
      <c r="B1170" t="s">
        <v>3671</v>
      </c>
      <c r="C1170" s="1" t="s">
        <v>3672</v>
      </c>
      <c r="D1170" t="s">
        <v>3673</v>
      </c>
      <c r="E1170" t="str">
        <f>_xll.BDP($B1170,"LEGAL_ENTITY_IDENTIFIER")</f>
        <v>254900DP080RU6OK2553</v>
      </c>
      <c r="F1170" t="s">
        <v>3673</v>
      </c>
      <c r="G1170" t="str">
        <f>custodian!D1170</f>
        <v>36828A101</v>
      </c>
      <c r="H1170" t="str">
        <f>_xll.BDP($B1170,"ID_ISIN")</f>
        <v>US36828A1016</v>
      </c>
      <c r="I1170" s="1" t="s">
        <v>3672</v>
      </c>
      <c r="J1170" t="str">
        <f>_xll.BDP($B1170,"CNTRY_OF_DOMICILE")</f>
        <v>US</v>
      </c>
      <c r="K1170" t="s">
        <v>98</v>
      </c>
      <c r="L1170" t="s">
        <v>99</v>
      </c>
      <c r="O1170" s="1"/>
      <c r="AQ1170" s="1"/>
      <c r="AR1170" s="1"/>
      <c r="AS1170" s="1"/>
    </row>
    <row r="1171" spans="1:45" x14ac:dyDescent="0.25">
      <c r="A1171" t="s">
        <v>3640</v>
      </c>
      <c r="B1171" t="s">
        <v>3674</v>
      </c>
      <c r="C1171" s="1" t="s">
        <v>3675</v>
      </c>
      <c r="D1171" t="s">
        <v>3676</v>
      </c>
      <c r="E1171" t="str">
        <f>_xll.BDP($B1171,"LEGAL_ENTITY_IDENTIFIER")</f>
        <v>529900S2H2AHJHSFFI84</v>
      </c>
      <c r="F1171" t="s">
        <v>3676</v>
      </c>
      <c r="G1171" t="str">
        <f>custodian!D1171</f>
        <v>368736104</v>
      </c>
      <c r="H1171" t="str">
        <f>_xll.BDP($B1171,"ID_ISIN")</f>
        <v>US3687361044</v>
      </c>
      <c r="I1171" s="1" t="s">
        <v>3675</v>
      </c>
      <c r="J1171" t="str">
        <f>_xll.BDP($B1171,"CNTRY_OF_DOMICILE")</f>
        <v>US</v>
      </c>
      <c r="K1171" t="s">
        <v>98</v>
      </c>
      <c r="L1171" t="s">
        <v>99</v>
      </c>
      <c r="O1171" s="1"/>
      <c r="AQ1171" s="1"/>
      <c r="AR1171" s="1"/>
      <c r="AS1171" s="1"/>
    </row>
    <row r="1172" spans="1:45" x14ac:dyDescent="0.25">
      <c r="A1172" t="s">
        <v>3640</v>
      </c>
      <c r="B1172" t="s">
        <v>3677</v>
      </c>
      <c r="C1172" s="1" t="s">
        <v>3678</v>
      </c>
      <c r="D1172" t="s">
        <v>3679</v>
      </c>
      <c r="E1172" t="str">
        <f>_xll.BDP($B1172,"LEGAL_ENTITY_IDENTIFIER")</f>
        <v>EM7QGKC1GYOF3LSZSL80</v>
      </c>
      <c r="F1172" t="s">
        <v>3679</v>
      </c>
      <c r="G1172" t="str">
        <f>custodian!D1172</f>
        <v>16115Q308</v>
      </c>
      <c r="H1172" t="str">
        <f>_xll.BDP($B1172,"ID_ISIN")</f>
        <v>US16115Q3083</v>
      </c>
      <c r="I1172" s="1" t="s">
        <v>3678</v>
      </c>
      <c r="J1172" t="str">
        <f>_xll.BDP($B1172,"CNTRY_OF_DOMICILE")</f>
        <v>US</v>
      </c>
      <c r="K1172" t="s">
        <v>98</v>
      </c>
      <c r="L1172" t="s">
        <v>99</v>
      </c>
      <c r="O1172" s="1"/>
      <c r="AQ1172" s="1"/>
      <c r="AR1172" s="1"/>
      <c r="AS1172" s="1"/>
    </row>
    <row r="1173" spans="1:45" x14ac:dyDescent="0.25">
      <c r="A1173" t="s">
        <v>3640</v>
      </c>
      <c r="B1173" t="s">
        <v>3680</v>
      </c>
      <c r="C1173" s="1" t="s">
        <v>3681</v>
      </c>
      <c r="D1173" t="s">
        <v>3682</v>
      </c>
      <c r="E1173" t="str">
        <f>_xll.BDP($B1173,"LEGAL_ENTITY_IDENTIFIER")</f>
        <v>#N/A N/A</v>
      </c>
      <c r="F1173" t="s">
        <v>3682</v>
      </c>
      <c r="G1173" t="str">
        <f>custodian!D1173</f>
        <v>50012A108</v>
      </c>
      <c r="H1173" t="str">
        <f>_xll.BDP($B1173,"ID_ISIN")</f>
        <v>US50012A1088</v>
      </c>
      <c r="I1173" s="1" t="s">
        <v>3681</v>
      </c>
      <c r="J1173" t="str">
        <f>_xll.BDP($B1173,"CNTRY_OF_DOMICILE")</f>
        <v>US</v>
      </c>
      <c r="K1173" t="s">
        <v>98</v>
      </c>
      <c r="L1173" t="s">
        <v>99</v>
      </c>
      <c r="O1173" s="1"/>
      <c r="AQ1173" s="1"/>
      <c r="AR1173" s="1"/>
      <c r="AS1173" s="1"/>
    </row>
    <row r="1174" spans="1:45" x14ac:dyDescent="0.25">
      <c r="A1174" t="s">
        <v>3640</v>
      </c>
      <c r="B1174" t="s">
        <v>3683</v>
      </c>
      <c r="C1174" s="1" t="s">
        <v>3684</v>
      </c>
      <c r="D1174" t="s">
        <v>3685</v>
      </c>
      <c r="E1174" t="str">
        <f>_xll.BDP($B1174,"LEGAL_ENTITY_IDENTIFIER")</f>
        <v>549300WR7IX8XE0TBO16</v>
      </c>
      <c r="F1174" t="s">
        <v>3685</v>
      </c>
      <c r="G1174" t="str">
        <f>custodian!D1174</f>
        <v>49456B101</v>
      </c>
      <c r="H1174" t="str">
        <f>_xll.BDP($B1174,"ID_ISIN")</f>
        <v>US49456B1017</v>
      </c>
      <c r="I1174" s="1" t="s">
        <v>3684</v>
      </c>
      <c r="J1174" t="str">
        <f>_xll.BDP($B1174,"CNTRY_OF_DOMICILE")</f>
        <v>US</v>
      </c>
      <c r="K1174" t="s">
        <v>98</v>
      </c>
      <c r="L1174" t="s">
        <v>99</v>
      </c>
      <c r="O1174" s="1"/>
      <c r="AQ1174" s="1"/>
      <c r="AR1174" s="1"/>
      <c r="AS1174" s="1"/>
    </row>
    <row r="1175" spans="1:45" x14ac:dyDescent="0.25">
      <c r="A1175" t="s">
        <v>3640</v>
      </c>
      <c r="B1175" t="s">
        <v>3686</v>
      </c>
      <c r="C1175" s="1" t="s">
        <v>3687</v>
      </c>
      <c r="D1175" t="s">
        <v>3688</v>
      </c>
      <c r="E1175" t="str">
        <f>_xll.BDP($B1175,"LEGAL_ENTITY_IDENTIFIER")</f>
        <v>MIHC87W9WTYSYZWV1J40</v>
      </c>
      <c r="F1175" t="s">
        <v>3688</v>
      </c>
      <c r="G1175" t="str">
        <f>custodian!D1175</f>
        <v>16411R208</v>
      </c>
      <c r="H1175" t="str">
        <f>_xll.BDP($B1175,"ID_ISIN")</f>
        <v>US16411R2085</v>
      </c>
      <c r="I1175" s="1" t="s">
        <v>3687</v>
      </c>
      <c r="J1175" t="str">
        <f>_xll.BDP($B1175,"CNTRY_OF_DOMICILE")</f>
        <v>US</v>
      </c>
      <c r="K1175" t="s">
        <v>98</v>
      </c>
      <c r="L1175" t="s">
        <v>99</v>
      </c>
      <c r="O1175" s="1"/>
      <c r="AQ1175" s="1"/>
      <c r="AR1175" s="1"/>
      <c r="AS1175" s="1"/>
    </row>
    <row r="1176" spans="1:45" x14ac:dyDescent="0.25">
      <c r="A1176" t="s">
        <v>3640</v>
      </c>
      <c r="B1176" t="s">
        <v>3689</v>
      </c>
      <c r="C1176" s="1" t="s">
        <v>3690</v>
      </c>
      <c r="D1176" t="s">
        <v>3691</v>
      </c>
      <c r="E1176" t="str">
        <f>_xll.BDP($B1176,"LEGAL_ENTITY_IDENTIFIER")</f>
        <v>254900EICTYTCHA5X705</v>
      </c>
      <c r="F1176" t="s">
        <v>3691</v>
      </c>
      <c r="G1176" t="str">
        <f>custodian!D1176</f>
        <v>644393100</v>
      </c>
      <c r="H1176" t="str">
        <f>_xll.BDP($B1176,"ID_ISIN")</f>
        <v>US6443931000</v>
      </c>
      <c r="I1176" s="1" t="s">
        <v>3690</v>
      </c>
      <c r="J1176" t="str">
        <f>_xll.BDP($B1176,"CNTRY_OF_DOMICILE")</f>
        <v>US</v>
      </c>
      <c r="K1176" t="s">
        <v>98</v>
      </c>
      <c r="L1176" t="s">
        <v>99</v>
      </c>
      <c r="O1176" s="1"/>
      <c r="AQ1176" s="1"/>
      <c r="AR1176" s="1"/>
      <c r="AS1176" s="1"/>
    </row>
    <row r="1177" spans="1:45" x14ac:dyDescent="0.25">
      <c r="A1177" t="s">
        <v>3640</v>
      </c>
      <c r="B1177" t="s">
        <v>3692</v>
      </c>
      <c r="C1177" s="1" t="s">
        <v>3693</v>
      </c>
      <c r="D1177" t="s">
        <v>3694</v>
      </c>
      <c r="E1177" t="str">
        <f>_xll.BDP($B1177,"LEGAL_ENTITY_IDENTIFIER")</f>
        <v>#N/A N/A</v>
      </c>
      <c r="F1177" t="s">
        <v>3694</v>
      </c>
      <c r="G1177" t="str">
        <f>custodian!D1177</f>
        <v>63886Q109</v>
      </c>
      <c r="H1177" t="str">
        <f>_xll.BDP($B1177,"ID_ISIN")</f>
        <v>US63886Q1094</v>
      </c>
      <c r="I1177" s="1" t="s">
        <v>3693</v>
      </c>
      <c r="J1177" t="str">
        <f>_xll.BDP($B1177,"CNTRY_OF_DOMICILE")</f>
        <v>US</v>
      </c>
      <c r="K1177" t="s">
        <v>98</v>
      </c>
      <c r="L1177" t="s">
        <v>99</v>
      </c>
      <c r="O1177" s="1"/>
      <c r="AQ1177" s="1"/>
      <c r="AR1177" s="1"/>
      <c r="AS1177" s="1"/>
    </row>
    <row r="1178" spans="1:45" x14ac:dyDescent="0.25">
      <c r="A1178" t="s">
        <v>3640</v>
      </c>
      <c r="B1178" t="s">
        <v>3695</v>
      </c>
      <c r="C1178" s="1" t="s">
        <v>3696</v>
      </c>
      <c r="D1178" t="s">
        <v>3697</v>
      </c>
      <c r="E1178" t="str">
        <f>_xll.BDP($B1178,"LEGAL_ENTITY_IDENTIFIER")</f>
        <v>2T3D6M0JSY48PSZI1Q41</v>
      </c>
      <c r="F1178" t="s">
        <v>3697</v>
      </c>
      <c r="G1178" t="str">
        <f>custodian!D1178</f>
        <v>682680103</v>
      </c>
      <c r="H1178" t="str">
        <f>_xll.BDP($B1178,"ID_ISIN")</f>
        <v>US6826801036</v>
      </c>
      <c r="I1178" s="1" t="s">
        <v>3696</v>
      </c>
      <c r="J1178" t="str">
        <f>_xll.BDP($B1178,"CNTRY_OF_DOMICILE")</f>
        <v>US</v>
      </c>
      <c r="K1178" t="s">
        <v>98</v>
      </c>
      <c r="L1178" t="s">
        <v>99</v>
      </c>
      <c r="O1178" s="1"/>
      <c r="AQ1178" s="1"/>
      <c r="AR1178" s="1"/>
      <c r="AS1178" s="1"/>
    </row>
    <row r="1179" spans="1:45" x14ac:dyDescent="0.25">
      <c r="A1179" t="s">
        <v>3640</v>
      </c>
      <c r="B1179" t="s">
        <v>213</v>
      </c>
      <c r="C1179" s="1" t="s">
        <v>214</v>
      </c>
      <c r="D1179" t="s">
        <v>215</v>
      </c>
      <c r="E1179" t="str">
        <f>_xll.BDP($B1179,"LEGAL_ENTITY_IDENTIFIER")</f>
        <v>YPYKXXTR8TFDH54ZMB45</v>
      </c>
      <c r="F1179" t="s">
        <v>215</v>
      </c>
      <c r="G1179" t="str">
        <f>custodian!D1179</f>
        <v>980745103</v>
      </c>
      <c r="H1179" t="str">
        <f>_xll.BDP($B1179,"ID_ISIN")</f>
        <v>US9807451037</v>
      </c>
      <c r="I1179" s="1" t="s">
        <v>214</v>
      </c>
      <c r="J1179" t="str">
        <f>_xll.BDP($B1179,"CNTRY_OF_DOMICILE")</f>
        <v>US</v>
      </c>
      <c r="K1179" t="s">
        <v>98</v>
      </c>
      <c r="L1179" t="s">
        <v>99</v>
      </c>
      <c r="O1179" s="1"/>
      <c r="AQ1179" s="1"/>
      <c r="AR1179" s="1"/>
      <c r="AS1179" s="1"/>
    </row>
    <row r="1180" spans="1:45" x14ac:dyDescent="0.25">
      <c r="A1180" t="s">
        <v>3640</v>
      </c>
      <c r="C1180" s="1" t="s">
        <v>52</v>
      </c>
      <c r="E1180" s="1"/>
      <c r="G1180" t="str">
        <f>custodian!D1180</f>
        <v>Cash&amp;Other</v>
      </c>
      <c r="H1180" s="1"/>
      <c r="I1180" s="1"/>
      <c r="O1180" s="1"/>
      <c r="AQ1180" s="1"/>
      <c r="AR1180" s="1"/>
      <c r="AS1180" s="1"/>
    </row>
    <row r="1181" spans="1:45" x14ac:dyDescent="0.25">
      <c r="A1181" t="s">
        <v>3698</v>
      </c>
      <c r="B1181" t="s">
        <v>3699</v>
      </c>
      <c r="C1181" s="1" t="s">
        <v>3700</v>
      </c>
      <c r="D1181" t="s">
        <v>3701</v>
      </c>
      <c r="E1181" t="str">
        <f>_xll.BDP($B1181,"LEGAL_ENTITY_IDENTIFIER")</f>
        <v>FR5LCKFTG8054YNNRU85</v>
      </c>
      <c r="F1181" t="s">
        <v>3701</v>
      </c>
      <c r="G1181" t="str">
        <f>custodian!D1181</f>
        <v>00287Y109</v>
      </c>
      <c r="H1181" t="str">
        <f>_xll.BDP($B1181,"ID_ISIN")</f>
        <v>US00287Y1091</v>
      </c>
      <c r="I1181" s="1" t="s">
        <v>3700</v>
      </c>
      <c r="J1181" t="str">
        <f>_xll.BDP($B1181,"CNTRY_OF_DOMICILE")</f>
        <v>US</v>
      </c>
      <c r="K1181" t="s">
        <v>98</v>
      </c>
      <c r="L1181" t="s">
        <v>99</v>
      </c>
      <c r="O1181" s="1"/>
      <c r="AQ1181" s="1"/>
      <c r="AR1181" s="1"/>
      <c r="AS1181" s="1"/>
    </row>
    <row r="1182" spans="1:45" x14ac:dyDescent="0.25">
      <c r="A1182" t="s">
        <v>3698</v>
      </c>
      <c r="B1182" t="s">
        <v>3702</v>
      </c>
      <c r="C1182" s="1" t="s">
        <v>3703</v>
      </c>
      <c r="D1182" t="s">
        <v>3704</v>
      </c>
      <c r="E1182" t="str">
        <f>_xll.BDP($B1182,"LEGAL_ENTITY_IDENTIFIER")</f>
        <v>#N/A N/A</v>
      </c>
      <c r="F1182" t="s">
        <v>3704</v>
      </c>
      <c r="G1182" t="str">
        <f>custodian!D1182</f>
        <v>009496100</v>
      </c>
      <c r="H1182" t="str">
        <f>_xll.BDP($B1182,"ID_ISIN")</f>
        <v>US0094961002</v>
      </c>
      <c r="I1182" s="1" t="s">
        <v>3703</v>
      </c>
      <c r="J1182" t="str">
        <f>_xll.BDP($B1182,"CNTRY_OF_DOMICILE")</f>
        <v>US</v>
      </c>
      <c r="K1182" t="s">
        <v>98</v>
      </c>
      <c r="L1182" t="s">
        <v>99</v>
      </c>
      <c r="O1182" s="1"/>
      <c r="AQ1182" s="1"/>
      <c r="AR1182" s="1"/>
      <c r="AS1182" s="1"/>
    </row>
    <row r="1183" spans="1:45" x14ac:dyDescent="0.25">
      <c r="A1183" t="s">
        <v>3698</v>
      </c>
      <c r="B1183" t="s">
        <v>3705</v>
      </c>
      <c r="C1183" s="1" t="s">
        <v>3706</v>
      </c>
      <c r="D1183" t="s">
        <v>3707</v>
      </c>
      <c r="E1183" t="str">
        <f>_xll.BDP($B1183,"LEGAL_ENTITY_IDENTIFIER")</f>
        <v>549300N5YSE0U3LCP840</v>
      </c>
      <c r="F1183" t="s">
        <v>3707</v>
      </c>
      <c r="G1183" t="str">
        <f>custodian!D1183</f>
        <v>016255101</v>
      </c>
      <c r="H1183" t="str">
        <f>_xll.BDP($B1183,"ID_ISIN")</f>
        <v>US0162551016</v>
      </c>
      <c r="I1183" s="1" t="s">
        <v>3706</v>
      </c>
      <c r="J1183" t="str">
        <f>_xll.BDP($B1183,"CNTRY_OF_DOMICILE")</f>
        <v>US</v>
      </c>
      <c r="K1183" t="s">
        <v>98</v>
      </c>
      <c r="L1183" t="s">
        <v>99</v>
      </c>
      <c r="O1183" s="1"/>
      <c r="AQ1183" s="1"/>
      <c r="AR1183" s="1"/>
      <c r="AS1183" s="1"/>
    </row>
    <row r="1184" spans="1:45" x14ac:dyDescent="0.25">
      <c r="A1184" t="s">
        <v>3698</v>
      </c>
      <c r="B1184" t="s">
        <v>3708</v>
      </c>
      <c r="C1184" s="1" t="s">
        <v>3709</v>
      </c>
      <c r="D1184" t="s">
        <v>3710</v>
      </c>
      <c r="E1184" t="str">
        <f>_xll.BDP($B1184,"LEGAL_ENTITY_IDENTIFIER")</f>
        <v>VNPEQDQFAA7IY1T2PX43</v>
      </c>
      <c r="F1184" t="s">
        <v>3710</v>
      </c>
      <c r="G1184" t="str">
        <f>custodian!D1184</f>
        <v>038336103</v>
      </c>
      <c r="H1184" t="str">
        <f>_xll.BDP($B1184,"ID_ISIN")</f>
        <v>US0383361039</v>
      </c>
      <c r="I1184" s="1" t="s">
        <v>3709</v>
      </c>
      <c r="J1184" t="str">
        <f>_xll.BDP($B1184,"CNTRY_OF_DOMICILE")</f>
        <v>US</v>
      </c>
      <c r="K1184" t="s">
        <v>98</v>
      </c>
      <c r="L1184" t="s">
        <v>99</v>
      </c>
      <c r="O1184" s="1"/>
      <c r="AQ1184" s="1"/>
      <c r="AR1184" s="1"/>
      <c r="AS1184" s="1"/>
    </row>
    <row r="1185" spans="1:45" x14ac:dyDescent="0.25">
      <c r="A1185" t="s">
        <v>3698</v>
      </c>
      <c r="B1185" t="s">
        <v>3711</v>
      </c>
      <c r="C1185" s="1" t="s">
        <v>3712</v>
      </c>
      <c r="D1185" t="s">
        <v>3713</v>
      </c>
      <c r="E1185" t="str">
        <f>_xll.BDP($B1185,"LEGAL_ENTITY_IDENTIFIER")</f>
        <v>GR3KVMWVCR54YWQNXU90</v>
      </c>
      <c r="F1185" t="s">
        <v>3713</v>
      </c>
      <c r="G1185" t="str">
        <f>custodian!D1185</f>
        <v>070830104</v>
      </c>
      <c r="H1185" t="str">
        <f>_xll.BDP($B1185,"ID_ISIN")</f>
        <v>US0708301041</v>
      </c>
      <c r="I1185" s="1" t="s">
        <v>3712</v>
      </c>
      <c r="J1185" t="str">
        <f>_xll.BDP($B1185,"CNTRY_OF_DOMICILE")</f>
        <v>US</v>
      </c>
      <c r="K1185" t="s">
        <v>98</v>
      </c>
      <c r="L1185" t="s">
        <v>99</v>
      </c>
      <c r="O1185" s="1"/>
      <c r="AQ1185" s="1"/>
      <c r="AR1185" s="1"/>
      <c r="AS1185" s="1"/>
    </row>
    <row r="1186" spans="1:45" x14ac:dyDescent="0.25">
      <c r="A1186" t="s">
        <v>3698</v>
      </c>
      <c r="B1186" t="s">
        <v>3714</v>
      </c>
      <c r="C1186" s="1" t="s">
        <v>3715</v>
      </c>
      <c r="D1186" t="s">
        <v>3716</v>
      </c>
      <c r="E1186" t="str">
        <f>_xll.BDP($B1186,"LEGAL_ENTITY_IDENTIFIER")</f>
        <v>YMEGZFW4SBUSS5BQXF88</v>
      </c>
      <c r="F1186" t="s">
        <v>3716</v>
      </c>
      <c r="G1186" t="str">
        <f>custodian!D1186</f>
        <v>194162103</v>
      </c>
      <c r="H1186" t="str">
        <f>_xll.BDP($B1186,"ID_ISIN")</f>
        <v>US1941621039</v>
      </c>
      <c r="I1186" s="1" t="s">
        <v>3715</v>
      </c>
      <c r="J1186" t="str">
        <f>_xll.BDP($B1186,"CNTRY_OF_DOMICILE")</f>
        <v>US</v>
      </c>
      <c r="K1186" t="s">
        <v>98</v>
      </c>
      <c r="L1186" t="s">
        <v>99</v>
      </c>
      <c r="O1186" s="1"/>
      <c r="AQ1186" s="1"/>
      <c r="AR1186" s="1"/>
      <c r="AS1186" s="1"/>
    </row>
    <row r="1187" spans="1:45" x14ac:dyDescent="0.25">
      <c r="A1187" t="s">
        <v>3698</v>
      </c>
      <c r="B1187" t="s">
        <v>3717</v>
      </c>
      <c r="C1187" s="1" t="s">
        <v>3718</v>
      </c>
      <c r="D1187" t="s">
        <v>3719</v>
      </c>
      <c r="E1187" t="str">
        <f>_xll.BDP($B1187,"LEGAL_ENTITY_IDENTIFIER")</f>
        <v>549300BO9IWPF3S48F93</v>
      </c>
      <c r="F1187" t="s">
        <v>3719</v>
      </c>
      <c r="G1187" t="str">
        <f>custodian!D1187</f>
        <v>222070203</v>
      </c>
      <c r="H1187" t="str">
        <f>_xll.BDP($B1187,"ID_ISIN")</f>
        <v>US2220702037</v>
      </c>
      <c r="I1187" s="1" t="s">
        <v>3718</v>
      </c>
      <c r="J1187" t="str">
        <f>_xll.BDP($B1187,"CNTRY_OF_DOMICILE")</f>
        <v>US</v>
      </c>
      <c r="K1187" t="s">
        <v>98</v>
      </c>
      <c r="L1187" t="s">
        <v>99</v>
      </c>
      <c r="O1187" s="1"/>
      <c r="AQ1187" s="1"/>
      <c r="AR1187" s="1"/>
      <c r="AS1187" s="1"/>
    </row>
    <row r="1188" spans="1:45" x14ac:dyDescent="0.25">
      <c r="A1188" t="s">
        <v>3698</v>
      </c>
      <c r="B1188" t="s">
        <v>3720</v>
      </c>
      <c r="C1188" s="1" t="s">
        <v>3721</v>
      </c>
      <c r="D1188" t="s">
        <v>3722</v>
      </c>
      <c r="E1188" t="str">
        <f>_xll.BDP($B1188,"LEGAL_ENTITY_IDENTIFIER")</f>
        <v>549300VFZ8XJ9NUPU221</v>
      </c>
      <c r="F1188" t="s">
        <v>3722</v>
      </c>
      <c r="G1188" t="str">
        <f>custodian!D1188</f>
        <v>518439104</v>
      </c>
      <c r="H1188" t="str">
        <f>_xll.BDP($B1188,"ID_ISIN")</f>
        <v>US5184391044</v>
      </c>
      <c r="I1188" s="1" t="s">
        <v>3721</v>
      </c>
      <c r="J1188" t="str">
        <f>_xll.BDP($B1188,"CNTRY_OF_DOMICILE")</f>
        <v>US</v>
      </c>
      <c r="K1188" t="s">
        <v>98</v>
      </c>
      <c r="L1188" t="s">
        <v>99</v>
      </c>
      <c r="O1188" s="1"/>
      <c r="AQ1188" s="1"/>
      <c r="AR1188" s="1"/>
      <c r="AS1188" s="1"/>
    </row>
    <row r="1189" spans="1:45" x14ac:dyDescent="0.25">
      <c r="A1189" t="s">
        <v>3698</v>
      </c>
      <c r="B1189" t="s">
        <v>3723</v>
      </c>
      <c r="C1189" s="1" t="s">
        <v>3724</v>
      </c>
      <c r="D1189" t="s">
        <v>3725</v>
      </c>
      <c r="E1189" t="str">
        <f>_xll.BDP($B1189,"LEGAL_ENTITY_IDENTIFIER")</f>
        <v>549300U2K9TCON25C029</v>
      </c>
      <c r="F1189" t="s">
        <v>3725</v>
      </c>
      <c r="G1189" t="str">
        <f>custodian!D1189</f>
        <v>26856L103</v>
      </c>
      <c r="H1189" t="str">
        <f>_xll.BDP($B1189,"ID_ISIN")</f>
        <v>US26856L1035</v>
      </c>
      <c r="I1189" s="1" t="s">
        <v>3724</v>
      </c>
      <c r="J1189" t="str">
        <f>_xll.BDP($B1189,"CNTRY_OF_DOMICILE")</f>
        <v>US</v>
      </c>
      <c r="K1189" t="s">
        <v>98</v>
      </c>
      <c r="L1189" t="s">
        <v>99</v>
      </c>
      <c r="O1189" s="1"/>
      <c r="AQ1189" s="1"/>
      <c r="AR1189" s="1"/>
      <c r="AS1189" s="1"/>
    </row>
    <row r="1190" spans="1:45" x14ac:dyDescent="0.25">
      <c r="A1190" t="s">
        <v>3698</v>
      </c>
      <c r="B1190" t="s">
        <v>3726</v>
      </c>
      <c r="C1190" s="1" t="s">
        <v>3727</v>
      </c>
      <c r="D1190" t="s">
        <v>3728</v>
      </c>
      <c r="E1190" t="str">
        <f>_xll.BDP($B1190,"LEGAL_ENTITY_IDENTIFIER")</f>
        <v>549300VYQRYBQOT8V419</v>
      </c>
      <c r="F1190" t="s">
        <v>3728</v>
      </c>
      <c r="G1190" t="str">
        <f>custodian!D1190</f>
        <v>30052C107</v>
      </c>
      <c r="H1190" t="str">
        <f>_xll.BDP($B1190,"ID_ISIN")</f>
        <v>US30052C1071</v>
      </c>
      <c r="I1190" s="1" t="s">
        <v>3727</v>
      </c>
      <c r="J1190" t="str">
        <f>_xll.BDP($B1190,"CNTRY_OF_DOMICILE")</f>
        <v>US</v>
      </c>
      <c r="K1190" t="s">
        <v>98</v>
      </c>
      <c r="L1190" t="s">
        <v>99</v>
      </c>
      <c r="O1190" s="1"/>
      <c r="AQ1190" s="1"/>
      <c r="AR1190" s="1"/>
      <c r="AS1190" s="1"/>
    </row>
    <row r="1191" spans="1:45" x14ac:dyDescent="0.25">
      <c r="A1191" t="s">
        <v>3698</v>
      </c>
      <c r="B1191" t="s">
        <v>3729</v>
      </c>
      <c r="C1191" s="1" t="s">
        <v>3730</v>
      </c>
      <c r="D1191" t="s">
        <v>3731</v>
      </c>
      <c r="E1191" t="str">
        <f>_xll.BDP($B1191,"LEGAL_ENTITY_IDENTIFIER")</f>
        <v>549300CY8QZDL4Z3RU59</v>
      </c>
      <c r="F1191" t="s">
        <v>3731</v>
      </c>
      <c r="G1191" t="str">
        <f>custodian!D1191</f>
        <v>28035Q102</v>
      </c>
      <c r="H1191" t="str">
        <f>_xll.BDP($B1191,"ID_ISIN")</f>
        <v>US28035Q1022</v>
      </c>
      <c r="I1191" s="1" t="s">
        <v>3730</v>
      </c>
      <c r="J1191" t="str">
        <f>_xll.BDP($B1191,"CNTRY_OF_DOMICILE")</f>
        <v>US</v>
      </c>
      <c r="K1191" t="s">
        <v>98</v>
      </c>
      <c r="L1191" t="s">
        <v>99</v>
      </c>
      <c r="O1191" s="1"/>
      <c r="AQ1191" s="1"/>
      <c r="AR1191" s="1"/>
      <c r="AS1191" s="1"/>
    </row>
    <row r="1192" spans="1:45" x14ac:dyDescent="0.25">
      <c r="A1192" t="s">
        <v>3698</v>
      </c>
      <c r="B1192" t="s">
        <v>3732</v>
      </c>
      <c r="C1192" s="1" t="s">
        <v>3733</v>
      </c>
      <c r="D1192" t="s">
        <v>3734</v>
      </c>
      <c r="E1192" t="str">
        <f>_xll.BDP($B1192,"LEGAL_ENTITY_IDENTIFIER")</f>
        <v>549300BCBQ714JNJ7V58</v>
      </c>
      <c r="F1192" t="s">
        <v>3735</v>
      </c>
      <c r="G1192" t="str">
        <f>custodian!D1192</f>
        <v>G31249108</v>
      </c>
      <c r="H1192" t="str">
        <f>_xll.BDP($B1192,"ID_ISIN")</f>
        <v>VGG312491084</v>
      </c>
      <c r="I1192" s="1" t="s">
        <v>3733</v>
      </c>
      <c r="J1192" t="str">
        <f>_xll.BDP($B1192,"CNTRY_OF_DOMICILE")</f>
        <v>US</v>
      </c>
      <c r="K1192" t="s">
        <v>98</v>
      </c>
      <c r="L1192" t="s">
        <v>99</v>
      </c>
      <c r="O1192" s="1"/>
      <c r="AQ1192" s="1"/>
      <c r="AR1192" s="1"/>
      <c r="AS1192" s="1"/>
    </row>
    <row r="1193" spans="1:45" x14ac:dyDescent="0.25">
      <c r="A1193" t="s">
        <v>3698</v>
      </c>
      <c r="B1193" t="s">
        <v>77</v>
      </c>
      <c r="C1193" s="1" t="s">
        <v>78</v>
      </c>
      <c r="D1193" t="s">
        <v>79</v>
      </c>
      <c r="E1193" t="str">
        <f>_xll.BDP($B1193,"LEGAL_ENTITY_IDENTIFIER")</f>
        <v>549300R5MYM6VZF1RM44</v>
      </c>
      <c r="F1193" t="s">
        <v>80</v>
      </c>
      <c r="G1193" t="str">
        <f>custodian!D1193</f>
        <v>31846V336</v>
      </c>
      <c r="H1193" t="str">
        <f>_xll.BDP($B1193,"ID_ISIN")</f>
        <v>US31846V3362</v>
      </c>
      <c r="I1193" s="1" t="s">
        <v>78</v>
      </c>
      <c r="J1193" t="str">
        <f>_xll.BDP($B1193,"CNTRY_OF_DOMICILE")</f>
        <v>US</v>
      </c>
      <c r="K1193" t="s">
        <v>81</v>
      </c>
      <c r="L1193" t="s">
        <v>82</v>
      </c>
      <c r="O1193" s="1"/>
      <c r="AQ1193" s="1"/>
      <c r="AR1193" s="1"/>
      <c r="AS1193" s="1"/>
    </row>
    <row r="1194" spans="1:45" x14ac:dyDescent="0.25">
      <c r="A1194" t="s">
        <v>3698</v>
      </c>
      <c r="B1194" t="s">
        <v>3736</v>
      </c>
      <c r="C1194" s="1" t="s">
        <v>3737</v>
      </c>
      <c r="D1194" t="s">
        <v>3738</v>
      </c>
      <c r="E1194" t="str">
        <f>_xll.BDP($B1194,"LEGAL_ENTITY_IDENTIFIER")</f>
        <v>#N/A N/A</v>
      </c>
      <c r="F1194" t="s">
        <v>3738</v>
      </c>
      <c r="G1194" t="str">
        <f>custodian!D1194</f>
        <v>G4388N106</v>
      </c>
      <c r="H1194" t="str">
        <f>_xll.BDP($B1194,"ID_ISIN")</f>
        <v>BMG4388N1065</v>
      </c>
      <c r="I1194" s="1" t="s">
        <v>3737</v>
      </c>
      <c r="J1194" t="str">
        <f>_xll.BDP($B1194,"CNTRY_OF_DOMICILE")</f>
        <v>US</v>
      </c>
      <c r="K1194" t="s">
        <v>98</v>
      </c>
      <c r="L1194" t="s">
        <v>99</v>
      </c>
      <c r="O1194" s="1"/>
      <c r="AQ1194" s="1"/>
      <c r="AR1194" s="1"/>
      <c r="AS1194" s="1"/>
    </row>
    <row r="1195" spans="1:45" x14ac:dyDescent="0.25">
      <c r="A1195" t="s">
        <v>3698</v>
      </c>
      <c r="B1195" t="s">
        <v>3739</v>
      </c>
      <c r="C1195" s="1" t="s">
        <v>3740</v>
      </c>
      <c r="D1195" t="s">
        <v>3741</v>
      </c>
      <c r="E1195" t="str">
        <f>_xll.BDP($B1195,"LEGAL_ENTITY_IDENTIFIER")</f>
        <v>254900V041EIVTSB6D58</v>
      </c>
      <c r="F1195" t="s">
        <v>3741</v>
      </c>
      <c r="G1195" t="str">
        <f>custodian!D1195</f>
        <v>433000106</v>
      </c>
      <c r="H1195" t="str">
        <f>_xll.BDP($B1195,"ID_ISIN")</f>
        <v>US4330001060</v>
      </c>
      <c r="I1195" s="1" t="s">
        <v>3740</v>
      </c>
      <c r="J1195" t="str">
        <f>_xll.BDP($B1195,"CNTRY_OF_DOMICILE")</f>
        <v>US</v>
      </c>
      <c r="K1195" t="s">
        <v>98</v>
      </c>
      <c r="L1195" t="s">
        <v>99</v>
      </c>
      <c r="O1195" s="1"/>
      <c r="AQ1195" s="1"/>
      <c r="AR1195" s="1"/>
      <c r="AS1195" s="1"/>
    </row>
    <row r="1196" spans="1:45" x14ac:dyDescent="0.25">
      <c r="A1196" t="s">
        <v>3698</v>
      </c>
      <c r="B1196" t="s">
        <v>3742</v>
      </c>
      <c r="C1196" s="1" t="s">
        <v>3743</v>
      </c>
      <c r="D1196" t="s">
        <v>3744</v>
      </c>
      <c r="E1196" t="str">
        <f>_xll.BDP($B1196,"LEGAL_ENTITY_IDENTIFIER")</f>
        <v>#N/A N/A</v>
      </c>
      <c r="F1196" t="s">
        <v>3744</v>
      </c>
      <c r="G1196" t="str">
        <f>custodian!D1196</f>
        <v>438333106</v>
      </c>
      <c r="H1196" t="str">
        <f>_xll.BDP($B1196,"ID_ISIN")</f>
        <v>US4383331067</v>
      </c>
      <c r="I1196" s="1" t="s">
        <v>3743</v>
      </c>
      <c r="J1196" t="str">
        <f>_xll.BDP($B1196,"CNTRY_OF_DOMICILE")</f>
        <v>US</v>
      </c>
      <c r="K1196" t="s">
        <v>98</v>
      </c>
      <c r="L1196" t="s">
        <v>99</v>
      </c>
      <c r="O1196" s="1"/>
      <c r="AQ1196" s="1"/>
      <c r="AR1196" s="1"/>
      <c r="AS1196" s="1"/>
    </row>
    <row r="1197" spans="1:45" x14ac:dyDescent="0.25">
      <c r="A1197" t="s">
        <v>3698</v>
      </c>
      <c r="B1197" t="s">
        <v>501</v>
      </c>
      <c r="C1197" s="1" t="s">
        <v>502</v>
      </c>
      <c r="D1197" t="s">
        <v>503</v>
      </c>
      <c r="E1197" t="str">
        <f>_xll.BDP($B1197,"LEGAL_ENTITY_IDENTIFIER")</f>
        <v>BZLRL03D3GPGMOGFO832</v>
      </c>
      <c r="F1197" t="s">
        <v>504</v>
      </c>
      <c r="G1197" t="str">
        <f>custodian!D1197</f>
        <v>459506101</v>
      </c>
      <c r="H1197" t="str">
        <f>_xll.BDP($B1197,"ID_ISIN")</f>
        <v>US4595061015</v>
      </c>
      <c r="I1197" s="1" t="s">
        <v>502</v>
      </c>
      <c r="J1197" t="str">
        <f>_xll.BDP($B1197,"CNTRY_OF_DOMICILE")</f>
        <v>US</v>
      </c>
      <c r="K1197" t="s">
        <v>98</v>
      </c>
      <c r="L1197" t="s">
        <v>99</v>
      </c>
      <c r="O1197" s="1"/>
      <c r="AQ1197" s="1"/>
      <c r="AR1197" s="1"/>
      <c r="AS1197" s="1"/>
    </row>
    <row r="1198" spans="1:45" x14ac:dyDescent="0.25">
      <c r="A1198" t="s">
        <v>3698</v>
      </c>
      <c r="B1198" t="s">
        <v>3745</v>
      </c>
      <c r="C1198" s="1" t="s">
        <v>3746</v>
      </c>
      <c r="D1198" t="s">
        <v>3747</v>
      </c>
      <c r="E1198" t="str">
        <f>_xll.BDP($B1198,"LEGAL_ENTITY_IDENTIFIER")</f>
        <v>984500DD95A35E9BD358</v>
      </c>
      <c r="F1198" t="s">
        <v>3747</v>
      </c>
      <c r="G1198" t="str">
        <f>custodian!D1198</f>
        <v>M5425M103</v>
      </c>
      <c r="H1198" t="str">
        <f>_xll.BDP($B1198,"ID_ISIN")</f>
        <v>IL0011595993</v>
      </c>
      <c r="I1198" s="1" t="s">
        <v>3746</v>
      </c>
      <c r="J1198" t="str">
        <f>_xll.BDP($B1198,"CNTRY_OF_DOMICILE")</f>
        <v>IL</v>
      </c>
      <c r="K1198" t="s">
        <v>98</v>
      </c>
      <c r="L1198" t="s">
        <v>99</v>
      </c>
      <c r="O1198" s="1"/>
      <c r="AQ1198" s="1"/>
      <c r="AR1198" s="1"/>
      <c r="AS1198" s="1"/>
    </row>
    <row r="1199" spans="1:45" x14ac:dyDescent="0.25">
      <c r="A1199" t="s">
        <v>3698</v>
      </c>
      <c r="B1199" t="s">
        <v>3748</v>
      </c>
      <c r="C1199" s="1" t="s">
        <v>3749</v>
      </c>
      <c r="D1199" t="s">
        <v>3750</v>
      </c>
      <c r="E1199" t="str">
        <f>_xll.BDP($B1199,"LEGAL_ENTITY_IDENTIFIER")</f>
        <v>#N/A N/A</v>
      </c>
      <c r="F1199" t="s">
        <v>3750</v>
      </c>
      <c r="G1199" t="str">
        <f>custodian!D1199</f>
        <v>458334109</v>
      </c>
      <c r="H1199" t="str">
        <f>_xll.BDP($B1199,"ID_ISIN")</f>
        <v>US4583341098</v>
      </c>
      <c r="I1199" s="1" t="s">
        <v>3749</v>
      </c>
      <c r="J1199" t="str">
        <f>_xll.BDP($B1199,"CNTRY_OF_DOMICILE")</f>
        <v>US</v>
      </c>
      <c r="K1199" t="s">
        <v>98</v>
      </c>
      <c r="L1199" t="s">
        <v>99</v>
      </c>
      <c r="O1199" s="1"/>
      <c r="AQ1199" s="1"/>
      <c r="AR1199" s="1"/>
      <c r="AS1199" s="1"/>
    </row>
    <row r="1200" spans="1:45" x14ac:dyDescent="0.25">
      <c r="A1200" t="s">
        <v>3698</v>
      </c>
      <c r="B1200" t="s">
        <v>3751</v>
      </c>
      <c r="C1200" s="1" t="s">
        <v>3752</v>
      </c>
      <c r="D1200" t="s">
        <v>3753</v>
      </c>
      <c r="E1200" t="str">
        <f>_xll.BDP($B1200,"LEGAL_ENTITY_IDENTIFIER")</f>
        <v>5493008HSF8L4M2LIJ82</v>
      </c>
      <c r="F1200" t="s">
        <v>3753</v>
      </c>
      <c r="G1200" t="str">
        <f>custodian!D1200</f>
        <v>49177J102</v>
      </c>
      <c r="H1200" t="str">
        <f>_xll.BDP($B1200,"ID_ISIN")</f>
        <v>US49177J1025</v>
      </c>
      <c r="I1200" s="1" t="s">
        <v>3752</v>
      </c>
      <c r="J1200" t="str">
        <f>_xll.BDP($B1200,"CNTRY_OF_DOMICILE")</f>
        <v>US</v>
      </c>
      <c r="K1200" t="s">
        <v>98</v>
      </c>
      <c r="L1200" t="s">
        <v>99</v>
      </c>
      <c r="O1200" s="1"/>
      <c r="AQ1200" s="1"/>
      <c r="AR1200" s="1"/>
      <c r="AS1200" s="1"/>
    </row>
    <row r="1201" spans="1:45" x14ac:dyDescent="0.25">
      <c r="A1201" t="s">
        <v>3698</v>
      </c>
      <c r="B1201" t="s">
        <v>3754</v>
      </c>
      <c r="C1201" s="1" t="s">
        <v>3755</v>
      </c>
      <c r="D1201" t="s">
        <v>3756</v>
      </c>
      <c r="E1201" t="str">
        <f>_xll.BDP($B1201,"LEGAL_ENTITY_IDENTIFIER")</f>
        <v>54930050DETB6CP71D38</v>
      </c>
      <c r="F1201" t="s">
        <v>3756</v>
      </c>
      <c r="G1201" t="str">
        <f>custodian!D1201</f>
        <v>67018T105</v>
      </c>
      <c r="H1201" t="str">
        <f>_xll.BDP($B1201,"ID_ISIN")</f>
        <v>US67018T1051</v>
      </c>
      <c r="I1201" s="1" t="s">
        <v>3755</v>
      </c>
      <c r="J1201" t="str">
        <f>_xll.BDP($B1201,"CNTRY_OF_DOMICILE")</f>
        <v>US</v>
      </c>
      <c r="K1201" t="s">
        <v>98</v>
      </c>
      <c r="L1201" t="s">
        <v>99</v>
      </c>
      <c r="O1201" s="1"/>
      <c r="AQ1201" s="1"/>
      <c r="AR1201" s="1"/>
      <c r="AS1201" s="1"/>
    </row>
    <row r="1202" spans="1:45" x14ac:dyDescent="0.25">
      <c r="A1202" t="s">
        <v>3698</v>
      </c>
      <c r="B1202" t="s">
        <v>3757</v>
      </c>
      <c r="C1202" s="1" t="s">
        <v>3758</v>
      </c>
      <c r="D1202" t="s">
        <v>3759</v>
      </c>
      <c r="E1202" t="str">
        <f>_xll.BDP($B1202,"LEGAL_ENTITY_IDENTIFIER")</f>
        <v>254900QH12XZS53G0V57</v>
      </c>
      <c r="F1202" t="s">
        <v>3759</v>
      </c>
      <c r="G1202" t="str">
        <f>custodian!D1202</f>
        <v>M7518J104</v>
      </c>
      <c r="H1202" t="str">
        <f>_xll.BDP($B1202,"ID_ISIN")</f>
        <v>IL0011974909</v>
      </c>
      <c r="I1202" s="1" t="s">
        <v>3758</v>
      </c>
      <c r="J1202" t="str">
        <f>_xll.BDP($B1202,"CNTRY_OF_DOMICILE")</f>
        <v>IL</v>
      </c>
      <c r="K1202" t="s">
        <v>98</v>
      </c>
      <c r="L1202" t="s">
        <v>99</v>
      </c>
      <c r="O1202" s="1"/>
      <c r="AQ1202" s="1"/>
      <c r="AR1202" s="1"/>
      <c r="AS1202" s="1"/>
    </row>
    <row r="1203" spans="1:45" x14ac:dyDescent="0.25">
      <c r="A1203" t="s">
        <v>3698</v>
      </c>
      <c r="B1203" t="s">
        <v>3760</v>
      </c>
      <c r="C1203" s="1" t="s">
        <v>3761</v>
      </c>
      <c r="D1203" t="s">
        <v>3762</v>
      </c>
      <c r="E1203" t="str">
        <f>_xll.BDP($B1203,"LEGAL_ENTITY_IDENTIFIER")</f>
        <v>#N/A N/A</v>
      </c>
      <c r="F1203" t="s">
        <v>3762</v>
      </c>
      <c r="G1203" t="str">
        <f>custodian!D1203</f>
        <v>679369108</v>
      </c>
      <c r="H1203" t="str">
        <f>_xll.BDP($B1203,"ID_ISIN")</f>
        <v>US6793691089</v>
      </c>
      <c r="I1203" s="1" t="s">
        <v>3761</v>
      </c>
      <c r="J1203" t="str">
        <f>_xll.BDP($B1203,"CNTRY_OF_DOMICILE")</f>
        <v>US</v>
      </c>
      <c r="K1203" t="s">
        <v>98</v>
      </c>
      <c r="L1203" t="s">
        <v>99</v>
      </c>
      <c r="O1203" s="1"/>
      <c r="AQ1203" s="1"/>
      <c r="AR1203" s="1"/>
      <c r="AS1203" s="1"/>
    </row>
    <row r="1204" spans="1:45" x14ac:dyDescent="0.25">
      <c r="A1204" t="s">
        <v>3698</v>
      </c>
      <c r="B1204" t="s">
        <v>3763</v>
      </c>
      <c r="C1204" s="1" t="s">
        <v>3764</v>
      </c>
      <c r="D1204" t="s">
        <v>3765</v>
      </c>
      <c r="E1204" t="str">
        <f>_xll.BDP($B1204,"LEGAL_ENTITY_IDENTIFIER")</f>
        <v>529900VXW6E8ONDIQ271</v>
      </c>
      <c r="F1204" t="s">
        <v>3765</v>
      </c>
      <c r="G1204" t="str">
        <f>custodian!D1204</f>
        <v>79546E104</v>
      </c>
      <c r="H1204" t="str">
        <f>_xll.BDP($B1204,"ID_ISIN")</f>
        <v>US79546E1047</v>
      </c>
      <c r="I1204" s="1" t="s">
        <v>3764</v>
      </c>
      <c r="J1204" t="str">
        <f>_xll.BDP($B1204,"CNTRY_OF_DOMICILE")</f>
        <v>US</v>
      </c>
      <c r="K1204" t="s">
        <v>98</v>
      </c>
      <c r="L1204" t="s">
        <v>99</v>
      </c>
      <c r="O1204" s="1"/>
      <c r="AQ1204" s="1"/>
      <c r="AR1204" s="1"/>
      <c r="AS1204" s="1"/>
    </row>
    <row r="1205" spans="1:45" x14ac:dyDescent="0.25">
      <c r="A1205" t="s">
        <v>3698</v>
      </c>
      <c r="B1205" t="s">
        <v>3766</v>
      </c>
      <c r="C1205" s="1" t="s">
        <v>3767</v>
      </c>
      <c r="D1205" t="s">
        <v>3768</v>
      </c>
      <c r="E1205" t="str">
        <f>_xll.BDP($B1205,"LEGAL_ENTITY_IDENTIFIER")</f>
        <v>529900CIV6HN8M28YM82</v>
      </c>
      <c r="F1205" t="s">
        <v>3768</v>
      </c>
      <c r="G1205" t="str">
        <f>custodian!D1205</f>
        <v>90384S303</v>
      </c>
      <c r="H1205" t="str">
        <f>_xll.BDP($B1205,"ID_ISIN")</f>
        <v>US90384S3031</v>
      </c>
      <c r="I1205" s="1" t="s">
        <v>3767</v>
      </c>
      <c r="J1205" t="str">
        <f>_xll.BDP($B1205,"CNTRY_OF_DOMICILE")</f>
        <v>US</v>
      </c>
      <c r="K1205" t="s">
        <v>98</v>
      </c>
      <c r="L1205" t="s">
        <v>99</v>
      </c>
      <c r="O1205" s="1"/>
      <c r="AQ1205" s="1"/>
      <c r="AR1205" s="1"/>
      <c r="AS1205" s="1"/>
    </row>
    <row r="1206" spans="1:45" x14ac:dyDescent="0.25">
      <c r="A1206" t="s">
        <v>3698</v>
      </c>
      <c r="B1206" t="s">
        <v>3769</v>
      </c>
      <c r="C1206" s="1" t="s">
        <v>3770</v>
      </c>
      <c r="D1206" t="s">
        <v>3771</v>
      </c>
      <c r="E1206" t="str">
        <f>_xll.BDP($B1206,"LEGAL_ENTITY_IDENTIFIER")</f>
        <v>549300YTURXE814MAH96</v>
      </c>
      <c r="F1206" t="s">
        <v>3771</v>
      </c>
      <c r="G1206" t="str">
        <f>custodian!D1206</f>
        <v>90328M107</v>
      </c>
      <c r="H1206" t="str">
        <f>_xll.BDP($B1206,"ID_ISIN")</f>
        <v>US90328M1071</v>
      </c>
      <c r="I1206" s="1" t="s">
        <v>3770</v>
      </c>
      <c r="J1206" t="str">
        <f>_xll.BDP($B1206,"CNTRY_OF_DOMICILE")</f>
        <v>US</v>
      </c>
      <c r="K1206" t="s">
        <v>98</v>
      </c>
      <c r="L1206" t="s">
        <v>99</v>
      </c>
      <c r="O1206" s="1"/>
      <c r="AQ1206" s="1"/>
      <c r="AR1206" s="1"/>
      <c r="AS1206" s="1"/>
    </row>
    <row r="1207" spans="1:45" x14ac:dyDescent="0.25">
      <c r="A1207" t="s">
        <v>3698</v>
      </c>
      <c r="C1207" s="1" t="s">
        <v>52</v>
      </c>
      <c r="E1207" s="1"/>
      <c r="G1207" t="str">
        <f>custodian!D1207</f>
        <v>Cash&amp;Other</v>
      </c>
      <c r="H1207" s="1"/>
      <c r="I1207" s="1"/>
      <c r="O1207" s="1"/>
      <c r="AQ1207" s="1"/>
      <c r="AR1207" s="1"/>
      <c r="AS1207" s="1"/>
    </row>
    <row r="1208" spans="1:45" x14ac:dyDescent="0.25">
      <c r="A1208" t="s">
        <v>3772</v>
      </c>
      <c r="B1208" t="s">
        <v>3773</v>
      </c>
      <c r="C1208" s="1" t="s">
        <v>3774</v>
      </c>
      <c r="D1208" t="s">
        <v>3775</v>
      </c>
      <c r="E1208" t="str">
        <f>_xll.BDP($B1208,"LEGAL_ENTITY_IDENTIFIER")</f>
        <v>#N/A N/A</v>
      </c>
      <c r="F1208" t="s">
        <v>3775</v>
      </c>
      <c r="G1208" t="str">
        <f>custodian!D1208</f>
        <v>00091E109</v>
      </c>
      <c r="H1208" t="str">
        <f>_xll.BDP($B1208,"ID_ISIN")</f>
        <v>US00091E1091</v>
      </c>
      <c r="I1208" s="1" t="s">
        <v>3774</v>
      </c>
      <c r="J1208" t="str">
        <f>_xll.BDP($B1208,"CNTRY_OF_DOMICILE")</f>
        <v>US</v>
      </c>
      <c r="K1208" t="s">
        <v>98</v>
      </c>
      <c r="L1208" t="s">
        <v>99</v>
      </c>
      <c r="O1208" s="1"/>
      <c r="AQ1208" s="1"/>
      <c r="AR1208" s="1"/>
      <c r="AS1208" s="1"/>
    </row>
    <row r="1209" spans="1:45" x14ac:dyDescent="0.25">
      <c r="A1209" t="s">
        <v>3772</v>
      </c>
      <c r="B1209" t="s">
        <v>3776</v>
      </c>
      <c r="C1209" s="1" t="s">
        <v>3777</v>
      </c>
      <c r="D1209" t="s">
        <v>3778</v>
      </c>
      <c r="E1209" t="str">
        <f>_xll.BDP($B1209,"LEGAL_ENTITY_IDENTIFIER")</f>
        <v>549300ZTF7OT1FW66Q96</v>
      </c>
      <c r="F1209" t="s">
        <v>3778</v>
      </c>
      <c r="G1209" t="str">
        <f>custodian!D1209</f>
        <v>00650F109</v>
      </c>
      <c r="H1209" t="str">
        <f>_xll.BDP($B1209,"ID_ISIN")</f>
        <v>US00650F1093</v>
      </c>
      <c r="I1209" s="1" t="s">
        <v>3777</v>
      </c>
      <c r="J1209" t="str">
        <f>_xll.BDP($B1209,"CNTRY_OF_DOMICILE")</f>
        <v>US</v>
      </c>
      <c r="K1209" t="s">
        <v>98</v>
      </c>
      <c r="L1209" t="s">
        <v>99</v>
      </c>
      <c r="O1209" s="1"/>
      <c r="AQ1209" s="1"/>
      <c r="AR1209" s="1"/>
      <c r="AS1209" s="1"/>
    </row>
    <row r="1210" spans="1:45" x14ac:dyDescent="0.25">
      <c r="A1210" t="s">
        <v>3772</v>
      </c>
      <c r="B1210" t="s">
        <v>3779</v>
      </c>
      <c r="C1210" s="1" t="s">
        <v>3780</v>
      </c>
      <c r="D1210" t="s">
        <v>3781</v>
      </c>
      <c r="E1210" t="str">
        <f>_xll.BDP($B1210,"LEGAL_ENTITY_IDENTIFIER")</f>
        <v>529900S3ZI14OWRJII50</v>
      </c>
      <c r="F1210" t="s">
        <v>3781</v>
      </c>
      <c r="G1210" t="str">
        <f>custodian!D1210</f>
        <v>02043Q107</v>
      </c>
      <c r="H1210" t="str">
        <f>_xll.BDP($B1210,"ID_ISIN")</f>
        <v>US02043Q1076</v>
      </c>
      <c r="I1210" s="1" t="s">
        <v>3780</v>
      </c>
      <c r="J1210" t="str">
        <f>_xll.BDP($B1210,"CNTRY_OF_DOMICILE")</f>
        <v>US</v>
      </c>
      <c r="K1210" t="s">
        <v>98</v>
      </c>
      <c r="L1210" t="s">
        <v>99</v>
      </c>
      <c r="O1210" s="1"/>
      <c r="AQ1210" s="1"/>
      <c r="AR1210" s="1"/>
      <c r="AS1210" s="1"/>
    </row>
    <row r="1211" spans="1:45" x14ac:dyDescent="0.25">
      <c r="A1211" t="s">
        <v>3772</v>
      </c>
      <c r="B1211" t="s">
        <v>3782</v>
      </c>
      <c r="C1211" s="1" t="s">
        <v>3783</v>
      </c>
      <c r="D1211" t="s">
        <v>3784</v>
      </c>
      <c r="E1211" t="str">
        <f>_xll.BDP($B1211,"LEGAL_ENTITY_IDENTIFIER")</f>
        <v>#N/A N/A</v>
      </c>
      <c r="F1211" t="s">
        <v>3785</v>
      </c>
      <c r="G1211" t="str">
        <f>custodian!D1211</f>
        <v>03969T109</v>
      </c>
      <c r="H1211" t="str">
        <f>_xll.BDP($B1211,"ID_ISIN")</f>
        <v>US03969T1097</v>
      </c>
      <c r="I1211" s="1" t="s">
        <v>3783</v>
      </c>
      <c r="J1211" t="str">
        <f>_xll.BDP($B1211,"CNTRY_OF_DOMICILE")</f>
        <v>US</v>
      </c>
      <c r="K1211" t="s">
        <v>98</v>
      </c>
      <c r="L1211" t="s">
        <v>99</v>
      </c>
      <c r="O1211" s="1"/>
      <c r="AQ1211" s="1"/>
      <c r="AR1211" s="1"/>
      <c r="AS1211" s="1"/>
    </row>
    <row r="1212" spans="1:45" x14ac:dyDescent="0.25">
      <c r="A1212" t="s">
        <v>3772</v>
      </c>
      <c r="B1212" t="s">
        <v>3786</v>
      </c>
      <c r="C1212" s="1" t="s">
        <v>3787</v>
      </c>
      <c r="D1212" t="s">
        <v>3788</v>
      </c>
      <c r="E1212" t="str">
        <f>_xll.BDP($B1212,"LEGAL_ENTITY_IDENTIFIER")</f>
        <v>549300O3CSB8T7OZ3D66</v>
      </c>
      <c r="F1212" t="s">
        <v>3788</v>
      </c>
      <c r="G1212" t="str">
        <f>custodian!D1212</f>
        <v>04280A100</v>
      </c>
      <c r="H1212" t="str">
        <f>_xll.BDP($B1212,"ID_ISIN")</f>
        <v>US04280A1007</v>
      </c>
      <c r="I1212" s="1" t="s">
        <v>3787</v>
      </c>
      <c r="J1212" t="str">
        <f>_xll.BDP($B1212,"CNTRY_OF_DOMICILE")</f>
        <v>US</v>
      </c>
      <c r="K1212" t="s">
        <v>98</v>
      </c>
      <c r="L1212" t="s">
        <v>99</v>
      </c>
      <c r="O1212" s="1"/>
      <c r="AQ1212" s="1"/>
      <c r="AR1212" s="1"/>
      <c r="AS1212" s="1"/>
    </row>
    <row r="1213" spans="1:45" x14ac:dyDescent="0.25">
      <c r="A1213" t="s">
        <v>3772</v>
      </c>
      <c r="B1213" t="s">
        <v>3789</v>
      </c>
      <c r="C1213" s="1" t="s">
        <v>3790</v>
      </c>
      <c r="D1213" t="s">
        <v>3791</v>
      </c>
      <c r="E1213" t="str">
        <f>_xll.BDP($B1213,"LEGAL_ENTITY_IDENTIFIER")</f>
        <v>35ZN6X1ANPH25YN32Y17</v>
      </c>
      <c r="F1213" t="s">
        <v>3791</v>
      </c>
      <c r="G1213" t="str">
        <f>custodian!D1213</f>
        <v>114340102</v>
      </c>
      <c r="H1213" t="str">
        <f>_xll.BDP($B1213,"ID_ISIN")</f>
        <v>US1143401024</v>
      </c>
      <c r="I1213" s="1" t="s">
        <v>3790</v>
      </c>
      <c r="J1213" t="str">
        <f>_xll.BDP($B1213,"CNTRY_OF_DOMICILE")</f>
        <v>US</v>
      </c>
      <c r="K1213" t="s">
        <v>98</v>
      </c>
      <c r="L1213" t="s">
        <v>99</v>
      </c>
      <c r="O1213" s="1"/>
      <c r="AQ1213" s="1"/>
      <c r="AR1213" s="1"/>
      <c r="AS1213" s="1"/>
    </row>
    <row r="1214" spans="1:45" x14ac:dyDescent="0.25">
      <c r="A1214" t="s">
        <v>3772</v>
      </c>
      <c r="B1214" t="s">
        <v>3792</v>
      </c>
      <c r="C1214" s="1" t="s">
        <v>3793</v>
      </c>
      <c r="D1214" t="s">
        <v>3794</v>
      </c>
      <c r="E1214" t="str">
        <f>_xll.BDP($B1214,"LEGAL_ENTITY_IDENTIFIER")</f>
        <v>#N/A N/A</v>
      </c>
      <c r="F1214" t="s">
        <v>3794</v>
      </c>
      <c r="G1214" t="str">
        <f>custodian!D1214</f>
        <v>09075X207</v>
      </c>
      <c r="H1214" t="str">
        <f>_xll.BDP($B1214,"ID_ISIN")</f>
        <v>US09075X2071</v>
      </c>
      <c r="I1214" s="1" t="s">
        <v>3793</v>
      </c>
      <c r="J1214" t="str">
        <f>_xll.BDP($B1214,"CNTRY_OF_DOMICILE")</f>
        <v>US</v>
      </c>
      <c r="K1214" t="s">
        <v>98</v>
      </c>
      <c r="L1214" t="s">
        <v>99</v>
      </c>
      <c r="O1214" s="1"/>
      <c r="AQ1214" s="1"/>
      <c r="AR1214" s="1"/>
      <c r="AS1214" s="1"/>
    </row>
    <row r="1215" spans="1:45" x14ac:dyDescent="0.25">
      <c r="A1215" t="s">
        <v>3772</v>
      </c>
      <c r="B1215" t="s">
        <v>3795</v>
      </c>
      <c r="C1215" s="1" t="s">
        <v>3796</v>
      </c>
      <c r="D1215" t="s">
        <v>3797</v>
      </c>
      <c r="E1215" t="str">
        <f>_xll.BDP($B1215,"LEGAL_ENTITY_IDENTIFIER")</f>
        <v>#N/A N/A</v>
      </c>
      <c r="F1215" t="s">
        <v>3797</v>
      </c>
      <c r="G1215" t="str">
        <f>custodian!D1215</f>
        <v>07373V105</v>
      </c>
      <c r="H1215" t="str">
        <f>_xll.BDP($B1215,"ID_ISIN")</f>
        <v>US07373V1052</v>
      </c>
      <c r="I1215" s="1" t="s">
        <v>3796</v>
      </c>
      <c r="J1215" t="str">
        <f>_xll.BDP($B1215,"CNTRY_OF_DOMICILE")</f>
        <v>US</v>
      </c>
      <c r="K1215" t="s">
        <v>98</v>
      </c>
      <c r="L1215" t="s">
        <v>99</v>
      </c>
      <c r="O1215" s="1"/>
      <c r="AQ1215" s="1"/>
      <c r="AR1215" s="1"/>
      <c r="AS1215" s="1"/>
    </row>
    <row r="1216" spans="1:45" x14ac:dyDescent="0.25">
      <c r="A1216" t="s">
        <v>3772</v>
      </c>
      <c r="B1216" t="s">
        <v>3798</v>
      </c>
      <c r="C1216" s="1" t="s">
        <v>3799</v>
      </c>
      <c r="D1216" t="s">
        <v>3800</v>
      </c>
      <c r="E1216" t="str">
        <f>_xll.BDP($B1216,"LEGAL_ENTITY_IDENTIFIER")</f>
        <v>NSLL8ITTRR0J5HEMR848</v>
      </c>
      <c r="F1216" t="s">
        <v>3800</v>
      </c>
      <c r="G1216" t="str">
        <f>custodian!D1216</f>
        <v>09061G101</v>
      </c>
      <c r="H1216" t="str">
        <f>_xll.BDP($B1216,"ID_ISIN")</f>
        <v>US09061G1013</v>
      </c>
      <c r="I1216" s="1" t="s">
        <v>3799</v>
      </c>
      <c r="J1216" t="str">
        <f>_xll.BDP($B1216,"CNTRY_OF_DOMICILE")</f>
        <v>US</v>
      </c>
      <c r="K1216" t="s">
        <v>98</v>
      </c>
      <c r="L1216" t="s">
        <v>99</v>
      </c>
      <c r="O1216" s="1"/>
      <c r="AQ1216" s="1"/>
      <c r="AR1216" s="1"/>
      <c r="AS1216" s="1"/>
    </row>
    <row r="1217" spans="1:45" x14ac:dyDescent="0.25">
      <c r="A1217" t="s">
        <v>3772</v>
      </c>
      <c r="B1217" t="s">
        <v>3801</v>
      </c>
      <c r="C1217" s="1" t="s">
        <v>3802</v>
      </c>
      <c r="D1217" t="s">
        <v>3803</v>
      </c>
      <c r="E1217" t="str">
        <f>_xll.BDP($B1217,"LEGAL_ENTITY_IDENTIFIER")</f>
        <v>549300LX5LO78M5VPY43</v>
      </c>
      <c r="F1217" t="s">
        <v>3803</v>
      </c>
      <c r="G1217" t="str">
        <f>custodian!D1217</f>
        <v>142152107</v>
      </c>
      <c r="H1217" t="str">
        <f>_xll.BDP($B1217,"ID_ISIN")</f>
        <v>US1421521071</v>
      </c>
      <c r="I1217" s="1" t="s">
        <v>3802</v>
      </c>
      <c r="J1217" t="str">
        <f>_xll.BDP($B1217,"CNTRY_OF_DOMICILE")</f>
        <v>US</v>
      </c>
      <c r="K1217" t="s">
        <v>98</v>
      </c>
      <c r="L1217" t="s">
        <v>99</v>
      </c>
      <c r="O1217" s="1"/>
      <c r="AQ1217" s="1"/>
      <c r="AR1217" s="1"/>
      <c r="AS1217" s="1"/>
    </row>
    <row r="1218" spans="1:45" x14ac:dyDescent="0.25">
      <c r="A1218" t="s">
        <v>3772</v>
      </c>
      <c r="B1218" t="s">
        <v>3804</v>
      </c>
      <c r="C1218" s="1" t="s">
        <v>3805</v>
      </c>
      <c r="D1218" t="s">
        <v>3806</v>
      </c>
      <c r="E1218" t="str">
        <f>_xll.BDP($B1218,"LEGAL_ENTITY_IDENTIFIER")</f>
        <v>549300NQOFKL9NON0U06</v>
      </c>
      <c r="F1218" t="s">
        <v>3806</v>
      </c>
      <c r="G1218" t="str">
        <f>custodian!D1218</f>
        <v>14167L103</v>
      </c>
      <c r="H1218" t="str">
        <f>_xll.BDP($B1218,"ID_ISIN")</f>
        <v>US14167L1035</v>
      </c>
      <c r="I1218" s="1" t="s">
        <v>3805</v>
      </c>
      <c r="J1218" t="str">
        <f>_xll.BDP($B1218,"CNTRY_OF_DOMICILE")</f>
        <v>US</v>
      </c>
      <c r="K1218" t="s">
        <v>98</v>
      </c>
      <c r="L1218" t="s">
        <v>99</v>
      </c>
      <c r="O1218" s="1"/>
      <c r="AQ1218" s="1"/>
      <c r="AR1218" s="1"/>
      <c r="AS1218" s="1"/>
    </row>
    <row r="1219" spans="1:45" x14ac:dyDescent="0.25">
      <c r="A1219" t="s">
        <v>3772</v>
      </c>
      <c r="B1219" t="s">
        <v>3807</v>
      </c>
      <c r="C1219" s="1" t="s">
        <v>3808</v>
      </c>
      <c r="D1219" t="s">
        <v>3809</v>
      </c>
      <c r="E1219" t="str">
        <f>_xll.BDP($B1219,"LEGAL_ENTITY_IDENTIFIER")</f>
        <v>#N/A N/A</v>
      </c>
      <c r="F1219" t="s">
        <v>3809</v>
      </c>
      <c r="G1219" t="str">
        <f>custodian!D1219</f>
        <v>15687V109</v>
      </c>
      <c r="H1219" t="str">
        <f>_xll.BDP($B1219,"ID_ISIN")</f>
        <v>US15687V1098</v>
      </c>
      <c r="I1219" s="1" t="s">
        <v>3808</v>
      </c>
      <c r="J1219" t="str">
        <f>_xll.BDP($B1219,"CNTRY_OF_DOMICILE")</f>
        <v>US</v>
      </c>
      <c r="K1219" t="s">
        <v>98</v>
      </c>
      <c r="L1219" t="s">
        <v>99</v>
      </c>
      <c r="O1219" s="1"/>
      <c r="AQ1219" s="1"/>
      <c r="AR1219" s="1"/>
      <c r="AS1219" s="1"/>
    </row>
    <row r="1220" spans="1:45" x14ac:dyDescent="0.25">
      <c r="A1220" t="s">
        <v>3772</v>
      </c>
      <c r="B1220" t="s">
        <v>3810</v>
      </c>
      <c r="C1220" s="1" t="s">
        <v>3811</v>
      </c>
      <c r="D1220" t="s">
        <v>3812</v>
      </c>
      <c r="E1220" t="str">
        <f>_xll.BDP($B1220,"LEGAL_ENTITY_IDENTIFIER")</f>
        <v>#N/A N/A</v>
      </c>
      <c r="F1220" t="s">
        <v>3812</v>
      </c>
      <c r="G1220" t="str">
        <f>custodian!D1220</f>
        <v>142038108</v>
      </c>
      <c r="H1220" t="str">
        <f>_xll.BDP($B1220,"ID_ISIN")</f>
        <v>US1420381089</v>
      </c>
      <c r="I1220" s="1" t="s">
        <v>3811</v>
      </c>
      <c r="J1220" t="str">
        <f>_xll.BDP($B1220,"CNTRY_OF_DOMICILE")</f>
        <v>US</v>
      </c>
      <c r="K1220" t="s">
        <v>98</v>
      </c>
      <c r="L1220" t="s">
        <v>99</v>
      </c>
      <c r="O1220" s="1"/>
      <c r="AQ1220" s="1"/>
      <c r="AR1220" s="1"/>
      <c r="AS1220" s="1"/>
    </row>
    <row r="1221" spans="1:45" x14ac:dyDescent="0.25">
      <c r="A1221" t="s">
        <v>3772</v>
      </c>
      <c r="B1221" t="s">
        <v>3813</v>
      </c>
      <c r="C1221" s="1" t="s">
        <v>3814</v>
      </c>
      <c r="D1221" t="s">
        <v>3815</v>
      </c>
      <c r="E1221" t="str">
        <f>_xll.BDP($B1221,"LEGAL_ENTITY_IDENTIFIER")</f>
        <v>506700O6IRRIQLT3W370</v>
      </c>
      <c r="F1221" t="s">
        <v>3815</v>
      </c>
      <c r="G1221" t="str">
        <f>custodian!D1221</f>
        <v>H17182108</v>
      </c>
      <c r="H1221" t="str">
        <f>_xll.BDP($B1221,"ID_ISIN")</f>
        <v>CH0334081137</v>
      </c>
      <c r="I1221" s="1" t="s">
        <v>3814</v>
      </c>
      <c r="J1221" t="str">
        <f>_xll.BDP($B1221,"CNTRY_OF_DOMICILE")</f>
        <v>CH</v>
      </c>
      <c r="K1221" t="s">
        <v>98</v>
      </c>
      <c r="L1221" t="s">
        <v>99</v>
      </c>
      <c r="O1221" s="1"/>
      <c r="AQ1221" s="1"/>
      <c r="AR1221" s="1"/>
      <c r="AS1221" s="1"/>
    </row>
    <row r="1222" spans="1:45" x14ac:dyDescent="0.25">
      <c r="A1222" t="s">
        <v>3772</v>
      </c>
      <c r="B1222" t="s">
        <v>3816</v>
      </c>
      <c r="C1222" s="1" t="s">
        <v>3817</v>
      </c>
      <c r="D1222" t="s">
        <v>3818</v>
      </c>
      <c r="E1222" t="str">
        <f>_xll.BDP($B1222,"LEGAL_ENTITY_IDENTIFIER")</f>
        <v>2549007M2Q4HLR1XD252</v>
      </c>
      <c r="F1222" t="s">
        <v>3818</v>
      </c>
      <c r="G1222" t="str">
        <f>custodian!D1222</f>
        <v>14843C105</v>
      </c>
      <c r="H1222" t="str">
        <f>_xll.BDP($B1222,"ID_ISIN")</f>
        <v>US14843C1053</v>
      </c>
      <c r="I1222" s="1" t="s">
        <v>3817</v>
      </c>
      <c r="J1222" t="str">
        <f>_xll.BDP($B1222,"CNTRY_OF_DOMICILE")</f>
        <v>US</v>
      </c>
      <c r="K1222" t="s">
        <v>98</v>
      </c>
      <c r="L1222" t="s">
        <v>99</v>
      </c>
      <c r="O1222" s="1"/>
      <c r="AQ1222" s="1"/>
      <c r="AR1222" s="1"/>
      <c r="AS1222" s="1"/>
    </row>
    <row r="1223" spans="1:45" x14ac:dyDescent="0.25">
      <c r="A1223" t="s">
        <v>3772</v>
      </c>
      <c r="B1223" t="s">
        <v>3819</v>
      </c>
      <c r="C1223" s="1" t="s">
        <v>3820</v>
      </c>
      <c r="D1223" t="s">
        <v>3821</v>
      </c>
      <c r="E1223" t="str">
        <f>_xll.BDP($B1223,"LEGAL_ENTITY_IDENTIFIER")</f>
        <v>549300I5QGRS3BLHZH41</v>
      </c>
      <c r="F1223" t="s">
        <v>3821</v>
      </c>
      <c r="G1223" t="str">
        <f>custodian!D1223</f>
        <v>74019P207</v>
      </c>
      <c r="H1223" t="str">
        <f>_xll.BDP($B1223,"ID_ISIN")</f>
        <v>US74019P2074</v>
      </c>
      <c r="I1223" s="1" t="s">
        <v>3820</v>
      </c>
      <c r="J1223" t="str">
        <f>_xll.BDP($B1223,"CNTRY_OF_DOMICILE")</f>
        <v>US</v>
      </c>
      <c r="K1223" t="s">
        <v>98</v>
      </c>
      <c r="L1223" t="s">
        <v>99</v>
      </c>
      <c r="O1223" s="1"/>
      <c r="AQ1223" s="1"/>
      <c r="AR1223" s="1"/>
      <c r="AS1223" s="1"/>
    </row>
    <row r="1224" spans="1:45" x14ac:dyDescent="0.25">
      <c r="A1224" t="s">
        <v>3772</v>
      </c>
      <c r="B1224" t="s">
        <v>3822</v>
      </c>
      <c r="C1224" s="1" t="s">
        <v>3823</v>
      </c>
      <c r="D1224" t="s">
        <v>3824</v>
      </c>
      <c r="E1224" t="str">
        <f>_xll.BDP($B1224,"LEGAL_ENTITY_IDENTIFIER")</f>
        <v>5299000AON4Q9NT2JE42</v>
      </c>
      <c r="F1224" t="s">
        <v>3824</v>
      </c>
      <c r="G1224" t="str">
        <f>custodian!D1224</f>
        <v>28106W103</v>
      </c>
      <c r="H1224" t="str">
        <f>_xll.BDP($B1224,"ID_ISIN")</f>
        <v>US28106W1036</v>
      </c>
      <c r="I1224" s="1" t="s">
        <v>3823</v>
      </c>
      <c r="J1224" t="str">
        <f>_xll.BDP($B1224,"CNTRY_OF_DOMICILE")</f>
        <v>US</v>
      </c>
      <c r="K1224" t="s">
        <v>98</v>
      </c>
      <c r="L1224" t="s">
        <v>99</v>
      </c>
      <c r="O1224" s="1"/>
      <c r="AQ1224" s="1"/>
      <c r="AR1224" s="1"/>
      <c r="AS1224" s="1"/>
    </row>
    <row r="1225" spans="1:45" x14ac:dyDescent="0.25">
      <c r="A1225" t="s">
        <v>3772</v>
      </c>
      <c r="B1225" t="s">
        <v>3825</v>
      </c>
      <c r="C1225" s="1" t="s">
        <v>3826</v>
      </c>
      <c r="D1225" t="s">
        <v>3827</v>
      </c>
      <c r="E1225" t="str">
        <f>_xll.BDP($B1225,"LEGAL_ENTITY_IDENTIFIER")</f>
        <v>#N/A N/A</v>
      </c>
      <c r="F1225" t="s">
        <v>3827</v>
      </c>
      <c r="G1225" t="str">
        <f>custodian!D1225</f>
        <v>35104E100</v>
      </c>
      <c r="H1225" t="str">
        <f>_xll.BDP($B1225,"ID_ISIN")</f>
        <v>US35104E1001</v>
      </c>
      <c r="I1225" s="1" t="s">
        <v>3826</v>
      </c>
      <c r="J1225" t="str">
        <f>_xll.BDP($B1225,"CNTRY_OF_DOMICILE")</f>
        <v>US</v>
      </c>
      <c r="K1225" t="s">
        <v>98</v>
      </c>
      <c r="L1225" t="s">
        <v>99</v>
      </c>
      <c r="O1225" s="1"/>
      <c r="AQ1225" s="1"/>
      <c r="AR1225" s="1"/>
      <c r="AS1225" s="1"/>
    </row>
    <row r="1226" spans="1:45" x14ac:dyDescent="0.25">
      <c r="A1226" t="s">
        <v>3772</v>
      </c>
      <c r="B1226" t="s">
        <v>77</v>
      </c>
      <c r="C1226" s="1" t="s">
        <v>78</v>
      </c>
      <c r="D1226" t="s">
        <v>79</v>
      </c>
      <c r="E1226" t="str">
        <f>_xll.BDP($B1226,"LEGAL_ENTITY_IDENTIFIER")</f>
        <v>549300R5MYM6VZF1RM44</v>
      </c>
      <c r="F1226" t="s">
        <v>80</v>
      </c>
      <c r="G1226" t="str">
        <f>custodian!D1226</f>
        <v>31846V336</v>
      </c>
      <c r="H1226" t="str">
        <f>_xll.BDP($B1226,"ID_ISIN")</f>
        <v>US31846V3362</v>
      </c>
      <c r="I1226" s="1" t="s">
        <v>78</v>
      </c>
      <c r="J1226" t="str">
        <f>_xll.BDP($B1226,"CNTRY_OF_DOMICILE")</f>
        <v>US</v>
      </c>
      <c r="K1226" t="s">
        <v>81</v>
      </c>
      <c r="L1226" t="s">
        <v>82</v>
      </c>
      <c r="O1226" s="1"/>
      <c r="AQ1226" s="1"/>
      <c r="AR1226" s="1"/>
      <c r="AS1226" s="1"/>
    </row>
    <row r="1227" spans="1:45" x14ac:dyDescent="0.25">
      <c r="A1227" t="s">
        <v>3772</v>
      </c>
      <c r="B1227" t="s">
        <v>3828</v>
      </c>
      <c r="C1227" s="1" t="s">
        <v>3829</v>
      </c>
      <c r="D1227" t="s">
        <v>3830</v>
      </c>
      <c r="E1227" t="str">
        <f>_xll.BDP($B1227,"LEGAL_ENTITY_IDENTIFIER")</f>
        <v>549300CL6P01M68QJ404</v>
      </c>
      <c r="F1227" t="s">
        <v>3830</v>
      </c>
      <c r="G1227" t="str">
        <f>custodian!D1227</f>
        <v>359664109</v>
      </c>
      <c r="H1227" t="str">
        <f>_xll.BDP($B1227,"ID_ISIN")</f>
        <v>US3596641098</v>
      </c>
      <c r="I1227" s="1" t="s">
        <v>3829</v>
      </c>
      <c r="J1227" t="str">
        <f>_xll.BDP($B1227,"CNTRY_OF_DOMICILE")</f>
        <v>US</v>
      </c>
      <c r="K1227" t="s">
        <v>98</v>
      </c>
      <c r="L1227" t="s">
        <v>99</v>
      </c>
      <c r="O1227" s="1"/>
      <c r="AQ1227" s="1"/>
      <c r="AR1227" s="1"/>
      <c r="AS1227" s="1"/>
    </row>
    <row r="1228" spans="1:45" x14ac:dyDescent="0.25">
      <c r="A1228" t="s">
        <v>3772</v>
      </c>
      <c r="B1228" t="s">
        <v>3831</v>
      </c>
      <c r="C1228" s="1" t="s">
        <v>3832</v>
      </c>
      <c r="D1228" t="s">
        <v>3833</v>
      </c>
      <c r="E1228" t="str">
        <f>_xll.BDP($B1228,"LEGAL_ENTITY_IDENTIFIER")</f>
        <v>#N/A N/A</v>
      </c>
      <c r="F1228" t="s">
        <v>3833</v>
      </c>
      <c r="G1228" t="str">
        <f>custodian!D1228</f>
        <v>370920100</v>
      </c>
      <c r="H1228" t="str">
        <f>_xll.BDP($B1228,"ID_ISIN")</f>
        <v>US3709201004</v>
      </c>
      <c r="I1228" s="1" t="s">
        <v>3832</v>
      </c>
      <c r="J1228" t="str">
        <f>_xll.BDP($B1228,"CNTRY_OF_DOMICILE")</f>
        <v>US</v>
      </c>
      <c r="K1228" t="s">
        <v>98</v>
      </c>
      <c r="L1228" t="s">
        <v>99</v>
      </c>
      <c r="O1228" s="1"/>
      <c r="AQ1228" s="1"/>
      <c r="AR1228" s="1"/>
      <c r="AS1228" s="1"/>
    </row>
    <row r="1229" spans="1:45" x14ac:dyDescent="0.25">
      <c r="A1229" t="s">
        <v>3772</v>
      </c>
      <c r="B1229" t="s">
        <v>3834</v>
      </c>
      <c r="C1229" s="1" t="s">
        <v>3835</v>
      </c>
      <c r="D1229" t="s">
        <v>3836</v>
      </c>
      <c r="E1229" t="str">
        <f>_xll.BDP($B1229,"LEGAL_ENTITY_IDENTIFIER")</f>
        <v>254900M8C3E5VC8BR186</v>
      </c>
      <c r="F1229" t="s">
        <v>3836</v>
      </c>
      <c r="G1229" t="str">
        <f>custodian!D1229</f>
        <v>40131M109</v>
      </c>
      <c r="H1229" t="str">
        <f>_xll.BDP($B1229,"ID_ISIN")</f>
        <v>US40131M1099</v>
      </c>
      <c r="I1229" s="1" t="s">
        <v>3835</v>
      </c>
      <c r="J1229" t="str">
        <f>_xll.BDP($B1229,"CNTRY_OF_DOMICILE")</f>
        <v>US</v>
      </c>
      <c r="K1229" t="s">
        <v>98</v>
      </c>
      <c r="L1229" t="s">
        <v>99</v>
      </c>
      <c r="O1229" s="1"/>
      <c r="AQ1229" s="1"/>
      <c r="AR1229" s="1"/>
      <c r="AS1229" s="1"/>
    </row>
    <row r="1230" spans="1:45" x14ac:dyDescent="0.25">
      <c r="A1230" t="s">
        <v>3772</v>
      </c>
      <c r="B1230" t="s">
        <v>3837</v>
      </c>
      <c r="C1230" s="1" t="s">
        <v>3838</v>
      </c>
      <c r="D1230" t="s">
        <v>3839</v>
      </c>
      <c r="E1230" t="str">
        <f>_xll.BDP($B1230,"LEGAL_ENTITY_IDENTIFIER")</f>
        <v>529900MTJPDPE4MHJ122</v>
      </c>
      <c r="F1230" t="s">
        <v>3839</v>
      </c>
      <c r="G1230" t="str">
        <f>custodian!D1230</f>
        <v>372303206</v>
      </c>
      <c r="H1230" t="str">
        <f>_xll.BDP($B1230,"ID_ISIN")</f>
        <v>US3723032062</v>
      </c>
      <c r="I1230" s="1" t="s">
        <v>3838</v>
      </c>
      <c r="J1230" t="str">
        <f>_xll.BDP($B1230,"CNTRY_OF_DOMICILE")</f>
        <v>DK</v>
      </c>
      <c r="K1230" t="s">
        <v>98</v>
      </c>
      <c r="L1230" t="s">
        <v>99</v>
      </c>
      <c r="O1230" s="1"/>
      <c r="AQ1230" s="1"/>
      <c r="AR1230" s="1"/>
      <c r="AS1230" s="1"/>
    </row>
    <row r="1231" spans="1:45" x14ac:dyDescent="0.25">
      <c r="A1231" t="s">
        <v>3772</v>
      </c>
      <c r="B1231" t="s">
        <v>3840</v>
      </c>
      <c r="C1231" s="1" t="s">
        <v>3841</v>
      </c>
      <c r="D1231" t="s">
        <v>3842</v>
      </c>
      <c r="E1231" t="str">
        <f>_xll.BDP($B1231,"LEGAL_ENTITY_IDENTIFIER")</f>
        <v>2549009XSNESW3VE8024</v>
      </c>
      <c r="F1231" t="s">
        <v>3842</v>
      </c>
      <c r="G1231" t="str">
        <f>custodian!D1231</f>
        <v>384747101</v>
      </c>
      <c r="H1231" t="str">
        <f>_xll.BDP($B1231,"ID_ISIN")</f>
        <v>US3847471014</v>
      </c>
      <c r="I1231" s="1" t="s">
        <v>3841</v>
      </c>
      <c r="J1231" t="str">
        <f>_xll.BDP($B1231,"CNTRY_OF_DOMICILE")</f>
        <v>US</v>
      </c>
      <c r="K1231" t="s">
        <v>98</v>
      </c>
      <c r="L1231" t="s">
        <v>99</v>
      </c>
      <c r="O1231" s="1"/>
      <c r="AQ1231" s="1"/>
      <c r="AR1231" s="1"/>
      <c r="AS1231" s="1"/>
    </row>
    <row r="1232" spans="1:45" x14ac:dyDescent="0.25">
      <c r="A1232" t="s">
        <v>3772</v>
      </c>
      <c r="B1232" t="s">
        <v>3843</v>
      </c>
      <c r="C1232" s="1" t="s">
        <v>3844</v>
      </c>
      <c r="D1232" t="s">
        <v>3845</v>
      </c>
      <c r="E1232" t="str">
        <f>_xll.BDP($B1232,"LEGAL_ENTITY_IDENTIFIER")</f>
        <v>549300ULW08F62IJML11</v>
      </c>
      <c r="F1232" t="s">
        <v>3845</v>
      </c>
      <c r="G1232" t="str">
        <f>custodian!D1232</f>
        <v>45166A102</v>
      </c>
      <c r="H1232" t="str">
        <f>_xll.BDP($B1232,"ID_ISIN")</f>
        <v>US45166A1025</v>
      </c>
      <c r="I1232" s="1" t="s">
        <v>3844</v>
      </c>
      <c r="J1232" t="str">
        <f>_xll.BDP($B1232,"CNTRY_OF_DOMICILE")</f>
        <v>US</v>
      </c>
      <c r="K1232" t="s">
        <v>98</v>
      </c>
      <c r="L1232" t="s">
        <v>99</v>
      </c>
      <c r="O1232" s="1"/>
      <c r="AQ1232" s="1"/>
      <c r="AR1232" s="1"/>
      <c r="AS1232" s="1"/>
    </row>
    <row r="1233" spans="1:45" x14ac:dyDescent="0.25">
      <c r="A1233" t="s">
        <v>3772</v>
      </c>
      <c r="B1233" t="s">
        <v>3846</v>
      </c>
      <c r="C1233" s="1" t="s">
        <v>3847</v>
      </c>
      <c r="D1233" t="s">
        <v>3848</v>
      </c>
      <c r="E1233" t="str">
        <f>_xll.BDP($B1233,"LEGAL_ENTITY_IDENTIFIER")</f>
        <v>SQ95QG8SR5Q56LSNF682</v>
      </c>
      <c r="F1233" t="s">
        <v>3848</v>
      </c>
      <c r="G1233" t="str">
        <f>custodian!D1233</f>
        <v>452327109</v>
      </c>
      <c r="H1233" t="str">
        <f>_xll.BDP($B1233,"ID_ISIN")</f>
        <v>US4523271090</v>
      </c>
      <c r="I1233" s="1" t="s">
        <v>3847</v>
      </c>
      <c r="J1233" t="str">
        <f>_xll.BDP($B1233,"CNTRY_OF_DOMICILE")</f>
        <v>US</v>
      </c>
      <c r="K1233" t="s">
        <v>98</v>
      </c>
      <c r="L1233" t="s">
        <v>99</v>
      </c>
      <c r="O1233" s="1"/>
      <c r="AQ1233" s="1"/>
      <c r="AR1233" s="1"/>
      <c r="AS1233" s="1"/>
    </row>
    <row r="1234" spans="1:45" x14ac:dyDescent="0.25">
      <c r="A1234" t="s">
        <v>3772</v>
      </c>
      <c r="B1234" t="s">
        <v>3849</v>
      </c>
      <c r="C1234" s="1" t="s">
        <v>3850</v>
      </c>
      <c r="D1234" t="s">
        <v>3851</v>
      </c>
      <c r="E1234" t="str">
        <f>_xll.BDP($B1234,"LEGAL_ENTITY_IDENTIFIER")</f>
        <v>549300Z4WN6JVZ3T4680</v>
      </c>
      <c r="F1234" t="s">
        <v>3851</v>
      </c>
      <c r="G1234" t="str">
        <f>custodian!D1234</f>
        <v>45337C102</v>
      </c>
      <c r="H1234" t="str">
        <f>_xll.BDP($B1234,"ID_ISIN")</f>
        <v>US45337C1027</v>
      </c>
      <c r="I1234" s="1" t="s">
        <v>3850</v>
      </c>
      <c r="J1234" t="str">
        <f>_xll.BDP($B1234,"CNTRY_OF_DOMICILE")</f>
        <v>US</v>
      </c>
      <c r="K1234" t="s">
        <v>98</v>
      </c>
      <c r="L1234" t="s">
        <v>99</v>
      </c>
      <c r="O1234" s="1"/>
      <c r="AQ1234" s="1"/>
      <c r="AR1234" s="1"/>
      <c r="AS1234" s="1"/>
    </row>
    <row r="1235" spans="1:45" x14ac:dyDescent="0.25">
      <c r="A1235" t="s">
        <v>3772</v>
      </c>
      <c r="B1235" t="s">
        <v>3852</v>
      </c>
      <c r="C1235" s="1" t="s">
        <v>3853</v>
      </c>
      <c r="D1235" t="s">
        <v>3854</v>
      </c>
      <c r="E1235" t="str">
        <f>_xll.BDP($B1235,"LEGAL_ENTITY_IDENTIFIER")</f>
        <v>549300SI4ZGLG0BLUZ92</v>
      </c>
      <c r="F1235" t="s">
        <v>3854</v>
      </c>
      <c r="G1235" t="str">
        <f>custodian!D1235</f>
        <v>462222100</v>
      </c>
      <c r="H1235" t="str">
        <f>_xll.BDP($B1235,"ID_ISIN")</f>
        <v>US4622221004</v>
      </c>
      <c r="I1235" s="1" t="s">
        <v>3853</v>
      </c>
      <c r="J1235" t="str">
        <f>_xll.BDP($B1235,"CNTRY_OF_DOMICILE")</f>
        <v>US</v>
      </c>
      <c r="K1235" t="s">
        <v>98</v>
      </c>
      <c r="L1235" t="s">
        <v>99</v>
      </c>
      <c r="O1235" s="1"/>
      <c r="AQ1235" s="1"/>
      <c r="AR1235" s="1"/>
      <c r="AS1235" s="1"/>
    </row>
    <row r="1236" spans="1:45" x14ac:dyDescent="0.25">
      <c r="A1236" t="s">
        <v>3772</v>
      </c>
      <c r="B1236" t="s">
        <v>3855</v>
      </c>
      <c r="C1236" s="1" t="s">
        <v>3856</v>
      </c>
      <c r="D1236" t="s">
        <v>3857</v>
      </c>
      <c r="E1236" t="str">
        <f>_xll.BDP($B1236,"LEGAL_ENTITY_IDENTIFIER")</f>
        <v>2549002L8WT2ACU5Q878</v>
      </c>
      <c r="F1236" t="s">
        <v>3857</v>
      </c>
      <c r="G1236" t="str">
        <f>custodian!D1236</f>
        <v>462260100</v>
      </c>
      <c r="H1236" t="str">
        <f>_xll.BDP($B1236,"ID_ISIN")</f>
        <v>US4622601007</v>
      </c>
      <c r="I1236" s="1" t="s">
        <v>3856</v>
      </c>
      <c r="J1236" t="str">
        <f>_xll.BDP($B1236,"CNTRY_OF_DOMICILE")</f>
        <v>US</v>
      </c>
      <c r="K1236" t="s">
        <v>98</v>
      </c>
      <c r="L1236" t="s">
        <v>99</v>
      </c>
      <c r="O1236" s="1"/>
      <c r="AQ1236" s="1"/>
      <c r="AR1236" s="1"/>
      <c r="AS1236" s="1"/>
    </row>
    <row r="1237" spans="1:45" x14ac:dyDescent="0.25">
      <c r="A1237" t="s">
        <v>3772</v>
      </c>
      <c r="B1237" t="s">
        <v>3858</v>
      </c>
      <c r="C1237" s="1" t="s">
        <v>3859</v>
      </c>
      <c r="D1237" t="s">
        <v>3860</v>
      </c>
      <c r="E1237" t="str">
        <f>_xll.BDP($B1237,"LEGAL_ENTITY_IDENTIFIER")</f>
        <v>549300YONUY68210OE41</v>
      </c>
      <c r="F1237" t="s">
        <v>3860</v>
      </c>
      <c r="G1237" t="str">
        <f>custodian!D1237</f>
        <v>501147102</v>
      </c>
      <c r="H1237" t="str">
        <f>_xll.BDP($B1237,"ID_ISIN")</f>
        <v>US5011471027</v>
      </c>
      <c r="I1237" s="1" t="s">
        <v>3859</v>
      </c>
      <c r="J1237" t="str">
        <f>_xll.BDP($B1237,"CNTRY_OF_DOMICILE")</f>
        <v>US</v>
      </c>
      <c r="K1237" t="s">
        <v>98</v>
      </c>
      <c r="L1237" t="s">
        <v>99</v>
      </c>
      <c r="O1237" s="1"/>
      <c r="AQ1237" s="1"/>
      <c r="AR1237" s="1"/>
      <c r="AS1237" s="1"/>
    </row>
    <row r="1238" spans="1:45" x14ac:dyDescent="0.25">
      <c r="A1238" t="s">
        <v>3772</v>
      </c>
      <c r="B1238" t="s">
        <v>3861</v>
      </c>
      <c r="C1238" s="1" t="s">
        <v>3862</v>
      </c>
      <c r="D1238" t="s">
        <v>3863</v>
      </c>
      <c r="E1238" t="str">
        <f>_xll.BDP($B1238,"LEGAL_ENTITY_IDENTIFIER")</f>
        <v>549300GX8Y96GSB6YP89</v>
      </c>
      <c r="F1238" t="s">
        <v>3863</v>
      </c>
      <c r="G1238" t="str">
        <f>custodian!D1238</f>
        <v>34385P108</v>
      </c>
      <c r="H1238" t="str">
        <f>_xll.BDP($B1238,"ID_ISIN")</f>
        <v>US34385P1084</v>
      </c>
      <c r="I1238" s="1" t="s">
        <v>3862</v>
      </c>
      <c r="J1238" t="str">
        <f>_xll.BDP($B1238,"CNTRY_OF_DOMICILE")</f>
        <v>US</v>
      </c>
      <c r="K1238" t="s">
        <v>98</v>
      </c>
      <c r="L1238" t="s">
        <v>99</v>
      </c>
      <c r="O1238" s="1"/>
      <c r="AQ1238" s="1"/>
      <c r="AR1238" s="1"/>
      <c r="AS1238" s="1"/>
    </row>
    <row r="1239" spans="1:45" x14ac:dyDescent="0.25">
      <c r="A1239" t="s">
        <v>3772</v>
      </c>
      <c r="B1239" t="s">
        <v>3864</v>
      </c>
      <c r="C1239" s="1" t="s">
        <v>3865</v>
      </c>
      <c r="D1239" t="s">
        <v>3866</v>
      </c>
      <c r="E1239" t="str">
        <f>_xll.BDP($B1239,"LEGAL_ENTITY_IDENTIFIER")</f>
        <v>549300EI6OKH5K5Q2G38</v>
      </c>
      <c r="F1239" t="s">
        <v>3866</v>
      </c>
      <c r="G1239" t="str">
        <f>custodian!D1239</f>
        <v>60770K107</v>
      </c>
      <c r="H1239" t="str">
        <f>_xll.BDP($B1239,"ID_ISIN")</f>
        <v>US60770K1079</v>
      </c>
      <c r="I1239" s="1" t="s">
        <v>3865</v>
      </c>
      <c r="J1239" t="str">
        <f>_xll.BDP($B1239,"CNTRY_OF_DOMICILE")</f>
        <v>US</v>
      </c>
      <c r="K1239" t="s">
        <v>98</v>
      </c>
      <c r="L1239" t="s">
        <v>99</v>
      </c>
      <c r="O1239" s="1"/>
      <c r="AQ1239" s="1"/>
      <c r="AR1239" s="1"/>
      <c r="AS1239" s="1"/>
    </row>
    <row r="1240" spans="1:45" x14ac:dyDescent="0.25">
      <c r="A1240" t="s">
        <v>3772</v>
      </c>
      <c r="B1240" t="s">
        <v>3867</v>
      </c>
      <c r="C1240" s="1" t="s">
        <v>3868</v>
      </c>
      <c r="D1240" t="s">
        <v>3869</v>
      </c>
      <c r="E1240" t="str">
        <f>_xll.BDP($B1240,"LEGAL_ENTITY_IDENTIFIER")</f>
        <v>52990044IHUOUMETT163</v>
      </c>
      <c r="F1240" t="s">
        <v>3869</v>
      </c>
      <c r="G1240" t="str">
        <f>custodian!D1240</f>
        <v>62855J104</v>
      </c>
      <c r="H1240" t="str">
        <f>_xll.BDP($B1240,"ID_ISIN")</f>
        <v>US62855J1043</v>
      </c>
      <c r="I1240" s="1" t="s">
        <v>3868</v>
      </c>
      <c r="J1240" t="str">
        <f>_xll.BDP($B1240,"CNTRY_OF_DOMICILE")</f>
        <v>US</v>
      </c>
      <c r="K1240" t="s">
        <v>98</v>
      </c>
      <c r="L1240" t="s">
        <v>99</v>
      </c>
      <c r="O1240" s="1"/>
      <c r="AQ1240" s="1"/>
      <c r="AR1240" s="1"/>
      <c r="AS1240" s="1"/>
    </row>
    <row r="1241" spans="1:45" x14ac:dyDescent="0.25">
      <c r="A1241" t="s">
        <v>3772</v>
      </c>
      <c r="B1241" t="s">
        <v>3870</v>
      </c>
      <c r="C1241" s="1" t="s">
        <v>3871</v>
      </c>
      <c r="D1241" t="s">
        <v>3872</v>
      </c>
      <c r="E1241" t="str">
        <f>_xll.BDP($B1241,"LEGAL_ENTITY_IDENTIFIER")</f>
        <v>254900KXWYZIKXNFT521</v>
      </c>
      <c r="F1241" t="s">
        <v>3872</v>
      </c>
      <c r="G1241" t="str">
        <f>custodian!D1241</f>
        <v>64049M209</v>
      </c>
      <c r="H1241" t="str">
        <f>_xll.BDP($B1241,"ID_ISIN")</f>
        <v>US64049M2098</v>
      </c>
      <c r="I1241" s="1" t="s">
        <v>3871</v>
      </c>
      <c r="J1241" t="str">
        <f>_xll.BDP($B1241,"CNTRY_OF_DOMICILE")</f>
        <v>US</v>
      </c>
      <c r="K1241" t="s">
        <v>98</v>
      </c>
      <c r="L1241" t="s">
        <v>99</v>
      </c>
      <c r="O1241" s="1"/>
      <c r="AQ1241" s="1"/>
      <c r="AR1241" s="1"/>
      <c r="AS1241" s="1"/>
    </row>
    <row r="1242" spans="1:45" x14ac:dyDescent="0.25">
      <c r="A1242" t="s">
        <v>3772</v>
      </c>
      <c r="B1242" t="s">
        <v>3873</v>
      </c>
      <c r="C1242" s="1" t="s">
        <v>3874</v>
      </c>
      <c r="D1242" t="s">
        <v>3875</v>
      </c>
      <c r="E1242" t="str">
        <f>_xll.BDP($B1242,"LEGAL_ENTITY_IDENTIFIER")</f>
        <v>#N/A N/A</v>
      </c>
      <c r="F1242" t="s">
        <v>3875</v>
      </c>
      <c r="G1242" t="str">
        <f>custodian!D1242</f>
        <v>67080M103</v>
      </c>
      <c r="H1242" t="str">
        <f>_xll.BDP($B1242,"ID_ISIN")</f>
        <v>US67080M1036</v>
      </c>
      <c r="I1242" s="1" t="s">
        <v>3874</v>
      </c>
      <c r="J1242" t="str">
        <f>_xll.BDP($B1242,"CNTRY_OF_DOMICILE")</f>
        <v>US</v>
      </c>
      <c r="K1242" t="s">
        <v>98</v>
      </c>
      <c r="L1242" t="s">
        <v>99</v>
      </c>
      <c r="O1242" s="1"/>
      <c r="AQ1242" s="1"/>
      <c r="AR1242" s="1"/>
      <c r="AS1242" s="1"/>
    </row>
    <row r="1243" spans="1:45" x14ac:dyDescent="0.25">
      <c r="A1243" t="s">
        <v>3772</v>
      </c>
      <c r="B1243" t="s">
        <v>3876</v>
      </c>
      <c r="C1243" s="1" t="s">
        <v>3877</v>
      </c>
      <c r="D1243" t="s">
        <v>3878</v>
      </c>
      <c r="E1243" t="str">
        <f>_xll.BDP($B1243,"LEGAL_ENTITY_IDENTIFIER")</f>
        <v>5493002T5BCPE5DZC723</v>
      </c>
      <c r="F1243" t="s">
        <v>3878</v>
      </c>
      <c r="G1243" t="str">
        <f>custodian!D1243</f>
        <v>45826J105</v>
      </c>
      <c r="H1243" t="str">
        <f>_xll.BDP($B1243,"ID_ISIN")</f>
        <v>US45826J1051</v>
      </c>
      <c r="I1243" s="1" t="s">
        <v>3877</v>
      </c>
      <c r="J1243" t="str">
        <f>_xll.BDP($B1243,"CNTRY_OF_DOMICILE")</f>
        <v>US</v>
      </c>
      <c r="K1243" t="s">
        <v>98</v>
      </c>
      <c r="L1243" t="s">
        <v>99</v>
      </c>
      <c r="O1243" s="1"/>
      <c r="AQ1243" s="1"/>
      <c r="AR1243" s="1"/>
      <c r="AS1243" s="1"/>
    </row>
    <row r="1244" spans="1:45" x14ac:dyDescent="0.25">
      <c r="A1244" t="s">
        <v>3772</v>
      </c>
      <c r="B1244" t="s">
        <v>3879</v>
      </c>
      <c r="C1244" s="1" t="s">
        <v>3880</v>
      </c>
      <c r="D1244" t="s">
        <v>3881</v>
      </c>
      <c r="E1244" t="str">
        <f>_xll.BDP($B1244,"LEGAL_ENTITY_IDENTIFIER")</f>
        <v>529900RZ62O2T6LNQS60</v>
      </c>
      <c r="F1244" t="s">
        <v>3881</v>
      </c>
      <c r="G1244" t="str">
        <f>custodian!D1244</f>
        <v>670703107</v>
      </c>
      <c r="H1244" t="str">
        <f>_xll.BDP($B1244,"ID_ISIN")</f>
        <v>US6707031075</v>
      </c>
      <c r="I1244" s="1" t="s">
        <v>3880</v>
      </c>
      <c r="J1244" t="str">
        <f>_xll.BDP($B1244,"CNTRY_OF_DOMICILE")</f>
        <v>US</v>
      </c>
      <c r="K1244" t="s">
        <v>98</v>
      </c>
      <c r="L1244" t="s">
        <v>99</v>
      </c>
      <c r="O1244" s="1"/>
      <c r="AQ1244" s="1"/>
      <c r="AR1244" s="1"/>
      <c r="AS1244" s="1"/>
    </row>
    <row r="1245" spans="1:45" x14ac:dyDescent="0.25">
      <c r="A1245" t="s">
        <v>3772</v>
      </c>
      <c r="B1245" t="s">
        <v>3882</v>
      </c>
      <c r="C1245" s="1" t="s">
        <v>3883</v>
      </c>
      <c r="D1245" t="s">
        <v>3884</v>
      </c>
      <c r="E1245" t="str">
        <f>_xll.BDP($B1245,"LEGAL_ENTITY_IDENTIFIER")</f>
        <v>529900F1BWRE1M0KZN89</v>
      </c>
      <c r="F1245" t="s">
        <v>3885</v>
      </c>
      <c r="G1245" t="str">
        <f>custodian!D1245</f>
        <v>69404D108</v>
      </c>
      <c r="H1245" t="str">
        <f>_xll.BDP($B1245,"ID_ISIN")</f>
        <v>US69404D1081</v>
      </c>
      <c r="I1245" s="1" t="s">
        <v>3883</v>
      </c>
      <c r="J1245" t="str">
        <f>_xll.BDP($B1245,"CNTRY_OF_DOMICILE")</f>
        <v>US</v>
      </c>
      <c r="K1245" t="s">
        <v>98</v>
      </c>
      <c r="L1245" t="s">
        <v>99</v>
      </c>
      <c r="O1245" s="1"/>
      <c r="AQ1245" s="1"/>
      <c r="AR1245" s="1"/>
      <c r="AS1245" s="1"/>
    </row>
    <row r="1246" spans="1:45" x14ac:dyDescent="0.25">
      <c r="A1246" t="s">
        <v>3772</v>
      </c>
      <c r="B1246" t="s">
        <v>3886</v>
      </c>
      <c r="C1246" s="1" t="s">
        <v>3887</v>
      </c>
      <c r="D1246" t="s">
        <v>3888</v>
      </c>
      <c r="E1246" t="str">
        <f>_xll.BDP($B1246,"LEGAL_ENTITY_IDENTIFIER")</f>
        <v>#N/A N/A</v>
      </c>
      <c r="F1246" t="s">
        <v>3888</v>
      </c>
      <c r="G1246" t="str">
        <f>custodian!D1246</f>
        <v>74168J101</v>
      </c>
      <c r="H1246" t="str">
        <f>_xll.BDP($B1246,"ID_ISIN")</f>
        <v>US74168J1016</v>
      </c>
      <c r="I1246" s="1" t="s">
        <v>3887</v>
      </c>
      <c r="J1246" t="str">
        <f>_xll.BDP($B1246,"CNTRY_OF_DOMICILE")</f>
        <v>US</v>
      </c>
      <c r="K1246" t="s">
        <v>98</v>
      </c>
      <c r="L1246" t="s">
        <v>99</v>
      </c>
      <c r="O1246" s="1"/>
      <c r="AQ1246" s="1"/>
      <c r="AR1246" s="1"/>
      <c r="AS1246" s="1"/>
    </row>
    <row r="1247" spans="1:45" x14ac:dyDescent="0.25">
      <c r="A1247" t="s">
        <v>3772</v>
      </c>
      <c r="B1247" t="s">
        <v>3889</v>
      </c>
      <c r="C1247" s="1" t="s">
        <v>3890</v>
      </c>
      <c r="D1247" t="s">
        <v>3891</v>
      </c>
      <c r="E1247" t="str">
        <f>_xll.BDP($B1247,"LEGAL_ENTITY_IDENTIFIER")</f>
        <v>549300EZ2NYFK7H0US48</v>
      </c>
      <c r="F1247" t="s">
        <v>3891</v>
      </c>
      <c r="G1247" t="str">
        <f>custodian!D1247</f>
        <v>71535D106</v>
      </c>
      <c r="H1247" t="str">
        <f>_xll.BDP($B1247,"ID_ISIN")</f>
        <v>US71535D1063</v>
      </c>
      <c r="I1247" s="1" t="s">
        <v>3890</v>
      </c>
      <c r="J1247" t="str">
        <f>_xll.BDP($B1247,"CNTRY_OF_DOMICILE")</f>
        <v>US</v>
      </c>
      <c r="K1247" t="s">
        <v>98</v>
      </c>
      <c r="L1247" t="s">
        <v>99</v>
      </c>
      <c r="O1247" s="1"/>
      <c r="AQ1247" s="1"/>
      <c r="AR1247" s="1"/>
      <c r="AS1247" s="1"/>
    </row>
    <row r="1248" spans="1:45" x14ac:dyDescent="0.25">
      <c r="A1248" t="s">
        <v>3772</v>
      </c>
      <c r="B1248" t="s">
        <v>3892</v>
      </c>
      <c r="C1248" s="1" t="s">
        <v>3893</v>
      </c>
      <c r="D1248" t="s">
        <v>3894</v>
      </c>
      <c r="E1248" t="str">
        <f>_xll.BDP($B1248,"LEGAL_ENTITY_IDENTIFIER")</f>
        <v>54930036WK3GMCN17Z57</v>
      </c>
      <c r="F1248" t="s">
        <v>3894</v>
      </c>
      <c r="G1248" t="str">
        <f>custodian!D1248</f>
        <v>N72482156</v>
      </c>
      <c r="H1248" t="str">
        <f>_xll.BDP($B1248,"ID_ISIN")</f>
        <v>NL0015002SN0</v>
      </c>
      <c r="I1248" s="1" t="s">
        <v>3893</v>
      </c>
      <c r="J1248" t="str">
        <f>_xll.BDP($B1248,"CNTRY_OF_DOMICILE")</f>
        <v>NL</v>
      </c>
      <c r="K1248" t="s">
        <v>98</v>
      </c>
      <c r="L1248" t="s">
        <v>99</v>
      </c>
      <c r="O1248" s="1"/>
      <c r="AQ1248" s="1"/>
      <c r="AR1248" s="1"/>
      <c r="AS1248" s="1"/>
    </row>
    <row r="1249" spans="1:45" x14ac:dyDescent="0.25">
      <c r="A1249" t="s">
        <v>3772</v>
      </c>
      <c r="B1249" t="s">
        <v>3895</v>
      </c>
      <c r="C1249" s="1" t="s">
        <v>3896</v>
      </c>
      <c r="D1249" t="s">
        <v>3897</v>
      </c>
      <c r="E1249" t="str">
        <f>_xll.BDP($B1249,"LEGAL_ENTITY_IDENTIFIER")</f>
        <v>724500RPCTZLFYJZ3S98</v>
      </c>
      <c r="F1249" t="s">
        <v>3897</v>
      </c>
      <c r="G1249" t="str">
        <f>custodian!D1249</f>
        <v>N90064101</v>
      </c>
      <c r="H1249" t="str">
        <f>_xll.BDP($B1249,"ID_ISIN")</f>
        <v>NL0010696654</v>
      </c>
      <c r="I1249" s="1" t="s">
        <v>3896</v>
      </c>
      <c r="J1249" t="str">
        <f>_xll.BDP($B1249,"CNTRY_OF_DOMICILE")</f>
        <v>NL</v>
      </c>
      <c r="K1249" t="s">
        <v>98</v>
      </c>
      <c r="L1249" t="s">
        <v>99</v>
      </c>
      <c r="O1249" s="1"/>
      <c r="AQ1249" s="1"/>
      <c r="AR1249" s="1"/>
      <c r="AS1249" s="1"/>
    </row>
    <row r="1250" spans="1:45" x14ac:dyDescent="0.25">
      <c r="A1250" t="s">
        <v>3772</v>
      </c>
      <c r="B1250" t="s">
        <v>3898</v>
      </c>
      <c r="C1250" s="1" t="s">
        <v>3899</v>
      </c>
      <c r="D1250" t="s">
        <v>3900</v>
      </c>
      <c r="E1250" t="str">
        <f>_xll.BDP($B1250,"LEGAL_ENTITY_IDENTIFIER")</f>
        <v>529900EV44GVDN1DCX77</v>
      </c>
      <c r="F1250" t="s">
        <v>3900</v>
      </c>
      <c r="G1250" t="str">
        <f>custodian!D1250</f>
        <v>90400D108</v>
      </c>
      <c r="H1250" t="str">
        <f>_xll.BDP($B1250,"ID_ISIN")</f>
        <v>US90400D1081</v>
      </c>
      <c r="I1250" s="1" t="s">
        <v>3899</v>
      </c>
      <c r="J1250" t="str">
        <f>_xll.BDP($B1250,"CNTRY_OF_DOMICILE")</f>
        <v>US</v>
      </c>
      <c r="K1250" t="s">
        <v>98</v>
      </c>
      <c r="L1250" t="s">
        <v>99</v>
      </c>
      <c r="O1250" s="1"/>
      <c r="AQ1250" s="1"/>
      <c r="AR1250" s="1"/>
      <c r="AS1250" s="1"/>
    </row>
    <row r="1251" spans="1:45" x14ac:dyDescent="0.25">
      <c r="A1251" t="s">
        <v>3772</v>
      </c>
      <c r="B1251" t="s">
        <v>3901</v>
      </c>
      <c r="C1251" s="1" t="s">
        <v>3902</v>
      </c>
      <c r="D1251" t="s">
        <v>3903</v>
      </c>
      <c r="E1251" t="str">
        <f>_xll.BDP($B1251,"LEGAL_ENTITY_IDENTIFIER")</f>
        <v>549300R7VV82YUIN4Y93</v>
      </c>
      <c r="F1251" t="s">
        <v>3903</v>
      </c>
      <c r="G1251" t="str">
        <f>custodian!D1251</f>
        <v>77313F106</v>
      </c>
      <c r="H1251" t="str">
        <f>_xll.BDP($B1251,"ID_ISIN")</f>
        <v>US77313F1066</v>
      </c>
      <c r="I1251" s="1" t="s">
        <v>3902</v>
      </c>
      <c r="J1251" t="str">
        <f>_xll.BDP($B1251,"CNTRY_OF_DOMICILE")</f>
        <v>US</v>
      </c>
      <c r="K1251" t="s">
        <v>98</v>
      </c>
      <c r="L1251" t="s">
        <v>99</v>
      </c>
      <c r="O1251" s="1"/>
      <c r="AQ1251" s="1"/>
      <c r="AR1251" s="1"/>
      <c r="AS1251" s="1"/>
    </row>
    <row r="1252" spans="1:45" x14ac:dyDescent="0.25">
      <c r="A1252" t="s">
        <v>3772</v>
      </c>
      <c r="B1252" t="s">
        <v>3904</v>
      </c>
      <c r="C1252" s="1" t="s">
        <v>3905</v>
      </c>
      <c r="D1252" t="s">
        <v>3906</v>
      </c>
      <c r="E1252" t="str">
        <f>_xll.BDP($B1252,"LEGAL_ENTITY_IDENTIFIER")</f>
        <v>#N/A N/A</v>
      </c>
      <c r="F1252" t="s">
        <v>3906</v>
      </c>
      <c r="G1252" t="str">
        <f>custodian!D1252</f>
        <v>75943R102</v>
      </c>
      <c r="H1252" t="str">
        <f>_xll.BDP($B1252,"ID_ISIN")</f>
        <v>US75943R1023</v>
      </c>
      <c r="I1252" s="1" t="s">
        <v>3905</v>
      </c>
      <c r="J1252" t="str">
        <f>_xll.BDP($B1252,"CNTRY_OF_DOMICILE")</f>
        <v>US</v>
      </c>
      <c r="K1252" t="s">
        <v>98</v>
      </c>
      <c r="L1252" t="s">
        <v>99</v>
      </c>
      <c r="O1252" s="1"/>
      <c r="AQ1252" s="1"/>
      <c r="AR1252" s="1"/>
      <c r="AS1252" s="1"/>
    </row>
    <row r="1253" spans="1:45" x14ac:dyDescent="0.25">
      <c r="A1253" t="s">
        <v>3772</v>
      </c>
      <c r="B1253" t="s">
        <v>3907</v>
      </c>
      <c r="C1253" s="1" t="s">
        <v>3908</v>
      </c>
      <c r="D1253" t="s">
        <v>3909</v>
      </c>
      <c r="E1253" t="str">
        <f>_xll.BDP($B1253,"LEGAL_ENTITY_IDENTIFIER")</f>
        <v>549300JU3X0LBCQ65892</v>
      </c>
      <c r="F1253" t="s">
        <v>3909</v>
      </c>
      <c r="G1253" t="str">
        <f>custodian!D1253</f>
        <v>76155X100</v>
      </c>
      <c r="H1253" t="str">
        <f>_xll.BDP($B1253,"ID_ISIN")</f>
        <v>US76155X1000</v>
      </c>
      <c r="I1253" s="1" t="s">
        <v>3908</v>
      </c>
      <c r="J1253" t="str">
        <f>_xll.BDP($B1253,"CNTRY_OF_DOMICILE")</f>
        <v>US</v>
      </c>
      <c r="K1253" t="s">
        <v>98</v>
      </c>
      <c r="L1253" t="s">
        <v>99</v>
      </c>
      <c r="O1253" s="1"/>
      <c r="AQ1253" s="1"/>
      <c r="AR1253" s="1"/>
      <c r="AS1253" s="1"/>
    </row>
    <row r="1254" spans="1:45" x14ac:dyDescent="0.25">
      <c r="A1254" t="s">
        <v>3772</v>
      </c>
      <c r="B1254" t="s">
        <v>3910</v>
      </c>
      <c r="C1254" s="1" t="s">
        <v>3911</v>
      </c>
      <c r="D1254" t="s">
        <v>3912</v>
      </c>
      <c r="E1254" t="str">
        <f>_xll.BDP($B1254,"LEGAL_ENTITY_IDENTIFIER")</f>
        <v>#N/A N/A</v>
      </c>
      <c r="F1254" t="s">
        <v>3912</v>
      </c>
      <c r="G1254" t="str">
        <f>custodian!D1254</f>
        <v>75629V104</v>
      </c>
      <c r="H1254" t="str">
        <f>_xll.BDP($B1254,"ID_ISIN")</f>
        <v>US75629V1044</v>
      </c>
      <c r="I1254" s="1" t="s">
        <v>3911</v>
      </c>
      <c r="J1254" t="str">
        <f>_xll.BDP($B1254,"CNTRY_OF_DOMICILE")</f>
        <v>US</v>
      </c>
      <c r="K1254" t="s">
        <v>98</v>
      </c>
      <c r="L1254" t="s">
        <v>99</v>
      </c>
      <c r="O1254" s="1"/>
      <c r="AQ1254" s="1"/>
      <c r="AR1254" s="1"/>
      <c r="AS1254" s="1"/>
    </row>
    <row r="1255" spans="1:45" x14ac:dyDescent="0.25">
      <c r="A1255" t="s">
        <v>3772</v>
      </c>
      <c r="B1255" t="s">
        <v>3913</v>
      </c>
      <c r="C1255" s="1" t="s">
        <v>3914</v>
      </c>
      <c r="D1255" t="s">
        <v>3915</v>
      </c>
      <c r="E1255" t="str">
        <f>_xll.BDP($B1255,"LEGAL_ENTITY_IDENTIFIER")</f>
        <v>984500044BAE4791E559</v>
      </c>
      <c r="F1255" t="s">
        <v>3915</v>
      </c>
      <c r="G1255" t="str">
        <f>custodian!D1255</f>
        <v>80810D103</v>
      </c>
      <c r="H1255" t="str">
        <f>_xll.BDP($B1255,"ID_ISIN")</f>
        <v>US80810D1037</v>
      </c>
      <c r="I1255" s="1" t="s">
        <v>3914</v>
      </c>
      <c r="J1255" t="str">
        <f>_xll.BDP($B1255,"CNTRY_OF_DOMICILE")</f>
        <v>US</v>
      </c>
      <c r="K1255" t="s">
        <v>98</v>
      </c>
      <c r="L1255" t="s">
        <v>99</v>
      </c>
      <c r="O1255" s="1"/>
      <c r="AQ1255" s="1"/>
      <c r="AR1255" s="1"/>
      <c r="AS1255" s="1"/>
    </row>
    <row r="1256" spans="1:45" x14ac:dyDescent="0.25">
      <c r="A1256" t="s">
        <v>3772</v>
      </c>
      <c r="B1256" t="s">
        <v>3916</v>
      </c>
      <c r="C1256" s="1" t="s">
        <v>3917</v>
      </c>
      <c r="D1256" t="s">
        <v>3918</v>
      </c>
      <c r="E1256" t="str">
        <f>_xll.BDP($B1256,"LEGAL_ENTITY_IDENTIFIER")</f>
        <v>#N/A N/A</v>
      </c>
      <c r="F1256" t="s">
        <v>3918</v>
      </c>
      <c r="G1256" t="str">
        <f>custodian!D1256</f>
        <v>83422E204</v>
      </c>
      <c r="H1256" t="str">
        <f>_xll.BDP($B1256,"ID_ISIN")</f>
        <v>US83422E2046</v>
      </c>
      <c r="I1256" s="1" t="s">
        <v>3917</v>
      </c>
      <c r="J1256" t="str">
        <f>_xll.BDP($B1256,"CNTRY_OF_DOMICILE")</f>
        <v>US</v>
      </c>
      <c r="K1256" t="s">
        <v>98</v>
      </c>
      <c r="L1256" t="s">
        <v>99</v>
      </c>
      <c r="O1256" s="1"/>
      <c r="AQ1256" s="1"/>
      <c r="AR1256" s="1"/>
      <c r="AS1256" s="1"/>
    </row>
    <row r="1257" spans="1:45" x14ac:dyDescent="0.25">
      <c r="A1257" t="s">
        <v>3772</v>
      </c>
      <c r="B1257" t="s">
        <v>3919</v>
      </c>
      <c r="C1257" s="1" t="s">
        <v>3920</v>
      </c>
      <c r="D1257" t="s">
        <v>3921</v>
      </c>
      <c r="E1257" t="str">
        <f>_xll.BDP($B1257,"LEGAL_ENTITY_IDENTIFIER")</f>
        <v>506700H1GPU9GGM8W895</v>
      </c>
      <c r="F1257" t="s">
        <v>3921</v>
      </c>
      <c r="G1257" t="str">
        <f>custodian!D1257</f>
        <v>H82027105</v>
      </c>
      <c r="H1257" t="str">
        <f>_xll.BDP($B1257,"ID_ISIN")</f>
        <v>CH1125843347</v>
      </c>
      <c r="I1257" s="1" t="s">
        <v>3920</v>
      </c>
      <c r="J1257" t="str">
        <f>_xll.BDP($B1257,"CNTRY_OF_DOMICILE")</f>
        <v>CH</v>
      </c>
      <c r="K1257" t="s">
        <v>98</v>
      </c>
      <c r="L1257" t="s">
        <v>99</v>
      </c>
      <c r="O1257" s="1"/>
      <c r="AQ1257" s="1"/>
      <c r="AR1257" s="1"/>
      <c r="AS1257" s="1"/>
    </row>
    <row r="1258" spans="1:45" x14ac:dyDescent="0.25">
      <c r="A1258" t="s">
        <v>3772</v>
      </c>
      <c r="B1258" t="s">
        <v>3922</v>
      </c>
      <c r="C1258" s="1" t="s">
        <v>3923</v>
      </c>
      <c r="D1258" t="s">
        <v>3924</v>
      </c>
      <c r="E1258" t="str">
        <f>_xll.BDP($B1258,"LEGAL_ENTITY_IDENTIFIER")</f>
        <v>549300IKDPIED8J8IG21</v>
      </c>
      <c r="F1258" t="s">
        <v>3924</v>
      </c>
      <c r="G1258" t="str">
        <f>custodian!D1258</f>
        <v>803607100</v>
      </c>
      <c r="H1258" t="str">
        <f>_xll.BDP($B1258,"ID_ISIN")</f>
        <v>US8036071004</v>
      </c>
      <c r="I1258" s="1" t="s">
        <v>3923</v>
      </c>
      <c r="J1258" t="str">
        <f>_xll.BDP($B1258,"CNTRY_OF_DOMICILE")</f>
        <v>US</v>
      </c>
      <c r="K1258" t="s">
        <v>98</v>
      </c>
      <c r="L1258" t="s">
        <v>99</v>
      </c>
      <c r="O1258" s="1"/>
      <c r="AQ1258" s="1"/>
      <c r="AR1258" s="1"/>
      <c r="AS1258" s="1"/>
    </row>
    <row r="1259" spans="1:45" x14ac:dyDescent="0.25">
      <c r="A1259" t="s">
        <v>3772</v>
      </c>
      <c r="B1259" t="s">
        <v>3925</v>
      </c>
      <c r="C1259" s="1" t="s">
        <v>3926</v>
      </c>
      <c r="D1259" t="s">
        <v>3927</v>
      </c>
      <c r="E1259" t="str">
        <f>_xll.BDP($B1259,"LEGAL_ENTITY_IDENTIFIER")</f>
        <v>54930073RLKQ51TILZ35</v>
      </c>
      <c r="F1259" t="s">
        <v>3927</v>
      </c>
      <c r="G1259" t="str">
        <f>custodian!D1259</f>
        <v>09073M104</v>
      </c>
      <c r="H1259" t="str">
        <f>_xll.BDP($B1259,"ID_ISIN")</f>
        <v>US09073M1045</v>
      </c>
      <c r="I1259" s="1" t="s">
        <v>3926</v>
      </c>
      <c r="J1259" t="str">
        <f>_xll.BDP($B1259,"CNTRY_OF_DOMICILE")</f>
        <v>US</v>
      </c>
      <c r="K1259" t="s">
        <v>98</v>
      </c>
      <c r="L1259" t="s">
        <v>99</v>
      </c>
      <c r="O1259" s="1"/>
      <c r="AQ1259" s="1"/>
      <c r="AR1259" s="1"/>
      <c r="AS1259" s="1"/>
    </row>
    <row r="1260" spans="1:45" x14ac:dyDescent="0.25">
      <c r="A1260" t="s">
        <v>3772</v>
      </c>
      <c r="B1260" t="s">
        <v>3928</v>
      </c>
      <c r="C1260" s="1" t="s">
        <v>3929</v>
      </c>
      <c r="D1260" t="s">
        <v>3930</v>
      </c>
      <c r="E1260" t="str">
        <f>_xll.BDP($B1260,"LEGAL_ENTITY_IDENTIFIER")</f>
        <v>2549009LA0KWRAGQBX50</v>
      </c>
      <c r="F1260" t="s">
        <v>3930</v>
      </c>
      <c r="G1260" t="str">
        <f>custodian!D1260</f>
        <v>88023B103</v>
      </c>
      <c r="H1260" t="str">
        <f>_xll.BDP($B1260,"ID_ISIN")</f>
        <v>US88023B1035</v>
      </c>
      <c r="I1260" s="1" t="s">
        <v>3929</v>
      </c>
      <c r="J1260" t="str">
        <f>_xll.BDP($B1260,"CNTRY_OF_DOMICILE")</f>
        <v>US</v>
      </c>
      <c r="K1260" t="s">
        <v>98</v>
      </c>
      <c r="L1260" t="s">
        <v>99</v>
      </c>
      <c r="O1260" s="1"/>
      <c r="AQ1260" s="1"/>
      <c r="AR1260" s="1"/>
      <c r="AS1260" s="1"/>
    </row>
    <row r="1261" spans="1:45" x14ac:dyDescent="0.25">
      <c r="A1261" t="s">
        <v>3772</v>
      </c>
      <c r="B1261" t="s">
        <v>3931</v>
      </c>
      <c r="C1261" s="1" t="s">
        <v>3932</v>
      </c>
      <c r="D1261" t="s">
        <v>3933</v>
      </c>
      <c r="E1261" t="str">
        <f>_xll.BDP($B1261,"LEGAL_ENTITY_IDENTIFIER")</f>
        <v>HCHV7422L5HDJZCRFL38</v>
      </c>
      <c r="F1261" t="s">
        <v>3933</v>
      </c>
      <c r="G1261" t="str">
        <f>custodian!D1261</f>
        <v>883556102</v>
      </c>
      <c r="H1261" t="str">
        <f>_xll.BDP($B1261,"ID_ISIN")</f>
        <v>US8835561023</v>
      </c>
      <c r="I1261" s="1" t="s">
        <v>3932</v>
      </c>
      <c r="J1261" t="str">
        <f>_xll.BDP($B1261,"CNTRY_OF_DOMICILE")</f>
        <v>US</v>
      </c>
      <c r="K1261" t="s">
        <v>98</v>
      </c>
      <c r="L1261" t="s">
        <v>99</v>
      </c>
      <c r="O1261" s="1"/>
      <c r="AQ1261" s="1"/>
      <c r="AR1261" s="1"/>
      <c r="AS1261" s="1"/>
    </row>
    <row r="1262" spans="1:45" x14ac:dyDescent="0.25">
      <c r="A1262" t="s">
        <v>3772</v>
      </c>
      <c r="B1262" t="s">
        <v>3934</v>
      </c>
      <c r="C1262" s="1" t="s">
        <v>3935</v>
      </c>
      <c r="D1262" t="s">
        <v>3936</v>
      </c>
      <c r="E1262" t="str">
        <f>_xll.BDP($B1262,"LEGAL_ENTITY_IDENTIFIER")</f>
        <v>549300T23BL59LCOH584</v>
      </c>
      <c r="F1262" t="s">
        <v>3936</v>
      </c>
      <c r="G1262" t="str">
        <f>custodian!D1262</f>
        <v>90184D100</v>
      </c>
      <c r="H1262" t="str">
        <f>_xll.BDP($B1262,"ID_ISIN")</f>
        <v>US90184D1000</v>
      </c>
      <c r="I1262" s="1" t="s">
        <v>3935</v>
      </c>
      <c r="J1262" t="str">
        <f>_xll.BDP($B1262,"CNTRY_OF_DOMICILE")</f>
        <v>US</v>
      </c>
      <c r="K1262" t="s">
        <v>98</v>
      </c>
      <c r="L1262" t="s">
        <v>99</v>
      </c>
      <c r="O1262" s="1"/>
      <c r="AQ1262" s="1"/>
      <c r="AR1262" s="1"/>
      <c r="AS1262" s="1"/>
    </row>
    <row r="1263" spans="1:45" x14ac:dyDescent="0.25">
      <c r="A1263" t="s">
        <v>3772</v>
      </c>
      <c r="B1263" t="s">
        <v>3937</v>
      </c>
      <c r="C1263" s="1" t="s">
        <v>3938</v>
      </c>
      <c r="D1263" t="s">
        <v>3939</v>
      </c>
      <c r="E1263" t="str">
        <f>_xll.BDP($B1263,"LEGAL_ENTITY_IDENTIFIER")</f>
        <v>5493003Z6741WNLG7H43</v>
      </c>
      <c r="F1263" t="s">
        <v>3939</v>
      </c>
      <c r="G1263" t="str">
        <f>custodian!D1263</f>
        <v>88025U109</v>
      </c>
      <c r="H1263" t="str">
        <f>_xll.BDP($B1263,"ID_ISIN")</f>
        <v>US88025U1097</v>
      </c>
      <c r="I1263" s="1" t="s">
        <v>3938</v>
      </c>
      <c r="J1263" t="str">
        <f>_xll.BDP($B1263,"CNTRY_OF_DOMICILE")</f>
        <v>US</v>
      </c>
      <c r="K1263" t="s">
        <v>98</v>
      </c>
      <c r="L1263" t="s">
        <v>99</v>
      </c>
      <c r="O1263" s="1"/>
      <c r="AQ1263" s="1"/>
      <c r="AR1263" s="1"/>
      <c r="AS1263" s="1"/>
    </row>
    <row r="1264" spans="1:45" x14ac:dyDescent="0.25">
      <c r="A1264" t="s">
        <v>3772</v>
      </c>
      <c r="B1264" t="s">
        <v>3940</v>
      </c>
      <c r="C1264" s="1" t="s">
        <v>3941</v>
      </c>
      <c r="D1264" t="s">
        <v>3942</v>
      </c>
      <c r="E1264" t="str">
        <f>_xll.BDP($B1264,"LEGAL_ENTITY_IDENTIFIER")</f>
        <v>529900ESWZRHXOW27Z37</v>
      </c>
      <c r="F1264" t="s">
        <v>3942</v>
      </c>
      <c r="G1264" t="str">
        <f>custodian!D1264</f>
        <v>92337F107</v>
      </c>
      <c r="H1264" t="str">
        <f>_xll.BDP($B1264,"ID_ISIN")</f>
        <v>US92337F1075</v>
      </c>
      <c r="I1264" s="1" t="s">
        <v>3941</v>
      </c>
      <c r="J1264" t="str">
        <f>_xll.BDP($B1264,"CNTRY_OF_DOMICILE")</f>
        <v>US</v>
      </c>
      <c r="K1264" t="s">
        <v>98</v>
      </c>
      <c r="L1264" t="s">
        <v>99</v>
      </c>
      <c r="O1264" s="1"/>
      <c r="AQ1264" s="1"/>
      <c r="AR1264" s="1"/>
      <c r="AS1264" s="1"/>
    </row>
    <row r="1265" spans="1:48" x14ac:dyDescent="0.25">
      <c r="A1265" t="s">
        <v>3772</v>
      </c>
      <c r="B1265" t="s">
        <v>3943</v>
      </c>
      <c r="C1265" s="1" t="s">
        <v>3944</v>
      </c>
      <c r="D1265" t="s">
        <v>3945</v>
      </c>
      <c r="E1265" t="str">
        <f>_xll.BDP($B1265,"LEGAL_ENTITY_IDENTIFIER")</f>
        <v>54930015RAQRRZ5ZGJ91</v>
      </c>
      <c r="F1265" t="s">
        <v>3945</v>
      </c>
      <c r="G1265" t="str">
        <f>custodian!D1265</f>
        <v>92532F100</v>
      </c>
      <c r="H1265" t="str">
        <f>_xll.BDP($B1265,"ID_ISIN")</f>
        <v>US92532F1003</v>
      </c>
      <c r="I1265" s="1" t="s">
        <v>3944</v>
      </c>
      <c r="J1265" t="str">
        <f>_xll.BDP($B1265,"CNTRY_OF_DOMICILE")</f>
        <v>US</v>
      </c>
      <c r="K1265" t="s">
        <v>98</v>
      </c>
      <c r="L1265" t="s">
        <v>99</v>
      </c>
      <c r="O1265" s="1"/>
      <c r="AQ1265" s="1"/>
      <c r="AR1265" s="1"/>
      <c r="AS1265" s="1"/>
    </row>
    <row r="1266" spans="1:48" x14ac:dyDescent="0.25">
      <c r="A1266" t="s">
        <v>3772</v>
      </c>
      <c r="B1266" t="s">
        <v>3946</v>
      </c>
      <c r="C1266" s="1" t="s">
        <v>3947</v>
      </c>
      <c r="D1266" t="s">
        <v>3948</v>
      </c>
      <c r="E1266" t="str">
        <f>_xll.BDP($B1266,"LEGAL_ENTITY_IDENTIFIER")</f>
        <v>#N/A N/A</v>
      </c>
      <c r="F1266" t="s">
        <v>3948</v>
      </c>
      <c r="G1266" t="str">
        <f>custodian!D1266</f>
        <v>81663L200</v>
      </c>
      <c r="H1266" t="str">
        <f>_xll.BDP($B1266,"ID_ISIN")</f>
        <v>US81663L2007</v>
      </c>
      <c r="I1266" s="1" t="s">
        <v>3947</v>
      </c>
      <c r="J1266" t="str">
        <f>_xll.BDP($B1266,"CNTRY_OF_DOMICILE")</f>
        <v>US</v>
      </c>
      <c r="K1266" t="s">
        <v>98</v>
      </c>
      <c r="L1266" t="s">
        <v>99</v>
      </c>
      <c r="O1266" s="1"/>
      <c r="AQ1266" s="1"/>
      <c r="AR1266" s="1"/>
      <c r="AS1266" s="1"/>
    </row>
    <row r="1267" spans="1:48" x14ac:dyDescent="0.25">
      <c r="A1267" t="s">
        <v>3772</v>
      </c>
      <c r="C1267" s="1" t="s">
        <v>52</v>
      </c>
      <c r="E1267" s="1"/>
      <c r="G1267" t="str">
        <f>custodian!D1267</f>
        <v>Cash&amp;Other</v>
      </c>
      <c r="H1267" s="1"/>
      <c r="I1267" s="1"/>
      <c r="O1267" s="1"/>
      <c r="AQ1267" s="1"/>
      <c r="AR1267" s="1"/>
      <c r="AS1267" s="1"/>
    </row>
    <row r="1268" spans="1:48" x14ac:dyDescent="0.25">
      <c r="A1268" t="s">
        <v>3949</v>
      </c>
      <c r="C1268" s="1" t="s">
        <v>2595</v>
      </c>
      <c r="D1268" t="s">
        <v>2596</v>
      </c>
      <c r="E1268" s="1" t="s">
        <v>56</v>
      </c>
      <c r="F1268" t="s">
        <v>2596</v>
      </c>
      <c r="G1268" t="str">
        <f>custodian!D1268</f>
        <v>2SPY  270528C00151710</v>
      </c>
      <c r="H1268" s="1"/>
      <c r="I1268" s="1" t="s">
        <v>2597</v>
      </c>
      <c r="J1268" t="s">
        <v>58</v>
      </c>
      <c r="K1268" t="s">
        <v>59</v>
      </c>
      <c r="L1268" t="s">
        <v>99</v>
      </c>
      <c r="M1268" t="s">
        <v>2598</v>
      </c>
      <c r="N1268" t="s">
        <v>2599</v>
      </c>
      <c r="O1268" s="1" t="s">
        <v>2600</v>
      </c>
      <c r="P1268" t="s">
        <v>2601</v>
      </c>
      <c r="Q1268" t="s">
        <v>2602</v>
      </c>
      <c r="R1268" t="s">
        <v>2603</v>
      </c>
      <c r="S1268" t="s">
        <v>68</v>
      </c>
      <c r="T1268" t="s">
        <v>2604</v>
      </c>
      <c r="U1268" t="s">
        <v>56</v>
      </c>
      <c r="V1268" t="s">
        <v>2605</v>
      </c>
      <c r="W1268" t="s">
        <v>2606</v>
      </c>
      <c r="X1268" t="s">
        <v>2607</v>
      </c>
      <c r="AD1268" t="s">
        <v>2608</v>
      </c>
      <c r="AE1268" t="s">
        <v>3950</v>
      </c>
      <c r="AQ1268" s="1"/>
      <c r="AR1268" s="1"/>
      <c r="AS1268" s="1"/>
    </row>
    <row r="1269" spans="1:48" x14ac:dyDescent="0.25">
      <c r="A1269" t="s">
        <v>3949</v>
      </c>
      <c r="C1269" s="1" t="s">
        <v>3951</v>
      </c>
      <c r="D1269" t="s">
        <v>3952</v>
      </c>
      <c r="E1269" s="1" t="s">
        <v>56</v>
      </c>
      <c r="F1269" t="s">
        <v>3952</v>
      </c>
      <c r="G1269" t="str">
        <f>custodian!D1269</f>
        <v>2SPY  270528C00819680</v>
      </c>
      <c r="H1269" s="1"/>
      <c r="I1269" s="1" t="s">
        <v>3953</v>
      </c>
      <c r="J1269" t="s">
        <v>58</v>
      </c>
      <c r="K1269" t="s">
        <v>59</v>
      </c>
      <c r="L1269" t="s">
        <v>99</v>
      </c>
      <c r="M1269" t="s">
        <v>2598</v>
      </c>
      <c r="N1269" t="s">
        <v>2599</v>
      </c>
      <c r="O1269" s="1" t="s">
        <v>2600</v>
      </c>
      <c r="P1269" t="s">
        <v>2601</v>
      </c>
      <c r="Q1269" t="s">
        <v>2613</v>
      </c>
      <c r="R1269" t="s">
        <v>3954</v>
      </c>
      <c r="S1269" t="s">
        <v>68</v>
      </c>
      <c r="T1269" t="s">
        <v>2604</v>
      </c>
      <c r="U1269" t="s">
        <v>56</v>
      </c>
      <c r="V1269" t="s">
        <v>2605</v>
      </c>
      <c r="W1269" t="s">
        <v>2606</v>
      </c>
      <c r="X1269" t="s">
        <v>2607</v>
      </c>
      <c r="AD1269" t="s">
        <v>3955</v>
      </c>
      <c r="AE1269" t="s">
        <v>3956</v>
      </c>
      <c r="AQ1269" s="1"/>
      <c r="AR1269" s="1"/>
      <c r="AS1269" s="1"/>
    </row>
    <row r="1270" spans="1:48" x14ac:dyDescent="0.25">
      <c r="A1270" t="s">
        <v>3949</v>
      </c>
      <c r="C1270" s="1" t="s">
        <v>2624</v>
      </c>
      <c r="D1270" t="s">
        <v>2625</v>
      </c>
      <c r="E1270" s="1" t="s">
        <v>56</v>
      </c>
      <c r="F1270" t="s">
        <v>2625</v>
      </c>
      <c r="G1270" t="str">
        <f>custodian!D1270</f>
        <v>2SPY  270528P00758540</v>
      </c>
      <c r="H1270" s="1"/>
      <c r="I1270" s="1" t="s">
        <v>2626</v>
      </c>
      <c r="J1270" t="s">
        <v>58</v>
      </c>
      <c r="K1270" t="s">
        <v>59</v>
      </c>
      <c r="L1270" t="s">
        <v>99</v>
      </c>
      <c r="M1270" t="s">
        <v>2598</v>
      </c>
      <c r="N1270" t="s">
        <v>2599</v>
      </c>
      <c r="O1270" s="1" t="s">
        <v>2600</v>
      </c>
      <c r="P1270" t="s">
        <v>2620</v>
      </c>
      <c r="Q1270" t="s">
        <v>2602</v>
      </c>
      <c r="R1270" t="s">
        <v>2627</v>
      </c>
      <c r="S1270" t="s">
        <v>68</v>
      </c>
      <c r="T1270" t="s">
        <v>2604</v>
      </c>
      <c r="U1270" t="s">
        <v>56</v>
      </c>
      <c r="V1270" t="s">
        <v>2605</v>
      </c>
      <c r="W1270" t="s">
        <v>2606</v>
      </c>
      <c r="X1270" t="s">
        <v>2607</v>
      </c>
      <c r="AD1270" t="s">
        <v>2628</v>
      </c>
      <c r="AE1270" t="s">
        <v>3957</v>
      </c>
      <c r="AQ1270" s="1"/>
      <c r="AR1270" s="1"/>
      <c r="AS1270" s="1"/>
    </row>
    <row r="1271" spans="1:48" x14ac:dyDescent="0.25">
      <c r="A1271" t="s">
        <v>3949</v>
      </c>
      <c r="B1271" t="s">
        <v>2630</v>
      </c>
      <c r="C1271" s="1" t="s">
        <v>2631</v>
      </c>
      <c r="D1271" t="s">
        <v>1574</v>
      </c>
      <c r="E1271" t="str">
        <f>_xll.BDP($B1271,"LEGAL_ENTITY_IDENTIFIER")</f>
        <v>254900HROIFWPRGM1V77</v>
      </c>
      <c r="F1271" t="s">
        <v>2632</v>
      </c>
      <c r="G1271" t="str">
        <f>custodian!D1271</f>
        <v>912828ZS2</v>
      </c>
      <c r="H1271" t="str">
        <f>_xll.BDP($B1271,"ID_ISIN")</f>
        <v>US912828ZS21</v>
      </c>
      <c r="I1271" s="1"/>
      <c r="J1271" t="str">
        <f>_xll.BDP($B1271,"CNTRY_OF_DOMICILE")</f>
        <v>US</v>
      </c>
      <c r="K1271" t="s">
        <v>626</v>
      </c>
      <c r="L1271" t="s">
        <v>627</v>
      </c>
      <c r="O1271" s="1"/>
      <c r="AQ1271" s="1"/>
      <c r="AR1271" s="1"/>
      <c r="AS1271" s="1"/>
      <c r="AT1271" t="str">
        <f>TEXT(_xll.BDP($B1271,"MATURITY"),"yyyy-mm-dd")</f>
        <v>2027-05-31</v>
      </c>
      <c r="AU1271" t="str">
        <f>_xll.BDP($B1271,"CPN_TYP")</f>
        <v>FIXED</v>
      </c>
      <c r="AV1271">
        <f>_xll.BDP($B1271,"CPN")</f>
        <v>0.5</v>
      </c>
    </row>
    <row r="1272" spans="1:48" x14ac:dyDescent="0.25">
      <c r="A1272" t="s">
        <v>3949</v>
      </c>
      <c r="B1272" t="s">
        <v>77</v>
      </c>
      <c r="C1272" s="1" t="s">
        <v>78</v>
      </c>
      <c r="D1272" t="s">
        <v>79</v>
      </c>
      <c r="E1272" t="str">
        <f>_xll.BDP($B1272,"LEGAL_ENTITY_IDENTIFIER")</f>
        <v>549300R5MYM6VZF1RM44</v>
      </c>
      <c r="F1272" t="s">
        <v>80</v>
      </c>
      <c r="G1272" t="str">
        <f>custodian!D1272</f>
        <v>31846V336</v>
      </c>
      <c r="H1272" t="str">
        <f>_xll.BDP($B1272,"ID_ISIN")</f>
        <v>US31846V3362</v>
      </c>
      <c r="I1272" s="1" t="s">
        <v>78</v>
      </c>
      <c r="J1272" t="str">
        <f>_xll.BDP($B1272,"CNTRY_OF_DOMICILE")</f>
        <v>US</v>
      </c>
      <c r="K1272" t="s">
        <v>81</v>
      </c>
      <c r="L1272" t="s">
        <v>82</v>
      </c>
      <c r="O1272" s="1"/>
      <c r="AQ1272" s="1"/>
      <c r="AR1272" s="1"/>
      <c r="AS1272" s="1"/>
    </row>
    <row r="1273" spans="1:48" x14ac:dyDescent="0.25">
      <c r="A1273" t="s">
        <v>3949</v>
      </c>
      <c r="C1273" s="1" t="s">
        <v>52</v>
      </c>
      <c r="E1273" s="1"/>
      <c r="G1273" t="str">
        <f>custodian!D1273</f>
        <v>Cash&amp;Other</v>
      </c>
      <c r="H1273" s="1"/>
      <c r="I1273" s="1"/>
      <c r="O1273" s="1"/>
      <c r="AQ1273" s="1"/>
      <c r="AR1273" s="1"/>
      <c r="AS1273" s="1"/>
    </row>
    <row r="1274" spans="1:48" x14ac:dyDescent="0.25">
      <c r="A1274" t="s">
        <v>3958</v>
      </c>
      <c r="C1274" s="1" t="s">
        <v>2796</v>
      </c>
      <c r="D1274" t="s">
        <v>2797</v>
      </c>
      <c r="E1274" s="1" t="s">
        <v>56</v>
      </c>
      <c r="F1274" t="s">
        <v>2797</v>
      </c>
      <c r="G1274" t="str">
        <f>custodian!D1274</f>
        <v>2SPY  270430C00144740</v>
      </c>
      <c r="H1274" s="1"/>
      <c r="I1274" s="1" t="s">
        <v>2798</v>
      </c>
      <c r="J1274" t="s">
        <v>58</v>
      </c>
      <c r="K1274" t="s">
        <v>59</v>
      </c>
      <c r="L1274" t="s">
        <v>99</v>
      </c>
      <c r="M1274" t="s">
        <v>2598</v>
      </c>
      <c r="N1274" t="s">
        <v>2599</v>
      </c>
      <c r="O1274" s="1" t="s">
        <v>2600</v>
      </c>
      <c r="P1274" t="s">
        <v>2601</v>
      </c>
      <c r="Q1274" t="s">
        <v>2602</v>
      </c>
      <c r="R1274" t="s">
        <v>2799</v>
      </c>
      <c r="S1274" t="s">
        <v>68</v>
      </c>
      <c r="T1274" t="s">
        <v>2692</v>
      </c>
      <c r="U1274" t="s">
        <v>56</v>
      </c>
      <c r="V1274" t="s">
        <v>2605</v>
      </c>
      <c r="W1274" t="s">
        <v>2606</v>
      </c>
      <c r="X1274" t="s">
        <v>2607</v>
      </c>
      <c r="AD1274" t="s">
        <v>3959</v>
      </c>
      <c r="AE1274" t="s">
        <v>3960</v>
      </c>
      <c r="AQ1274" s="1"/>
      <c r="AR1274" s="1"/>
      <c r="AS1274" s="1"/>
    </row>
    <row r="1275" spans="1:48" x14ac:dyDescent="0.25">
      <c r="A1275" t="s">
        <v>3958</v>
      </c>
      <c r="C1275" s="1" t="s">
        <v>3961</v>
      </c>
      <c r="D1275" t="s">
        <v>3962</v>
      </c>
      <c r="E1275" s="1" t="s">
        <v>56</v>
      </c>
      <c r="F1275" t="s">
        <v>3962</v>
      </c>
      <c r="G1275" t="str">
        <f>custodian!D1275</f>
        <v>2SPY  270430C00770750</v>
      </c>
      <c r="H1275" s="1"/>
      <c r="I1275" s="1" t="s">
        <v>3963</v>
      </c>
      <c r="J1275" t="s">
        <v>58</v>
      </c>
      <c r="K1275" t="s">
        <v>59</v>
      </c>
      <c r="L1275" t="s">
        <v>99</v>
      </c>
      <c r="M1275" t="s">
        <v>2598</v>
      </c>
      <c r="N1275" t="s">
        <v>2599</v>
      </c>
      <c r="O1275" s="1" t="s">
        <v>2600</v>
      </c>
      <c r="P1275" t="s">
        <v>2601</v>
      </c>
      <c r="Q1275" t="s">
        <v>2613</v>
      </c>
      <c r="R1275" t="s">
        <v>3964</v>
      </c>
      <c r="S1275" t="s">
        <v>68</v>
      </c>
      <c r="T1275" t="s">
        <v>2692</v>
      </c>
      <c r="U1275" t="s">
        <v>56</v>
      </c>
      <c r="V1275" t="s">
        <v>2605</v>
      </c>
      <c r="W1275" t="s">
        <v>2606</v>
      </c>
      <c r="X1275" t="s">
        <v>2607</v>
      </c>
      <c r="AD1275" t="s">
        <v>3965</v>
      </c>
      <c r="AE1275" t="s">
        <v>3966</v>
      </c>
      <c r="AQ1275" s="1"/>
      <c r="AR1275" s="1"/>
      <c r="AS1275" s="1"/>
    </row>
    <row r="1276" spans="1:48" x14ac:dyDescent="0.25">
      <c r="A1276" t="s">
        <v>3958</v>
      </c>
      <c r="C1276" s="1" t="s">
        <v>3967</v>
      </c>
      <c r="D1276" t="s">
        <v>3968</v>
      </c>
      <c r="E1276" s="1" t="s">
        <v>56</v>
      </c>
      <c r="F1276" t="s">
        <v>3968</v>
      </c>
      <c r="G1276" t="str">
        <f>custodian!D1276</f>
        <v>2SPY  270430P00723710</v>
      </c>
      <c r="H1276" s="1"/>
      <c r="I1276" s="1" t="s">
        <v>3969</v>
      </c>
      <c r="J1276" t="s">
        <v>58</v>
      </c>
      <c r="K1276" t="s">
        <v>59</v>
      </c>
      <c r="L1276" t="s">
        <v>99</v>
      </c>
      <c r="M1276" t="s">
        <v>2598</v>
      </c>
      <c r="N1276" t="s">
        <v>2599</v>
      </c>
      <c r="O1276" s="1" t="s">
        <v>2600</v>
      </c>
      <c r="P1276" t="s">
        <v>2620</v>
      </c>
      <c r="Q1276" t="s">
        <v>2602</v>
      </c>
      <c r="R1276" t="s">
        <v>3970</v>
      </c>
      <c r="S1276" t="s">
        <v>68</v>
      </c>
      <c r="T1276" t="s">
        <v>2692</v>
      </c>
      <c r="U1276" t="s">
        <v>56</v>
      </c>
      <c r="V1276" t="s">
        <v>2605</v>
      </c>
      <c r="W1276" t="s">
        <v>2606</v>
      </c>
      <c r="X1276" t="s">
        <v>2607</v>
      </c>
      <c r="AD1276" t="s">
        <v>3971</v>
      </c>
      <c r="AE1276" t="s">
        <v>3972</v>
      </c>
      <c r="AQ1276" s="1"/>
      <c r="AR1276" s="1"/>
      <c r="AS1276" s="1"/>
    </row>
    <row r="1277" spans="1:48" x14ac:dyDescent="0.25">
      <c r="A1277" t="s">
        <v>3958</v>
      </c>
      <c r="B1277" t="s">
        <v>2820</v>
      </c>
      <c r="C1277" s="1" t="s">
        <v>2821</v>
      </c>
      <c r="D1277" t="s">
        <v>1574</v>
      </c>
      <c r="E1277" t="str">
        <f>_xll.BDP($B1277,"LEGAL_ENTITY_IDENTIFIER")</f>
        <v>254900HROIFWPRGM1V77</v>
      </c>
      <c r="F1277" t="s">
        <v>2822</v>
      </c>
      <c r="G1277" t="str">
        <f>custodian!D1277</f>
        <v>91282CMY4</v>
      </c>
      <c r="H1277" t="str">
        <f>_xll.BDP($B1277,"ID_ISIN")</f>
        <v>US91282CMY48</v>
      </c>
      <c r="I1277" s="1"/>
      <c r="J1277" t="str">
        <f>_xll.BDP($B1277,"CNTRY_OF_DOMICILE")</f>
        <v>US</v>
      </c>
      <c r="K1277" t="s">
        <v>626</v>
      </c>
      <c r="L1277" t="s">
        <v>627</v>
      </c>
      <c r="O1277" s="1"/>
      <c r="AQ1277" s="1"/>
      <c r="AR1277" s="1"/>
      <c r="AS1277" s="1"/>
      <c r="AT1277" t="str">
        <f>TEXT(_xll.BDP($B1277,"MATURITY"),"yyyy-mm-dd")</f>
        <v>2027-04-30</v>
      </c>
      <c r="AU1277" t="str">
        <f>_xll.BDP($B1277,"CPN_TYP")</f>
        <v>FIXED</v>
      </c>
      <c r="AV1277">
        <f>_xll.BDP($B1277,"CPN")</f>
        <v>3.75</v>
      </c>
    </row>
    <row r="1278" spans="1:48" x14ac:dyDescent="0.25">
      <c r="A1278" t="s">
        <v>3958</v>
      </c>
      <c r="B1278" t="s">
        <v>77</v>
      </c>
      <c r="C1278" s="1" t="s">
        <v>78</v>
      </c>
      <c r="D1278" t="s">
        <v>79</v>
      </c>
      <c r="E1278" t="str">
        <f>_xll.BDP($B1278,"LEGAL_ENTITY_IDENTIFIER")</f>
        <v>549300R5MYM6VZF1RM44</v>
      </c>
      <c r="F1278" t="s">
        <v>80</v>
      </c>
      <c r="G1278" t="str">
        <f>custodian!D1278</f>
        <v>31846V336</v>
      </c>
      <c r="H1278" t="str">
        <f>_xll.BDP($B1278,"ID_ISIN")</f>
        <v>US31846V3362</v>
      </c>
      <c r="I1278" s="1" t="s">
        <v>78</v>
      </c>
      <c r="J1278" t="str">
        <f>_xll.BDP($B1278,"CNTRY_OF_DOMICILE")</f>
        <v>US</v>
      </c>
      <c r="K1278" t="s">
        <v>81</v>
      </c>
      <c r="L1278" t="s">
        <v>82</v>
      </c>
      <c r="O1278" s="1"/>
      <c r="AQ1278" s="1"/>
      <c r="AR1278" s="1"/>
      <c r="AS1278" s="1"/>
    </row>
    <row r="1279" spans="1:48" x14ac:dyDescent="0.25">
      <c r="A1279" t="s">
        <v>3958</v>
      </c>
      <c r="C1279" s="1" t="s">
        <v>52</v>
      </c>
      <c r="E1279" s="1"/>
      <c r="G1279" t="str">
        <f>custodian!D1279</f>
        <v>Cash&amp;Other</v>
      </c>
      <c r="H1279" s="1"/>
      <c r="I1279" s="1"/>
      <c r="O1279" s="1"/>
      <c r="AQ1279" s="1"/>
      <c r="AR1279" s="1"/>
      <c r="AS1279" s="1"/>
    </row>
    <row r="1280" spans="1:48" x14ac:dyDescent="0.25">
      <c r="A1280" t="s">
        <v>3973</v>
      </c>
      <c r="B1280" t="s">
        <v>706</v>
      </c>
      <c r="C1280" s="1" t="s">
        <v>707</v>
      </c>
      <c r="D1280" t="s">
        <v>708</v>
      </c>
      <c r="E1280" t="str">
        <f>_xll.BDP($B1280,"LEGAL_ENTITY_IDENTIFIER")</f>
        <v>ZXTILKJKG63JELOEG630</v>
      </c>
      <c r="F1280" t="s">
        <v>708</v>
      </c>
      <c r="G1280" t="str">
        <f>custodian!D1280</f>
        <v>023135106</v>
      </c>
      <c r="H1280" t="str">
        <f>_xll.BDP($B1280,"ID_ISIN")</f>
        <v>US0231351067</v>
      </c>
      <c r="I1280" s="1" t="s">
        <v>707</v>
      </c>
      <c r="J1280" t="str">
        <f>_xll.BDP($B1280,"CNTRY_OF_DOMICILE")</f>
        <v>US</v>
      </c>
      <c r="K1280" t="s">
        <v>98</v>
      </c>
      <c r="L1280" t="s">
        <v>99</v>
      </c>
      <c r="O1280" s="1"/>
      <c r="AQ1280" s="1"/>
      <c r="AR1280" s="1"/>
      <c r="AS1280" s="1"/>
    </row>
    <row r="1281" spans="1:45" x14ac:dyDescent="0.25">
      <c r="A1281" t="s">
        <v>3973</v>
      </c>
      <c r="B1281" t="s">
        <v>3974</v>
      </c>
      <c r="C1281" s="1" t="s">
        <v>3975</v>
      </c>
      <c r="D1281" t="s">
        <v>3976</v>
      </c>
      <c r="E1281" t="str">
        <f>_xll.BDP($B1281,"LEGAL_ENTITY_IDENTIFIER")</f>
        <v>549300J8HD7K6BHD8O28</v>
      </c>
      <c r="F1281" t="s">
        <v>3976</v>
      </c>
      <c r="G1281" t="str">
        <f>custodian!D1281</f>
        <v>Y0207T100</v>
      </c>
      <c r="H1281" t="str">
        <f>_xll.BDP($B1281,"ID_ISIN")</f>
        <v>MHY0207T1001</v>
      </c>
      <c r="I1281" s="1" t="s">
        <v>3975</v>
      </c>
      <c r="J1281" t="str">
        <f>_xll.BDP($B1281,"CNTRY_OF_DOMICILE")</f>
        <v>IE</v>
      </c>
      <c r="K1281" t="s">
        <v>98</v>
      </c>
      <c r="L1281" t="s">
        <v>99</v>
      </c>
      <c r="O1281" s="1"/>
      <c r="AQ1281" s="1"/>
      <c r="AR1281" s="1"/>
      <c r="AS1281" s="1"/>
    </row>
    <row r="1282" spans="1:45" x14ac:dyDescent="0.25">
      <c r="A1282" t="s">
        <v>3973</v>
      </c>
      <c r="B1282" t="s">
        <v>3191</v>
      </c>
      <c r="C1282" s="1" t="s">
        <v>3192</v>
      </c>
      <c r="D1282" t="s">
        <v>3193</v>
      </c>
      <c r="E1282" t="str">
        <f>_xll.BDP($B1282,"LEGAL_ENTITY_IDENTIFIER")</f>
        <v>529900WNWN5L0OVDHA79</v>
      </c>
      <c r="F1282" t="s">
        <v>3193</v>
      </c>
      <c r="G1282" t="str">
        <f>custodian!D1282</f>
        <v>12541W209</v>
      </c>
      <c r="H1282" t="str">
        <f>_xll.BDP($B1282,"ID_ISIN")</f>
        <v>US12541W2098</v>
      </c>
      <c r="I1282" s="1" t="s">
        <v>3192</v>
      </c>
      <c r="J1282" t="str">
        <f>_xll.BDP($B1282,"CNTRY_OF_DOMICILE")</f>
        <v>US</v>
      </c>
      <c r="K1282" t="s">
        <v>98</v>
      </c>
      <c r="L1282" t="s">
        <v>99</v>
      </c>
      <c r="O1282" s="1"/>
      <c r="AQ1282" s="1"/>
      <c r="AR1282" s="1"/>
      <c r="AS1282" s="1"/>
    </row>
    <row r="1283" spans="1:45" x14ac:dyDescent="0.25">
      <c r="A1283" t="s">
        <v>3973</v>
      </c>
      <c r="B1283" t="s">
        <v>3977</v>
      </c>
      <c r="C1283" s="1" t="s">
        <v>3978</v>
      </c>
      <c r="D1283" t="s">
        <v>3979</v>
      </c>
      <c r="E1283" t="str">
        <f>_xll.BDP($B1283,"LEGAL_ENTITY_IDENTIFIER")</f>
        <v>549300D80RYON74MEJ03</v>
      </c>
      <c r="F1283" t="s">
        <v>3979</v>
      </c>
      <c r="G1283" t="str">
        <f>custodian!D1283</f>
        <v>B38564108</v>
      </c>
      <c r="H1283" t="str">
        <f>_xll.BDP($B1283,"ID_ISIN")</f>
        <v>BE0003816338</v>
      </c>
      <c r="I1283" s="1" t="s">
        <v>3978</v>
      </c>
      <c r="J1283" t="str">
        <f>_xll.BDP($B1283,"CNTRY_OF_DOMICILE")</f>
        <v>BE</v>
      </c>
      <c r="K1283" t="s">
        <v>98</v>
      </c>
      <c r="L1283" t="s">
        <v>99</v>
      </c>
      <c r="O1283" s="1"/>
      <c r="AQ1283" s="1"/>
      <c r="AR1283" s="1"/>
      <c r="AS1283" s="1"/>
    </row>
    <row r="1284" spans="1:45" x14ac:dyDescent="0.25">
      <c r="A1284" t="s">
        <v>3973</v>
      </c>
      <c r="B1284" t="s">
        <v>3197</v>
      </c>
      <c r="C1284" s="1" t="s">
        <v>3198</v>
      </c>
      <c r="D1284" t="s">
        <v>3199</v>
      </c>
      <c r="E1284" t="str">
        <f>_xll.BDP($B1284,"LEGAL_ENTITY_IDENTIFIER")</f>
        <v>5299003L6NPTZ25LN818</v>
      </c>
      <c r="F1284" t="s">
        <v>3199</v>
      </c>
      <c r="G1284" t="str">
        <f>custodian!D1284</f>
        <v>Y1771G102</v>
      </c>
      <c r="H1284" t="str">
        <f>_xll.BDP($B1284,"ID_ISIN")</f>
        <v>MHY1771G1026</v>
      </c>
      <c r="I1284" s="1" t="s">
        <v>3198</v>
      </c>
      <c r="J1284" t="str">
        <f>_xll.BDP($B1284,"CNTRY_OF_DOMICILE")</f>
        <v>MC</v>
      </c>
      <c r="K1284" t="s">
        <v>98</v>
      </c>
      <c r="L1284" t="s">
        <v>99</v>
      </c>
      <c r="O1284" s="1"/>
      <c r="AQ1284" s="1"/>
      <c r="AR1284" s="1"/>
      <c r="AS1284" s="1"/>
    </row>
    <row r="1285" spans="1:45" x14ac:dyDescent="0.25">
      <c r="A1285" t="s">
        <v>3973</v>
      </c>
      <c r="B1285" t="s">
        <v>3213</v>
      </c>
      <c r="C1285" s="1" t="s">
        <v>3214</v>
      </c>
      <c r="D1285" t="s">
        <v>3215</v>
      </c>
      <c r="E1285" t="str">
        <f>_xll.BDP($B1285,"LEGAL_ENTITY_IDENTIFIER")</f>
        <v>734IM3DNDNT36T7YTD24</v>
      </c>
      <c r="F1285" t="s">
        <v>3215</v>
      </c>
      <c r="G1285" t="str">
        <f>custodian!D1285</f>
        <v>Y1968P121</v>
      </c>
      <c r="H1285" t="str">
        <f>_xll.BDP($B1285,"ID_ISIN")</f>
        <v>MHY1968P1218</v>
      </c>
      <c r="I1285" s="1" t="s">
        <v>3214</v>
      </c>
      <c r="J1285" t="str">
        <f>_xll.BDP($B1285,"CNTRY_OF_DOMICILE")</f>
        <v>GR</v>
      </c>
      <c r="K1285" t="s">
        <v>98</v>
      </c>
      <c r="L1285" t="s">
        <v>99</v>
      </c>
      <c r="O1285" s="1"/>
      <c r="AQ1285" s="1"/>
      <c r="AR1285" s="1"/>
      <c r="AS1285" s="1"/>
    </row>
    <row r="1286" spans="1:45" x14ac:dyDescent="0.25">
      <c r="A1286" t="s">
        <v>3973</v>
      </c>
      <c r="B1286" t="s">
        <v>3980</v>
      </c>
      <c r="C1286" s="1" t="s">
        <v>3981</v>
      </c>
      <c r="D1286" t="s">
        <v>3982</v>
      </c>
      <c r="E1286" t="str">
        <f>_xll.BDP($B1286,"LEGAL_ENTITY_IDENTIFIER")</f>
        <v>549300SMD6IVZYT74K40</v>
      </c>
      <c r="F1286" t="s">
        <v>3982</v>
      </c>
      <c r="G1286" t="str">
        <f>custodian!D1286</f>
        <v>Y2065G121</v>
      </c>
      <c r="H1286" t="str">
        <f>_xll.BDP($B1286,"ID_ISIN")</f>
        <v>MHY2065G1219</v>
      </c>
      <c r="I1286" s="1" t="s">
        <v>3981</v>
      </c>
      <c r="J1286" t="str">
        <f>_xll.BDP($B1286,"CNTRY_OF_DOMICILE")</f>
        <v>BM</v>
      </c>
      <c r="K1286" t="s">
        <v>98</v>
      </c>
      <c r="L1286" t="s">
        <v>99</v>
      </c>
      <c r="O1286" s="1"/>
      <c r="AQ1286" s="1"/>
      <c r="AR1286" s="1"/>
      <c r="AS1286" s="1"/>
    </row>
    <row r="1287" spans="1:45" x14ac:dyDescent="0.25">
      <c r="A1287" t="s">
        <v>3973</v>
      </c>
      <c r="B1287" t="s">
        <v>3983</v>
      </c>
      <c r="C1287" s="1" t="s">
        <v>3984</v>
      </c>
      <c r="D1287" t="s">
        <v>3985</v>
      </c>
      <c r="E1287" t="str">
        <f>_xll.BDP($B1287,"LEGAL_ENTITY_IDENTIFIER")</f>
        <v>875500NEPA7JI5EOMN45</v>
      </c>
      <c r="F1287" t="s">
        <v>3986</v>
      </c>
      <c r="G1287" t="str">
        <f>custodian!D1287</f>
        <v>249906108</v>
      </c>
      <c r="H1287" t="str">
        <f>_xll.BDP($B1287,"ID_ISIN")</f>
        <v>CA2499061083</v>
      </c>
      <c r="I1287" s="1" t="s">
        <v>3984</v>
      </c>
      <c r="J1287" t="str">
        <f>_xll.BDP($B1287,"CNTRY_OF_DOMICILE")</f>
        <v>CA</v>
      </c>
      <c r="K1287" t="s">
        <v>98</v>
      </c>
      <c r="L1287" t="s">
        <v>99</v>
      </c>
      <c r="O1287" s="1"/>
      <c r="AQ1287" s="1"/>
      <c r="AR1287" s="1"/>
      <c r="AS1287" s="1"/>
    </row>
    <row r="1288" spans="1:45" x14ac:dyDescent="0.25">
      <c r="A1288" t="s">
        <v>3973</v>
      </c>
      <c r="B1288" t="s">
        <v>3987</v>
      </c>
      <c r="C1288" s="1" t="s">
        <v>3988</v>
      </c>
      <c r="D1288" t="s">
        <v>3989</v>
      </c>
      <c r="E1288" t="str">
        <f>_xll.BDP($B1288,"LEGAL_ENTITY_IDENTIFIER")</f>
        <v>549300XD7FHNJ0THIV12</v>
      </c>
      <c r="F1288" t="s">
        <v>3989</v>
      </c>
      <c r="G1288" t="str">
        <f>custodian!D1288</f>
        <v>Y2066G104</v>
      </c>
      <c r="H1288" t="str">
        <f>_xll.BDP($B1288,"ID_ISIN")</f>
        <v>MHY2066G1044</v>
      </c>
      <c r="I1288" s="1" t="s">
        <v>3988</v>
      </c>
      <c r="J1288" t="str">
        <f>_xll.BDP($B1288,"CNTRY_OF_DOMICILE")</f>
        <v>GR</v>
      </c>
      <c r="K1288" t="s">
        <v>98</v>
      </c>
      <c r="L1288" t="s">
        <v>99</v>
      </c>
      <c r="O1288" s="1"/>
      <c r="AQ1288" s="1"/>
      <c r="AR1288" s="1"/>
      <c r="AS1288" s="1"/>
    </row>
    <row r="1289" spans="1:45" x14ac:dyDescent="0.25">
      <c r="A1289" t="s">
        <v>3973</v>
      </c>
      <c r="B1289" t="s">
        <v>3990</v>
      </c>
      <c r="C1289" s="1" t="s">
        <v>3991</v>
      </c>
      <c r="D1289" t="s">
        <v>3992</v>
      </c>
      <c r="E1289" t="str">
        <f>_xll.BDP($B1289,"LEGAL_ENTITY_IDENTIFIER")</f>
        <v>254900J6DPU4HB368I65</v>
      </c>
      <c r="F1289" t="s">
        <v>3992</v>
      </c>
      <c r="G1289" t="str">
        <f>custodian!D1289</f>
        <v>30069T101</v>
      </c>
      <c r="H1289" t="str">
        <f>_xll.BDP($B1289,"ID_ISIN")</f>
        <v>US30069T1016</v>
      </c>
      <c r="I1289" s="1" t="s">
        <v>3991</v>
      </c>
      <c r="J1289" t="str">
        <f>_xll.BDP($B1289,"CNTRY_OF_DOMICILE")</f>
        <v>US</v>
      </c>
      <c r="K1289" t="s">
        <v>98</v>
      </c>
      <c r="L1289" t="s">
        <v>99</v>
      </c>
      <c r="O1289" s="1"/>
      <c r="AQ1289" s="1"/>
      <c r="AR1289" s="1"/>
      <c r="AS1289" s="1"/>
    </row>
    <row r="1290" spans="1:45" x14ac:dyDescent="0.25">
      <c r="A1290" t="s">
        <v>3973</v>
      </c>
      <c r="B1290" t="s">
        <v>3993</v>
      </c>
      <c r="C1290" s="1" t="s">
        <v>3994</v>
      </c>
      <c r="D1290" t="s">
        <v>3995</v>
      </c>
      <c r="E1290" t="str">
        <f>_xll.BDP($B1290,"LEGAL_ENTITY_IDENTIFIER")</f>
        <v>213800ADWWZOFC9KU444</v>
      </c>
      <c r="F1290" t="s">
        <v>3995</v>
      </c>
      <c r="G1290" t="str">
        <f>custodian!D1290</f>
        <v>Y23592135</v>
      </c>
      <c r="H1290" t="str">
        <f>_xll.BDP($B1290,"ID_ISIN")</f>
        <v>MHY235921357</v>
      </c>
      <c r="I1290" s="1" t="s">
        <v>3994</v>
      </c>
      <c r="J1290" t="str">
        <f>_xll.BDP($B1290,"CNTRY_OF_DOMICILE")</f>
        <v>GR</v>
      </c>
      <c r="K1290" t="s">
        <v>98</v>
      </c>
      <c r="L1290" t="s">
        <v>99</v>
      </c>
      <c r="O1290" s="1"/>
      <c r="AQ1290" s="1"/>
      <c r="AR1290" s="1"/>
      <c r="AS1290" s="1"/>
    </row>
    <row r="1291" spans="1:45" x14ac:dyDescent="0.25">
      <c r="A1291" t="s">
        <v>3973</v>
      </c>
      <c r="B1291" t="s">
        <v>3216</v>
      </c>
      <c r="C1291" s="1" t="s">
        <v>3217</v>
      </c>
      <c r="D1291" t="s">
        <v>3218</v>
      </c>
      <c r="E1291" t="str">
        <f>_xll.BDP($B1291,"LEGAL_ENTITY_IDENTIFIER")</f>
        <v>984500B055A804AB6E40</v>
      </c>
      <c r="F1291" t="s">
        <v>3219</v>
      </c>
      <c r="G1291" t="str">
        <f>custodian!D1291</f>
        <v>302130109</v>
      </c>
      <c r="H1291" t="str">
        <f>_xll.BDP($B1291,"ID_ISIN")</f>
        <v>US3021301094</v>
      </c>
      <c r="I1291" s="1" t="s">
        <v>3217</v>
      </c>
      <c r="J1291" t="str">
        <f>_xll.BDP($B1291,"CNTRY_OF_DOMICILE")</f>
        <v>US</v>
      </c>
      <c r="K1291" t="s">
        <v>98</v>
      </c>
      <c r="L1291" t="s">
        <v>99</v>
      </c>
      <c r="O1291" s="1"/>
      <c r="AQ1291" s="1"/>
      <c r="AR1291" s="1"/>
      <c r="AS1291" s="1"/>
    </row>
    <row r="1292" spans="1:45" x14ac:dyDescent="0.25">
      <c r="A1292" t="s">
        <v>3973</v>
      </c>
      <c r="B1292" t="s">
        <v>140</v>
      </c>
      <c r="C1292" s="1" t="s">
        <v>141</v>
      </c>
      <c r="D1292" t="s">
        <v>142</v>
      </c>
      <c r="E1292" t="str">
        <f>_xll.BDP($B1292,"LEGAL_ENTITY_IDENTIFIER")</f>
        <v>549300E707U7WNPZN687</v>
      </c>
      <c r="F1292" t="s">
        <v>142</v>
      </c>
      <c r="G1292" t="str">
        <f>custodian!D1292</f>
        <v>31428X106</v>
      </c>
      <c r="H1292" t="str">
        <f>_xll.BDP($B1292,"ID_ISIN")</f>
        <v>US31428X1063</v>
      </c>
      <c r="I1292" s="1" t="s">
        <v>141</v>
      </c>
      <c r="J1292" t="str">
        <f>_xll.BDP($B1292,"CNTRY_OF_DOMICILE")</f>
        <v>US</v>
      </c>
      <c r="K1292" t="s">
        <v>98</v>
      </c>
      <c r="L1292" t="s">
        <v>99</v>
      </c>
      <c r="O1292" s="1"/>
      <c r="AQ1292" s="1"/>
      <c r="AR1292" s="1"/>
      <c r="AS1292" s="1"/>
    </row>
    <row r="1293" spans="1:45" x14ac:dyDescent="0.25">
      <c r="A1293" t="s">
        <v>3973</v>
      </c>
      <c r="B1293" t="s">
        <v>143</v>
      </c>
      <c r="C1293" s="1" t="s">
        <v>144</v>
      </c>
      <c r="D1293" t="s">
        <v>145</v>
      </c>
      <c r="E1293" t="str">
        <f>_xll.BDP($B1293,"LEGAL_ENTITY_IDENTIFIER")</f>
        <v>984500Y1DA5A58ICE336</v>
      </c>
      <c r="F1293" t="s">
        <v>145</v>
      </c>
      <c r="G1293" t="str">
        <f>custodian!D1293</f>
        <v>314352105</v>
      </c>
      <c r="H1293" t="str">
        <f>_xll.BDP($B1293,"ID_ISIN")</f>
        <v>US3143521058</v>
      </c>
      <c r="I1293" s="1" t="s">
        <v>144</v>
      </c>
      <c r="J1293" t="str">
        <f>_xll.BDP($B1293,"CNTRY_OF_DOMICILE")</f>
        <v>US</v>
      </c>
      <c r="K1293" t="s">
        <v>98</v>
      </c>
      <c r="L1293" t="s">
        <v>99</v>
      </c>
      <c r="O1293" s="1"/>
      <c r="AQ1293" s="1"/>
      <c r="AR1293" s="1"/>
      <c r="AS1293" s="1"/>
    </row>
    <row r="1294" spans="1:45" x14ac:dyDescent="0.25">
      <c r="A1294" t="s">
        <v>3973</v>
      </c>
      <c r="B1294" t="s">
        <v>77</v>
      </c>
      <c r="C1294" s="1" t="s">
        <v>78</v>
      </c>
      <c r="D1294" t="s">
        <v>79</v>
      </c>
      <c r="E1294" t="str">
        <f>_xll.BDP($B1294,"LEGAL_ENTITY_IDENTIFIER")</f>
        <v>549300R5MYM6VZF1RM44</v>
      </c>
      <c r="F1294" t="s">
        <v>80</v>
      </c>
      <c r="G1294" t="str">
        <f>custodian!D1294</f>
        <v>31846V336</v>
      </c>
      <c r="H1294" t="str">
        <f>_xll.BDP($B1294,"ID_ISIN")</f>
        <v>US31846V3362</v>
      </c>
      <c r="I1294" s="1" t="s">
        <v>78</v>
      </c>
      <c r="J1294" t="str">
        <f>_xll.BDP($B1294,"CNTRY_OF_DOMICILE")</f>
        <v>US</v>
      </c>
      <c r="K1294" t="s">
        <v>81</v>
      </c>
      <c r="L1294" t="s">
        <v>82</v>
      </c>
      <c r="O1294" s="1"/>
      <c r="AQ1294" s="1"/>
      <c r="AR1294" s="1"/>
      <c r="AS1294" s="1"/>
    </row>
    <row r="1295" spans="1:45" x14ac:dyDescent="0.25">
      <c r="A1295" t="s">
        <v>3973</v>
      </c>
      <c r="B1295" t="s">
        <v>3996</v>
      </c>
      <c r="C1295" s="1" t="s">
        <v>3997</v>
      </c>
      <c r="D1295" t="s">
        <v>3998</v>
      </c>
      <c r="E1295" t="str">
        <f>_xll.BDP($B1295,"LEGAL_ENTITY_IDENTIFIER")</f>
        <v>21380084THHU3MPC3647</v>
      </c>
      <c r="F1295" t="s">
        <v>3998</v>
      </c>
      <c r="G1295" t="str">
        <f>custodian!D1295</f>
        <v>G35947202</v>
      </c>
      <c r="H1295" t="str">
        <f>_xll.BDP($B1295,"ID_ISIN")</f>
        <v>BMG359472021</v>
      </c>
      <c r="I1295" s="1" t="s">
        <v>3997</v>
      </c>
      <c r="J1295" t="str">
        <f>_xll.BDP($B1295,"CNTRY_OF_DOMICILE")</f>
        <v>BM</v>
      </c>
      <c r="K1295" t="s">
        <v>98</v>
      </c>
      <c r="L1295" t="s">
        <v>99</v>
      </c>
      <c r="O1295" s="1"/>
      <c r="AQ1295" s="1"/>
      <c r="AR1295" s="1"/>
      <c r="AS1295" s="1"/>
    </row>
    <row r="1296" spans="1:45" x14ac:dyDescent="0.25">
      <c r="A1296" t="s">
        <v>3973</v>
      </c>
      <c r="B1296" t="s">
        <v>3999</v>
      </c>
      <c r="C1296" s="1" t="s">
        <v>4000</v>
      </c>
      <c r="D1296" t="s">
        <v>4001</v>
      </c>
      <c r="E1296" t="str">
        <f>_xll.BDP($B1296,"LEGAL_ENTITY_IDENTIFIER")</f>
        <v>5493004BCIKYU1YL3H63</v>
      </c>
      <c r="F1296" t="s">
        <v>4001</v>
      </c>
      <c r="G1296" t="str">
        <f>custodian!D1296</f>
        <v>M46528101</v>
      </c>
      <c r="H1296" t="str">
        <f>_xll.BDP($B1296,"ID_ISIN")</f>
        <v>CY0200352116</v>
      </c>
      <c r="I1296" s="1" t="s">
        <v>4000</v>
      </c>
      <c r="J1296" t="str">
        <f>_xll.BDP($B1296,"CNTRY_OF_DOMICILE")</f>
        <v>NO</v>
      </c>
      <c r="K1296" t="s">
        <v>98</v>
      </c>
      <c r="L1296" t="s">
        <v>99</v>
      </c>
      <c r="O1296" s="1"/>
      <c r="AQ1296" s="1"/>
      <c r="AR1296" s="1"/>
      <c r="AS1296" s="1"/>
    </row>
    <row r="1297" spans="1:45" x14ac:dyDescent="0.25">
      <c r="A1297" t="s">
        <v>3973</v>
      </c>
      <c r="B1297" t="s">
        <v>4002</v>
      </c>
      <c r="C1297" s="1" t="s">
        <v>4003</v>
      </c>
      <c r="D1297" t="s">
        <v>4004</v>
      </c>
      <c r="E1297" t="str">
        <f>_xll.BDP($B1297,"LEGAL_ENTITY_IDENTIFIER")</f>
        <v>549300JCJUO3WBVVKJ89</v>
      </c>
      <c r="F1297" t="s">
        <v>4004</v>
      </c>
      <c r="G1297" t="str">
        <f>custodian!D1297</f>
        <v>Y81669106</v>
      </c>
      <c r="H1297" t="str">
        <f>_xll.BDP($B1297,"ID_ISIN")</f>
        <v>MHY816691064</v>
      </c>
      <c r="I1297" s="1" t="s">
        <v>4003</v>
      </c>
      <c r="J1297" t="str">
        <f>_xll.BDP($B1297,"CNTRY_OF_DOMICILE")</f>
        <v>GR</v>
      </c>
      <c r="K1297" t="s">
        <v>98</v>
      </c>
      <c r="L1297" t="s">
        <v>99</v>
      </c>
      <c r="O1297" s="1"/>
      <c r="AQ1297" s="1"/>
      <c r="AR1297" s="1"/>
      <c r="AS1297" s="1"/>
    </row>
    <row r="1298" spans="1:45" x14ac:dyDescent="0.25">
      <c r="A1298" t="s">
        <v>3973</v>
      </c>
      <c r="B1298" t="s">
        <v>4005</v>
      </c>
      <c r="C1298" s="1" t="s">
        <v>4006</v>
      </c>
      <c r="D1298" t="s">
        <v>4007</v>
      </c>
      <c r="E1298" t="str">
        <f>_xll.BDP($B1298,"LEGAL_ENTITY_IDENTIFIER")</f>
        <v>213800C2VSFZG3EZLO34</v>
      </c>
      <c r="F1298" t="s">
        <v>4007</v>
      </c>
      <c r="G1298" t="str">
        <f>custodian!D1298</f>
        <v>G9456A100</v>
      </c>
      <c r="H1298" t="str">
        <f>_xll.BDP($B1298,"ID_ISIN")</f>
        <v>BMG9456A1009</v>
      </c>
      <c r="I1298" s="1" t="s">
        <v>4006</v>
      </c>
      <c r="J1298" t="str">
        <f>_xll.BDP($B1298,"CNTRY_OF_DOMICILE")</f>
        <v>BM</v>
      </c>
      <c r="K1298" t="s">
        <v>98</v>
      </c>
      <c r="L1298" t="s">
        <v>99</v>
      </c>
      <c r="O1298" s="1"/>
      <c r="AQ1298" s="1"/>
      <c r="AR1298" s="1"/>
      <c r="AS1298" s="1"/>
    </row>
    <row r="1299" spans="1:45" x14ac:dyDescent="0.25">
      <c r="A1299" t="s">
        <v>3973</v>
      </c>
      <c r="B1299" t="s">
        <v>4008</v>
      </c>
      <c r="C1299" s="1" t="s">
        <v>4009</v>
      </c>
      <c r="D1299" t="s">
        <v>4010</v>
      </c>
      <c r="E1299" t="str">
        <f>_xll.BDP($B1299,"LEGAL_ENTITY_IDENTIFIER")</f>
        <v>5493003MBZ5GU8QHXZ58</v>
      </c>
      <c r="F1299" t="s">
        <v>4010</v>
      </c>
      <c r="G1299" t="str">
        <f>custodian!D1299</f>
        <v>Y2685T131</v>
      </c>
      <c r="H1299" t="str">
        <f>_xll.BDP($B1299,"ID_ISIN")</f>
        <v>MHY2685T1313</v>
      </c>
      <c r="I1299" s="1" t="s">
        <v>4009</v>
      </c>
      <c r="J1299" t="str">
        <f>_xll.BDP($B1299,"CNTRY_OF_DOMICILE")</f>
        <v>US</v>
      </c>
      <c r="K1299" t="s">
        <v>98</v>
      </c>
      <c r="L1299" t="s">
        <v>99</v>
      </c>
      <c r="O1299" s="1"/>
      <c r="AQ1299" s="1"/>
      <c r="AR1299" s="1"/>
      <c r="AS1299" s="1"/>
    </row>
    <row r="1300" spans="1:45" x14ac:dyDescent="0.25">
      <c r="A1300" t="s">
        <v>3973</v>
      </c>
      <c r="B1300" t="s">
        <v>3226</v>
      </c>
      <c r="C1300" s="1" t="s">
        <v>3227</v>
      </c>
      <c r="D1300" t="s">
        <v>3228</v>
      </c>
      <c r="E1300" t="str">
        <f>_xll.BDP($B1300,"LEGAL_ENTITY_IDENTIFIER")</f>
        <v>254900GLZ0J5N8UZM071</v>
      </c>
      <c r="F1300" t="s">
        <v>3228</v>
      </c>
      <c r="G1300" t="str">
        <f>custodian!D1300</f>
        <v>Y27183600</v>
      </c>
      <c r="H1300" t="str">
        <f>_xll.BDP($B1300,"ID_ISIN")</f>
        <v>MHY271836006</v>
      </c>
      <c r="I1300" s="1" t="s">
        <v>3227</v>
      </c>
      <c r="J1300" t="str">
        <f>_xll.BDP($B1300,"CNTRY_OF_DOMICILE")</f>
        <v>GB</v>
      </c>
      <c r="K1300" t="s">
        <v>98</v>
      </c>
      <c r="L1300" t="s">
        <v>99</v>
      </c>
      <c r="O1300" s="1"/>
      <c r="AQ1300" s="1"/>
      <c r="AR1300" s="1"/>
      <c r="AS1300" s="1"/>
    </row>
    <row r="1301" spans="1:45" x14ac:dyDescent="0.25">
      <c r="A1301" t="s">
        <v>3973</v>
      </c>
      <c r="B1301" t="s">
        <v>3229</v>
      </c>
      <c r="C1301" s="1" t="s">
        <v>3230</v>
      </c>
      <c r="D1301" t="s">
        <v>3231</v>
      </c>
      <c r="E1301" t="str">
        <f>_xll.BDP($B1301,"LEGAL_ENTITY_IDENTIFIER")</f>
        <v>5493007CNWMXN78JRN66</v>
      </c>
      <c r="F1301" t="s">
        <v>3231</v>
      </c>
      <c r="G1301" t="str">
        <f>custodian!D1301</f>
        <v>36262G101</v>
      </c>
      <c r="H1301" t="str">
        <f>_xll.BDP($B1301,"ID_ISIN")</f>
        <v>US36262G1013</v>
      </c>
      <c r="I1301" s="1" t="s">
        <v>3230</v>
      </c>
      <c r="J1301" t="str">
        <f>_xll.BDP($B1301,"CNTRY_OF_DOMICILE")</f>
        <v>US</v>
      </c>
      <c r="K1301" t="s">
        <v>98</v>
      </c>
      <c r="L1301" t="s">
        <v>99</v>
      </c>
      <c r="O1301" s="1"/>
      <c r="AQ1301" s="1"/>
      <c r="AR1301" s="1"/>
      <c r="AS1301" s="1"/>
    </row>
    <row r="1302" spans="1:45" x14ac:dyDescent="0.25">
      <c r="A1302" t="s">
        <v>3973</v>
      </c>
      <c r="B1302" t="s">
        <v>4011</v>
      </c>
      <c r="C1302" s="1" t="s">
        <v>4012</v>
      </c>
      <c r="D1302" t="s">
        <v>4013</v>
      </c>
      <c r="E1302" t="str">
        <f>_xll.BDP($B1302,"LEGAL_ENTITY_IDENTIFIER")</f>
        <v>5493001KCFT0SCGJ2647</v>
      </c>
      <c r="F1302" t="s">
        <v>4013</v>
      </c>
      <c r="G1302" t="str">
        <f>custodian!D1302</f>
        <v>Y2990R101</v>
      </c>
      <c r="H1302" t="str">
        <f>_xll.BDP($B1302,"ID_ISIN")</f>
        <v>SGXZ53070850</v>
      </c>
      <c r="I1302" s="1" t="s">
        <v>4012</v>
      </c>
      <c r="J1302" t="str">
        <f>_xll.BDP($B1302,"CNTRY_OF_DOMICILE")</f>
        <v>SG</v>
      </c>
      <c r="K1302" t="s">
        <v>98</v>
      </c>
      <c r="L1302" t="s">
        <v>99</v>
      </c>
      <c r="O1302" s="1"/>
      <c r="AQ1302" s="1"/>
      <c r="AR1302" s="1"/>
      <c r="AS1302" s="1"/>
    </row>
    <row r="1303" spans="1:45" x14ac:dyDescent="0.25">
      <c r="A1303" t="s">
        <v>3973</v>
      </c>
      <c r="B1303" t="s">
        <v>4014</v>
      </c>
      <c r="C1303" s="1" t="s">
        <v>4015</v>
      </c>
      <c r="D1303" t="s">
        <v>4016</v>
      </c>
      <c r="E1303" t="str">
        <f>_xll.BDP($B1303,"LEGAL_ENTITY_IDENTIFIER")</f>
        <v>984500D86FFE5EYE7988</v>
      </c>
      <c r="F1303" t="s">
        <v>4016</v>
      </c>
      <c r="G1303" t="str">
        <f>custodian!D1303</f>
        <v>G4660A103</v>
      </c>
      <c r="H1303" t="str">
        <f>_xll.BDP($B1303,"ID_ISIN")</f>
        <v>BMG4660A1036</v>
      </c>
      <c r="I1303" s="1" t="s">
        <v>4015</v>
      </c>
      <c r="J1303" t="str">
        <f>_xll.BDP($B1303,"CNTRY_OF_DOMICILE")</f>
        <v>BM</v>
      </c>
      <c r="K1303" t="s">
        <v>98</v>
      </c>
      <c r="L1303" t="s">
        <v>99</v>
      </c>
      <c r="O1303" s="1"/>
      <c r="AQ1303" s="1"/>
      <c r="AR1303" s="1"/>
      <c r="AS1303" s="1"/>
    </row>
    <row r="1304" spans="1:45" x14ac:dyDescent="0.25">
      <c r="A1304" t="s">
        <v>3973</v>
      </c>
      <c r="B1304" t="s">
        <v>4017</v>
      </c>
      <c r="C1304" s="1" t="s">
        <v>4018</v>
      </c>
      <c r="D1304" t="s">
        <v>4019</v>
      </c>
      <c r="E1304" t="str">
        <f>_xll.BDP($B1304,"LEGAL_ENTITY_IDENTIFIER")</f>
        <v>549300YUFDGFRNGBWF46</v>
      </c>
      <c r="F1304" t="s">
        <v>4019</v>
      </c>
      <c r="G1304" t="str">
        <f>custodian!D1304</f>
        <v>Y41053102</v>
      </c>
      <c r="H1304" t="str">
        <f>_xll.BDP($B1304,"ID_ISIN")</f>
        <v>MHY410531021</v>
      </c>
      <c r="I1304" s="1" t="s">
        <v>4018</v>
      </c>
      <c r="J1304" t="str">
        <f>_xll.BDP($B1304,"CNTRY_OF_DOMICILE")</f>
        <v>US</v>
      </c>
      <c r="K1304" t="s">
        <v>98</v>
      </c>
      <c r="L1304" t="s">
        <v>99</v>
      </c>
      <c r="O1304" s="1"/>
      <c r="AQ1304" s="1"/>
      <c r="AR1304" s="1"/>
      <c r="AS1304" s="1"/>
    </row>
    <row r="1305" spans="1:45" x14ac:dyDescent="0.25">
      <c r="A1305" t="s">
        <v>3973</v>
      </c>
      <c r="B1305" t="s">
        <v>3238</v>
      </c>
      <c r="C1305" s="1" t="s">
        <v>3239</v>
      </c>
      <c r="D1305" t="s">
        <v>3240</v>
      </c>
      <c r="E1305" t="str">
        <f>_xll.BDP($B1305,"LEGAL_ENTITY_IDENTIFIER")</f>
        <v>549300XCD1MPI1C5GK90</v>
      </c>
      <c r="F1305" t="s">
        <v>3240</v>
      </c>
      <c r="G1305" t="str">
        <f>custodian!D1305</f>
        <v>445658107</v>
      </c>
      <c r="H1305" t="str">
        <f>_xll.BDP($B1305,"ID_ISIN")</f>
        <v>US4456581077</v>
      </c>
      <c r="I1305" s="1" t="s">
        <v>3239</v>
      </c>
      <c r="J1305" t="str">
        <f>_xll.BDP($B1305,"CNTRY_OF_DOMICILE")</f>
        <v>US</v>
      </c>
      <c r="K1305" t="s">
        <v>98</v>
      </c>
      <c r="L1305" t="s">
        <v>99</v>
      </c>
      <c r="O1305" s="1"/>
      <c r="AQ1305" s="1"/>
      <c r="AR1305" s="1"/>
      <c r="AS1305" s="1"/>
    </row>
    <row r="1306" spans="1:45" x14ac:dyDescent="0.25">
      <c r="A1306" t="s">
        <v>3973</v>
      </c>
      <c r="B1306" t="s">
        <v>4020</v>
      </c>
      <c r="C1306" s="1" t="s">
        <v>4021</v>
      </c>
      <c r="D1306" t="s">
        <v>4022</v>
      </c>
      <c r="E1306" t="str">
        <f>_xll.BDP($B1306,"LEGAL_ENTITY_IDENTIFIER")</f>
        <v>549300RM8O2QLS7ZQN07</v>
      </c>
      <c r="F1306" t="s">
        <v>4022</v>
      </c>
      <c r="G1306" t="str">
        <f>custodian!D1306</f>
        <v>Y48125101</v>
      </c>
      <c r="H1306" t="str">
        <f>_xll.BDP($B1306,"ID_ISIN")</f>
        <v>MHY481251012</v>
      </c>
      <c r="I1306" s="1" t="s">
        <v>4021</v>
      </c>
      <c r="J1306" t="str">
        <f>_xll.BDP($B1306,"CNTRY_OF_DOMICILE")</f>
        <v>GB</v>
      </c>
      <c r="K1306" t="s">
        <v>98</v>
      </c>
      <c r="L1306" t="s">
        <v>99</v>
      </c>
      <c r="O1306" s="1"/>
      <c r="AQ1306" s="1"/>
      <c r="AR1306" s="1"/>
      <c r="AS1306" s="1"/>
    </row>
    <row r="1307" spans="1:45" x14ac:dyDescent="0.25">
      <c r="A1307" t="s">
        <v>3973</v>
      </c>
      <c r="B1307" t="s">
        <v>4023</v>
      </c>
      <c r="C1307" s="1" t="s">
        <v>4024</v>
      </c>
      <c r="D1307" t="s">
        <v>4025</v>
      </c>
      <c r="E1307" t="str">
        <f>_xll.BDP($B1307,"LEGAL_ENTITY_IDENTIFIER")</f>
        <v>549300WP1W2WGMC7F395</v>
      </c>
      <c r="F1307" t="s">
        <v>4025</v>
      </c>
      <c r="G1307" t="str">
        <f>custodian!D1307</f>
        <v>Y2106R110</v>
      </c>
      <c r="H1307" t="str">
        <f>_xll.BDP($B1307,"ID_ISIN")</f>
        <v>MHY2106R1100</v>
      </c>
      <c r="I1307" s="1" t="s">
        <v>4024</v>
      </c>
      <c r="J1307" t="str">
        <f>_xll.BDP($B1307,"CNTRY_OF_DOMICILE")</f>
        <v>US</v>
      </c>
      <c r="K1307" t="s">
        <v>98</v>
      </c>
      <c r="L1307" t="s">
        <v>99</v>
      </c>
      <c r="O1307" s="1"/>
      <c r="AQ1307" s="1"/>
      <c r="AR1307" s="1"/>
      <c r="AS1307" s="1"/>
    </row>
    <row r="1308" spans="1:45" x14ac:dyDescent="0.25">
      <c r="A1308" t="s">
        <v>3973</v>
      </c>
      <c r="B1308" t="s">
        <v>3254</v>
      </c>
      <c r="C1308" s="1" t="s">
        <v>3255</v>
      </c>
      <c r="D1308" t="s">
        <v>3256</v>
      </c>
      <c r="E1308" t="str">
        <f>_xll.BDP($B1308,"LEGAL_ENTITY_IDENTIFIER")</f>
        <v>549300OI5H3Y0I9I4I12</v>
      </c>
      <c r="F1308" t="s">
        <v>3256</v>
      </c>
      <c r="G1308" t="str">
        <f>custodian!D1308</f>
        <v>57686G105</v>
      </c>
      <c r="H1308" t="str">
        <f>_xll.BDP($B1308,"ID_ISIN")</f>
        <v>US57686G1058</v>
      </c>
      <c r="I1308" s="1" t="s">
        <v>3255</v>
      </c>
      <c r="J1308" t="str">
        <f>_xll.BDP($B1308,"CNTRY_OF_DOMICILE")</f>
        <v>US</v>
      </c>
      <c r="K1308" t="s">
        <v>98</v>
      </c>
      <c r="L1308" t="s">
        <v>99</v>
      </c>
      <c r="O1308" s="1"/>
      <c r="AQ1308" s="1"/>
      <c r="AR1308" s="1"/>
      <c r="AS1308" s="1"/>
    </row>
    <row r="1309" spans="1:45" x14ac:dyDescent="0.25">
      <c r="A1309" t="s">
        <v>3973</v>
      </c>
      <c r="B1309" t="s">
        <v>4026</v>
      </c>
      <c r="C1309" s="1" t="s">
        <v>4027</v>
      </c>
      <c r="D1309" t="s">
        <v>4028</v>
      </c>
      <c r="E1309" t="str">
        <f>_xll.BDP($B1309,"LEGAL_ENTITY_IDENTIFIER")</f>
        <v>213800W4T8AMPKIPIU94</v>
      </c>
      <c r="F1309" t="s">
        <v>4028</v>
      </c>
      <c r="G1309" t="str">
        <f>custodian!D1309</f>
        <v>G65773106</v>
      </c>
      <c r="H1309" t="str">
        <f>_xll.BDP($B1309,"ID_ISIN")</f>
        <v>BMG657731060</v>
      </c>
      <c r="I1309" s="1" t="s">
        <v>4027</v>
      </c>
      <c r="J1309" t="str">
        <f>_xll.BDP($B1309,"CNTRY_OF_DOMICILE")</f>
        <v>NO</v>
      </c>
      <c r="K1309" t="s">
        <v>98</v>
      </c>
      <c r="L1309" t="s">
        <v>99</v>
      </c>
      <c r="O1309" s="1"/>
      <c r="AQ1309" s="1"/>
      <c r="AR1309" s="1"/>
      <c r="AS1309" s="1"/>
    </row>
    <row r="1310" spans="1:45" x14ac:dyDescent="0.25">
      <c r="A1310" t="s">
        <v>3973</v>
      </c>
      <c r="B1310" t="s">
        <v>4029</v>
      </c>
      <c r="C1310" s="1" t="s">
        <v>4030</v>
      </c>
      <c r="D1310" t="s">
        <v>4031</v>
      </c>
      <c r="E1310" t="str">
        <f>_xll.BDP($B1310,"LEGAL_ENTITY_IDENTIFIER")</f>
        <v>213800H7RVOFYARK2W19</v>
      </c>
      <c r="F1310" t="s">
        <v>4031</v>
      </c>
      <c r="G1310" t="str">
        <f>custodian!D1310</f>
        <v>Y62132108</v>
      </c>
      <c r="H1310" t="str">
        <f>_xll.BDP($B1310,"ID_ISIN")</f>
        <v>MHY621321089</v>
      </c>
      <c r="I1310" s="1" t="s">
        <v>4030</v>
      </c>
      <c r="J1310" t="str">
        <f>_xll.BDP($B1310,"CNTRY_OF_DOMICILE")</f>
        <v>US</v>
      </c>
      <c r="K1310" t="s">
        <v>98</v>
      </c>
      <c r="L1310" t="s">
        <v>99</v>
      </c>
      <c r="O1310" s="1"/>
      <c r="AQ1310" s="1"/>
      <c r="AR1310" s="1"/>
      <c r="AS1310" s="1"/>
    </row>
    <row r="1311" spans="1:45" x14ac:dyDescent="0.25">
      <c r="A1311" t="s">
        <v>3973</v>
      </c>
      <c r="B1311" t="s">
        <v>3263</v>
      </c>
      <c r="C1311" s="1" t="s">
        <v>3264</v>
      </c>
      <c r="D1311" t="s">
        <v>3265</v>
      </c>
      <c r="E1311" t="str">
        <f>_xll.BDP($B1311,"LEGAL_ENTITY_IDENTIFIER")</f>
        <v>5299009TWK32WE417T96</v>
      </c>
      <c r="F1311" t="s">
        <v>3265</v>
      </c>
      <c r="G1311" t="str">
        <f>custodian!D1311</f>
        <v>679580100</v>
      </c>
      <c r="H1311" t="str">
        <f>_xll.BDP($B1311,"ID_ISIN")</f>
        <v>US6795801009</v>
      </c>
      <c r="I1311" s="1" t="s">
        <v>3264</v>
      </c>
      <c r="J1311" t="str">
        <f>_xll.BDP($B1311,"CNTRY_OF_DOMICILE")</f>
        <v>US</v>
      </c>
      <c r="K1311" t="s">
        <v>98</v>
      </c>
      <c r="L1311" t="s">
        <v>99</v>
      </c>
      <c r="O1311" s="1"/>
      <c r="AQ1311" s="1"/>
      <c r="AR1311" s="1"/>
      <c r="AS1311" s="1"/>
    </row>
    <row r="1312" spans="1:45" x14ac:dyDescent="0.25">
      <c r="A1312" t="s">
        <v>3973</v>
      </c>
      <c r="B1312" t="s">
        <v>4032</v>
      </c>
      <c r="C1312" s="1" t="s">
        <v>4033</v>
      </c>
      <c r="D1312" t="s">
        <v>4034</v>
      </c>
      <c r="E1312" t="str">
        <f>_xll.BDP($B1312,"LEGAL_ENTITY_IDENTIFIER")</f>
        <v>#N/A N/A</v>
      </c>
      <c r="F1312" t="s">
        <v>4034</v>
      </c>
      <c r="G1312" t="str">
        <f>custodian!D1312</f>
        <v>G6891L105</v>
      </c>
      <c r="H1312" t="str">
        <f>_xll.BDP($B1312,"ID_ISIN")</f>
        <v>BMG6891L1054</v>
      </c>
      <c r="I1312" s="1" t="s">
        <v>4033</v>
      </c>
      <c r="J1312" t="str">
        <f>_xll.BDP($B1312,"CNTRY_OF_DOMICILE")</f>
        <v>US</v>
      </c>
      <c r="K1312" t="s">
        <v>98</v>
      </c>
      <c r="L1312" t="s">
        <v>99</v>
      </c>
      <c r="O1312" s="1"/>
      <c r="AQ1312" s="1"/>
      <c r="AR1312" s="1"/>
      <c r="AS1312" s="1"/>
    </row>
    <row r="1313" spans="1:48" x14ac:dyDescent="0.25">
      <c r="A1313" t="s">
        <v>3973</v>
      </c>
      <c r="B1313" t="s">
        <v>4035</v>
      </c>
      <c r="C1313" s="1" t="s">
        <v>4036</v>
      </c>
      <c r="D1313" t="s">
        <v>4037</v>
      </c>
      <c r="E1313" t="str">
        <f>_xll.BDP($B1313,"LEGAL_ENTITY_IDENTIFIER")</f>
        <v>549300SO3FMK7H6DDY54</v>
      </c>
      <c r="F1313" t="s">
        <v>4037</v>
      </c>
      <c r="G1313" t="str">
        <f>custodian!D1313</f>
        <v>Y8162K204</v>
      </c>
      <c r="H1313" t="str">
        <f>_xll.BDP($B1313,"ID_ISIN")</f>
        <v>MHY8162K2046</v>
      </c>
      <c r="I1313" s="1" t="s">
        <v>4036</v>
      </c>
      <c r="J1313" t="str">
        <f>_xll.BDP($B1313,"CNTRY_OF_DOMICILE")</f>
        <v>GR</v>
      </c>
      <c r="K1313" t="s">
        <v>98</v>
      </c>
      <c r="L1313" t="s">
        <v>99</v>
      </c>
      <c r="O1313" s="1"/>
      <c r="AQ1313" s="1"/>
      <c r="AR1313" s="1"/>
      <c r="AS1313" s="1"/>
    </row>
    <row r="1314" spans="1:48" x14ac:dyDescent="0.25">
      <c r="A1314" t="s">
        <v>3973</v>
      </c>
      <c r="B1314" t="s">
        <v>4038</v>
      </c>
      <c r="C1314" s="1" t="s">
        <v>4039</v>
      </c>
      <c r="D1314" t="s">
        <v>4040</v>
      </c>
      <c r="E1314" t="str">
        <f>_xll.BDP($B1314,"LEGAL_ENTITY_IDENTIFIER")</f>
        <v>549300RLYYPSB0C7RH77</v>
      </c>
      <c r="F1314" t="s">
        <v>4040</v>
      </c>
      <c r="G1314" t="str">
        <f>custodian!D1314</f>
        <v>G7738W106</v>
      </c>
      <c r="H1314" t="str">
        <f>_xll.BDP($B1314,"ID_ISIN")</f>
        <v>BMG7738W1064</v>
      </c>
      <c r="I1314" s="1" t="s">
        <v>4039</v>
      </c>
      <c r="J1314" t="str">
        <f>_xll.BDP($B1314,"CNTRY_OF_DOMICILE")</f>
        <v>NO</v>
      </c>
      <c r="K1314" t="s">
        <v>98</v>
      </c>
      <c r="L1314" t="s">
        <v>99</v>
      </c>
      <c r="O1314" s="1"/>
      <c r="AQ1314" s="1"/>
      <c r="AR1314" s="1"/>
      <c r="AS1314" s="1"/>
    </row>
    <row r="1315" spans="1:48" x14ac:dyDescent="0.25">
      <c r="A1315" t="s">
        <v>3973</v>
      </c>
      <c r="B1315" t="s">
        <v>4041</v>
      </c>
      <c r="C1315" s="1" t="s">
        <v>4042</v>
      </c>
      <c r="D1315" t="s">
        <v>4043</v>
      </c>
      <c r="E1315" t="str">
        <f>_xll.BDP($B1315,"LEGAL_ENTITY_IDENTIFIER")</f>
        <v>213800S7JIZA8FZXF245</v>
      </c>
      <c r="F1315" t="s">
        <v>4044</v>
      </c>
      <c r="G1315" t="str">
        <f>custodian!D1315</f>
        <v>Y73760400</v>
      </c>
      <c r="H1315" t="str">
        <f>_xll.BDP($B1315,"ID_ISIN")</f>
        <v>MHY737604006</v>
      </c>
      <c r="I1315" s="1" t="s">
        <v>4042</v>
      </c>
      <c r="J1315" t="str">
        <f>_xll.BDP($B1315,"CNTRY_OF_DOMICILE")</f>
        <v>GR</v>
      </c>
      <c r="K1315" t="s">
        <v>98</v>
      </c>
      <c r="L1315" t="s">
        <v>99</v>
      </c>
      <c r="O1315" s="1"/>
      <c r="AQ1315" s="1"/>
      <c r="AR1315" s="1"/>
      <c r="AS1315" s="1"/>
    </row>
    <row r="1316" spans="1:48" x14ac:dyDescent="0.25">
      <c r="A1316" t="s">
        <v>3973</v>
      </c>
      <c r="B1316" t="s">
        <v>4045</v>
      </c>
      <c r="C1316" s="1" t="s">
        <v>4046</v>
      </c>
      <c r="D1316" t="s">
        <v>4047</v>
      </c>
      <c r="E1316" t="str">
        <f>_xll.BDP($B1316,"LEGAL_ENTITY_IDENTIFIER")</f>
        <v>549300NVJUH16NXG8K87</v>
      </c>
      <c r="F1316" t="s">
        <v>4047</v>
      </c>
      <c r="G1316" t="str">
        <f>custodian!D1316</f>
        <v>Y7542C130</v>
      </c>
      <c r="H1316" t="str">
        <f>_xll.BDP($B1316,"ID_ISIN")</f>
        <v>MHY7542C1306</v>
      </c>
      <c r="I1316" s="1" t="s">
        <v>4046</v>
      </c>
      <c r="J1316" t="str">
        <f>_xll.BDP($B1316,"CNTRY_OF_DOMICILE")</f>
        <v>MC</v>
      </c>
      <c r="K1316" t="s">
        <v>98</v>
      </c>
      <c r="L1316" t="s">
        <v>99</v>
      </c>
      <c r="O1316" s="1"/>
      <c r="AQ1316" s="1"/>
      <c r="AR1316" s="1"/>
      <c r="AS1316" s="1"/>
    </row>
    <row r="1317" spans="1:48" x14ac:dyDescent="0.25">
      <c r="A1317" t="s">
        <v>3973</v>
      </c>
      <c r="B1317" t="s">
        <v>4048</v>
      </c>
      <c r="C1317" s="1" t="s">
        <v>4049</v>
      </c>
      <c r="D1317" t="s">
        <v>4050</v>
      </c>
      <c r="E1317" t="str">
        <f>_xll.BDP($B1317,"LEGAL_ENTITY_IDENTIFIER")</f>
        <v>549300IFUTS62LRRCU54</v>
      </c>
      <c r="F1317" t="s">
        <v>4050</v>
      </c>
      <c r="G1317" t="str">
        <f>custodian!D1317</f>
        <v>G9108L173</v>
      </c>
      <c r="H1317" t="str">
        <f>_xll.BDP($B1317,"ID_ISIN")</f>
        <v>BMG9108L1735</v>
      </c>
      <c r="I1317" s="1" t="s">
        <v>4049</v>
      </c>
      <c r="J1317" t="str">
        <f>_xll.BDP($B1317,"CNTRY_OF_DOMICILE")</f>
        <v>GR</v>
      </c>
      <c r="K1317" t="s">
        <v>98</v>
      </c>
      <c r="L1317" t="s">
        <v>99</v>
      </c>
      <c r="O1317" s="1"/>
      <c r="AQ1317" s="1"/>
      <c r="AR1317" s="1"/>
      <c r="AS1317" s="1"/>
    </row>
    <row r="1318" spans="1:48" x14ac:dyDescent="0.25">
      <c r="A1318" t="s">
        <v>3973</v>
      </c>
      <c r="B1318" t="s">
        <v>4051</v>
      </c>
      <c r="C1318" s="1" t="s">
        <v>4052</v>
      </c>
      <c r="D1318" t="s">
        <v>4053</v>
      </c>
      <c r="E1318" t="str">
        <f>_xll.BDP($B1318,"LEGAL_ENTITY_IDENTIFIER")</f>
        <v>549300DE8ZAIYS2T6Q22</v>
      </c>
      <c r="F1318" t="s">
        <v>4053</v>
      </c>
      <c r="G1318" t="str">
        <f>custodian!D1318</f>
        <v>G8726X106</v>
      </c>
      <c r="H1318" t="str">
        <f>_xll.BDP($B1318,"ID_ISIN")</f>
        <v>BMG8726X1065</v>
      </c>
      <c r="I1318" s="1" t="s">
        <v>4052</v>
      </c>
      <c r="J1318" t="str">
        <f>_xll.BDP($B1318,"CNTRY_OF_DOMICILE")</f>
        <v>CA</v>
      </c>
      <c r="K1318" t="s">
        <v>98</v>
      </c>
      <c r="L1318" t="s">
        <v>99</v>
      </c>
      <c r="O1318" s="1"/>
      <c r="AQ1318" s="1"/>
      <c r="AR1318" s="1"/>
      <c r="AS1318" s="1"/>
    </row>
    <row r="1319" spans="1:48" x14ac:dyDescent="0.25">
      <c r="A1319" t="s">
        <v>3973</v>
      </c>
      <c r="B1319" t="s">
        <v>4054</v>
      </c>
      <c r="C1319" s="1" t="s">
        <v>4055</v>
      </c>
      <c r="D1319" t="s">
        <v>4056</v>
      </c>
      <c r="E1319" t="str">
        <f>_xll.BDP($B1319,"LEGAL_ENTITY_IDENTIFIER")</f>
        <v>213800VL1H1ABVM1ZF63</v>
      </c>
      <c r="F1319" t="s">
        <v>4056</v>
      </c>
      <c r="G1319" t="str">
        <f>custodian!D1319</f>
        <v>G89479102</v>
      </c>
      <c r="H1319" t="str">
        <f>_xll.BDP($B1319,"ID_ISIN")</f>
        <v>GB00BZ3CNK81</v>
      </c>
      <c r="I1319" s="1" t="s">
        <v>4055</v>
      </c>
      <c r="J1319" t="str">
        <f>_xll.BDP($B1319,"CNTRY_OF_DOMICILE")</f>
        <v>GB</v>
      </c>
      <c r="K1319" t="s">
        <v>98</v>
      </c>
      <c r="L1319" t="s">
        <v>99</v>
      </c>
      <c r="O1319" s="1"/>
      <c r="AQ1319" s="1"/>
      <c r="AR1319" s="1"/>
      <c r="AS1319" s="1"/>
    </row>
    <row r="1320" spans="1:48" x14ac:dyDescent="0.25">
      <c r="A1320" t="s">
        <v>3973</v>
      </c>
      <c r="B1320" t="s">
        <v>210</v>
      </c>
      <c r="C1320" s="1" t="s">
        <v>211</v>
      </c>
      <c r="D1320" t="s">
        <v>212</v>
      </c>
      <c r="E1320" t="str">
        <f>_xll.BDP($B1320,"LEGAL_ENTITY_IDENTIFIER")</f>
        <v>D01LMJZU09ULLNCY6Z23</v>
      </c>
      <c r="F1320" t="s">
        <v>212</v>
      </c>
      <c r="G1320" t="str">
        <f>custodian!D1320</f>
        <v>911312106</v>
      </c>
      <c r="H1320" t="str">
        <f>_xll.BDP($B1320,"ID_ISIN")</f>
        <v>US9113121068</v>
      </c>
      <c r="I1320" s="1" t="s">
        <v>211</v>
      </c>
      <c r="J1320" t="str">
        <f>_xll.BDP($B1320,"CNTRY_OF_DOMICILE")</f>
        <v>US</v>
      </c>
      <c r="K1320" t="s">
        <v>98</v>
      </c>
      <c r="L1320" t="s">
        <v>99</v>
      </c>
      <c r="O1320" s="1"/>
      <c r="AQ1320" s="1"/>
      <c r="AR1320" s="1"/>
      <c r="AS1320" s="1"/>
    </row>
    <row r="1321" spans="1:48" x14ac:dyDescent="0.25">
      <c r="A1321" t="s">
        <v>3973</v>
      </c>
      <c r="B1321" t="s">
        <v>3309</v>
      </c>
      <c r="C1321" s="1" t="s">
        <v>3310</v>
      </c>
      <c r="D1321" t="s">
        <v>3311</v>
      </c>
      <c r="E1321" t="str">
        <f>_xll.BDP($B1321,"LEGAL_ENTITY_IDENTIFIER")</f>
        <v>54930096DB9LCLPN7H13</v>
      </c>
      <c r="F1321" t="s">
        <v>3311</v>
      </c>
      <c r="G1321" t="str">
        <f>custodian!D1321</f>
        <v>983793100</v>
      </c>
      <c r="H1321" t="str">
        <f>_xll.BDP($B1321,"ID_ISIN")</f>
        <v>US9837931008</v>
      </c>
      <c r="I1321" s="1" t="s">
        <v>3310</v>
      </c>
      <c r="J1321" t="str">
        <f>_xll.BDP($B1321,"CNTRY_OF_DOMICILE")</f>
        <v>US</v>
      </c>
      <c r="K1321" t="s">
        <v>98</v>
      </c>
      <c r="L1321" t="s">
        <v>99</v>
      </c>
      <c r="O1321" s="1"/>
      <c r="AQ1321" s="1"/>
      <c r="AR1321" s="1"/>
      <c r="AS1321" s="1"/>
    </row>
    <row r="1322" spans="1:48" x14ac:dyDescent="0.25">
      <c r="A1322" t="s">
        <v>3973</v>
      </c>
      <c r="B1322" t="s">
        <v>3312</v>
      </c>
      <c r="C1322" s="1" t="s">
        <v>3313</v>
      </c>
      <c r="D1322" t="s">
        <v>3314</v>
      </c>
      <c r="E1322" t="str">
        <f>_xll.BDP($B1322,"LEGAL_ENTITY_IDENTIFIER")</f>
        <v>21380089EIJRELKAIL21</v>
      </c>
      <c r="F1322" t="s">
        <v>3315</v>
      </c>
      <c r="G1322" t="str">
        <f>custodian!D1322</f>
        <v>M9T951109</v>
      </c>
      <c r="H1322" t="str">
        <f>_xll.BDP($B1322,"ID_ISIN")</f>
        <v>IL0065100930</v>
      </c>
      <c r="I1322" s="1" t="s">
        <v>3313</v>
      </c>
      <c r="J1322" t="str">
        <f>_xll.BDP($B1322,"CNTRY_OF_DOMICILE")</f>
        <v>IL</v>
      </c>
      <c r="K1322" t="s">
        <v>98</v>
      </c>
      <c r="L1322" t="s">
        <v>99</v>
      </c>
      <c r="O1322" s="1"/>
      <c r="AQ1322" s="1"/>
      <c r="AR1322" s="1"/>
      <c r="AS1322" s="1"/>
    </row>
    <row r="1323" spans="1:48" x14ac:dyDescent="0.25">
      <c r="A1323" t="s">
        <v>3973</v>
      </c>
      <c r="C1323" s="1" t="s">
        <v>52</v>
      </c>
      <c r="E1323" s="1"/>
      <c r="G1323" t="str">
        <f>custodian!D1323</f>
        <v>Cash&amp;Other</v>
      </c>
      <c r="H1323" s="1"/>
      <c r="I1323" s="1"/>
      <c r="O1323" s="1"/>
      <c r="AQ1323" s="1"/>
      <c r="AR1323" s="1"/>
      <c r="AS1323" s="1"/>
    </row>
    <row r="1324" spans="1:48" x14ac:dyDescent="0.25">
      <c r="A1324" t="s">
        <v>4057</v>
      </c>
      <c r="C1324" s="1" t="s">
        <v>4058</v>
      </c>
      <c r="D1324" t="s">
        <v>4059</v>
      </c>
      <c r="E1324" s="1" t="s">
        <v>56</v>
      </c>
      <c r="F1324" t="s">
        <v>4059</v>
      </c>
      <c r="G1324" t="str">
        <f>custodian!D1324</f>
        <v>2EFA  270528C00020890</v>
      </c>
      <c r="H1324" s="1"/>
      <c r="I1324" s="1" t="s">
        <v>4060</v>
      </c>
      <c r="J1324" t="s">
        <v>58</v>
      </c>
      <c r="K1324" t="s">
        <v>59</v>
      </c>
      <c r="L1324" t="s">
        <v>99</v>
      </c>
      <c r="M1324" t="s">
        <v>2598</v>
      </c>
      <c r="N1324" t="s">
        <v>2599</v>
      </c>
      <c r="O1324" s="1" t="s">
        <v>2600</v>
      </c>
      <c r="P1324" t="s">
        <v>2601</v>
      </c>
      <c r="Q1324" t="s">
        <v>2602</v>
      </c>
      <c r="R1324" t="s">
        <v>4061</v>
      </c>
      <c r="S1324" t="s">
        <v>68</v>
      </c>
      <c r="T1324" t="s">
        <v>2604</v>
      </c>
      <c r="U1324" t="s">
        <v>56</v>
      </c>
      <c r="V1324" t="s">
        <v>2605</v>
      </c>
      <c r="W1324" t="s">
        <v>4062</v>
      </c>
      <c r="X1324" t="s">
        <v>4063</v>
      </c>
      <c r="AD1324" t="s">
        <v>4064</v>
      </c>
      <c r="AE1324" t="s">
        <v>4065</v>
      </c>
      <c r="AQ1324" s="1"/>
      <c r="AR1324" s="1"/>
      <c r="AS1324" s="1"/>
    </row>
    <row r="1325" spans="1:48" x14ac:dyDescent="0.25">
      <c r="A1325" t="s">
        <v>4057</v>
      </c>
      <c r="C1325" s="1" t="s">
        <v>4066</v>
      </c>
      <c r="D1325" t="s">
        <v>4067</v>
      </c>
      <c r="E1325" s="1" t="s">
        <v>56</v>
      </c>
      <c r="F1325" t="s">
        <v>4067</v>
      </c>
      <c r="G1325" t="str">
        <f>custodian!D1325</f>
        <v>2EFA  270528C00120890</v>
      </c>
      <c r="H1325" s="1"/>
      <c r="I1325" s="1" t="s">
        <v>4068</v>
      </c>
      <c r="J1325" t="s">
        <v>58</v>
      </c>
      <c r="K1325" t="s">
        <v>59</v>
      </c>
      <c r="L1325" t="s">
        <v>99</v>
      </c>
      <c r="M1325" t="s">
        <v>2598</v>
      </c>
      <c r="N1325" t="s">
        <v>2599</v>
      </c>
      <c r="O1325" s="1" t="s">
        <v>2600</v>
      </c>
      <c r="P1325" t="s">
        <v>2601</v>
      </c>
      <c r="Q1325" t="s">
        <v>2613</v>
      </c>
      <c r="R1325" t="s">
        <v>4069</v>
      </c>
      <c r="S1325" t="s">
        <v>68</v>
      </c>
      <c r="T1325" t="s">
        <v>2604</v>
      </c>
      <c r="U1325" t="s">
        <v>56</v>
      </c>
      <c r="V1325" t="s">
        <v>2605</v>
      </c>
      <c r="W1325" t="s">
        <v>4062</v>
      </c>
      <c r="X1325" t="s">
        <v>4063</v>
      </c>
      <c r="AD1325" t="s">
        <v>4070</v>
      </c>
      <c r="AE1325" t="s">
        <v>4071</v>
      </c>
      <c r="AQ1325" s="1"/>
      <c r="AR1325" s="1"/>
      <c r="AS1325" s="1"/>
    </row>
    <row r="1326" spans="1:48" x14ac:dyDescent="0.25">
      <c r="A1326" t="s">
        <v>4057</v>
      </c>
      <c r="C1326" s="1" t="s">
        <v>4072</v>
      </c>
      <c r="D1326" t="s">
        <v>4073</v>
      </c>
      <c r="E1326" s="1" t="s">
        <v>56</v>
      </c>
      <c r="F1326" t="s">
        <v>4073</v>
      </c>
      <c r="G1326" t="str">
        <f>custodian!D1326</f>
        <v>2EFA  270528P00088770</v>
      </c>
      <c r="H1326" s="1"/>
      <c r="I1326" s="1" t="s">
        <v>4074</v>
      </c>
      <c r="J1326" t="s">
        <v>58</v>
      </c>
      <c r="K1326" t="s">
        <v>59</v>
      </c>
      <c r="L1326" t="s">
        <v>99</v>
      </c>
      <c r="M1326" t="s">
        <v>2598</v>
      </c>
      <c r="N1326" t="s">
        <v>2599</v>
      </c>
      <c r="O1326" s="1" t="s">
        <v>2600</v>
      </c>
      <c r="P1326" t="s">
        <v>2620</v>
      </c>
      <c r="Q1326" t="s">
        <v>2613</v>
      </c>
      <c r="R1326" t="s">
        <v>4075</v>
      </c>
      <c r="S1326" t="s">
        <v>68</v>
      </c>
      <c r="T1326" t="s">
        <v>2604</v>
      </c>
      <c r="U1326" t="s">
        <v>56</v>
      </c>
      <c r="V1326" t="s">
        <v>2605</v>
      </c>
      <c r="W1326" t="s">
        <v>4062</v>
      </c>
      <c r="X1326" t="s">
        <v>4063</v>
      </c>
      <c r="AD1326" t="s">
        <v>4076</v>
      </c>
      <c r="AE1326" t="s">
        <v>4077</v>
      </c>
      <c r="AQ1326" s="1"/>
      <c r="AR1326" s="1"/>
      <c r="AS1326" s="1"/>
    </row>
    <row r="1327" spans="1:48" x14ac:dyDescent="0.25">
      <c r="A1327" t="s">
        <v>4057</v>
      </c>
      <c r="C1327" s="1" t="s">
        <v>4078</v>
      </c>
      <c r="D1327" t="s">
        <v>4079</v>
      </c>
      <c r="E1327" s="1" t="s">
        <v>56</v>
      </c>
      <c r="F1327" t="s">
        <v>4079</v>
      </c>
      <c r="G1327" t="str">
        <f>custodian!D1327</f>
        <v>2EFA  270528P00104440</v>
      </c>
      <c r="H1327" s="1"/>
      <c r="I1327" s="1" t="s">
        <v>4080</v>
      </c>
      <c r="J1327" t="s">
        <v>58</v>
      </c>
      <c r="K1327" t="s">
        <v>59</v>
      </c>
      <c r="L1327" t="s">
        <v>99</v>
      </c>
      <c r="M1327" t="s">
        <v>2598</v>
      </c>
      <c r="N1327" t="s">
        <v>2599</v>
      </c>
      <c r="O1327" s="1" t="s">
        <v>2600</v>
      </c>
      <c r="P1327" t="s">
        <v>2620</v>
      </c>
      <c r="Q1327" t="s">
        <v>2602</v>
      </c>
      <c r="R1327" t="s">
        <v>4081</v>
      </c>
      <c r="S1327" t="s">
        <v>68</v>
      </c>
      <c r="T1327" t="s">
        <v>2604</v>
      </c>
      <c r="U1327" t="s">
        <v>56</v>
      </c>
      <c r="V1327" t="s">
        <v>2605</v>
      </c>
      <c r="W1327" t="s">
        <v>4062</v>
      </c>
      <c r="X1327" t="s">
        <v>4063</v>
      </c>
      <c r="AD1327" t="s">
        <v>4082</v>
      </c>
      <c r="AE1327" t="s">
        <v>4083</v>
      </c>
      <c r="AQ1327" s="1"/>
      <c r="AR1327" s="1"/>
      <c r="AS1327" s="1"/>
    </row>
    <row r="1328" spans="1:48" x14ac:dyDescent="0.25">
      <c r="A1328" t="s">
        <v>4057</v>
      </c>
      <c r="B1328" t="s">
        <v>2630</v>
      </c>
      <c r="C1328" s="1" t="s">
        <v>2631</v>
      </c>
      <c r="D1328" t="s">
        <v>1574</v>
      </c>
      <c r="E1328" t="str">
        <f>_xll.BDP($B1328,"LEGAL_ENTITY_IDENTIFIER")</f>
        <v>254900HROIFWPRGM1V77</v>
      </c>
      <c r="F1328" t="s">
        <v>2632</v>
      </c>
      <c r="G1328" t="str">
        <f>custodian!D1328</f>
        <v>912828ZS2</v>
      </c>
      <c r="H1328" t="str">
        <f>_xll.BDP($B1328,"ID_ISIN")</f>
        <v>US912828ZS21</v>
      </c>
      <c r="I1328" s="1"/>
      <c r="J1328" t="str">
        <f>_xll.BDP($B1328,"CNTRY_OF_DOMICILE")</f>
        <v>US</v>
      </c>
      <c r="K1328" t="s">
        <v>626</v>
      </c>
      <c r="L1328" t="s">
        <v>627</v>
      </c>
      <c r="O1328" s="1"/>
      <c r="AQ1328" s="1"/>
      <c r="AR1328" s="1"/>
      <c r="AS1328" s="1"/>
      <c r="AT1328" t="str">
        <f>TEXT(_xll.BDP($B1328,"MATURITY"),"yyyy-mm-dd")</f>
        <v>2027-05-31</v>
      </c>
      <c r="AU1328" t="str">
        <f>_xll.BDP($B1328,"CPN_TYP")</f>
        <v>FIXED</v>
      </c>
      <c r="AV1328">
        <f>_xll.BDP($B1328,"CPN")</f>
        <v>0.5</v>
      </c>
    </row>
    <row r="1329" spans="1:48" x14ac:dyDescent="0.25">
      <c r="A1329" t="s">
        <v>4057</v>
      </c>
      <c r="B1329" t="s">
        <v>77</v>
      </c>
      <c r="C1329" s="1" t="s">
        <v>78</v>
      </c>
      <c r="D1329" t="s">
        <v>79</v>
      </c>
      <c r="E1329" t="str">
        <f>_xll.BDP($B1329,"LEGAL_ENTITY_IDENTIFIER")</f>
        <v>549300R5MYM6VZF1RM44</v>
      </c>
      <c r="F1329" t="s">
        <v>80</v>
      </c>
      <c r="G1329" t="str">
        <f>custodian!D1329</f>
        <v>31846V336</v>
      </c>
      <c r="H1329" t="str">
        <f>_xll.BDP($B1329,"ID_ISIN")</f>
        <v>US31846V3362</v>
      </c>
      <c r="I1329" s="1" t="s">
        <v>78</v>
      </c>
      <c r="J1329" t="str">
        <f>_xll.BDP($B1329,"CNTRY_OF_DOMICILE")</f>
        <v>US</v>
      </c>
      <c r="K1329" t="s">
        <v>81</v>
      </c>
      <c r="L1329" t="s">
        <v>82</v>
      </c>
      <c r="O1329" s="1"/>
      <c r="AQ1329" s="1"/>
      <c r="AR1329" s="1"/>
      <c r="AS1329" s="1"/>
    </row>
    <row r="1330" spans="1:48" x14ac:dyDescent="0.25">
      <c r="A1330" t="s">
        <v>4057</v>
      </c>
      <c r="C1330" s="1" t="s">
        <v>52</v>
      </c>
      <c r="E1330" s="1"/>
      <c r="G1330" t="str">
        <f>custodian!D1330</f>
        <v>Cash&amp;Other</v>
      </c>
      <c r="H1330" s="1"/>
      <c r="I1330" s="1"/>
      <c r="O1330" s="1"/>
      <c r="AQ1330" s="1"/>
      <c r="AR1330" s="1"/>
      <c r="AS1330" s="1"/>
    </row>
    <row r="1331" spans="1:48" x14ac:dyDescent="0.25">
      <c r="A1331" t="s">
        <v>4084</v>
      </c>
      <c r="C1331" s="1" t="s">
        <v>4085</v>
      </c>
      <c r="D1331" t="s">
        <v>4086</v>
      </c>
      <c r="E1331" s="1" t="s">
        <v>56</v>
      </c>
      <c r="F1331" t="s">
        <v>4086</v>
      </c>
      <c r="G1331" t="str">
        <f>custodian!D1331</f>
        <v>2EFA  270430C00020410</v>
      </c>
      <c r="H1331" s="1"/>
      <c r="I1331" s="1" t="s">
        <v>4087</v>
      </c>
      <c r="J1331" t="s">
        <v>58</v>
      </c>
      <c r="K1331" t="s">
        <v>59</v>
      </c>
      <c r="L1331" t="s">
        <v>99</v>
      </c>
      <c r="M1331" t="s">
        <v>2598</v>
      </c>
      <c r="N1331" t="s">
        <v>2599</v>
      </c>
      <c r="O1331" s="1" t="s">
        <v>2600</v>
      </c>
      <c r="P1331" t="s">
        <v>2601</v>
      </c>
      <c r="Q1331" t="s">
        <v>2602</v>
      </c>
      <c r="R1331" t="s">
        <v>4088</v>
      </c>
      <c r="S1331" t="s">
        <v>68</v>
      </c>
      <c r="T1331" t="s">
        <v>2692</v>
      </c>
      <c r="U1331" t="s">
        <v>56</v>
      </c>
      <c r="V1331" t="s">
        <v>2605</v>
      </c>
      <c r="W1331" t="s">
        <v>4062</v>
      </c>
      <c r="X1331" t="s">
        <v>4063</v>
      </c>
      <c r="AD1331" t="s">
        <v>4089</v>
      </c>
      <c r="AE1331" t="s">
        <v>4090</v>
      </c>
      <c r="AQ1331" s="1"/>
      <c r="AR1331" s="1"/>
      <c r="AS1331" s="1"/>
    </row>
    <row r="1332" spans="1:48" x14ac:dyDescent="0.25">
      <c r="A1332" t="s">
        <v>4084</v>
      </c>
      <c r="C1332" s="1" t="s">
        <v>4091</v>
      </c>
      <c r="D1332" t="s">
        <v>4092</v>
      </c>
      <c r="E1332" s="1" t="s">
        <v>56</v>
      </c>
      <c r="F1332" t="s">
        <v>4092</v>
      </c>
      <c r="G1332" t="str">
        <f>custodian!D1332</f>
        <v>2EFA  270430C00118370</v>
      </c>
      <c r="H1332" s="1"/>
      <c r="I1332" s="1" t="s">
        <v>4093</v>
      </c>
      <c r="J1332" t="s">
        <v>58</v>
      </c>
      <c r="K1332" t="s">
        <v>59</v>
      </c>
      <c r="L1332" t="s">
        <v>99</v>
      </c>
      <c r="M1332" t="s">
        <v>2598</v>
      </c>
      <c r="N1332" t="s">
        <v>2599</v>
      </c>
      <c r="O1332" s="1" t="s">
        <v>2600</v>
      </c>
      <c r="P1332" t="s">
        <v>2601</v>
      </c>
      <c r="Q1332" t="s">
        <v>2613</v>
      </c>
      <c r="R1332" t="s">
        <v>4094</v>
      </c>
      <c r="S1332" t="s">
        <v>68</v>
      </c>
      <c r="T1332" t="s">
        <v>2692</v>
      </c>
      <c r="U1332" t="s">
        <v>56</v>
      </c>
      <c r="V1332" t="s">
        <v>2605</v>
      </c>
      <c r="W1332" t="s">
        <v>4062</v>
      </c>
      <c r="X1332" t="s">
        <v>4063</v>
      </c>
      <c r="AD1332" t="s">
        <v>4095</v>
      </c>
      <c r="AE1332" t="s">
        <v>4096</v>
      </c>
      <c r="AQ1332" s="1"/>
      <c r="AR1332" s="1"/>
      <c r="AS1332" s="1"/>
    </row>
    <row r="1333" spans="1:48" x14ac:dyDescent="0.25">
      <c r="A1333" t="s">
        <v>4084</v>
      </c>
      <c r="C1333" s="1" t="s">
        <v>4097</v>
      </c>
      <c r="D1333" t="s">
        <v>4098</v>
      </c>
      <c r="E1333" s="1" t="s">
        <v>56</v>
      </c>
      <c r="F1333" t="s">
        <v>4098</v>
      </c>
      <c r="G1333" t="str">
        <f>custodian!D1333</f>
        <v>2EFA  270430P00086730</v>
      </c>
      <c r="H1333" s="1"/>
      <c r="I1333" s="1" t="s">
        <v>4099</v>
      </c>
      <c r="J1333" t="s">
        <v>58</v>
      </c>
      <c r="K1333" t="s">
        <v>59</v>
      </c>
      <c r="L1333" t="s">
        <v>99</v>
      </c>
      <c r="M1333" t="s">
        <v>2598</v>
      </c>
      <c r="N1333" t="s">
        <v>2599</v>
      </c>
      <c r="O1333" s="1" t="s">
        <v>2600</v>
      </c>
      <c r="P1333" t="s">
        <v>2620</v>
      </c>
      <c r="Q1333" t="s">
        <v>2613</v>
      </c>
      <c r="R1333" t="s">
        <v>4100</v>
      </c>
      <c r="S1333" t="s">
        <v>68</v>
      </c>
      <c r="T1333" t="s">
        <v>2692</v>
      </c>
      <c r="U1333" t="s">
        <v>56</v>
      </c>
      <c r="V1333" t="s">
        <v>2605</v>
      </c>
      <c r="W1333" t="s">
        <v>4062</v>
      </c>
      <c r="X1333" t="s">
        <v>4063</v>
      </c>
      <c r="AD1333" t="s">
        <v>4101</v>
      </c>
      <c r="AE1333" t="s">
        <v>4102</v>
      </c>
      <c r="AQ1333" s="1"/>
      <c r="AR1333" s="1"/>
      <c r="AS1333" s="1"/>
    </row>
    <row r="1334" spans="1:48" x14ac:dyDescent="0.25">
      <c r="A1334" t="s">
        <v>4084</v>
      </c>
      <c r="C1334" s="1" t="s">
        <v>4103</v>
      </c>
      <c r="D1334" t="s">
        <v>4104</v>
      </c>
      <c r="E1334" s="1" t="s">
        <v>56</v>
      </c>
      <c r="F1334" t="s">
        <v>4104</v>
      </c>
      <c r="G1334" t="str">
        <f>custodian!D1334</f>
        <v>2EFA  270430P00102040</v>
      </c>
      <c r="H1334" s="1"/>
      <c r="I1334" s="1" t="s">
        <v>4105</v>
      </c>
      <c r="J1334" t="s">
        <v>58</v>
      </c>
      <c r="K1334" t="s">
        <v>59</v>
      </c>
      <c r="L1334" t="s">
        <v>99</v>
      </c>
      <c r="M1334" t="s">
        <v>2598</v>
      </c>
      <c r="N1334" t="s">
        <v>2599</v>
      </c>
      <c r="O1334" s="1" t="s">
        <v>2600</v>
      </c>
      <c r="P1334" t="s">
        <v>2620</v>
      </c>
      <c r="Q1334" t="s">
        <v>2602</v>
      </c>
      <c r="R1334" t="s">
        <v>4106</v>
      </c>
      <c r="S1334" t="s">
        <v>68</v>
      </c>
      <c r="T1334" t="s">
        <v>2692</v>
      </c>
      <c r="U1334" t="s">
        <v>56</v>
      </c>
      <c r="V1334" t="s">
        <v>2605</v>
      </c>
      <c r="W1334" t="s">
        <v>4062</v>
      </c>
      <c r="X1334" t="s">
        <v>4063</v>
      </c>
      <c r="AD1334" t="s">
        <v>4107</v>
      </c>
      <c r="AE1334" t="s">
        <v>4108</v>
      </c>
      <c r="AQ1334" s="1"/>
      <c r="AR1334" s="1"/>
      <c r="AS1334" s="1"/>
    </row>
    <row r="1335" spans="1:48" x14ac:dyDescent="0.25">
      <c r="A1335" t="s">
        <v>4084</v>
      </c>
      <c r="B1335" t="s">
        <v>2820</v>
      </c>
      <c r="C1335" s="1" t="s">
        <v>2821</v>
      </c>
      <c r="D1335" t="s">
        <v>1574</v>
      </c>
      <c r="E1335" t="str">
        <f>_xll.BDP($B1335,"LEGAL_ENTITY_IDENTIFIER")</f>
        <v>254900HROIFWPRGM1V77</v>
      </c>
      <c r="F1335" t="s">
        <v>2822</v>
      </c>
      <c r="G1335" t="str">
        <f>custodian!D1335</f>
        <v>91282CMY4</v>
      </c>
      <c r="H1335" t="str">
        <f>_xll.BDP($B1335,"ID_ISIN")</f>
        <v>US91282CMY48</v>
      </c>
      <c r="I1335" s="1"/>
      <c r="J1335" t="str">
        <f>_xll.BDP($B1335,"CNTRY_OF_DOMICILE")</f>
        <v>US</v>
      </c>
      <c r="K1335" t="s">
        <v>626</v>
      </c>
      <c r="L1335" t="s">
        <v>627</v>
      </c>
      <c r="O1335" s="1"/>
      <c r="AQ1335" s="1"/>
      <c r="AR1335" s="1"/>
      <c r="AS1335" s="1"/>
      <c r="AT1335" t="str">
        <f>TEXT(_xll.BDP($B1335,"MATURITY"),"yyyy-mm-dd")</f>
        <v>2027-04-30</v>
      </c>
      <c r="AU1335" t="str">
        <f>_xll.BDP($B1335,"CPN_TYP")</f>
        <v>FIXED</v>
      </c>
      <c r="AV1335">
        <f>_xll.BDP($B1335,"CPN")</f>
        <v>3.75</v>
      </c>
    </row>
    <row r="1336" spans="1:48" x14ac:dyDescent="0.25">
      <c r="A1336" t="s">
        <v>4084</v>
      </c>
      <c r="B1336" t="s">
        <v>77</v>
      </c>
      <c r="C1336" s="1" t="s">
        <v>78</v>
      </c>
      <c r="D1336" t="s">
        <v>79</v>
      </c>
      <c r="E1336" t="str">
        <f>_xll.BDP($B1336,"LEGAL_ENTITY_IDENTIFIER")</f>
        <v>549300R5MYM6VZF1RM44</v>
      </c>
      <c r="F1336" t="s">
        <v>80</v>
      </c>
      <c r="G1336" t="str">
        <f>custodian!D1336</f>
        <v>31846V336</v>
      </c>
      <c r="H1336" t="str">
        <f>_xll.BDP($B1336,"ID_ISIN")</f>
        <v>US31846V3362</v>
      </c>
      <c r="I1336" s="1" t="s">
        <v>78</v>
      </c>
      <c r="J1336" t="str">
        <f>_xll.BDP($B1336,"CNTRY_OF_DOMICILE")</f>
        <v>US</v>
      </c>
      <c r="K1336" t="s">
        <v>81</v>
      </c>
      <c r="L1336" t="s">
        <v>82</v>
      </c>
      <c r="O1336" s="1"/>
      <c r="AQ1336" s="1"/>
      <c r="AR1336" s="1"/>
      <c r="AS1336" s="1"/>
    </row>
    <row r="1337" spans="1:48" x14ac:dyDescent="0.25">
      <c r="A1337" t="s">
        <v>4084</v>
      </c>
      <c r="C1337" s="1" t="s">
        <v>52</v>
      </c>
      <c r="E1337" s="1"/>
      <c r="G1337" t="str">
        <f>custodian!D1337</f>
        <v>Cash&amp;Other</v>
      </c>
      <c r="H1337" s="1"/>
      <c r="I1337" s="1"/>
      <c r="O1337" s="1"/>
      <c r="AQ1337" s="1"/>
      <c r="AR1337" s="1"/>
      <c r="AS1337" s="1"/>
    </row>
    <row r="1338" spans="1:48" x14ac:dyDescent="0.25">
      <c r="A1338" t="s">
        <v>4109</v>
      </c>
      <c r="B1338" t="s">
        <v>4110</v>
      </c>
      <c r="C1338" s="1" t="s">
        <v>4111</v>
      </c>
      <c r="D1338" t="s">
        <v>4112</v>
      </c>
      <c r="E1338" t="str">
        <f>_xll.BDP($B1338,"LEGAL_ENTITY_IDENTIFIER")</f>
        <v>549300WFHLTCZV7D6V29</v>
      </c>
      <c r="F1338" t="s">
        <v>4112</v>
      </c>
      <c r="G1338" t="str">
        <f>custodian!D1338</f>
        <v>039653100</v>
      </c>
      <c r="H1338" t="str">
        <f>_xll.BDP($B1338,"ID_ISIN")</f>
        <v>US0396531008</v>
      </c>
      <c r="I1338" s="1" t="s">
        <v>4111</v>
      </c>
      <c r="J1338" t="str">
        <f>_xll.BDP($B1338,"CNTRY_OF_DOMICILE")</f>
        <v>US</v>
      </c>
      <c r="K1338" t="s">
        <v>98</v>
      </c>
      <c r="L1338" t="s">
        <v>99</v>
      </c>
      <c r="O1338" s="1"/>
      <c r="AQ1338" s="1"/>
      <c r="AR1338" s="1"/>
      <c r="AS1338" s="1"/>
    </row>
    <row r="1339" spans="1:48" x14ac:dyDescent="0.25">
      <c r="A1339" t="s">
        <v>4109</v>
      </c>
      <c r="B1339" t="s">
        <v>4113</v>
      </c>
      <c r="C1339" s="1" t="s">
        <v>4114</v>
      </c>
      <c r="D1339" t="s">
        <v>4115</v>
      </c>
      <c r="E1339" t="str">
        <f>_xll.BDP($B1339,"LEGAL_ENTITY_IDENTIFIER")</f>
        <v>549300756XI3QLFT2U27</v>
      </c>
      <c r="F1339" t="s">
        <v>4115</v>
      </c>
      <c r="G1339" t="str">
        <f>custodian!D1339</f>
        <v>007973100</v>
      </c>
      <c r="H1339" t="str">
        <f>_xll.BDP($B1339,"ID_ISIN")</f>
        <v>US0079731008</v>
      </c>
      <c r="I1339" s="1" t="s">
        <v>4114</v>
      </c>
      <c r="J1339" t="str">
        <f>_xll.BDP($B1339,"CNTRY_OF_DOMICILE")</f>
        <v>US</v>
      </c>
      <c r="K1339" t="s">
        <v>98</v>
      </c>
      <c r="L1339" t="s">
        <v>99</v>
      </c>
      <c r="O1339" s="1"/>
      <c r="AQ1339" s="1"/>
      <c r="AR1339" s="1"/>
      <c r="AS1339" s="1"/>
    </row>
    <row r="1340" spans="1:48" x14ac:dyDescent="0.25">
      <c r="A1340" t="s">
        <v>4109</v>
      </c>
      <c r="B1340" t="s">
        <v>4116</v>
      </c>
      <c r="C1340" s="1" t="s">
        <v>4117</v>
      </c>
      <c r="D1340" t="s">
        <v>4118</v>
      </c>
      <c r="E1340" t="str">
        <f>_xll.BDP($B1340,"LEGAL_ENTITY_IDENTIFIER")</f>
        <v>549300S9YT8Z8LOK4452</v>
      </c>
      <c r="F1340" t="s">
        <v>4118</v>
      </c>
      <c r="G1340" t="str">
        <f>custodian!D1340</f>
        <v>030111207</v>
      </c>
      <c r="H1340" t="str">
        <f>_xll.BDP($B1340,"ID_ISIN")</f>
        <v>US0301112076</v>
      </c>
      <c r="I1340" s="1" t="s">
        <v>4117</v>
      </c>
      <c r="J1340" t="str">
        <f>_xll.BDP($B1340,"CNTRY_OF_DOMICILE")</f>
        <v>US</v>
      </c>
      <c r="K1340" t="s">
        <v>98</v>
      </c>
      <c r="L1340" t="s">
        <v>99</v>
      </c>
      <c r="O1340" s="1"/>
      <c r="AQ1340" s="1"/>
      <c r="AR1340" s="1"/>
      <c r="AS1340" s="1"/>
    </row>
    <row r="1341" spans="1:48" x14ac:dyDescent="0.25">
      <c r="A1341" t="s">
        <v>4109</v>
      </c>
      <c r="B1341" t="s">
        <v>4119</v>
      </c>
      <c r="C1341" s="1" t="s">
        <v>4120</v>
      </c>
      <c r="D1341" t="s">
        <v>4121</v>
      </c>
      <c r="E1341" t="str">
        <f>_xll.BDP($B1341,"LEGAL_ENTITY_IDENTIFIER")</f>
        <v>52990002TI38AM4RPV48</v>
      </c>
      <c r="F1341" t="s">
        <v>4121</v>
      </c>
      <c r="G1341" t="str">
        <f>custodian!D1341</f>
        <v>047649108</v>
      </c>
      <c r="H1341" t="str">
        <f>_xll.BDP($B1341,"ID_ISIN")</f>
        <v>US0476491081</v>
      </c>
      <c r="I1341" s="1" t="s">
        <v>4120</v>
      </c>
      <c r="J1341" t="str">
        <f>_xll.BDP($B1341,"CNTRY_OF_DOMICILE")</f>
        <v>US</v>
      </c>
      <c r="K1341" t="s">
        <v>98</v>
      </c>
      <c r="L1341" t="s">
        <v>99</v>
      </c>
      <c r="O1341" s="1"/>
      <c r="AQ1341" s="1"/>
      <c r="AR1341" s="1"/>
      <c r="AS1341" s="1"/>
    </row>
    <row r="1342" spans="1:48" x14ac:dyDescent="0.25">
      <c r="A1342" t="s">
        <v>4109</v>
      </c>
      <c r="B1342" t="s">
        <v>4122</v>
      </c>
      <c r="C1342" s="1" t="s">
        <v>4123</v>
      </c>
      <c r="D1342" t="s">
        <v>4124</v>
      </c>
      <c r="E1342" t="str">
        <f>_xll.BDP($B1342,"LEGAL_ENTITY_IDENTIFIER")</f>
        <v>549300F56EKTHQI3WT60</v>
      </c>
      <c r="F1342" t="s">
        <v>4124</v>
      </c>
      <c r="G1342" t="str">
        <f>custodian!D1342</f>
        <v>267475101</v>
      </c>
      <c r="H1342" t="str">
        <f>_xll.BDP($B1342,"ID_ISIN")</f>
        <v>US2674751019</v>
      </c>
      <c r="I1342" s="1" t="s">
        <v>4123</v>
      </c>
      <c r="J1342" t="str">
        <f>_xll.BDP($B1342,"CNTRY_OF_DOMICILE")</f>
        <v>US</v>
      </c>
      <c r="K1342" t="s">
        <v>98</v>
      </c>
      <c r="L1342" t="s">
        <v>99</v>
      </c>
      <c r="O1342" s="1"/>
      <c r="AQ1342" s="1"/>
      <c r="AR1342" s="1"/>
      <c r="AS1342" s="1"/>
    </row>
    <row r="1343" spans="1:48" x14ac:dyDescent="0.25">
      <c r="A1343" t="s">
        <v>4109</v>
      </c>
      <c r="B1343" t="s">
        <v>4125</v>
      </c>
      <c r="C1343" s="1" t="s">
        <v>4126</v>
      </c>
      <c r="D1343" t="s">
        <v>4127</v>
      </c>
      <c r="E1343" t="str">
        <f>_xll.BDP($B1343,"LEGAL_ENTITY_IDENTIFIER")</f>
        <v>5493007JJLP5MEWVDH10</v>
      </c>
      <c r="F1343" t="s">
        <v>4127</v>
      </c>
      <c r="G1343" t="str">
        <f>custodian!D1343</f>
        <v>296315104</v>
      </c>
      <c r="H1343" t="str">
        <f>_xll.BDP($B1343,"ID_ISIN")</f>
        <v>US2963151046</v>
      </c>
      <c r="I1343" s="1" t="s">
        <v>4126</v>
      </c>
      <c r="J1343" t="str">
        <f>_xll.BDP($B1343,"CNTRY_OF_DOMICILE")</f>
        <v>US</v>
      </c>
      <c r="K1343" t="s">
        <v>98</v>
      </c>
      <c r="L1343" t="s">
        <v>99</v>
      </c>
      <c r="O1343" s="1"/>
      <c r="AQ1343" s="1"/>
      <c r="AR1343" s="1"/>
      <c r="AS1343" s="1"/>
    </row>
    <row r="1344" spans="1:48" x14ac:dyDescent="0.25">
      <c r="A1344" t="s">
        <v>4109</v>
      </c>
      <c r="B1344" t="s">
        <v>3659</v>
      </c>
      <c r="C1344" s="1" t="s">
        <v>3660</v>
      </c>
      <c r="D1344" t="s">
        <v>3661</v>
      </c>
      <c r="E1344" t="str">
        <f>_xll.BDP($B1344,"LEGAL_ENTITY_IDENTIFIER")</f>
        <v>549300VDIGTMXUNT7H71</v>
      </c>
      <c r="F1344" t="s">
        <v>3661</v>
      </c>
      <c r="G1344" t="str">
        <f>custodian!D1344</f>
        <v>G29183103</v>
      </c>
      <c r="H1344" t="str">
        <f>_xll.BDP($B1344,"ID_ISIN")</f>
        <v>IE00B8KQN827</v>
      </c>
      <c r="I1344" s="1" t="s">
        <v>3660</v>
      </c>
      <c r="J1344" t="str">
        <f>_xll.BDP($B1344,"CNTRY_OF_DOMICILE")</f>
        <v>IE</v>
      </c>
      <c r="K1344" t="s">
        <v>98</v>
      </c>
      <c r="L1344" t="s">
        <v>99</v>
      </c>
      <c r="O1344" s="1"/>
      <c r="AQ1344" s="1"/>
      <c r="AR1344" s="1"/>
      <c r="AS1344" s="1"/>
    </row>
    <row r="1345" spans="1:45" x14ac:dyDescent="0.25">
      <c r="A1345" t="s">
        <v>4109</v>
      </c>
      <c r="B1345" t="s">
        <v>77</v>
      </c>
      <c r="C1345" s="1" t="s">
        <v>78</v>
      </c>
      <c r="D1345" t="s">
        <v>79</v>
      </c>
      <c r="E1345" t="str">
        <f>_xll.BDP($B1345,"LEGAL_ENTITY_IDENTIFIER")</f>
        <v>549300R5MYM6VZF1RM44</v>
      </c>
      <c r="F1345" t="s">
        <v>80</v>
      </c>
      <c r="G1345" t="str">
        <f>custodian!D1345</f>
        <v>31846V336</v>
      </c>
      <c r="H1345" t="str">
        <f>_xll.BDP($B1345,"ID_ISIN")</f>
        <v>US31846V3362</v>
      </c>
      <c r="I1345" s="1" t="s">
        <v>78</v>
      </c>
      <c r="J1345" t="str">
        <f>_xll.BDP($B1345,"CNTRY_OF_DOMICILE")</f>
        <v>US</v>
      </c>
      <c r="K1345" t="s">
        <v>81</v>
      </c>
      <c r="L1345" t="s">
        <v>82</v>
      </c>
      <c r="O1345" s="1"/>
      <c r="AQ1345" s="1"/>
      <c r="AR1345" s="1"/>
      <c r="AS1345" s="1"/>
    </row>
    <row r="1346" spans="1:45" x14ac:dyDescent="0.25">
      <c r="A1346" t="s">
        <v>4109</v>
      </c>
      <c r="B1346" t="s">
        <v>4128</v>
      </c>
      <c r="C1346" s="1" t="s">
        <v>4129</v>
      </c>
      <c r="D1346" t="s">
        <v>4130</v>
      </c>
      <c r="E1346" t="str">
        <f>_xll.BDP($B1346,"LEGAL_ENTITY_IDENTIFIER")</f>
        <v>529900VOEJB5GLOFQR48</v>
      </c>
      <c r="F1346" t="s">
        <v>4130</v>
      </c>
      <c r="G1346" t="str">
        <f>custodian!D1346</f>
        <v>34631F102</v>
      </c>
      <c r="H1346" t="str">
        <f>_xll.BDP($B1346,"ID_ISIN")</f>
        <v>US34631F1021</v>
      </c>
      <c r="I1346" s="1" t="s">
        <v>4129</v>
      </c>
      <c r="J1346" t="str">
        <f>_xll.BDP($B1346,"CNTRY_OF_DOMICILE")</f>
        <v>US</v>
      </c>
      <c r="K1346" t="s">
        <v>98</v>
      </c>
      <c r="L1346" t="s">
        <v>99</v>
      </c>
      <c r="O1346" s="1"/>
      <c r="AQ1346" s="1"/>
      <c r="AR1346" s="1"/>
      <c r="AS1346" s="1"/>
    </row>
    <row r="1347" spans="1:45" x14ac:dyDescent="0.25">
      <c r="A1347" t="s">
        <v>4109</v>
      </c>
      <c r="B1347" t="s">
        <v>3671</v>
      </c>
      <c r="C1347" s="1" t="s">
        <v>3672</v>
      </c>
      <c r="D1347" t="s">
        <v>3673</v>
      </c>
      <c r="E1347" t="str">
        <f>_xll.BDP($B1347,"LEGAL_ENTITY_IDENTIFIER")</f>
        <v>254900DP080RU6OK2553</v>
      </c>
      <c r="F1347" t="s">
        <v>3673</v>
      </c>
      <c r="G1347" t="str">
        <f>custodian!D1347</f>
        <v>36828A101</v>
      </c>
      <c r="H1347" t="str">
        <f>_xll.BDP($B1347,"ID_ISIN")</f>
        <v>US36828A1016</v>
      </c>
      <c r="I1347" s="1" t="s">
        <v>3672</v>
      </c>
      <c r="J1347" t="str">
        <f>_xll.BDP($B1347,"CNTRY_OF_DOMICILE")</f>
        <v>US</v>
      </c>
      <c r="K1347" t="s">
        <v>98</v>
      </c>
      <c r="L1347" t="s">
        <v>99</v>
      </c>
      <c r="O1347" s="1"/>
      <c r="AQ1347" s="1"/>
      <c r="AR1347" s="1"/>
      <c r="AS1347" s="1"/>
    </row>
    <row r="1348" spans="1:45" x14ac:dyDescent="0.25">
      <c r="A1348" t="s">
        <v>4109</v>
      </c>
      <c r="B1348" t="s">
        <v>4131</v>
      </c>
      <c r="C1348" s="1" t="s">
        <v>4132</v>
      </c>
      <c r="D1348" t="s">
        <v>4133</v>
      </c>
      <c r="E1348" t="str">
        <f>_xll.BDP($B1348,"LEGAL_ENTITY_IDENTIFIER")</f>
        <v>54930088VDQ6840Y6597</v>
      </c>
      <c r="F1348" t="s">
        <v>4133</v>
      </c>
      <c r="G1348" t="str">
        <f>custodian!D1348</f>
        <v>443510607</v>
      </c>
      <c r="H1348" t="str">
        <f>_xll.BDP($B1348,"ID_ISIN")</f>
        <v>US4435106079</v>
      </c>
      <c r="I1348" s="1" t="s">
        <v>4132</v>
      </c>
      <c r="J1348" t="str">
        <f>_xll.BDP($B1348,"CNTRY_OF_DOMICILE")</f>
        <v>US</v>
      </c>
      <c r="K1348" t="s">
        <v>98</v>
      </c>
      <c r="L1348" t="s">
        <v>99</v>
      </c>
      <c r="O1348" s="1"/>
      <c r="AQ1348" s="1"/>
      <c r="AR1348" s="1"/>
      <c r="AS1348" s="1"/>
    </row>
    <row r="1349" spans="1:45" x14ac:dyDescent="0.25">
      <c r="A1349" t="s">
        <v>4109</v>
      </c>
      <c r="B1349" t="s">
        <v>4134</v>
      </c>
      <c r="C1349" s="1" t="s">
        <v>4135</v>
      </c>
      <c r="D1349" t="s">
        <v>4136</v>
      </c>
      <c r="E1349" t="str">
        <f>_xll.BDP($B1349,"LEGAL_ENTITY_IDENTIFIER")</f>
        <v>24F6LSZD18II6ICG6S41</v>
      </c>
      <c r="F1349" t="s">
        <v>4136</v>
      </c>
      <c r="G1349" t="str">
        <f>custodian!D1349</f>
        <v>465741106</v>
      </c>
      <c r="H1349" t="str">
        <f>_xll.BDP($B1349,"ID_ISIN")</f>
        <v>US4657411066</v>
      </c>
      <c r="I1349" s="1" t="s">
        <v>4135</v>
      </c>
      <c r="J1349" t="str">
        <f>_xll.BDP($B1349,"CNTRY_OF_DOMICILE")</f>
        <v>US</v>
      </c>
      <c r="K1349" t="s">
        <v>98</v>
      </c>
      <c r="L1349" t="s">
        <v>99</v>
      </c>
      <c r="O1349" s="1"/>
      <c r="AQ1349" s="1"/>
      <c r="AR1349" s="1"/>
      <c r="AS1349" s="1"/>
    </row>
    <row r="1350" spans="1:45" x14ac:dyDescent="0.25">
      <c r="A1350" t="s">
        <v>4109</v>
      </c>
      <c r="B1350" t="s">
        <v>4137</v>
      </c>
      <c r="C1350" s="1" t="s">
        <v>4138</v>
      </c>
      <c r="D1350" t="s">
        <v>4139</v>
      </c>
      <c r="E1350" t="str">
        <f>_xll.BDP($B1350,"LEGAL_ENTITY_IDENTIFIER")</f>
        <v>549300TMDIT8WREDOF45</v>
      </c>
      <c r="F1350" t="s">
        <v>4139</v>
      </c>
      <c r="G1350" t="str">
        <f>custodian!D1350</f>
        <v>576323109</v>
      </c>
      <c r="H1350" t="str">
        <f>_xll.BDP($B1350,"ID_ISIN")</f>
        <v>US5763231090</v>
      </c>
      <c r="I1350" s="1" t="s">
        <v>4138</v>
      </c>
      <c r="J1350" t="str">
        <f>_xll.BDP($B1350,"CNTRY_OF_DOMICILE")</f>
        <v>US</v>
      </c>
      <c r="K1350" t="s">
        <v>98</v>
      </c>
      <c r="L1350" t="s">
        <v>99</v>
      </c>
      <c r="O1350" s="1"/>
      <c r="AQ1350" s="1"/>
      <c r="AR1350" s="1"/>
      <c r="AS1350" s="1"/>
    </row>
    <row r="1351" spans="1:45" x14ac:dyDescent="0.25">
      <c r="A1351" t="s">
        <v>4109</v>
      </c>
      <c r="B1351" t="s">
        <v>4140</v>
      </c>
      <c r="C1351" s="1" t="s">
        <v>4141</v>
      </c>
      <c r="D1351" t="s">
        <v>4142</v>
      </c>
      <c r="E1351" t="str">
        <f>_xll.BDP($B1351,"LEGAL_ENTITY_IDENTIFIER")</f>
        <v>529900G1IMMZHOQ17I54</v>
      </c>
      <c r="F1351" t="s">
        <v>4142</v>
      </c>
      <c r="G1351" t="str">
        <f>custodian!D1351</f>
        <v>55405W104</v>
      </c>
      <c r="H1351" t="str">
        <f>_xll.BDP($B1351,"ID_ISIN")</f>
        <v>US55405W1045</v>
      </c>
      <c r="I1351" s="1" t="s">
        <v>4141</v>
      </c>
      <c r="J1351" t="str">
        <f>_xll.BDP($B1351,"CNTRY_OF_DOMICILE")</f>
        <v>US</v>
      </c>
      <c r="K1351" t="s">
        <v>98</v>
      </c>
      <c r="L1351" t="s">
        <v>99</v>
      </c>
      <c r="O1351" s="1"/>
      <c r="AQ1351" s="1"/>
      <c r="AR1351" s="1"/>
      <c r="AS1351" s="1"/>
    </row>
    <row r="1352" spans="1:45" x14ac:dyDescent="0.25">
      <c r="A1352" t="s">
        <v>4109</v>
      </c>
      <c r="B1352" t="s">
        <v>4143</v>
      </c>
      <c r="C1352" s="1" t="s">
        <v>4144</v>
      </c>
      <c r="D1352" t="s">
        <v>4145</v>
      </c>
      <c r="E1352" t="str">
        <f>_xll.BDP($B1352,"LEGAL_ENTITY_IDENTIFIER")</f>
        <v>#N/A N/A</v>
      </c>
      <c r="F1352" t="s">
        <v>4145</v>
      </c>
      <c r="G1352" t="str">
        <f>custodian!D1352</f>
        <v>G6700G107</v>
      </c>
      <c r="H1352" t="str">
        <f>_xll.BDP($B1352,"ID_ISIN")</f>
        <v>IE00BDVJJQ56</v>
      </c>
      <c r="I1352" s="1" t="s">
        <v>4144</v>
      </c>
      <c r="J1352" t="str">
        <f>_xll.BDP($B1352,"CNTRY_OF_DOMICILE")</f>
        <v>GB</v>
      </c>
      <c r="K1352" t="s">
        <v>98</v>
      </c>
      <c r="L1352" t="s">
        <v>99</v>
      </c>
      <c r="O1352" s="1"/>
      <c r="AQ1352" s="1"/>
      <c r="AR1352" s="1"/>
      <c r="AS1352" s="1"/>
    </row>
    <row r="1353" spans="1:45" x14ac:dyDescent="0.25">
      <c r="A1353" t="s">
        <v>4109</v>
      </c>
      <c r="B1353" t="s">
        <v>4146</v>
      </c>
      <c r="C1353" s="1" t="s">
        <v>4147</v>
      </c>
      <c r="D1353" t="s">
        <v>4148</v>
      </c>
      <c r="E1353" t="str">
        <f>_xll.BDP($B1353,"LEGAL_ENTITY_IDENTIFIER")</f>
        <v>549300EYH53XDJID2098</v>
      </c>
      <c r="F1353" t="s">
        <v>4148</v>
      </c>
      <c r="G1353" t="str">
        <f>custodian!D1353</f>
        <v>740444104</v>
      </c>
      <c r="H1353" t="str">
        <f>_xll.BDP($B1353,"ID_ISIN")</f>
        <v>US7404441047</v>
      </c>
      <c r="I1353" s="1" t="s">
        <v>4147</v>
      </c>
      <c r="J1353" t="str">
        <f>_xll.BDP($B1353,"CNTRY_OF_DOMICILE")</f>
        <v>US</v>
      </c>
      <c r="K1353" t="s">
        <v>98</v>
      </c>
      <c r="L1353" t="s">
        <v>99</v>
      </c>
      <c r="O1353" s="1"/>
      <c r="AQ1353" s="1"/>
      <c r="AR1353" s="1"/>
      <c r="AS1353" s="1"/>
    </row>
    <row r="1354" spans="1:45" x14ac:dyDescent="0.25">
      <c r="A1354" t="s">
        <v>4109</v>
      </c>
      <c r="B1354" t="s">
        <v>4149</v>
      </c>
      <c r="C1354" s="1" t="s">
        <v>4150</v>
      </c>
      <c r="D1354" t="s">
        <v>4151</v>
      </c>
      <c r="E1354" t="str">
        <f>_xll.BDP($B1354,"LEGAL_ENTITY_IDENTIFIER")</f>
        <v>549300V08RO7MX2UBN26</v>
      </c>
      <c r="F1354" t="s">
        <v>4151</v>
      </c>
      <c r="G1354" t="str">
        <f>custodian!D1354</f>
        <v>739128106</v>
      </c>
      <c r="H1354" t="str">
        <f>_xll.BDP($B1354,"ID_ISIN")</f>
        <v>US7391281067</v>
      </c>
      <c r="I1354" s="1" t="s">
        <v>4150</v>
      </c>
      <c r="J1354" t="str">
        <f>_xll.BDP($B1354,"CNTRY_OF_DOMICILE")</f>
        <v>US</v>
      </c>
      <c r="K1354" t="s">
        <v>98</v>
      </c>
      <c r="L1354" t="s">
        <v>99</v>
      </c>
      <c r="O1354" s="1"/>
      <c r="AQ1354" s="1"/>
      <c r="AR1354" s="1"/>
      <c r="AS1354" s="1"/>
    </row>
    <row r="1355" spans="1:45" x14ac:dyDescent="0.25">
      <c r="A1355" t="s">
        <v>4109</v>
      </c>
      <c r="B1355" t="s">
        <v>4152</v>
      </c>
      <c r="C1355" s="1" t="s">
        <v>4153</v>
      </c>
      <c r="D1355" t="s">
        <v>4154</v>
      </c>
      <c r="E1355" t="str">
        <f>_xll.BDP($B1355,"LEGAL_ENTITY_IDENTIFIER")</f>
        <v>549300UF3OLBJ8D5K349</v>
      </c>
      <c r="F1355" t="s">
        <v>4154</v>
      </c>
      <c r="G1355" t="str">
        <f>custodian!D1355</f>
        <v>74164F103</v>
      </c>
      <c r="H1355" t="str">
        <f>_xll.BDP($B1355,"ID_ISIN")</f>
        <v>US74164F1030</v>
      </c>
      <c r="I1355" s="1" t="s">
        <v>4153</v>
      </c>
      <c r="J1355" t="str">
        <f>_xll.BDP($B1355,"CNTRY_OF_DOMICILE")</f>
        <v>US</v>
      </c>
      <c r="K1355" t="s">
        <v>98</v>
      </c>
      <c r="L1355" t="s">
        <v>99</v>
      </c>
      <c r="O1355" s="1"/>
      <c r="AQ1355" s="1"/>
      <c r="AR1355" s="1"/>
      <c r="AS1355" s="1"/>
    </row>
    <row r="1356" spans="1:45" x14ac:dyDescent="0.25">
      <c r="A1356" t="s">
        <v>4109</v>
      </c>
      <c r="B1356" t="s">
        <v>4155</v>
      </c>
      <c r="C1356" s="1" t="s">
        <v>4156</v>
      </c>
      <c r="D1356" t="s">
        <v>4157</v>
      </c>
      <c r="E1356" t="str">
        <f>_xll.BDP($B1356,"LEGAL_ENTITY_IDENTIFIER")</f>
        <v>SHVRXXEACT60MMH07S24</v>
      </c>
      <c r="F1356" t="s">
        <v>4157</v>
      </c>
      <c r="G1356" t="str">
        <f>custodian!D1356</f>
        <v>74762E102</v>
      </c>
      <c r="H1356" t="str">
        <f>_xll.BDP($B1356,"ID_ISIN")</f>
        <v>US74762E1029</v>
      </c>
      <c r="I1356" s="1" t="s">
        <v>4156</v>
      </c>
      <c r="J1356" t="str">
        <f>_xll.BDP($B1356,"CNTRY_OF_DOMICILE")</f>
        <v>US</v>
      </c>
      <c r="K1356" t="s">
        <v>98</v>
      </c>
      <c r="L1356" t="s">
        <v>99</v>
      </c>
      <c r="O1356" s="1"/>
      <c r="AQ1356" s="1"/>
      <c r="AR1356" s="1"/>
      <c r="AS1356" s="1"/>
    </row>
    <row r="1357" spans="1:45" x14ac:dyDescent="0.25">
      <c r="A1357" t="s">
        <v>4109</v>
      </c>
      <c r="B1357" t="s">
        <v>4158</v>
      </c>
      <c r="C1357" s="1" t="s">
        <v>4159</v>
      </c>
      <c r="D1357" t="s">
        <v>4160</v>
      </c>
      <c r="E1357" t="str">
        <f>_xll.BDP($B1357,"LEGAL_ENTITY_IDENTIFIER")</f>
        <v>5493009ZGZJJ8F77JN08</v>
      </c>
      <c r="F1357" t="s">
        <v>4160</v>
      </c>
      <c r="G1357" t="str">
        <f>custodian!D1357</f>
        <v>920253101</v>
      </c>
      <c r="H1357" t="str">
        <f>_xll.BDP($B1357,"ID_ISIN")</f>
        <v>US9202531011</v>
      </c>
      <c r="I1357" s="1" t="s">
        <v>4159</v>
      </c>
      <c r="J1357" t="str">
        <f>_xll.BDP($B1357,"CNTRY_OF_DOMICILE")</f>
        <v>US</v>
      </c>
      <c r="K1357" t="s">
        <v>98</v>
      </c>
      <c r="L1357" t="s">
        <v>99</v>
      </c>
      <c r="O1357" s="1"/>
      <c r="AQ1357" s="1"/>
      <c r="AR1357" s="1"/>
      <c r="AS1357" s="1"/>
    </row>
    <row r="1358" spans="1:45" x14ac:dyDescent="0.25">
      <c r="A1358" t="s">
        <v>4109</v>
      </c>
      <c r="C1358" s="1" t="s">
        <v>52</v>
      </c>
      <c r="E1358" s="1"/>
      <c r="G1358" t="str">
        <f>custodian!D1358</f>
        <v>Cash&amp;Other</v>
      </c>
      <c r="H1358" s="1"/>
      <c r="I1358" s="1"/>
      <c r="O1358" s="1"/>
      <c r="AQ1358" s="1"/>
      <c r="AR1358" s="1"/>
      <c r="AS1358" s="1"/>
    </row>
    <row r="1359" spans="1:45" x14ac:dyDescent="0.25">
      <c r="A1359" t="s">
        <v>4161</v>
      </c>
      <c r="C1359" s="1" t="s">
        <v>2595</v>
      </c>
      <c r="D1359" t="s">
        <v>2596</v>
      </c>
      <c r="E1359" s="1" t="s">
        <v>56</v>
      </c>
      <c r="F1359" t="s">
        <v>2596</v>
      </c>
      <c r="G1359" t="str">
        <f>custodian!D1359</f>
        <v>2SPY  270528C00151710</v>
      </c>
      <c r="H1359" s="1"/>
      <c r="I1359" s="1" t="s">
        <v>2597</v>
      </c>
      <c r="J1359" t="s">
        <v>58</v>
      </c>
      <c r="K1359" t="s">
        <v>59</v>
      </c>
      <c r="L1359" t="s">
        <v>99</v>
      </c>
      <c r="M1359" t="s">
        <v>2598</v>
      </c>
      <c r="N1359" t="s">
        <v>2599</v>
      </c>
      <c r="O1359" s="1" t="s">
        <v>2600</v>
      </c>
      <c r="P1359" t="s">
        <v>2601</v>
      </c>
      <c r="Q1359" t="s">
        <v>2602</v>
      </c>
      <c r="R1359" t="s">
        <v>2603</v>
      </c>
      <c r="S1359" t="s">
        <v>68</v>
      </c>
      <c r="T1359" t="s">
        <v>2604</v>
      </c>
      <c r="U1359" t="s">
        <v>56</v>
      </c>
      <c r="V1359" t="s">
        <v>2605</v>
      </c>
      <c r="W1359" t="s">
        <v>2606</v>
      </c>
      <c r="X1359" t="s">
        <v>2607</v>
      </c>
      <c r="AD1359" t="s">
        <v>4162</v>
      </c>
      <c r="AE1359" t="s">
        <v>4163</v>
      </c>
      <c r="AQ1359" s="1"/>
      <c r="AR1359" s="1"/>
      <c r="AS1359" s="1"/>
    </row>
    <row r="1360" spans="1:45" x14ac:dyDescent="0.25">
      <c r="A1360" t="s">
        <v>4161</v>
      </c>
      <c r="C1360" s="1" t="s">
        <v>4164</v>
      </c>
      <c r="D1360" t="s">
        <v>4165</v>
      </c>
      <c r="E1360" s="1" t="s">
        <v>56</v>
      </c>
      <c r="F1360" t="s">
        <v>4165</v>
      </c>
      <c r="G1360" t="str">
        <f>custodian!D1360</f>
        <v>2SPY  270528C00896220</v>
      </c>
      <c r="H1360" s="1"/>
      <c r="I1360" s="1" t="s">
        <v>4166</v>
      </c>
      <c r="J1360" t="s">
        <v>58</v>
      </c>
      <c r="K1360" t="s">
        <v>59</v>
      </c>
      <c r="L1360" t="s">
        <v>99</v>
      </c>
      <c r="M1360" t="s">
        <v>2598</v>
      </c>
      <c r="N1360" t="s">
        <v>2599</v>
      </c>
      <c r="O1360" s="1" t="s">
        <v>2600</v>
      </c>
      <c r="P1360" t="s">
        <v>2601</v>
      </c>
      <c r="Q1360" t="s">
        <v>2613</v>
      </c>
      <c r="R1360" t="s">
        <v>4167</v>
      </c>
      <c r="S1360" t="s">
        <v>68</v>
      </c>
      <c r="T1360" t="s">
        <v>2604</v>
      </c>
      <c r="U1360" t="s">
        <v>56</v>
      </c>
      <c r="V1360" t="s">
        <v>2605</v>
      </c>
      <c r="W1360" t="s">
        <v>2606</v>
      </c>
      <c r="X1360" t="s">
        <v>2607</v>
      </c>
      <c r="AD1360" t="s">
        <v>4168</v>
      </c>
      <c r="AE1360" t="s">
        <v>4169</v>
      </c>
      <c r="AQ1360" s="1"/>
      <c r="AR1360" s="1"/>
      <c r="AS1360" s="1"/>
    </row>
    <row r="1361" spans="1:48" x14ac:dyDescent="0.25">
      <c r="A1361" t="s">
        <v>4161</v>
      </c>
      <c r="C1361" s="1" t="s">
        <v>4170</v>
      </c>
      <c r="D1361" t="s">
        <v>4171</v>
      </c>
      <c r="E1361" s="1" t="s">
        <v>56</v>
      </c>
      <c r="F1361" t="s">
        <v>4171</v>
      </c>
      <c r="G1361" t="str">
        <f>custodian!D1361</f>
        <v>2SPY  270528P00682690</v>
      </c>
      <c r="H1361" s="1"/>
      <c r="I1361" s="1" t="s">
        <v>4172</v>
      </c>
      <c r="J1361" t="s">
        <v>58</v>
      </c>
      <c r="K1361" t="s">
        <v>59</v>
      </c>
      <c r="L1361" t="s">
        <v>99</v>
      </c>
      <c r="M1361" t="s">
        <v>2598</v>
      </c>
      <c r="N1361" t="s">
        <v>2599</v>
      </c>
      <c r="O1361" s="1" t="s">
        <v>2600</v>
      </c>
      <c r="P1361" t="s">
        <v>2620</v>
      </c>
      <c r="Q1361" t="s">
        <v>2613</v>
      </c>
      <c r="R1361" t="s">
        <v>4173</v>
      </c>
      <c r="S1361" t="s">
        <v>68</v>
      </c>
      <c r="T1361" t="s">
        <v>2604</v>
      </c>
      <c r="U1361" t="s">
        <v>56</v>
      </c>
      <c r="V1361" t="s">
        <v>2605</v>
      </c>
      <c r="W1361" t="s">
        <v>2606</v>
      </c>
      <c r="X1361" t="s">
        <v>2607</v>
      </c>
      <c r="AD1361" t="s">
        <v>4174</v>
      </c>
      <c r="AE1361" t="s">
        <v>4175</v>
      </c>
      <c r="AQ1361" s="1"/>
      <c r="AR1361" s="1"/>
      <c r="AS1361" s="1"/>
    </row>
    <row r="1362" spans="1:48" x14ac:dyDescent="0.25">
      <c r="A1362" t="s">
        <v>4161</v>
      </c>
      <c r="C1362" s="1" t="s">
        <v>2624</v>
      </c>
      <c r="D1362" t="s">
        <v>2625</v>
      </c>
      <c r="E1362" s="1" t="s">
        <v>56</v>
      </c>
      <c r="F1362" t="s">
        <v>2625</v>
      </c>
      <c r="G1362" t="str">
        <f>custodian!D1362</f>
        <v>2SPY  270528P00758540</v>
      </c>
      <c r="H1362" s="1"/>
      <c r="I1362" s="1" t="s">
        <v>2626</v>
      </c>
      <c r="J1362" t="s">
        <v>58</v>
      </c>
      <c r="K1362" t="s">
        <v>59</v>
      </c>
      <c r="L1362" t="s">
        <v>99</v>
      </c>
      <c r="M1362" t="s">
        <v>2598</v>
      </c>
      <c r="N1362" t="s">
        <v>2599</v>
      </c>
      <c r="O1362" s="1" t="s">
        <v>2600</v>
      </c>
      <c r="P1362" t="s">
        <v>2620</v>
      </c>
      <c r="Q1362" t="s">
        <v>2602</v>
      </c>
      <c r="R1362" t="s">
        <v>2627</v>
      </c>
      <c r="S1362" t="s">
        <v>68</v>
      </c>
      <c r="T1362" t="s">
        <v>2604</v>
      </c>
      <c r="U1362" t="s">
        <v>56</v>
      </c>
      <c r="V1362" t="s">
        <v>2605</v>
      </c>
      <c r="W1362" t="s">
        <v>2606</v>
      </c>
      <c r="X1362" t="s">
        <v>2607</v>
      </c>
      <c r="AD1362" t="s">
        <v>4176</v>
      </c>
      <c r="AE1362" t="s">
        <v>4177</v>
      </c>
      <c r="AQ1362" s="1"/>
      <c r="AR1362" s="1"/>
      <c r="AS1362" s="1"/>
    </row>
    <row r="1363" spans="1:48" x14ac:dyDescent="0.25">
      <c r="A1363" t="s">
        <v>4161</v>
      </c>
      <c r="B1363" t="s">
        <v>2630</v>
      </c>
      <c r="C1363" s="1" t="s">
        <v>2631</v>
      </c>
      <c r="D1363" t="s">
        <v>1574</v>
      </c>
      <c r="E1363" t="str">
        <f>_xll.BDP($B1363,"LEGAL_ENTITY_IDENTIFIER")</f>
        <v>254900HROIFWPRGM1V77</v>
      </c>
      <c r="F1363" t="s">
        <v>2632</v>
      </c>
      <c r="G1363" t="str">
        <f>custodian!D1363</f>
        <v>912828ZS2</v>
      </c>
      <c r="H1363" t="str">
        <f>_xll.BDP($B1363,"ID_ISIN")</f>
        <v>US912828ZS21</v>
      </c>
      <c r="I1363" s="1"/>
      <c r="J1363" t="str">
        <f>_xll.BDP($B1363,"CNTRY_OF_DOMICILE")</f>
        <v>US</v>
      </c>
      <c r="K1363" t="s">
        <v>626</v>
      </c>
      <c r="L1363" t="s">
        <v>627</v>
      </c>
      <c r="O1363" s="1"/>
      <c r="AQ1363" s="1"/>
      <c r="AR1363" s="1"/>
      <c r="AS1363" s="1"/>
      <c r="AT1363" t="str">
        <f>TEXT(_xll.BDP($B1363,"MATURITY"),"yyyy-mm-dd")</f>
        <v>2027-05-31</v>
      </c>
      <c r="AU1363" t="str">
        <f>_xll.BDP($B1363,"CPN_TYP")</f>
        <v>FIXED</v>
      </c>
      <c r="AV1363">
        <f>_xll.BDP($B1363,"CPN")</f>
        <v>0.5</v>
      </c>
    </row>
    <row r="1364" spans="1:48" x14ac:dyDescent="0.25">
      <c r="A1364" t="s">
        <v>4161</v>
      </c>
      <c r="B1364" t="s">
        <v>77</v>
      </c>
      <c r="C1364" s="1" t="s">
        <v>78</v>
      </c>
      <c r="D1364" t="s">
        <v>79</v>
      </c>
      <c r="E1364" t="str">
        <f>_xll.BDP($B1364,"LEGAL_ENTITY_IDENTIFIER")</f>
        <v>549300R5MYM6VZF1RM44</v>
      </c>
      <c r="F1364" t="s">
        <v>80</v>
      </c>
      <c r="G1364" t="str">
        <f>custodian!D1364</f>
        <v>31846V336</v>
      </c>
      <c r="H1364" t="str">
        <f>_xll.BDP($B1364,"ID_ISIN")</f>
        <v>US31846V3362</v>
      </c>
      <c r="I1364" s="1" t="s">
        <v>78</v>
      </c>
      <c r="J1364" t="str">
        <f>_xll.BDP($B1364,"CNTRY_OF_DOMICILE")</f>
        <v>US</v>
      </c>
      <c r="K1364" t="s">
        <v>81</v>
      </c>
      <c r="L1364" t="s">
        <v>82</v>
      </c>
      <c r="O1364" s="1"/>
      <c r="AQ1364" s="1"/>
      <c r="AR1364" s="1"/>
      <c r="AS1364" s="1"/>
    </row>
    <row r="1365" spans="1:48" x14ac:dyDescent="0.25">
      <c r="A1365" t="s">
        <v>4161</v>
      </c>
      <c r="C1365" s="1" t="s">
        <v>52</v>
      </c>
      <c r="E1365" s="1"/>
      <c r="G1365" t="str">
        <f>custodian!D1365</f>
        <v>Cash&amp;Other</v>
      </c>
      <c r="H1365" s="1"/>
      <c r="I1365" s="1"/>
      <c r="O1365" s="1"/>
      <c r="AQ1365" s="1"/>
      <c r="AR1365" s="1"/>
      <c r="AS1365" s="1"/>
    </row>
    <row r="1366" spans="1:48" x14ac:dyDescent="0.25">
      <c r="A1366" t="s">
        <v>4178</v>
      </c>
      <c r="B1366" t="s">
        <v>4179</v>
      </c>
      <c r="C1366" s="1" t="s">
        <v>4180</v>
      </c>
      <c r="D1366" t="s">
        <v>56</v>
      </c>
      <c r="E1366" s="1" t="s">
        <v>56</v>
      </c>
      <c r="F1366" t="s">
        <v>4181</v>
      </c>
      <c r="G1366" t="str">
        <f>custodian!D1366</f>
        <v>49338L103-TRS-12/01/27-L-CANT</v>
      </c>
      <c r="H1366" s="1"/>
      <c r="I1366" s="1" t="s">
        <v>4180</v>
      </c>
      <c r="J1366" t="s">
        <v>58</v>
      </c>
      <c r="K1366" t="s">
        <v>59</v>
      </c>
      <c r="L1366" t="s">
        <v>60</v>
      </c>
      <c r="M1366" t="s">
        <v>61</v>
      </c>
      <c r="N1366" t="s">
        <v>62</v>
      </c>
      <c r="O1366" s="1" t="s">
        <v>63</v>
      </c>
      <c r="V1366" t="s">
        <v>64</v>
      </c>
      <c r="Y1366" t="s">
        <v>65</v>
      </c>
      <c r="Z1366" t="s">
        <v>66</v>
      </c>
      <c r="AA1366" t="s">
        <v>4182</v>
      </c>
      <c r="AB1366" t="s">
        <v>68</v>
      </c>
      <c r="AD1366" t="s">
        <v>4182</v>
      </c>
      <c r="AE1366" t="s">
        <v>4183</v>
      </c>
      <c r="AF1366" t="s">
        <v>70</v>
      </c>
      <c r="AG1366" t="s">
        <v>4184</v>
      </c>
      <c r="AH1366" t="s">
        <v>72</v>
      </c>
      <c r="AI1366" t="s">
        <v>73</v>
      </c>
      <c r="AK1366" t="s">
        <v>4182</v>
      </c>
      <c r="AL1366" t="s">
        <v>68</v>
      </c>
      <c r="AM1366" t="s">
        <v>74</v>
      </c>
      <c r="AN1366" t="s">
        <v>75</v>
      </c>
      <c r="AO1366" t="str">
        <f>_xll.BDP($B1366,"ISSUER")</f>
        <v>Keysight Technologies Inc</v>
      </c>
      <c r="AP1366" t="str">
        <f>_xll.BDP($B1366,"NAME")</f>
        <v>KEYSIGHT TECHNOLOGIES IN</v>
      </c>
      <c r="AQ1366" s="1" t="s">
        <v>4185</v>
      </c>
      <c r="AR1366" t="str">
        <f>_xll.BDP($B1366,"ID_ISIN")</f>
        <v>US49338L1035</v>
      </c>
      <c r="AS1366" t="str">
        <f>_xll.BDP($B1366,"TICKER")</f>
        <v>KEYS</v>
      </c>
    </row>
    <row r="1367" spans="1:48" x14ac:dyDescent="0.25">
      <c r="A1367" t="s">
        <v>4178</v>
      </c>
      <c r="B1367" t="s">
        <v>77</v>
      </c>
      <c r="C1367" s="1" t="s">
        <v>78</v>
      </c>
      <c r="D1367" t="s">
        <v>79</v>
      </c>
      <c r="E1367" t="str">
        <f>_xll.BDP($B1367,"LEGAL_ENTITY_IDENTIFIER")</f>
        <v>549300R5MYM6VZF1RM44</v>
      </c>
      <c r="F1367" t="s">
        <v>80</v>
      </c>
      <c r="G1367" t="str">
        <f>custodian!D1367</f>
        <v>31846V336</v>
      </c>
      <c r="H1367" t="str">
        <f>_xll.BDP($B1367,"ID_ISIN")</f>
        <v>US31846V3362</v>
      </c>
      <c r="I1367" s="1" t="s">
        <v>78</v>
      </c>
      <c r="J1367" t="str">
        <f>_xll.BDP($B1367,"CNTRY_OF_DOMICILE")</f>
        <v>US</v>
      </c>
      <c r="K1367" t="s">
        <v>81</v>
      </c>
      <c r="L1367" t="s">
        <v>82</v>
      </c>
      <c r="O1367" s="1"/>
      <c r="AQ1367" s="1"/>
      <c r="AR1367" s="1"/>
      <c r="AS1367" s="1"/>
    </row>
    <row r="1368" spans="1:48" x14ac:dyDescent="0.25">
      <c r="A1368" t="s">
        <v>4178</v>
      </c>
      <c r="C1368" s="1" t="s">
        <v>52</v>
      </c>
      <c r="E1368" s="1"/>
      <c r="G1368" t="str">
        <f>custodian!D1368</f>
        <v>Cash&amp;Other</v>
      </c>
      <c r="H1368" s="1"/>
      <c r="I1368" s="1"/>
      <c r="O1368" s="1"/>
      <c r="AQ1368" s="1"/>
      <c r="AR1368" s="1"/>
      <c r="AS1368" s="1"/>
    </row>
    <row r="1369" spans="1:48" x14ac:dyDescent="0.25">
      <c r="A1369" t="s">
        <v>4186</v>
      </c>
      <c r="B1369" t="s">
        <v>4187</v>
      </c>
      <c r="C1369" s="1" t="s">
        <v>4188</v>
      </c>
      <c r="D1369" t="s">
        <v>56</v>
      </c>
      <c r="E1369" s="1" t="s">
        <v>56</v>
      </c>
      <c r="F1369" t="s">
        <v>4189</v>
      </c>
      <c r="G1369" t="str">
        <f>custodian!D1369</f>
        <v>464286772-TRS-07/07/27-L-CLST</v>
      </c>
      <c r="H1369" s="1"/>
      <c r="I1369" s="1" t="s">
        <v>4188</v>
      </c>
      <c r="J1369" t="s">
        <v>58</v>
      </c>
      <c r="K1369" t="s">
        <v>59</v>
      </c>
      <c r="L1369" t="s">
        <v>60</v>
      </c>
      <c r="M1369" t="s">
        <v>61</v>
      </c>
      <c r="N1369" t="s">
        <v>3372</v>
      </c>
      <c r="O1369" s="1" t="s">
        <v>3373</v>
      </c>
      <c r="V1369" t="s">
        <v>64</v>
      </c>
      <c r="Y1369" t="s">
        <v>65</v>
      </c>
      <c r="Z1369" t="s">
        <v>3374</v>
      </c>
      <c r="AA1369" t="s">
        <v>4190</v>
      </c>
      <c r="AB1369" t="s">
        <v>68</v>
      </c>
      <c r="AD1369" t="s">
        <v>4190</v>
      </c>
      <c r="AE1369" t="s">
        <v>4191</v>
      </c>
      <c r="AF1369" t="s">
        <v>70</v>
      </c>
      <c r="AG1369" t="s">
        <v>4192</v>
      </c>
      <c r="AH1369" t="s">
        <v>72</v>
      </c>
      <c r="AI1369" t="s">
        <v>73</v>
      </c>
      <c r="AK1369" t="s">
        <v>4190</v>
      </c>
      <c r="AL1369" t="s">
        <v>68</v>
      </c>
      <c r="AM1369" t="s">
        <v>74</v>
      </c>
      <c r="AN1369" t="s">
        <v>75</v>
      </c>
      <c r="AO1369" t="str">
        <f>_xll.BDP($B1369,"ISSUER")</f>
        <v>iShares MSCI South Korea ETF</v>
      </c>
      <c r="AP1369" t="str">
        <f>_xll.BDP($B1369,"NAME")</f>
        <v>ISHARES MSCI SOUTH KOREA ETF</v>
      </c>
      <c r="AQ1369" s="1" t="s">
        <v>4193</v>
      </c>
      <c r="AR1369" t="str">
        <f>_xll.BDP($B1369,"ID_ISIN")</f>
        <v>US4642867729</v>
      </c>
      <c r="AS1369" t="str">
        <f>_xll.BDP($B1369,"TICKER")</f>
        <v>EWY</v>
      </c>
    </row>
    <row r="1370" spans="1:48" x14ac:dyDescent="0.25">
      <c r="A1370" t="s">
        <v>4186</v>
      </c>
      <c r="B1370" t="s">
        <v>4187</v>
      </c>
      <c r="C1370" s="1" t="s">
        <v>4194</v>
      </c>
      <c r="D1370" t="s">
        <v>56</v>
      </c>
      <c r="E1370" s="1" t="s">
        <v>56</v>
      </c>
      <c r="F1370" t="s">
        <v>4195</v>
      </c>
      <c r="G1370" t="str">
        <f>custodian!D1370</f>
        <v>464286772-TRS-12/01/27-L-CANT</v>
      </c>
      <c r="H1370" s="1"/>
      <c r="I1370" s="1" t="s">
        <v>4194</v>
      </c>
      <c r="J1370" t="s">
        <v>58</v>
      </c>
      <c r="K1370" t="s">
        <v>59</v>
      </c>
      <c r="L1370" t="s">
        <v>60</v>
      </c>
      <c r="M1370" t="s">
        <v>61</v>
      </c>
      <c r="N1370" t="s">
        <v>62</v>
      </c>
      <c r="O1370" s="1" t="s">
        <v>63</v>
      </c>
      <c r="V1370" t="s">
        <v>64</v>
      </c>
      <c r="Y1370" t="s">
        <v>65</v>
      </c>
      <c r="Z1370" t="s">
        <v>66</v>
      </c>
      <c r="AA1370" t="s">
        <v>4196</v>
      </c>
      <c r="AB1370" t="s">
        <v>68</v>
      </c>
      <c r="AD1370" t="s">
        <v>4196</v>
      </c>
      <c r="AE1370" t="s">
        <v>4197</v>
      </c>
      <c r="AF1370" t="s">
        <v>70</v>
      </c>
      <c r="AG1370" t="s">
        <v>4192</v>
      </c>
      <c r="AH1370" t="s">
        <v>72</v>
      </c>
      <c r="AI1370" t="s">
        <v>73</v>
      </c>
      <c r="AK1370" t="s">
        <v>4196</v>
      </c>
      <c r="AL1370" t="s">
        <v>68</v>
      </c>
      <c r="AM1370" t="s">
        <v>74</v>
      </c>
      <c r="AN1370" t="s">
        <v>75</v>
      </c>
      <c r="AO1370" t="str">
        <f>_xll.BDP($B1370,"ISSUER")</f>
        <v>iShares MSCI South Korea ETF</v>
      </c>
      <c r="AP1370" t="str">
        <f>_xll.BDP($B1370,"NAME")</f>
        <v>ISHARES MSCI SOUTH KOREA ETF</v>
      </c>
      <c r="AQ1370" s="1" t="s">
        <v>4193</v>
      </c>
      <c r="AR1370" t="str">
        <f>_xll.BDP($B1370,"ID_ISIN")</f>
        <v>US4642867729</v>
      </c>
      <c r="AS1370" t="str">
        <f>_xll.BDP($B1370,"TICKER")</f>
        <v>EWY</v>
      </c>
    </row>
    <row r="1371" spans="1:48" x14ac:dyDescent="0.25">
      <c r="A1371" t="s">
        <v>4186</v>
      </c>
      <c r="B1371" t="s">
        <v>77</v>
      </c>
      <c r="C1371" s="1" t="s">
        <v>78</v>
      </c>
      <c r="D1371" t="s">
        <v>79</v>
      </c>
      <c r="E1371" t="str">
        <f>_xll.BDP($B1371,"LEGAL_ENTITY_IDENTIFIER")</f>
        <v>549300R5MYM6VZF1RM44</v>
      </c>
      <c r="F1371" t="s">
        <v>80</v>
      </c>
      <c r="G1371" t="str">
        <f>custodian!D1371</f>
        <v>31846V336</v>
      </c>
      <c r="H1371" t="str">
        <f>_xll.BDP($B1371,"ID_ISIN")</f>
        <v>US31846V3362</v>
      </c>
      <c r="I1371" s="1" t="s">
        <v>78</v>
      </c>
      <c r="J1371" t="str">
        <f>_xll.BDP($B1371,"CNTRY_OF_DOMICILE")</f>
        <v>US</v>
      </c>
      <c r="K1371" t="s">
        <v>81</v>
      </c>
      <c r="L1371" t="s">
        <v>82</v>
      </c>
      <c r="O1371" s="1"/>
      <c r="AQ1371" s="1"/>
      <c r="AR1371" s="1"/>
      <c r="AS1371" s="1"/>
    </row>
    <row r="1372" spans="1:48" x14ac:dyDescent="0.25">
      <c r="A1372" t="s">
        <v>4186</v>
      </c>
      <c r="C1372" s="1" t="s">
        <v>52</v>
      </c>
      <c r="E1372" s="1"/>
      <c r="G1372" t="str">
        <f>custodian!D1372</f>
        <v>Cash&amp;Other</v>
      </c>
      <c r="H1372" s="1"/>
      <c r="I1372" s="1"/>
      <c r="O1372" s="1"/>
      <c r="AQ1372" s="1"/>
      <c r="AR1372" s="1"/>
      <c r="AS1372" s="1"/>
    </row>
    <row r="1373" spans="1:48" x14ac:dyDescent="0.25">
      <c r="A1373" t="s">
        <v>4198</v>
      </c>
      <c r="B1373" t="s">
        <v>229</v>
      </c>
      <c r="C1373" s="1" t="s">
        <v>230</v>
      </c>
      <c r="D1373" t="s">
        <v>231</v>
      </c>
      <c r="E1373" t="str">
        <f>_xll.BDP($B1373,"LEGAL_ENTITY_IDENTIFIER")</f>
        <v>#N/A N/A</v>
      </c>
      <c r="F1373" t="s">
        <v>231</v>
      </c>
      <c r="G1373" t="str">
        <f>custodian!D1373</f>
        <v>00827B106</v>
      </c>
      <c r="H1373" t="str">
        <f>_xll.BDP($B1373,"ID_ISIN")</f>
        <v>US00827B1061</v>
      </c>
      <c r="I1373" s="1" t="s">
        <v>230</v>
      </c>
      <c r="J1373" t="str">
        <f>_xll.BDP($B1373,"CNTRY_OF_DOMICILE")</f>
        <v>US</v>
      </c>
      <c r="K1373" t="s">
        <v>98</v>
      </c>
      <c r="L1373" t="s">
        <v>99</v>
      </c>
      <c r="O1373" s="1"/>
      <c r="AQ1373" s="1"/>
      <c r="AR1373" s="1"/>
      <c r="AS1373" s="1"/>
    </row>
    <row r="1374" spans="1:48" x14ac:dyDescent="0.25">
      <c r="A1374" t="s">
        <v>4198</v>
      </c>
      <c r="B1374" t="s">
        <v>4199</v>
      </c>
      <c r="C1374" s="1" t="s">
        <v>4200</v>
      </c>
      <c r="D1374" t="s">
        <v>4201</v>
      </c>
      <c r="E1374" t="str">
        <f>_xll.BDP($B1374,"LEGAL_ENTITY_IDENTIFIER")</f>
        <v>549300JBN1OSM8YNAI90</v>
      </c>
      <c r="F1374" t="s">
        <v>4201</v>
      </c>
      <c r="G1374" t="str">
        <f>custodian!D1374</f>
        <v>02005N100</v>
      </c>
      <c r="H1374" t="str">
        <f>_xll.BDP($B1374,"ID_ISIN")</f>
        <v>US02005N1000</v>
      </c>
      <c r="I1374" s="1" t="s">
        <v>4200</v>
      </c>
      <c r="J1374" t="str">
        <f>_xll.BDP($B1374,"CNTRY_OF_DOMICILE")</f>
        <v>US</v>
      </c>
      <c r="K1374" t="s">
        <v>98</v>
      </c>
      <c r="L1374" t="s">
        <v>99</v>
      </c>
      <c r="O1374" s="1"/>
      <c r="AQ1374" s="1"/>
      <c r="AR1374" s="1"/>
      <c r="AS1374" s="1"/>
    </row>
    <row r="1375" spans="1:48" x14ac:dyDescent="0.25">
      <c r="A1375" t="s">
        <v>4198</v>
      </c>
      <c r="B1375" t="s">
        <v>4202</v>
      </c>
      <c r="C1375" s="1" t="s">
        <v>4203</v>
      </c>
      <c r="D1375" t="s">
        <v>4204</v>
      </c>
      <c r="E1375" t="str">
        <f>_xll.BDP($B1375,"LEGAL_ENTITY_IDENTIFIER")</f>
        <v>549300IBF9VZZIGOZW63</v>
      </c>
      <c r="F1375" t="s">
        <v>4204</v>
      </c>
      <c r="G1375" t="str">
        <f>custodian!D1375</f>
        <v>090043100</v>
      </c>
      <c r="H1375" t="str">
        <f>_xll.BDP($B1375,"ID_ISIN")</f>
        <v>US0900431000</v>
      </c>
      <c r="I1375" s="1" t="s">
        <v>4203</v>
      </c>
      <c r="J1375" t="str">
        <f>_xll.BDP($B1375,"CNTRY_OF_DOMICILE")</f>
        <v>US</v>
      </c>
      <c r="K1375" t="s">
        <v>98</v>
      </c>
      <c r="L1375" t="s">
        <v>99</v>
      </c>
      <c r="O1375" s="1"/>
      <c r="AQ1375" s="1"/>
      <c r="AR1375" s="1"/>
      <c r="AS1375" s="1"/>
    </row>
    <row r="1376" spans="1:48" x14ac:dyDescent="0.25">
      <c r="A1376" t="s">
        <v>4198</v>
      </c>
      <c r="B1376" t="s">
        <v>4205</v>
      </c>
      <c r="C1376" s="1" t="s">
        <v>4206</v>
      </c>
      <c r="D1376" t="s">
        <v>4207</v>
      </c>
      <c r="E1376" t="str">
        <f>_xll.BDP($B1376,"LEGAL_ENTITY_IDENTIFIER")</f>
        <v>549300KZDJZQ2YIHRC28</v>
      </c>
      <c r="F1376" t="s">
        <v>4208</v>
      </c>
      <c r="G1376" t="str">
        <f>custodian!D1376</f>
        <v>11133T103</v>
      </c>
      <c r="H1376" t="str">
        <f>_xll.BDP($B1376,"ID_ISIN")</f>
        <v>US11133T1034</v>
      </c>
      <c r="I1376" s="1" t="s">
        <v>4206</v>
      </c>
      <c r="J1376" t="str">
        <f>_xll.BDP($B1376,"CNTRY_OF_DOMICILE")</f>
        <v>US</v>
      </c>
      <c r="K1376" t="s">
        <v>98</v>
      </c>
      <c r="L1376" t="s">
        <v>99</v>
      </c>
      <c r="O1376" s="1"/>
      <c r="AQ1376" s="1"/>
      <c r="AR1376" s="1"/>
      <c r="AS1376" s="1"/>
    </row>
    <row r="1377" spans="1:45" x14ac:dyDescent="0.25">
      <c r="A1377" t="s">
        <v>4198</v>
      </c>
      <c r="B1377" t="s">
        <v>4209</v>
      </c>
      <c r="C1377" s="1" t="s">
        <v>4210</v>
      </c>
      <c r="D1377" t="s">
        <v>4211</v>
      </c>
      <c r="E1377" t="str">
        <f>_xll.BDP($B1377,"LEGAL_ENTITY_IDENTIFIER")</f>
        <v>#N/A N/A</v>
      </c>
      <c r="F1377" t="s">
        <v>4211</v>
      </c>
      <c r="G1377" t="str">
        <f>custodian!D1377</f>
        <v>16935C109</v>
      </c>
      <c r="H1377" t="str">
        <f>_xll.BDP($B1377,"ID_ISIN")</f>
        <v>US16935C1099</v>
      </c>
      <c r="I1377" s="1" t="s">
        <v>4210</v>
      </c>
      <c r="J1377" t="str">
        <f>_xll.BDP($B1377,"CNTRY_OF_DOMICILE")</f>
        <v>US</v>
      </c>
      <c r="K1377" t="s">
        <v>98</v>
      </c>
      <c r="L1377" t="s">
        <v>99</v>
      </c>
      <c r="O1377" s="1"/>
      <c r="AQ1377" s="1"/>
      <c r="AR1377" s="1"/>
      <c r="AS1377" s="1"/>
    </row>
    <row r="1378" spans="1:45" x14ac:dyDescent="0.25">
      <c r="A1378" t="s">
        <v>4198</v>
      </c>
      <c r="B1378" t="s">
        <v>256</v>
      </c>
      <c r="C1378" s="1" t="s">
        <v>257</v>
      </c>
      <c r="D1378" t="s">
        <v>258</v>
      </c>
      <c r="E1378" t="str">
        <f>_xll.BDP($B1378,"LEGAL_ENTITY_IDENTIFIER")</f>
        <v>5493004G3J2SC154DU06</v>
      </c>
      <c r="F1378" t="s">
        <v>258</v>
      </c>
      <c r="G1378" t="str">
        <f>custodian!D1378</f>
        <v>19260Q107</v>
      </c>
      <c r="H1378" t="str">
        <f>_xll.BDP($B1378,"ID_ISIN")</f>
        <v>US19260Q1076</v>
      </c>
      <c r="I1378" s="1" t="s">
        <v>257</v>
      </c>
      <c r="J1378" t="str">
        <f>_xll.BDP($B1378,"CNTRY_OF_DOMICILE")</f>
        <v>US</v>
      </c>
      <c r="K1378" t="s">
        <v>98</v>
      </c>
      <c r="L1378" t="s">
        <v>99</v>
      </c>
      <c r="O1378" s="1"/>
      <c r="AQ1378" s="1"/>
      <c r="AR1378" s="1"/>
      <c r="AS1378" s="1"/>
    </row>
    <row r="1379" spans="1:45" x14ac:dyDescent="0.25">
      <c r="A1379" t="s">
        <v>4198</v>
      </c>
      <c r="B1379" t="s">
        <v>4212</v>
      </c>
      <c r="C1379" s="1" t="s">
        <v>4213</v>
      </c>
      <c r="D1379" t="s">
        <v>4214</v>
      </c>
      <c r="E1379" t="str">
        <f>_xll.BDP($B1379,"LEGAL_ENTITY_IDENTIFIER")</f>
        <v>549300DG6RR0NQSFLN74</v>
      </c>
      <c r="F1379" t="s">
        <v>4214</v>
      </c>
      <c r="G1379" t="str">
        <f>custodian!D1379</f>
        <v>219948106</v>
      </c>
      <c r="H1379" t="str">
        <f>_xll.BDP($B1379,"ID_ISIN")</f>
        <v>US2199481068</v>
      </c>
      <c r="I1379" s="1" t="s">
        <v>4213</v>
      </c>
      <c r="J1379" t="str">
        <f>_xll.BDP($B1379,"CNTRY_OF_DOMICILE")</f>
        <v>US</v>
      </c>
      <c r="K1379" t="s">
        <v>98</v>
      </c>
      <c r="L1379" t="s">
        <v>99</v>
      </c>
      <c r="O1379" s="1"/>
      <c r="AQ1379" s="1"/>
      <c r="AR1379" s="1"/>
      <c r="AS1379" s="1"/>
    </row>
    <row r="1380" spans="1:45" x14ac:dyDescent="0.25">
      <c r="A1380" t="s">
        <v>4198</v>
      </c>
      <c r="B1380" t="s">
        <v>439</v>
      </c>
      <c r="C1380" s="1" t="s">
        <v>440</v>
      </c>
      <c r="D1380" t="s">
        <v>441</v>
      </c>
      <c r="E1380" t="str">
        <f>_xll.BDP($B1380,"LEGAL_ENTITY_IDENTIFIER")</f>
        <v>254900HFVVR6NPMQVN93</v>
      </c>
      <c r="F1380" t="s">
        <v>441</v>
      </c>
      <c r="G1380" t="str">
        <f>custodian!D1380</f>
        <v>172573107</v>
      </c>
      <c r="H1380" t="str">
        <f>_xll.BDP($B1380,"ID_ISIN")</f>
        <v>US1725731079</v>
      </c>
      <c r="I1380" s="1" t="s">
        <v>440</v>
      </c>
      <c r="J1380" t="str">
        <f>_xll.BDP($B1380,"CNTRY_OF_DOMICILE")</f>
        <v>US</v>
      </c>
      <c r="K1380" t="s">
        <v>98</v>
      </c>
      <c r="L1380" t="s">
        <v>99</v>
      </c>
      <c r="O1380" s="1"/>
      <c r="AQ1380" s="1"/>
      <c r="AR1380" s="1"/>
      <c r="AS1380" s="1"/>
    </row>
    <row r="1381" spans="1:45" x14ac:dyDescent="0.25">
      <c r="A1381" t="s">
        <v>4198</v>
      </c>
      <c r="B1381" t="s">
        <v>4215</v>
      </c>
      <c r="C1381" s="1" t="s">
        <v>4216</v>
      </c>
      <c r="D1381" t="s">
        <v>4217</v>
      </c>
      <c r="E1381" t="str">
        <f>_xll.BDP($B1381,"LEGAL_ENTITY_IDENTIFIER")</f>
        <v>25490061SUVXCW51RZ82</v>
      </c>
      <c r="F1381" t="s">
        <v>4217</v>
      </c>
      <c r="G1381" t="str">
        <f>custodian!D1381</f>
        <v>23834J201</v>
      </c>
      <c r="H1381" t="str">
        <f>_xll.BDP($B1381,"ID_ISIN")</f>
        <v>US23834J2015</v>
      </c>
      <c r="I1381" s="1" t="s">
        <v>4216</v>
      </c>
      <c r="J1381" t="str">
        <f>_xll.BDP($B1381,"CNTRY_OF_DOMICILE")</f>
        <v>US</v>
      </c>
      <c r="K1381" t="s">
        <v>98</v>
      </c>
      <c r="L1381" t="s">
        <v>99</v>
      </c>
      <c r="O1381" s="1"/>
      <c r="AQ1381" s="1"/>
      <c r="AR1381" s="1"/>
      <c r="AS1381" s="1"/>
    </row>
    <row r="1382" spans="1:45" x14ac:dyDescent="0.25">
      <c r="A1382" t="s">
        <v>4198</v>
      </c>
      <c r="B1382" t="s">
        <v>4218</v>
      </c>
      <c r="C1382" s="1" t="s">
        <v>4219</v>
      </c>
      <c r="D1382" t="s">
        <v>4220</v>
      </c>
      <c r="E1382" t="str">
        <f>_xll.BDP($B1382,"LEGAL_ENTITY_IDENTIFIER")</f>
        <v>529900D15DJKVN3RCO35</v>
      </c>
      <c r="F1382" t="s">
        <v>4220</v>
      </c>
      <c r="G1382" t="str">
        <f>custodian!D1382</f>
        <v>G29018101</v>
      </c>
      <c r="H1382" t="str">
        <f>_xll.BDP($B1382,"ID_ISIN")</f>
        <v>KYG290181018</v>
      </c>
      <c r="I1382" s="1" t="s">
        <v>4219</v>
      </c>
      <c r="J1382" t="str">
        <f>_xll.BDP($B1382,"CNTRY_OF_DOMICILE")</f>
        <v>UY</v>
      </c>
      <c r="K1382" t="s">
        <v>98</v>
      </c>
      <c r="L1382" t="s">
        <v>99</v>
      </c>
      <c r="O1382" s="1"/>
      <c r="AQ1382" s="1"/>
      <c r="AR1382" s="1"/>
      <c r="AS1382" s="1"/>
    </row>
    <row r="1383" spans="1:45" x14ac:dyDescent="0.25">
      <c r="A1383" t="s">
        <v>4198</v>
      </c>
      <c r="B1383" t="s">
        <v>4221</v>
      </c>
      <c r="C1383" s="1" t="s">
        <v>4222</v>
      </c>
      <c r="D1383" t="s">
        <v>4223</v>
      </c>
      <c r="E1383" t="str">
        <f>_xll.BDP($B1383,"LEGAL_ENTITY_IDENTIFIER")</f>
        <v>5493004MCF8JDC86VS77</v>
      </c>
      <c r="F1383" t="s">
        <v>4223</v>
      </c>
      <c r="G1383" t="str">
        <f>custodian!D1383</f>
        <v>294429105</v>
      </c>
      <c r="H1383" t="str">
        <f>_xll.BDP($B1383,"ID_ISIN")</f>
        <v>US2944291051</v>
      </c>
      <c r="I1383" s="1" t="s">
        <v>4222</v>
      </c>
      <c r="J1383" t="str">
        <f>_xll.BDP($B1383,"CNTRY_OF_DOMICILE")</f>
        <v>US</v>
      </c>
      <c r="K1383" t="s">
        <v>98</v>
      </c>
      <c r="L1383" t="s">
        <v>99</v>
      </c>
      <c r="O1383" s="1"/>
      <c r="AQ1383" s="1"/>
      <c r="AR1383" s="1"/>
      <c r="AS1383" s="1"/>
    </row>
    <row r="1384" spans="1:45" x14ac:dyDescent="0.25">
      <c r="A1384" t="s">
        <v>4198</v>
      </c>
      <c r="B1384" t="s">
        <v>445</v>
      </c>
      <c r="C1384" s="1" t="s">
        <v>446</v>
      </c>
      <c r="D1384" t="s">
        <v>447</v>
      </c>
      <c r="E1384" t="str">
        <f>_xll.BDP($B1384,"LEGAL_ENTITY_IDENTIFIER")</f>
        <v>213800XPRPJK2X5QRG86</v>
      </c>
      <c r="F1384" t="s">
        <v>447</v>
      </c>
      <c r="G1384" t="str">
        <f>custodian!D1384</f>
        <v>G32089107</v>
      </c>
      <c r="H1384" t="str">
        <f>_xll.BDP($B1384,"ID_ISIN")</f>
        <v>VGG320891077</v>
      </c>
      <c r="I1384" s="1" t="s">
        <v>446</v>
      </c>
      <c r="J1384" t="str">
        <f>_xll.BDP($B1384,"CNTRY_OF_DOMICILE")</f>
        <v>IL</v>
      </c>
      <c r="K1384" t="s">
        <v>98</v>
      </c>
      <c r="L1384" t="s">
        <v>99</v>
      </c>
      <c r="O1384" s="1"/>
      <c r="AQ1384" s="1"/>
      <c r="AR1384" s="1"/>
      <c r="AS1384" s="1"/>
    </row>
    <row r="1385" spans="1:45" x14ac:dyDescent="0.25">
      <c r="A1385" t="s">
        <v>4198</v>
      </c>
      <c r="B1385" t="s">
        <v>77</v>
      </c>
      <c r="C1385" s="1" t="s">
        <v>78</v>
      </c>
      <c r="D1385" t="s">
        <v>79</v>
      </c>
      <c r="E1385" t="str">
        <f>_xll.BDP($B1385,"LEGAL_ENTITY_IDENTIFIER")</f>
        <v>549300R5MYM6VZF1RM44</v>
      </c>
      <c r="F1385" t="s">
        <v>80</v>
      </c>
      <c r="G1385" t="str">
        <f>custodian!D1385</f>
        <v>31846V336</v>
      </c>
      <c r="H1385" t="str">
        <f>_xll.BDP($B1385,"ID_ISIN")</f>
        <v>US31846V3362</v>
      </c>
      <c r="I1385" s="1" t="s">
        <v>78</v>
      </c>
      <c r="J1385" t="str">
        <f>_xll.BDP($B1385,"CNTRY_OF_DOMICILE")</f>
        <v>US</v>
      </c>
      <c r="K1385" t="s">
        <v>81</v>
      </c>
      <c r="L1385" t="s">
        <v>82</v>
      </c>
      <c r="O1385" s="1"/>
      <c r="AQ1385" s="1"/>
      <c r="AR1385" s="1"/>
      <c r="AS1385" s="1"/>
    </row>
    <row r="1386" spans="1:45" x14ac:dyDescent="0.25">
      <c r="A1386" t="s">
        <v>4198</v>
      </c>
      <c r="B1386" t="s">
        <v>4224</v>
      </c>
      <c r="C1386" s="1" t="s">
        <v>4225</v>
      </c>
      <c r="D1386" t="s">
        <v>4226</v>
      </c>
      <c r="E1386" t="str">
        <f>_xll.BDP($B1386,"LEGAL_ENTITY_IDENTIFIER")</f>
        <v>RI6HET5SJUEY30V1PS26</v>
      </c>
      <c r="F1386" t="s">
        <v>4226</v>
      </c>
      <c r="G1386" t="str">
        <f>custodian!D1386</f>
        <v>303250104</v>
      </c>
      <c r="H1386" t="str">
        <f>_xll.BDP($B1386,"ID_ISIN")</f>
        <v>US3032501047</v>
      </c>
      <c r="I1386" s="1" t="s">
        <v>4225</v>
      </c>
      <c r="J1386" t="str">
        <f>_xll.BDP($B1386,"CNTRY_OF_DOMICILE")</f>
        <v>US</v>
      </c>
      <c r="K1386" t="s">
        <v>98</v>
      </c>
      <c r="L1386" t="s">
        <v>99</v>
      </c>
      <c r="O1386" s="1"/>
      <c r="AQ1386" s="1"/>
      <c r="AR1386" s="1"/>
      <c r="AS1386" s="1"/>
    </row>
    <row r="1387" spans="1:45" x14ac:dyDescent="0.25">
      <c r="A1387" t="s">
        <v>4198</v>
      </c>
      <c r="B1387" t="s">
        <v>4227</v>
      </c>
      <c r="C1387" s="1" t="s">
        <v>4228</v>
      </c>
      <c r="D1387" t="s">
        <v>2147</v>
      </c>
      <c r="E1387" t="str">
        <f>_xll.BDP($B1387,"LEGAL_ENTITY_IDENTIFIER")</f>
        <v>6WQI0GK1PRFVBA061U48</v>
      </c>
      <c r="F1387" t="s">
        <v>4229</v>
      </c>
      <c r="G1387" t="str">
        <f>custodian!D1387</f>
        <v>31620M106</v>
      </c>
      <c r="H1387" t="str">
        <f>_xll.BDP($B1387,"ID_ISIN")</f>
        <v>US31620M1062</v>
      </c>
      <c r="I1387" s="1" t="s">
        <v>4228</v>
      </c>
      <c r="J1387" t="str">
        <f>_xll.BDP($B1387,"CNTRY_OF_DOMICILE")</f>
        <v>US</v>
      </c>
      <c r="K1387" t="s">
        <v>98</v>
      </c>
      <c r="L1387" t="s">
        <v>99</v>
      </c>
      <c r="O1387" s="1"/>
      <c r="AQ1387" s="1"/>
      <c r="AR1387" s="1"/>
      <c r="AS1387" s="1"/>
    </row>
    <row r="1388" spans="1:45" x14ac:dyDescent="0.25">
      <c r="A1388" t="s">
        <v>4198</v>
      </c>
      <c r="B1388" t="s">
        <v>4230</v>
      </c>
      <c r="C1388" s="1" t="s">
        <v>4231</v>
      </c>
      <c r="D1388" t="s">
        <v>4232</v>
      </c>
      <c r="E1388" t="str">
        <f>_xll.BDP($B1388,"LEGAL_ENTITY_IDENTIFIER")</f>
        <v>GI7UBEJLXYLGR2C7GV83</v>
      </c>
      <c r="F1388" t="s">
        <v>4232</v>
      </c>
      <c r="G1388" t="str">
        <f>custodian!D1388</f>
        <v>337738108</v>
      </c>
      <c r="H1388" t="str">
        <f>_xll.BDP($B1388,"ID_ISIN")</f>
        <v>US3377381088</v>
      </c>
      <c r="I1388" s="1" t="s">
        <v>4231</v>
      </c>
      <c r="J1388" t="str">
        <f>_xll.BDP($B1388,"CNTRY_OF_DOMICILE")</f>
        <v>US</v>
      </c>
      <c r="K1388" t="s">
        <v>98</v>
      </c>
      <c r="L1388" t="s">
        <v>99</v>
      </c>
      <c r="O1388" s="1"/>
      <c r="AQ1388" s="1"/>
      <c r="AR1388" s="1"/>
      <c r="AS1388" s="1"/>
    </row>
    <row r="1389" spans="1:45" x14ac:dyDescent="0.25">
      <c r="A1389" t="s">
        <v>4198</v>
      </c>
      <c r="B1389" t="s">
        <v>4233</v>
      </c>
      <c r="C1389" s="1" t="s">
        <v>4234</v>
      </c>
      <c r="D1389" t="s">
        <v>4235</v>
      </c>
      <c r="E1389" t="str">
        <f>_xll.BDP($B1389,"LEGAL_ENTITY_IDENTIFIER")</f>
        <v>54930055DSV7NNY4VY66</v>
      </c>
      <c r="F1389" t="s">
        <v>4235</v>
      </c>
      <c r="G1389" t="str">
        <f>custodian!D1389</f>
        <v>302492103</v>
      </c>
      <c r="H1389" t="str">
        <f>_xll.BDP($B1389,"ID_ISIN")</f>
        <v>US3024921039</v>
      </c>
      <c r="I1389" s="1" t="s">
        <v>4234</v>
      </c>
      <c r="J1389" t="str">
        <f>_xll.BDP($B1389,"CNTRY_OF_DOMICILE")</f>
        <v>US</v>
      </c>
      <c r="K1389" t="s">
        <v>98</v>
      </c>
      <c r="L1389" t="s">
        <v>99</v>
      </c>
      <c r="O1389" s="1"/>
      <c r="AQ1389" s="1"/>
      <c r="AR1389" s="1"/>
      <c r="AS1389" s="1"/>
    </row>
    <row r="1390" spans="1:45" x14ac:dyDescent="0.25">
      <c r="A1390" t="s">
        <v>4198</v>
      </c>
      <c r="B1390" t="s">
        <v>4236</v>
      </c>
      <c r="C1390" s="1" t="s">
        <v>4237</v>
      </c>
      <c r="D1390" t="s">
        <v>4238</v>
      </c>
      <c r="E1390" t="str">
        <f>_xll.BDP($B1390,"LEGAL_ENTITY_IDENTIFIER")</f>
        <v>#N/A N/A</v>
      </c>
      <c r="F1390" t="s">
        <v>4238</v>
      </c>
      <c r="G1390" t="str">
        <f>custodian!D1390</f>
        <v>82452J109</v>
      </c>
      <c r="H1390" t="str">
        <f>_xll.BDP($B1390,"ID_ISIN")</f>
        <v>US82452J1097</v>
      </c>
      <c r="I1390" s="1" t="s">
        <v>4237</v>
      </c>
      <c r="J1390" t="str">
        <f>_xll.BDP($B1390,"CNTRY_OF_DOMICILE")</f>
        <v>US</v>
      </c>
      <c r="K1390" t="s">
        <v>98</v>
      </c>
      <c r="L1390" t="s">
        <v>99</v>
      </c>
      <c r="O1390" s="1"/>
      <c r="AQ1390" s="1"/>
      <c r="AR1390" s="1"/>
      <c r="AS1390" s="1"/>
    </row>
    <row r="1391" spans="1:45" x14ac:dyDescent="0.25">
      <c r="A1391" t="s">
        <v>4198</v>
      </c>
      <c r="B1391" t="s">
        <v>4239</v>
      </c>
      <c r="C1391" s="1" t="s">
        <v>4240</v>
      </c>
      <c r="D1391" t="s">
        <v>4241</v>
      </c>
      <c r="E1391" t="str">
        <f>_xll.BDP($B1391,"LEGAL_ENTITY_IDENTIFIER")</f>
        <v>#N/A N/A</v>
      </c>
      <c r="F1391" t="s">
        <v>4241</v>
      </c>
      <c r="G1391" t="str">
        <f>custodian!D1391</f>
        <v>39304D102</v>
      </c>
      <c r="H1391" t="str">
        <f>_xll.BDP($B1391,"ID_ISIN")</f>
        <v>US39304D1028</v>
      </c>
      <c r="I1391" s="1" t="s">
        <v>4240</v>
      </c>
      <c r="J1391" t="str">
        <f>_xll.BDP($B1391,"CNTRY_OF_DOMICILE")</f>
        <v>US</v>
      </c>
      <c r="K1391" t="s">
        <v>98</v>
      </c>
      <c r="L1391" t="s">
        <v>99</v>
      </c>
      <c r="O1391" s="1"/>
      <c r="AQ1391" s="1"/>
      <c r="AR1391" s="1"/>
      <c r="AS1391" s="1"/>
    </row>
    <row r="1392" spans="1:45" x14ac:dyDescent="0.25">
      <c r="A1392" t="s">
        <v>4198</v>
      </c>
      <c r="B1392" t="s">
        <v>4242</v>
      </c>
      <c r="C1392" s="1" t="s">
        <v>4243</v>
      </c>
      <c r="D1392" t="s">
        <v>4244</v>
      </c>
      <c r="E1392" t="str">
        <f>_xll.BDP($B1392,"LEGAL_ENTITY_IDENTIFIER")</f>
        <v>#N/A N/A</v>
      </c>
      <c r="F1392" t="s">
        <v>4244</v>
      </c>
      <c r="G1392" t="str">
        <f>custodian!D1392</f>
        <v>M5216V106</v>
      </c>
      <c r="H1392" t="str">
        <f>_xll.BDP($B1392,"ID_ISIN")</f>
        <v>IL0011741688</v>
      </c>
      <c r="I1392" s="1" t="s">
        <v>4243</v>
      </c>
      <c r="J1392" t="str">
        <f>_xll.BDP($B1392,"CNTRY_OF_DOMICILE")</f>
        <v>IL</v>
      </c>
      <c r="K1392" t="s">
        <v>98</v>
      </c>
      <c r="L1392" t="s">
        <v>99</v>
      </c>
      <c r="O1392" s="1"/>
      <c r="AQ1392" s="1"/>
      <c r="AR1392" s="1"/>
      <c r="AS1392" s="1"/>
    </row>
    <row r="1393" spans="1:45" x14ac:dyDescent="0.25">
      <c r="A1393" t="s">
        <v>4198</v>
      </c>
      <c r="B1393" t="s">
        <v>4245</v>
      </c>
      <c r="C1393" s="1" t="s">
        <v>4246</v>
      </c>
      <c r="D1393" t="s">
        <v>4247</v>
      </c>
      <c r="E1393" t="str">
        <f>_xll.BDP($B1393,"LEGAL_ENTITY_IDENTIFIER")</f>
        <v>549300NOMHGVQBX6S778</v>
      </c>
      <c r="F1393" t="s">
        <v>4247</v>
      </c>
      <c r="G1393" t="str">
        <f>custodian!D1393</f>
        <v>37940X102</v>
      </c>
      <c r="H1393" t="str">
        <f>_xll.BDP($B1393,"ID_ISIN")</f>
        <v>US37940X1028</v>
      </c>
      <c r="I1393" s="1" t="s">
        <v>4246</v>
      </c>
      <c r="J1393" t="str">
        <f>_xll.BDP($B1393,"CNTRY_OF_DOMICILE")</f>
        <v>US</v>
      </c>
      <c r="K1393" t="s">
        <v>98</v>
      </c>
      <c r="L1393" t="s">
        <v>99</v>
      </c>
      <c r="O1393" s="1"/>
      <c r="AQ1393" s="1"/>
      <c r="AR1393" s="1"/>
      <c r="AS1393" s="1"/>
    </row>
    <row r="1394" spans="1:45" x14ac:dyDescent="0.25">
      <c r="A1394" t="s">
        <v>4198</v>
      </c>
      <c r="B1394" t="s">
        <v>286</v>
      </c>
      <c r="C1394" s="1" t="s">
        <v>287</v>
      </c>
      <c r="D1394" t="s">
        <v>288</v>
      </c>
      <c r="E1394" t="str">
        <f>_xll.BDP($B1394,"LEGAL_ENTITY_IDENTIFIER")</f>
        <v>213800FS5AO3YWIE6F63</v>
      </c>
      <c r="F1394" t="s">
        <v>288</v>
      </c>
      <c r="G1394" t="str">
        <f>custodian!D1394</f>
        <v>770700102</v>
      </c>
      <c r="H1394" t="str">
        <f>_xll.BDP($B1394,"ID_ISIN")</f>
        <v>US7707001027</v>
      </c>
      <c r="I1394" s="1" t="s">
        <v>287</v>
      </c>
      <c r="J1394" t="str">
        <f>_xll.BDP($B1394,"CNTRY_OF_DOMICILE")</f>
        <v>US</v>
      </c>
      <c r="K1394" t="s">
        <v>98</v>
      </c>
      <c r="L1394" t="s">
        <v>99</v>
      </c>
      <c r="O1394" s="1"/>
      <c r="AQ1394" s="1"/>
      <c r="AR1394" s="1"/>
      <c r="AS1394" s="1"/>
    </row>
    <row r="1395" spans="1:45" x14ac:dyDescent="0.25">
      <c r="A1395" t="s">
        <v>4198</v>
      </c>
      <c r="B1395" t="s">
        <v>4248</v>
      </c>
      <c r="C1395" s="1" t="s">
        <v>4249</v>
      </c>
      <c r="D1395" t="s">
        <v>4250</v>
      </c>
      <c r="E1395" t="str">
        <f>_xll.BDP($B1395,"LEGAL_ENTITY_IDENTIFIER")</f>
        <v>#N/A N/A</v>
      </c>
      <c r="F1395" t="s">
        <v>4250</v>
      </c>
      <c r="G1395" t="str">
        <f>custodian!D1395</f>
        <v>G4R20B107</v>
      </c>
      <c r="H1395" t="str">
        <f>_xll.BDP($B1395,"ID_ISIN")</f>
        <v>KYG4R20B1074</v>
      </c>
      <c r="I1395" s="1" t="s">
        <v>4249</v>
      </c>
      <c r="J1395" t="str">
        <f>_xll.BDP($B1395,"CNTRY_OF_DOMICILE")</f>
        <v>BR</v>
      </c>
      <c r="K1395" t="s">
        <v>98</v>
      </c>
      <c r="L1395" t="s">
        <v>99</v>
      </c>
      <c r="O1395" s="1"/>
      <c r="AQ1395" s="1"/>
      <c r="AR1395" s="1"/>
      <c r="AS1395" s="1"/>
    </row>
    <row r="1396" spans="1:45" x14ac:dyDescent="0.25">
      <c r="A1396" t="s">
        <v>4198</v>
      </c>
      <c r="B1396" t="s">
        <v>4251</v>
      </c>
      <c r="C1396" s="1" t="s">
        <v>4252</v>
      </c>
      <c r="D1396" t="s">
        <v>4253</v>
      </c>
      <c r="E1396" t="str">
        <f>_xll.BDP($B1396,"LEGAL_ENTITY_IDENTIFIER")</f>
        <v>VI90HBPH7XSFMB9E4M29</v>
      </c>
      <c r="F1396" t="s">
        <v>4253</v>
      </c>
      <c r="G1396" t="str">
        <f>custodian!D1396</f>
        <v>461202103</v>
      </c>
      <c r="H1396" t="str">
        <f>_xll.BDP($B1396,"ID_ISIN")</f>
        <v>US4612021034</v>
      </c>
      <c r="I1396" s="1" t="s">
        <v>4252</v>
      </c>
      <c r="J1396" t="str">
        <f>_xll.BDP($B1396,"CNTRY_OF_DOMICILE")</f>
        <v>US</v>
      </c>
      <c r="K1396" t="s">
        <v>98</v>
      </c>
      <c r="L1396" t="s">
        <v>99</v>
      </c>
      <c r="O1396" s="1"/>
      <c r="AQ1396" s="1"/>
      <c r="AR1396" s="1"/>
      <c r="AS1396" s="1"/>
    </row>
    <row r="1397" spans="1:45" x14ac:dyDescent="0.25">
      <c r="A1397" t="s">
        <v>4198</v>
      </c>
      <c r="B1397" t="s">
        <v>4254</v>
      </c>
      <c r="C1397" s="1" t="s">
        <v>4255</v>
      </c>
      <c r="D1397" t="s">
        <v>4256</v>
      </c>
      <c r="E1397" t="str">
        <f>_xll.BDP($B1397,"LEGAL_ENTITY_IDENTIFIER")</f>
        <v>529900X1QS8C54W0JB21</v>
      </c>
      <c r="F1397" t="s">
        <v>4256</v>
      </c>
      <c r="G1397" t="str">
        <f>custodian!D1397</f>
        <v>426281101</v>
      </c>
      <c r="H1397" t="str">
        <f>_xll.BDP($B1397,"ID_ISIN")</f>
        <v>US4262811015</v>
      </c>
      <c r="I1397" s="1" t="s">
        <v>4255</v>
      </c>
      <c r="J1397" t="str">
        <f>_xll.BDP($B1397,"CNTRY_OF_DOMICILE")</f>
        <v>US</v>
      </c>
      <c r="K1397" t="s">
        <v>98</v>
      </c>
      <c r="L1397" t="s">
        <v>99</v>
      </c>
      <c r="O1397" s="1"/>
      <c r="AQ1397" s="1"/>
      <c r="AR1397" s="1"/>
      <c r="AS1397" s="1"/>
    </row>
    <row r="1398" spans="1:45" x14ac:dyDescent="0.25">
      <c r="A1398" t="s">
        <v>4198</v>
      </c>
      <c r="B1398" t="s">
        <v>4257</v>
      </c>
      <c r="C1398" s="1" t="s">
        <v>4258</v>
      </c>
      <c r="D1398" t="s">
        <v>4259</v>
      </c>
      <c r="E1398" t="str">
        <f>_xll.BDP($B1398,"LEGAL_ENTITY_IDENTIFIER")</f>
        <v>2549003YU6FARG8OAZ13</v>
      </c>
      <c r="F1398" t="s">
        <v>4259</v>
      </c>
      <c r="G1398" t="str">
        <f>custodian!D1398</f>
        <v>48581R205</v>
      </c>
      <c r="H1398" t="str">
        <f>_xll.BDP($B1398,"ID_ISIN")</f>
        <v>US48581R2058</v>
      </c>
      <c r="I1398" s="1" t="s">
        <v>4258</v>
      </c>
      <c r="J1398" t="str">
        <f>_xll.BDP($B1398,"CNTRY_OF_DOMICILE")</f>
        <v>KZ</v>
      </c>
      <c r="K1398" t="s">
        <v>98</v>
      </c>
      <c r="L1398" t="s">
        <v>99</v>
      </c>
      <c r="O1398" s="1"/>
      <c r="AQ1398" s="1"/>
      <c r="AR1398" s="1"/>
      <c r="AS1398" s="1"/>
    </row>
    <row r="1399" spans="1:45" x14ac:dyDescent="0.25">
      <c r="A1399" t="s">
        <v>4198</v>
      </c>
      <c r="B1399" t="s">
        <v>4260</v>
      </c>
      <c r="C1399" s="1" t="s">
        <v>4261</v>
      </c>
      <c r="D1399" t="s">
        <v>4262</v>
      </c>
      <c r="E1399" t="str">
        <f>_xll.BDP($B1399,"LEGAL_ENTITY_IDENTIFIER")</f>
        <v>#N/A N/A</v>
      </c>
      <c r="F1399" t="s">
        <v>4262</v>
      </c>
      <c r="G1399" t="str">
        <f>custodian!D1399</f>
        <v>68373J104</v>
      </c>
      <c r="H1399" t="str">
        <f>_xll.BDP($B1399,"ID_ISIN")</f>
        <v>US68373J1043</v>
      </c>
      <c r="I1399" s="1" t="s">
        <v>4261</v>
      </c>
      <c r="J1399" t="str">
        <f>_xll.BDP($B1399,"CNTRY_OF_DOMICILE")</f>
        <v>US</v>
      </c>
      <c r="K1399" t="s">
        <v>98</v>
      </c>
      <c r="L1399" t="s">
        <v>99</v>
      </c>
      <c r="O1399" s="1"/>
      <c r="AQ1399" s="1"/>
      <c r="AR1399" s="1"/>
      <c r="AS1399" s="1"/>
    </row>
    <row r="1400" spans="1:45" x14ac:dyDescent="0.25">
      <c r="A1400" t="s">
        <v>4198</v>
      </c>
      <c r="B1400" t="s">
        <v>4263</v>
      </c>
      <c r="C1400" s="1" t="s">
        <v>4264</v>
      </c>
      <c r="D1400" t="s">
        <v>4265</v>
      </c>
      <c r="E1400" t="str">
        <f>_xll.BDP($B1400,"LEGAL_ENTITY_IDENTIFIER")</f>
        <v>AR5L2ODV9HN37376R084</v>
      </c>
      <c r="F1400" t="s">
        <v>4265</v>
      </c>
      <c r="G1400" t="str">
        <f>custodian!D1400</f>
        <v>57636Q104</v>
      </c>
      <c r="H1400" t="str">
        <f>_xll.BDP($B1400,"ID_ISIN")</f>
        <v>US57636Q1040</v>
      </c>
      <c r="I1400" s="1" t="s">
        <v>4264</v>
      </c>
      <c r="J1400" t="str">
        <f>_xll.BDP($B1400,"CNTRY_OF_DOMICILE")</f>
        <v>US</v>
      </c>
      <c r="K1400" t="s">
        <v>98</v>
      </c>
      <c r="L1400" t="s">
        <v>99</v>
      </c>
      <c r="O1400" s="1"/>
      <c r="AQ1400" s="1"/>
      <c r="AR1400" s="1"/>
      <c r="AS1400" s="1"/>
    </row>
    <row r="1401" spans="1:45" x14ac:dyDescent="0.25">
      <c r="A1401" t="s">
        <v>4198</v>
      </c>
      <c r="B1401" t="s">
        <v>4266</v>
      </c>
      <c r="C1401" s="1" t="s">
        <v>4267</v>
      </c>
      <c r="D1401" t="s">
        <v>4268</v>
      </c>
      <c r="E1401" t="str">
        <f>_xll.BDP($B1401,"LEGAL_ENTITY_IDENTIFIER")</f>
        <v>549300DKPDN9M5S8GB14</v>
      </c>
      <c r="F1401" t="s">
        <v>4268</v>
      </c>
      <c r="G1401" t="str">
        <f>custodian!D1401</f>
        <v>58733R102</v>
      </c>
      <c r="H1401" t="str">
        <f>_xll.BDP($B1401,"ID_ISIN")</f>
        <v>US58733R1023</v>
      </c>
      <c r="I1401" s="1" t="s">
        <v>4267</v>
      </c>
      <c r="J1401" t="str">
        <f>_xll.BDP($B1401,"CNTRY_OF_DOMICILE")</f>
        <v>UY</v>
      </c>
      <c r="K1401" t="s">
        <v>98</v>
      </c>
      <c r="L1401" t="s">
        <v>99</v>
      </c>
      <c r="O1401" s="1"/>
      <c r="AQ1401" s="1"/>
      <c r="AR1401" s="1"/>
      <c r="AS1401" s="1"/>
    </row>
    <row r="1402" spans="1:45" x14ac:dyDescent="0.25">
      <c r="A1402" t="s">
        <v>4198</v>
      </c>
      <c r="B1402" t="s">
        <v>4269</v>
      </c>
      <c r="C1402" s="1" t="s">
        <v>4270</v>
      </c>
      <c r="D1402" t="s">
        <v>4271</v>
      </c>
      <c r="E1402" t="str">
        <f>_xll.BDP($B1402,"LEGAL_ENTITY_IDENTIFIER")</f>
        <v>254900TREUDBWGLAP788</v>
      </c>
      <c r="F1402" t="s">
        <v>4272</v>
      </c>
      <c r="G1402" t="str">
        <f>custodian!D1402</f>
        <v>59356Q108</v>
      </c>
      <c r="H1402" t="str">
        <f>_xll.BDP($B1402,"ID_ISIN")</f>
        <v>US59356Q1085</v>
      </c>
      <c r="I1402" s="1" t="s">
        <v>4270</v>
      </c>
      <c r="J1402" t="str">
        <f>_xll.BDP($B1402,"CNTRY_OF_DOMICILE")</f>
        <v>US</v>
      </c>
      <c r="K1402" t="s">
        <v>98</v>
      </c>
      <c r="L1402" t="s">
        <v>99</v>
      </c>
      <c r="O1402" s="1"/>
      <c r="AQ1402" s="1"/>
      <c r="AR1402" s="1"/>
      <c r="AS1402" s="1"/>
    </row>
    <row r="1403" spans="1:45" x14ac:dyDescent="0.25">
      <c r="A1403" t="s">
        <v>4198</v>
      </c>
      <c r="B1403" t="s">
        <v>4273</v>
      </c>
      <c r="C1403" s="1" t="s">
        <v>4274</v>
      </c>
      <c r="D1403" t="s">
        <v>4275</v>
      </c>
      <c r="E1403" t="str">
        <f>_xll.BDP($B1403,"LEGAL_ENTITY_IDENTIFIER")</f>
        <v>254900UZARK0FMZGZE18</v>
      </c>
      <c r="F1403" t="s">
        <v>4275</v>
      </c>
      <c r="G1403" t="str">
        <f>custodian!D1403</f>
        <v>57142B104</v>
      </c>
      <c r="H1403" t="str">
        <f>_xll.BDP($B1403,"ID_ISIN")</f>
        <v>US57142B1044</v>
      </c>
      <c r="I1403" s="1" t="s">
        <v>4274</v>
      </c>
      <c r="J1403" t="str">
        <f>_xll.BDP($B1403,"CNTRY_OF_DOMICILE")</f>
        <v>US</v>
      </c>
      <c r="K1403" t="s">
        <v>98</v>
      </c>
      <c r="L1403" t="s">
        <v>99</v>
      </c>
      <c r="O1403" s="1"/>
      <c r="AQ1403" s="1"/>
      <c r="AR1403" s="1"/>
      <c r="AS1403" s="1"/>
    </row>
    <row r="1404" spans="1:45" x14ac:dyDescent="0.25">
      <c r="A1404" t="s">
        <v>4198</v>
      </c>
      <c r="B1404" t="s">
        <v>4276</v>
      </c>
      <c r="C1404" s="1" t="s">
        <v>4277</v>
      </c>
      <c r="D1404" t="s">
        <v>4278</v>
      </c>
      <c r="E1404" t="str">
        <f>_xll.BDP($B1404,"LEGAL_ENTITY_IDENTIFIER")</f>
        <v>549300WVRR2WR3L6MZ46</v>
      </c>
      <c r="F1404" t="s">
        <v>4278</v>
      </c>
      <c r="G1404" t="str">
        <f>custodian!D1404</f>
        <v>63947X101</v>
      </c>
      <c r="H1404" t="str">
        <f>_xll.BDP($B1404,"ID_ISIN")</f>
        <v>US63947X1019</v>
      </c>
      <c r="I1404" s="1" t="s">
        <v>4277</v>
      </c>
      <c r="J1404" t="str">
        <f>_xll.BDP($B1404,"CNTRY_OF_DOMICILE")</f>
        <v>US</v>
      </c>
      <c r="K1404" t="s">
        <v>98</v>
      </c>
      <c r="L1404" t="s">
        <v>99</v>
      </c>
      <c r="O1404" s="1"/>
      <c r="AQ1404" s="1"/>
      <c r="AR1404" s="1"/>
      <c r="AS1404" s="1"/>
    </row>
    <row r="1405" spans="1:45" x14ac:dyDescent="0.25">
      <c r="A1405" t="s">
        <v>4198</v>
      </c>
      <c r="B1405" t="s">
        <v>4279</v>
      </c>
      <c r="C1405" s="1" t="s">
        <v>4280</v>
      </c>
      <c r="D1405" t="s">
        <v>4281</v>
      </c>
      <c r="E1405" t="str">
        <f>_xll.BDP($B1405,"LEGAL_ENTITY_IDENTIFIER")</f>
        <v>254900FJ2Y4SH71DJ379</v>
      </c>
      <c r="F1405" t="s">
        <v>4281</v>
      </c>
      <c r="G1405" t="str">
        <f>custodian!D1405</f>
        <v>64082B102</v>
      </c>
      <c r="H1405" t="str">
        <f>_xll.BDP($B1405,"ID_ISIN")</f>
        <v>US64082B1026</v>
      </c>
      <c r="I1405" s="1" t="s">
        <v>4280</v>
      </c>
      <c r="J1405" t="str">
        <f>_xll.BDP($B1405,"CNTRY_OF_DOMICILE")</f>
        <v>US</v>
      </c>
      <c r="K1405" t="s">
        <v>98</v>
      </c>
      <c r="L1405" t="s">
        <v>99</v>
      </c>
      <c r="O1405" s="1"/>
      <c r="AQ1405" s="1"/>
      <c r="AR1405" s="1"/>
      <c r="AS1405" s="1"/>
    </row>
    <row r="1406" spans="1:45" x14ac:dyDescent="0.25">
      <c r="A1406" t="s">
        <v>4198</v>
      </c>
      <c r="B1406" t="s">
        <v>3603</v>
      </c>
      <c r="C1406" s="1" t="s">
        <v>3604</v>
      </c>
      <c r="D1406" t="s">
        <v>3605</v>
      </c>
      <c r="E1406" t="str">
        <f>_xll.BDP($B1406,"LEGAL_ENTITY_IDENTIFIER")</f>
        <v>5493002DG1RHWK9W2X27</v>
      </c>
      <c r="F1406" t="s">
        <v>3605</v>
      </c>
      <c r="G1406" t="str">
        <f>custodian!D1406</f>
        <v>G6683N103</v>
      </c>
      <c r="H1406" t="str">
        <f>_xll.BDP($B1406,"ID_ISIN")</f>
        <v>KYG6683N1034</v>
      </c>
      <c r="I1406" s="1" t="s">
        <v>3604</v>
      </c>
      <c r="J1406" t="str">
        <f>_xll.BDP($B1406,"CNTRY_OF_DOMICILE")</f>
        <v>BR</v>
      </c>
      <c r="K1406" t="s">
        <v>98</v>
      </c>
      <c r="L1406" t="s">
        <v>99</v>
      </c>
      <c r="O1406" s="1"/>
      <c r="AQ1406" s="1"/>
      <c r="AR1406" s="1"/>
      <c r="AS1406" s="1"/>
    </row>
    <row r="1407" spans="1:45" x14ac:dyDescent="0.25">
      <c r="A1407" t="s">
        <v>4198</v>
      </c>
      <c r="B1407" t="s">
        <v>4282</v>
      </c>
      <c r="C1407" s="1" t="s">
        <v>4283</v>
      </c>
      <c r="D1407" t="s">
        <v>4284</v>
      </c>
      <c r="E1407" t="str">
        <f>_xll.BDP($B1407,"LEGAL_ENTITY_IDENTIFIER")</f>
        <v>549300351Y4J4FKIOR78</v>
      </c>
      <c r="F1407" t="s">
        <v>4284</v>
      </c>
      <c r="G1407" t="str">
        <f>custodian!D1407</f>
        <v>68376D104</v>
      </c>
      <c r="H1407" t="str">
        <f>_xll.BDP($B1407,"ID_ISIN")</f>
        <v>US68376D1046</v>
      </c>
      <c r="I1407" s="1" t="s">
        <v>4283</v>
      </c>
      <c r="J1407" t="str">
        <f>_xll.BDP($B1407,"CNTRY_OF_DOMICILE")</f>
        <v>US</v>
      </c>
      <c r="K1407" t="s">
        <v>98</v>
      </c>
      <c r="L1407" t="s">
        <v>99</v>
      </c>
      <c r="O1407" s="1"/>
      <c r="AQ1407" s="1"/>
      <c r="AR1407" s="1"/>
      <c r="AS1407" s="1"/>
    </row>
    <row r="1408" spans="1:45" x14ac:dyDescent="0.25">
      <c r="A1408" t="s">
        <v>4198</v>
      </c>
      <c r="B1408" t="s">
        <v>4285</v>
      </c>
      <c r="C1408" s="1" t="s">
        <v>4286</v>
      </c>
      <c r="D1408" t="s">
        <v>4287</v>
      </c>
      <c r="E1408" t="str">
        <f>_xll.BDP($B1408,"LEGAL_ENTITY_IDENTIFIER")</f>
        <v>984500E502E6DC354D26</v>
      </c>
      <c r="F1408" t="s">
        <v>4287</v>
      </c>
      <c r="G1408" t="str">
        <f>custodian!D1408</f>
        <v>68287N100</v>
      </c>
      <c r="H1408" t="str">
        <f>_xll.BDP($B1408,"ID_ISIN")</f>
        <v>US68287N1000</v>
      </c>
      <c r="I1408" s="1" t="s">
        <v>4286</v>
      </c>
      <c r="J1408" t="str">
        <f>_xll.BDP($B1408,"CNTRY_OF_DOMICILE")</f>
        <v>US</v>
      </c>
      <c r="K1408" t="s">
        <v>98</v>
      </c>
      <c r="L1408" t="s">
        <v>99</v>
      </c>
      <c r="O1408" s="1"/>
      <c r="AQ1408" s="1"/>
      <c r="AR1408" s="1"/>
      <c r="AS1408" s="1"/>
    </row>
    <row r="1409" spans="1:45" x14ac:dyDescent="0.25">
      <c r="A1409" t="s">
        <v>4198</v>
      </c>
      <c r="B1409" t="s">
        <v>4288</v>
      </c>
      <c r="C1409" s="1" t="s">
        <v>4289</v>
      </c>
      <c r="D1409" t="s">
        <v>4290</v>
      </c>
      <c r="E1409" t="str">
        <f>_xll.BDP($B1409,"LEGAL_ENTITY_IDENTIFIER")</f>
        <v>391200VY4YW47I4HGH62</v>
      </c>
      <c r="F1409" t="s">
        <v>4290</v>
      </c>
      <c r="G1409" t="str">
        <f>custodian!D1409</f>
        <v>G68707101</v>
      </c>
      <c r="H1409" t="str">
        <f>_xll.BDP($B1409,"ID_ISIN")</f>
        <v>KYG687071012</v>
      </c>
      <c r="I1409" s="1" t="s">
        <v>4289</v>
      </c>
      <c r="J1409" t="str">
        <f>_xll.BDP($B1409,"CNTRY_OF_DOMICILE")</f>
        <v>BR</v>
      </c>
      <c r="K1409" t="s">
        <v>98</v>
      </c>
      <c r="L1409" t="s">
        <v>99</v>
      </c>
      <c r="O1409" s="1"/>
      <c r="AQ1409" s="1"/>
      <c r="AR1409" s="1"/>
      <c r="AS1409" s="1"/>
    </row>
    <row r="1410" spans="1:45" x14ac:dyDescent="0.25">
      <c r="A1410" t="s">
        <v>4198</v>
      </c>
      <c r="B1410" t="s">
        <v>4291</v>
      </c>
      <c r="C1410" s="1" t="s">
        <v>4292</v>
      </c>
      <c r="D1410" t="s">
        <v>4293</v>
      </c>
      <c r="E1410" t="str">
        <f>_xll.BDP($B1410,"LEGAL_ENTITY_IDENTIFIER")</f>
        <v>984500491C64C70FF033</v>
      </c>
      <c r="F1410" t="s">
        <v>4293</v>
      </c>
      <c r="G1410" t="str">
        <f>custodian!D1410</f>
        <v>70451X104</v>
      </c>
      <c r="H1410" t="str">
        <f>_xll.BDP($B1410,"ID_ISIN")</f>
        <v>US70451X1046</v>
      </c>
      <c r="I1410" s="1" t="s">
        <v>4292</v>
      </c>
      <c r="J1410" t="str">
        <f>_xll.BDP($B1410,"CNTRY_OF_DOMICILE")</f>
        <v>US</v>
      </c>
      <c r="K1410" t="s">
        <v>98</v>
      </c>
      <c r="L1410" t="s">
        <v>99</v>
      </c>
      <c r="O1410" s="1"/>
      <c r="AQ1410" s="1"/>
      <c r="AR1410" s="1"/>
      <c r="AS1410" s="1"/>
    </row>
    <row r="1411" spans="1:45" x14ac:dyDescent="0.25">
      <c r="A1411" t="s">
        <v>4198</v>
      </c>
      <c r="B1411" t="s">
        <v>4294</v>
      </c>
      <c r="C1411" s="1" t="s">
        <v>4295</v>
      </c>
      <c r="D1411" t="s">
        <v>4296</v>
      </c>
      <c r="E1411" t="str">
        <f>_xll.BDP($B1411,"LEGAL_ENTITY_IDENTIFIER")</f>
        <v>#N/A N/A</v>
      </c>
      <c r="F1411" t="s">
        <v>4296</v>
      </c>
      <c r="G1411" t="str">
        <f>custodian!D1411</f>
        <v>M7S64L123</v>
      </c>
      <c r="H1411" t="str">
        <f>_xll.BDP($B1411,"ID_ISIN")</f>
        <v>IL0011858912</v>
      </c>
      <c r="I1411" s="1" t="s">
        <v>4295</v>
      </c>
      <c r="J1411" t="str">
        <f>_xll.BDP($B1411,"CNTRY_OF_DOMICILE")</f>
        <v>US</v>
      </c>
      <c r="K1411" t="s">
        <v>98</v>
      </c>
      <c r="L1411" t="s">
        <v>99</v>
      </c>
      <c r="O1411" s="1"/>
      <c r="AQ1411" s="1"/>
      <c r="AR1411" s="1"/>
      <c r="AS1411" s="1"/>
    </row>
    <row r="1412" spans="1:45" x14ac:dyDescent="0.25">
      <c r="A1412" t="s">
        <v>4198</v>
      </c>
      <c r="B1412" t="s">
        <v>4297</v>
      </c>
      <c r="C1412" s="1" t="s">
        <v>4298</v>
      </c>
      <c r="D1412" t="s">
        <v>4299</v>
      </c>
      <c r="E1412" t="str">
        <f>_xll.BDP($B1412,"LEGAL_ENTITY_IDENTIFIER")</f>
        <v>2138003K6PVDCI5TBN11</v>
      </c>
      <c r="F1412" t="s">
        <v>4299</v>
      </c>
      <c r="G1412" t="str">
        <f>custodian!D1412</f>
        <v>G6964L206</v>
      </c>
      <c r="H1412" t="str">
        <f>_xll.BDP($B1412,"ID_ISIN")</f>
        <v>BMG6964L2062</v>
      </c>
      <c r="I1412" s="1" t="s">
        <v>4298</v>
      </c>
      <c r="J1412" t="str">
        <f>_xll.BDP($B1412,"CNTRY_OF_DOMICILE")</f>
        <v>GB</v>
      </c>
      <c r="K1412" t="s">
        <v>98</v>
      </c>
      <c r="L1412" t="s">
        <v>99</v>
      </c>
      <c r="O1412" s="1"/>
      <c r="AQ1412" s="1"/>
      <c r="AR1412" s="1"/>
      <c r="AS1412" s="1"/>
    </row>
    <row r="1413" spans="1:45" x14ac:dyDescent="0.25">
      <c r="A1413" t="s">
        <v>4198</v>
      </c>
      <c r="B1413" t="s">
        <v>476</v>
      </c>
      <c r="C1413" s="1" t="s">
        <v>477</v>
      </c>
      <c r="D1413" t="s">
        <v>478</v>
      </c>
      <c r="E1413" t="str">
        <f>_xll.BDP($B1413,"LEGAL_ENTITY_IDENTIFIER")</f>
        <v>5493005X2GO78EFZ3E94</v>
      </c>
      <c r="F1413" t="s">
        <v>478</v>
      </c>
      <c r="G1413" t="str">
        <f>custodian!D1413</f>
        <v>70450Y103</v>
      </c>
      <c r="H1413" t="str">
        <f>_xll.BDP($B1413,"ID_ISIN")</f>
        <v>US70450Y1038</v>
      </c>
      <c r="I1413" s="1" t="s">
        <v>477</v>
      </c>
      <c r="J1413" t="str">
        <f>_xll.BDP($B1413,"CNTRY_OF_DOMICILE")</f>
        <v>US</v>
      </c>
      <c r="K1413" t="s">
        <v>98</v>
      </c>
      <c r="L1413" t="s">
        <v>99</v>
      </c>
      <c r="O1413" s="1"/>
      <c r="AQ1413" s="1"/>
      <c r="AR1413" s="1"/>
      <c r="AS1413" s="1"/>
    </row>
    <row r="1414" spans="1:45" x14ac:dyDescent="0.25">
      <c r="A1414" t="s">
        <v>4198</v>
      </c>
      <c r="B1414" t="s">
        <v>4300</v>
      </c>
      <c r="C1414" s="1" t="s">
        <v>4301</v>
      </c>
      <c r="D1414" t="s">
        <v>4302</v>
      </c>
      <c r="E1414" t="str">
        <f>_xll.BDP($B1414,"LEGAL_ENTITY_IDENTIFIER")</f>
        <v>549300M9RKR9DZXWS696</v>
      </c>
      <c r="F1414" t="s">
        <v>4302</v>
      </c>
      <c r="G1414" t="str">
        <f>custodian!D1414</f>
        <v>74736L109</v>
      </c>
      <c r="H1414" t="str">
        <f>_xll.BDP($B1414,"ID_ISIN")</f>
        <v>US74736L1098</v>
      </c>
      <c r="I1414" s="1" t="s">
        <v>4301</v>
      </c>
      <c r="J1414" t="str">
        <f>_xll.BDP($B1414,"CNTRY_OF_DOMICILE")</f>
        <v>US</v>
      </c>
      <c r="K1414" t="s">
        <v>98</v>
      </c>
      <c r="L1414" t="s">
        <v>99</v>
      </c>
      <c r="O1414" s="1"/>
      <c r="AQ1414" s="1"/>
      <c r="AR1414" s="1"/>
      <c r="AS1414" s="1"/>
    </row>
    <row r="1415" spans="1:45" x14ac:dyDescent="0.25">
      <c r="A1415" t="s">
        <v>4198</v>
      </c>
      <c r="B1415" t="s">
        <v>4303</v>
      </c>
      <c r="C1415" s="1" t="s">
        <v>4304</v>
      </c>
      <c r="D1415" t="s">
        <v>4305</v>
      </c>
      <c r="E1415" t="str">
        <f>_xll.BDP($B1415,"LEGAL_ENTITY_IDENTIFIER")</f>
        <v>#N/A N/A</v>
      </c>
      <c r="F1415" t="s">
        <v>4305</v>
      </c>
      <c r="G1415" t="str">
        <f>custodian!D1415</f>
        <v>75960P104</v>
      </c>
      <c r="H1415" t="str">
        <f>_xll.BDP($B1415,"ID_ISIN")</f>
        <v>US75960P1049</v>
      </c>
      <c r="I1415" s="1" t="s">
        <v>4304</v>
      </c>
      <c r="J1415" t="str">
        <f>_xll.BDP($B1415,"CNTRY_OF_DOMICILE")</f>
        <v>US</v>
      </c>
      <c r="K1415" t="s">
        <v>98</v>
      </c>
      <c r="L1415" t="s">
        <v>99</v>
      </c>
      <c r="O1415" s="1"/>
      <c r="AQ1415" s="1"/>
      <c r="AR1415" s="1"/>
      <c r="AS1415" s="1"/>
    </row>
    <row r="1416" spans="1:45" x14ac:dyDescent="0.25">
      <c r="A1416" t="s">
        <v>4198</v>
      </c>
      <c r="B1416" t="s">
        <v>4306</v>
      </c>
      <c r="C1416" s="1" t="s">
        <v>4307</v>
      </c>
      <c r="D1416" t="s">
        <v>4308</v>
      </c>
      <c r="E1416" t="str">
        <f>_xll.BDP($B1416,"LEGAL_ENTITY_IDENTIFIER")</f>
        <v>#N/A N/A</v>
      </c>
      <c r="F1416" t="s">
        <v>4308</v>
      </c>
      <c r="G1416" t="str">
        <f>custodian!D1416</f>
        <v>77311W101</v>
      </c>
      <c r="H1416" t="str">
        <f>_xll.BDP($B1416,"ID_ISIN")</f>
        <v>US77311W1018</v>
      </c>
      <c r="I1416" s="1" t="s">
        <v>4307</v>
      </c>
      <c r="J1416" t="str">
        <f>_xll.BDP($B1416,"CNTRY_OF_DOMICILE")</f>
        <v>US</v>
      </c>
      <c r="K1416" t="s">
        <v>98</v>
      </c>
      <c r="L1416" t="s">
        <v>99</v>
      </c>
      <c r="O1416" s="1"/>
      <c r="AQ1416" s="1"/>
      <c r="AR1416" s="1"/>
      <c r="AS1416" s="1"/>
    </row>
    <row r="1417" spans="1:45" x14ac:dyDescent="0.25">
      <c r="A1417" t="s">
        <v>4198</v>
      </c>
      <c r="B1417" t="s">
        <v>4309</v>
      </c>
      <c r="C1417" s="1" t="s">
        <v>4310</v>
      </c>
      <c r="D1417" t="s">
        <v>4311</v>
      </c>
      <c r="E1417" t="str">
        <f>_xll.BDP($B1417,"LEGAL_ENTITY_IDENTIFIER")</f>
        <v>2549006EJ42T73ZKUI98</v>
      </c>
      <c r="F1417" t="s">
        <v>4311</v>
      </c>
      <c r="G1417" t="str">
        <f>custodian!D1417</f>
        <v>76029L100</v>
      </c>
      <c r="H1417" t="str">
        <f>_xll.BDP($B1417,"ID_ISIN")</f>
        <v>US76029L1008</v>
      </c>
      <c r="I1417" s="1" t="s">
        <v>4310</v>
      </c>
      <c r="J1417" t="str">
        <f>_xll.BDP($B1417,"CNTRY_OF_DOMICILE")</f>
        <v>US</v>
      </c>
      <c r="K1417" t="s">
        <v>98</v>
      </c>
      <c r="L1417" t="s">
        <v>99</v>
      </c>
      <c r="O1417" s="1"/>
      <c r="AQ1417" s="1"/>
      <c r="AR1417" s="1"/>
      <c r="AS1417" s="1"/>
    </row>
    <row r="1418" spans="1:45" x14ac:dyDescent="0.25">
      <c r="A1418" t="s">
        <v>4198</v>
      </c>
      <c r="B1418" t="s">
        <v>3539</v>
      </c>
      <c r="C1418" s="1" t="s">
        <v>3540</v>
      </c>
      <c r="D1418" t="s">
        <v>3541</v>
      </c>
      <c r="E1418" t="str">
        <f>_xll.BDP($B1418,"LEGAL_ENTITY_IDENTIFIER")</f>
        <v>894500GU19M0O0BYWM49</v>
      </c>
      <c r="F1418" t="s">
        <v>3541</v>
      </c>
      <c r="G1418" t="str">
        <f>custodian!D1418</f>
        <v>M8216R109</v>
      </c>
      <c r="H1418" t="str">
        <f>_xll.BDP($B1418,"ID_ISIN")</f>
        <v>IL0011786493</v>
      </c>
      <c r="I1418" s="1" t="s">
        <v>3540</v>
      </c>
      <c r="J1418" t="str">
        <f>_xll.BDP($B1418,"CNTRY_OF_DOMICILE")</f>
        <v>IL</v>
      </c>
      <c r="K1418" t="s">
        <v>98</v>
      </c>
      <c r="L1418" t="s">
        <v>99</v>
      </c>
      <c r="O1418" s="1"/>
      <c r="AQ1418" s="1"/>
      <c r="AR1418" s="1"/>
      <c r="AS1418" s="1"/>
    </row>
    <row r="1419" spans="1:45" x14ac:dyDescent="0.25">
      <c r="A1419" t="s">
        <v>4198</v>
      </c>
      <c r="B1419" t="s">
        <v>4312</v>
      </c>
      <c r="C1419" s="1" t="s">
        <v>4313</v>
      </c>
      <c r="D1419" t="s">
        <v>4314</v>
      </c>
      <c r="E1419" t="str">
        <f>_xll.BDP($B1419,"LEGAL_ENTITY_IDENTIFIER")</f>
        <v>529900OM6JLLW44YKI15</v>
      </c>
      <c r="F1419" t="s">
        <v>4314</v>
      </c>
      <c r="G1419" t="str">
        <f>custodian!D1419</f>
        <v>81141R100</v>
      </c>
      <c r="H1419" t="str">
        <f>_xll.BDP($B1419,"ID_ISIN")</f>
        <v>US81141R1005</v>
      </c>
      <c r="I1419" s="1" t="s">
        <v>4313</v>
      </c>
      <c r="J1419" t="str">
        <f>_xll.BDP($B1419,"CNTRY_OF_DOMICILE")</f>
        <v>SG</v>
      </c>
      <c r="K1419" t="s">
        <v>98</v>
      </c>
      <c r="L1419" t="s">
        <v>99</v>
      </c>
      <c r="O1419" s="1"/>
      <c r="AQ1419" s="1"/>
      <c r="AR1419" s="1"/>
      <c r="AS1419" s="1"/>
    </row>
    <row r="1420" spans="1:45" x14ac:dyDescent="0.25">
      <c r="A1420" t="s">
        <v>4198</v>
      </c>
      <c r="B1420" t="s">
        <v>355</v>
      </c>
      <c r="C1420" s="1" t="s">
        <v>356</v>
      </c>
      <c r="D1420" t="s">
        <v>357</v>
      </c>
      <c r="E1420" t="str">
        <f>_xll.BDP($B1420,"LEGAL_ENTITY_IDENTIFIER")</f>
        <v>549300SW81JCMVZDDY09</v>
      </c>
      <c r="F1420" t="s">
        <v>357</v>
      </c>
      <c r="G1420" t="str">
        <f>custodian!D1420</f>
        <v>83406F102</v>
      </c>
      <c r="H1420" t="str">
        <f>_xll.BDP($B1420,"ID_ISIN")</f>
        <v>US83406F1021</v>
      </c>
      <c r="I1420" s="1" t="s">
        <v>356</v>
      </c>
      <c r="J1420" t="str">
        <f>_xll.BDP($B1420,"CNTRY_OF_DOMICILE")</f>
        <v>US</v>
      </c>
      <c r="K1420" t="s">
        <v>98</v>
      </c>
      <c r="L1420" t="s">
        <v>99</v>
      </c>
      <c r="O1420" s="1"/>
      <c r="AQ1420" s="1"/>
      <c r="AR1420" s="1"/>
      <c r="AS1420" s="1"/>
    </row>
    <row r="1421" spans="1:45" x14ac:dyDescent="0.25">
      <c r="A1421" t="s">
        <v>4198</v>
      </c>
      <c r="B1421" t="s">
        <v>4315</v>
      </c>
      <c r="C1421" s="1" t="s">
        <v>4316</v>
      </c>
      <c r="D1421" t="s">
        <v>4317</v>
      </c>
      <c r="E1421" t="str">
        <f>_xll.BDP($B1421,"LEGAL_ENTITY_IDENTIFIER")</f>
        <v>549300O1A9LEF0XZCR35</v>
      </c>
      <c r="F1421" t="s">
        <v>4317</v>
      </c>
      <c r="G1421" t="str">
        <f>custodian!D1421</f>
        <v>G85158106</v>
      </c>
      <c r="H1421" t="str">
        <f>_xll.BDP($B1421,"ID_ISIN")</f>
        <v>KYG851581069</v>
      </c>
      <c r="I1421" s="1" t="s">
        <v>4316</v>
      </c>
      <c r="J1421" t="str">
        <f>_xll.BDP($B1421,"CNTRY_OF_DOMICILE")</f>
        <v>BR</v>
      </c>
      <c r="K1421" t="s">
        <v>98</v>
      </c>
      <c r="L1421" t="s">
        <v>99</v>
      </c>
      <c r="O1421" s="1"/>
      <c r="AQ1421" s="1"/>
      <c r="AR1421" s="1"/>
      <c r="AS1421" s="1"/>
    </row>
    <row r="1422" spans="1:45" x14ac:dyDescent="0.25">
      <c r="A1422" t="s">
        <v>4198</v>
      </c>
      <c r="B1422" t="s">
        <v>4318</v>
      </c>
      <c r="C1422" s="1" t="s">
        <v>4319</v>
      </c>
      <c r="D1422" t="s">
        <v>4320</v>
      </c>
      <c r="E1422" t="str">
        <f>_xll.BDP($B1422,"LEGAL_ENTITY_IDENTIFIER")</f>
        <v>549300TN1PZNLCD4I551</v>
      </c>
      <c r="F1422" t="s">
        <v>4320</v>
      </c>
      <c r="G1422" t="str">
        <f>custodian!D1422</f>
        <v>888787108</v>
      </c>
      <c r="H1422" t="str">
        <f>_xll.BDP($B1422,"ID_ISIN")</f>
        <v>US8887871080</v>
      </c>
      <c r="I1422" s="1" t="s">
        <v>4319</v>
      </c>
      <c r="J1422" t="str">
        <f>_xll.BDP($B1422,"CNTRY_OF_DOMICILE")</f>
        <v>US</v>
      </c>
      <c r="K1422" t="s">
        <v>98</v>
      </c>
      <c r="L1422" t="s">
        <v>99</v>
      </c>
      <c r="O1422" s="1"/>
      <c r="AQ1422" s="1"/>
      <c r="AR1422" s="1"/>
      <c r="AS1422" s="1"/>
    </row>
    <row r="1423" spans="1:45" x14ac:dyDescent="0.25">
      <c r="A1423" t="s">
        <v>4198</v>
      </c>
      <c r="B1423" t="s">
        <v>4321</v>
      </c>
      <c r="C1423" s="1" t="s">
        <v>4322</v>
      </c>
      <c r="D1423" t="s">
        <v>4323</v>
      </c>
      <c r="E1423" t="str">
        <f>_xll.BDP($B1423,"LEGAL_ENTITY_IDENTIFIER")</f>
        <v>549300ISY5YHUJZTON08</v>
      </c>
      <c r="F1423" t="s">
        <v>4323</v>
      </c>
      <c r="G1423" t="str">
        <f>custodian!D1423</f>
        <v>52603B107</v>
      </c>
      <c r="H1423" t="str">
        <f>_xll.BDP($B1423,"ID_ISIN")</f>
        <v>US52603B1070</v>
      </c>
      <c r="I1423" s="1" t="s">
        <v>4322</v>
      </c>
      <c r="J1423" t="str">
        <f>_xll.BDP($B1423,"CNTRY_OF_DOMICILE")</f>
        <v>US</v>
      </c>
      <c r="K1423" t="s">
        <v>98</v>
      </c>
      <c r="L1423" t="s">
        <v>99</v>
      </c>
      <c r="O1423" s="1"/>
      <c r="AQ1423" s="1"/>
      <c r="AR1423" s="1"/>
      <c r="AS1423" s="1"/>
    </row>
    <row r="1424" spans="1:45" x14ac:dyDescent="0.25">
      <c r="A1424" t="s">
        <v>4198</v>
      </c>
      <c r="B1424" t="s">
        <v>4324</v>
      </c>
      <c r="C1424" s="1" t="s">
        <v>4325</v>
      </c>
      <c r="D1424" t="s">
        <v>4326</v>
      </c>
      <c r="E1424" t="str">
        <f>_xll.BDP($B1424,"LEGAL_ENTITY_IDENTIFIER")</f>
        <v>549300WNB47JRNENIC75</v>
      </c>
      <c r="F1424" t="s">
        <v>4326</v>
      </c>
      <c r="G1424" t="str">
        <f>custodian!D1424</f>
        <v>91680M107</v>
      </c>
      <c r="H1424" t="str">
        <f>_xll.BDP($B1424,"ID_ISIN")</f>
        <v>US91680M1071</v>
      </c>
      <c r="I1424" s="1" t="s">
        <v>4325</v>
      </c>
      <c r="J1424" t="str">
        <f>_xll.BDP($B1424,"CNTRY_OF_DOMICILE")</f>
        <v>US</v>
      </c>
      <c r="K1424" t="s">
        <v>98</v>
      </c>
      <c r="L1424" t="s">
        <v>99</v>
      </c>
      <c r="O1424" s="1"/>
      <c r="AQ1424" s="1"/>
      <c r="AR1424" s="1"/>
      <c r="AS1424" s="1"/>
    </row>
    <row r="1425" spans="1:45" x14ac:dyDescent="0.25">
      <c r="A1425" t="s">
        <v>4198</v>
      </c>
      <c r="B1425" t="s">
        <v>368</v>
      </c>
      <c r="C1425" s="1" t="s">
        <v>369</v>
      </c>
      <c r="D1425" t="s">
        <v>370</v>
      </c>
      <c r="E1425" t="str">
        <f>_xll.BDP($B1425,"LEGAL_ENTITY_IDENTIFIER")</f>
        <v>549300JZ4OKEHW3DPJ59</v>
      </c>
      <c r="F1425" t="s">
        <v>370</v>
      </c>
      <c r="G1425" t="str">
        <f>custodian!D1425</f>
        <v>92826C839</v>
      </c>
      <c r="H1425" t="str">
        <f>_xll.BDP($B1425,"ID_ISIN")</f>
        <v>US92826C8394</v>
      </c>
      <c r="I1425" s="1" t="s">
        <v>369</v>
      </c>
      <c r="J1425" t="str">
        <f>_xll.BDP($B1425,"CNTRY_OF_DOMICILE")</f>
        <v>US</v>
      </c>
      <c r="K1425" t="s">
        <v>98</v>
      </c>
      <c r="L1425" t="s">
        <v>99</v>
      </c>
      <c r="O1425" s="1"/>
      <c r="AQ1425" s="1"/>
      <c r="AR1425" s="1"/>
      <c r="AS1425" s="1"/>
    </row>
    <row r="1426" spans="1:45" x14ac:dyDescent="0.25">
      <c r="A1426" t="s">
        <v>4198</v>
      </c>
      <c r="B1426" t="s">
        <v>4327</v>
      </c>
      <c r="C1426" s="1" t="s">
        <v>4328</v>
      </c>
      <c r="D1426" t="s">
        <v>4329</v>
      </c>
      <c r="E1426" t="str">
        <f>_xll.BDP($B1426,"LEGAL_ENTITY_IDENTIFIER")</f>
        <v>T9M5IGROL1TL1G5OV478</v>
      </c>
      <c r="F1426" t="s">
        <v>4329</v>
      </c>
      <c r="G1426" t="str">
        <f>custodian!D1426</f>
        <v>96208T104</v>
      </c>
      <c r="H1426" t="str">
        <f>_xll.BDP($B1426,"ID_ISIN")</f>
        <v>US96208T1043</v>
      </c>
      <c r="I1426" s="1" t="s">
        <v>4328</v>
      </c>
      <c r="J1426" t="str">
        <f>_xll.BDP($B1426,"CNTRY_OF_DOMICILE")</f>
        <v>US</v>
      </c>
      <c r="K1426" t="s">
        <v>98</v>
      </c>
      <c r="L1426" t="s">
        <v>99</v>
      </c>
      <c r="O1426" s="1"/>
      <c r="AQ1426" s="1"/>
      <c r="AR1426" s="1"/>
      <c r="AS1426" s="1"/>
    </row>
    <row r="1427" spans="1:45" x14ac:dyDescent="0.25">
      <c r="A1427" t="s">
        <v>4198</v>
      </c>
      <c r="B1427" t="s">
        <v>4330</v>
      </c>
      <c r="C1427" s="1" t="s">
        <v>4331</v>
      </c>
      <c r="D1427" t="s">
        <v>4332</v>
      </c>
      <c r="E1427" t="str">
        <f>_xll.BDP($B1427,"LEGAL_ENTITY_IDENTIFIER")</f>
        <v>254900H4LJLUHGFJYM32</v>
      </c>
      <c r="F1427" t="s">
        <v>4332</v>
      </c>
      <c r="G1427" t="str">
        <f>custodian!D1427</f>
        <v>947002101</v>
      </c>
      <c r="H1427" t="str">
        <f>_xll.BDP($B1427,"ID_ISIN")</f>
        <v>US9470021018</v>
      </c>
      <c r="I1427" s="1" t="s">
        <v>4331</v>
      </c>
      <c r="J1427" t="str">
        <f>_xll.BDP($B1427,"CNTRY_OF_DOMICILE")</f>
        <v>US</v>
      </c>
      <c r="K1427" t="s">
        <v>98</v>
      </c>
      <c r="L1427" t="s">
        <v>99</v>
      </c>
      <c r="O1427" s="1"/>
      <c r="AQ1427" s="1"/>
      <c r="AR1427" s="1"/>
      <c r="AS1427" s="1"/>
    </row>
    <row r="1428" spans="1:45" x14ac:dyDescent="0.25">
      <c r="A1428" t="s">
        <v>4198</v>
      </c>
      <c r="B1428" t="s">
        <v>4333</v>
      </c>
      <c r="C1428" s="1" t="s">
        <v>4334</v>
      </c>
      <c r="D1428" t="s">
        <v>4335</v>
      </c>
      <c r="E1428" t="str">
        <f>_xll.BDP($B1428,"LEGAL_ENTITY_IDENTIFIER")</f>
        <v>28ID94QU1140NC23S047</v>
      </c>
      <c r="F1428" t="s">
        <v>4335</v>
      </c>
      <c r="G1428" t="str">
        <f>custodian!D1428</f>
        <v>959802109</v>
      </c>
      <c r="H1428" t="str">
        <f>_xll.BDP($B1428,"ID_ISIN")</f>
        <v>US9598021098</v>
      </c>
      <c r="I1428" s="1" t="s">
        <v>4334</v>
      </c>
      <c r="J1428" t="str">
        <f>_xll.BDP($B1428,"CNTRY_OF_DOMICILE")</f>
        <v>US</v>
      </c>
      <c r="K1428" t="s">
        <v>98</v>
      </c>
      <c r="L1428" t="s">
        <v>99</v>
      </c>
      <c r="O1428" s="1"/>
      <c r="AQ1428" s="1"/>
      <c r="AR1428" s="1"/>
      <c r="AS1428" s="1"/>
    </row>
    <row r="1429" spans="1:45" x14ac:dyDescent="0.25">
      <c r="A1429" t="s">
        <v>4198</v>
      </c>
      <c r="B1429" t="s">
        <v>386</v>
      </c>
      <c r="C1429" s="1" t="s">
        <v>387</v>
      </c>
      <c r="D1429" t="s">
        <v>388</v>
      </c>
      <c r="E1429" t="str">
        <f>_xll.BDP($B1429,"LEGAL_ENTITY_IDENTIFIER")</f>
        <v>549300OHIIUWSTIZME52</v>
      </c>
      <c r="F1429" t="s">
        <v>388</v>
      </c>
      <c r="G1429" t="str">
        <f>custodian!D1429</f>
        <v>852234103</v>
      </c>
      <c r="H1429" t="str">
        <f>_xll.BDP($B1429,"ID_ISIN")</f>
        <v>US8522341036</v>
      </c>
      <c r="I1429" s="1" t="s">
        <v>387</v>
      </c>
      <c r="J1429" t="str">
        <f>_xll.BDP($B1429,"CNTRY_OF_DOMICILE")</f>
        <v>US</v>
      </c>
      <c r="K1429" t="s">
        <v>98</v>
      </c>
      <c r="L1429" t="s">
        <v>99</v>
      </c>
      <c r="O1429" s="1"/>
      <c r="AQ1429" s="1"/>
      <c r="AR1429" s="1"/>
      <c r="AS1429" s="1"/>
    </row>
    <row r="1430" spans="1:45" x14ac:dyDescent="0.25">
      <c r="A1430" t="s">
        <v>4198</v>
      </c>
      <c r="C1430" s="1" t="s">
        <v>52</v>
      </c>
      <c r="E1430" s="1"/>
      <c r="G1430" t="str">
        <f>custodian!D1430</f>
        <v>Cash&amp;Other</v>
      </c>
      <c r="H1430" s="1"/>
      <c r="I1430" s="1"/>
      <c r="O1430" s="1"/>
      <c r="AQ1430" s="1"/>
      <c r="AR1430" s="1"/>
      <c r="AS1430" s="1"/>
    </row>
    <row r="1431" spans="1:45" x14ac:dyDescent="0.25">
      <c r="A1431" t="s">
        <v>4336</v>
      </c>
      <c r="B1431" t="s">
        <v>4337</v>
      </c>
      <c r="C1431" s="1" t="s">
        <v>4338</v>
      </c>
      <c r="D1431" t="s">
        <v>56</v>
      </c>
      <c r="E1431" s="1" t="s">
        <v>56</v>
      </c>
      <c r="F1431" t="s">
        <v>4339</v>
      </c>
      <c r="G1431" t="str">
        <f>custodian!D1431</f>
        <v>65487K100-TRS-12/01/27-L-CANT</v>
      </c>
      <c r="H1431" s="1"/>
      <c r="I1431" s="1" t="s">
        <v>4338</v>
      </c>
      <c r="J1431" t="s">
        <v>58</v>
      </c>
      <c r="K1431" t="s">
        <v>59</v>
      </c>
      <c r="L1431" t="s">
        <v>60</v>
      </c>
      <c r="M1431" t="s">
        <v>61</v>
      </c>
      <c r="N1431" t="s">
        <v>62</v>
      </c>
      <c r="O1431" s="1" t="s">
        <v>63</v>
      </c>
      <c r="V1431" t="s">
        <v>64</v>
      </c>
      <c r="Y1431" t="s">
        <v>65</v>
      </c>
      <c r="Z1431" t="s">
        <v>66</v>
      </c>
      <c r="AA1431" t="s">
        <v>4340</v>
      </c>
      <c r="AB1431" t="s">
        <v>68</v>
      </c>
      <c r="AD1431" t="s">
        <v>4340</v>
      </c>
      <c r="AE1431" t="s">
        <v>4341</v>
      </c>
      <c r="AF1431" t="s">
        <v>70</v>
      </c>
      <c r="AG1431" t="s">
        <v>4342</v>
      </c>
      <c r="AH1431" t="s">
        <v>72</v>
      </c>
      <c r="AI1431" t="s">
        <v>73</v>
      </c>
      <c r="AK1431" t="s">
        <v>4340</v>
      </c>
      <c r="AL1431" t="s">
        <v>68</v>
      </c>
      <c r="AM1431" t="s">
        <v>74</v>
      </c>
      <c r="AN1431" t="s">
        <v>75</v>
      </c>
      <c r="AO1431" t="str">
        <f>_xll.BDP($B1431,"ISSUER")</f>
        <v>nLight Inc</v>
      </c>
      <c r="AP1431" t="str">
        <f>_xll.BDP($B1431,"NAME")</f>
        <v>NLIGHT INC</v>
      </c>
      <c r="AQ1431" s="1" t="s">
        <v>4343</v>
      </c>
      <c r="AR1431" t="str">
        <f>_xll.BDP($B1431,"ID_ISIN")</f>
        <v>US65487K1007</v>
      </c>
      <c r="AS1431" t="str">
        <f>_xll.BDP($B1431,"TICKER")</f>
        <v>LASR</v>
      </c>
    </row>
    <row r="1432" spans="1:45" x14ac:dyDescent="0.25">
      <c r="A1432" t="s">
        <v>4336</v>
      </c>
      <c r="B1432" t="s">
        <v>77</v>
      </c>
      <c r="C1432" s="1" t="s">
        <v>78</v>
      </c>
      <c r="D1432" t="s">
        <v>79</v>
      </c>
      <c r="E1432" t="str">
        <f>_xll.BDP($B1432,"LEGAL_ENTITY_IDENTIFIER")</f>
        <v>549300R5MYM6VZF1RM44</v>
      </c>
      <c r="F1432" t="s">
        <v>80</v>
      </c>
      <c r="G1432" t="str">
        <f>custodian!D1432</f>
        <v>31846V336</v>
      </c>
      <c r="H1432" t="str">
        <f>_xll.BDP($B1432,"ID_ISIN")</f>
        <v>US31846V3362</v>
      </c>
      <c r="I1432" s="1" t="s">
        <v>78</v>
      </c>
      <c r="J1432" t="str">
        <f>_xll.BDP($B1432,"CNTRY_OF_DOMICILE")</f>
        <v>US</v>
      </c>
      <c r="K1432" t="s">
        <v>81</v>
      </c>
      <c r="L1432" t="s">
        <v>82</v>
      </c>
      <c r="O1432" s="1"/>
      <c r="AQ1432" s="1"/>
      <c r="AR1432" s="1"/>
      <c r="AS1432" s="1"/>
    </row>
    <row r="1433" spans="1:45" x14ac:dyDescent="0.25">
      <c r="A1433" t="s">
        <v>4336</v>
      </c>
      <c r="C1433" s="1" t="s">
        <v>52</v>
      </c>
      <c r="E1433" s="1"/>
      <c r="G1433" t="str">
        <f>custodian!D1433</f>
        <v>Cash&amp;Other</v>
      </c>
      <c r="H1433" s="1"/>
      <c r="I1433" s="1"/>
      <c r="O1433" s="1"/>
      <c r="AQ1433" s="1"/>
      <c r="AR1433" s="1"/>
      <c r="AS1433" s="1"/>
    </row>
    <row r="1434" spans="1:45" x14ac:dyDescent="0.25">
      <c r="A1434" t="s">
        <v>4344</v>
      </c>
      <c r="B1434" t="s">
        <v>229</v>
      </c>
      <c r="C1434" s="1" t="s">
        <v>230</v>
      </c>
      <c r="D1434" t="s">
        <v>231</v>
      </c>
      <c r="E1434" t="str">
        <f>_xll.BDP($B1434,"LEGAL_ENTITY_IDENTIFIER")</f>
        <v>#N/A N/A</v>
      </c>
      <c r="F1434" t="s">
        <v>231</v>
      </c>
      <c r="G1434" t="str">
        <f>custodian!D1434</f>
        <v>00827B106</v>
      </c>
      <c r="H1434" t="str">
        <f>_xll.BDP($B1434,"ID_ISIN")</f>
        <v>US00827B1061</v>
      </c>
      <c r="I1434" s="1" t="s">
        <v>230</v>
      </c>
      <c r="J1434" t="str">
        <f>_xll.BDP($B1434,"CNTRY_OF_DOMICILE")</f>
        <v>US</v>
      </c>
      <c r="K1434" t="s">
        <v>98</v>
      </c>
      <c r="L1434" t="s">
        <v>99</v>
      </c>
      <c r="O1434" s="1"/>
      <c r="AQ1434" s="1"/>
      <c r="AR1434" s="1"/>
      <c r="AS1434" s="1"/>
    </row>
    <row r="1435" spans="1:45" x14ac:dyDescent="0.25">
      <c r="A1435" t="s">
        <v>4344</v>
      </c>
      <c r="B1435" t="s">
        <v>4345</v>
      </c>
      <c r="C1435" s="1" t="s">
        <v>4346</v>
      </c>
      <c r="D1435" t="s">
        <v>4347</v>
      </c>
      <c r="E1435" t="str">
        <f>_xll.BDP($B1435,"LEGAL_ENTITY_IDENTIFIER")</f>
        <v>549300G8S4PO686J7H97</v>
      </c>
      <c r="F1435" t="s">
        <v>4347</v>
      </c>
      <c r="G1435" t="str">
        <f>custodian!D1435</f>
        <v>018581108</v>
      </c>
      <c r="H1435" t="str">
        <f>_xll.BDP($B1435,"ID_ISIN")</f>
        <v>US0185811082</v>
      </c>
      <c r="I1435" s="1" t="s">
        <v>4346</v>
      </c>
      <c r="J1435" t="str">
        <f>_xll.BDP($B1435,"CNTRY_OF_DOMICILE")</f>
        <v>US</v>
      </c>
      <c r="K1435" t="s">
        <v>98</v>
      </c>
      <c r="L1435" t="s">
        <v>99</v>
      </c>
      <c r="O1435" s="1"/>
      <c r="AQ1435" s="1"/>
      <c r="AR1435" s="1"/>
      <c r="AS1435" s="1"/>
    </row>
    <row r="1436" spans="1:45" x14ac:dyDescent="0.25">
      <c r="A1436" t="s">
        <v>4344</v>
      </c>
      <c r="B1436" t="s">
        <v>77</v>
      </c>
      <c r="C1436" s="1" t="s">
        <v>78</v>
      </c>
      <c r="D1436" t="s">
        <v>79</v>
      </c>
      <c r="E1436" t="str">
        <f>_xll.BDP($B1436,"LEGAL_ENTITY_IDENTIFIER")</f>
        <v>549300R5MYM6VZF1RM44</v>
      </c>
      <c r="F1436" t="s">
        <v>80</v>
      </c>
      <c r="G1436" t="str">
        <f>custodian!D1436</f>
        <v>31846V336</v>
      </c>
      <c r="H1436" t="str">
        <f>_xll.BDP($B1436,"ID_ISIN")</f>
        <v>US31846V3362</v>
      </c>
      <c r="I1436" s="1" t="s">
        <v>78</v>
      </c>
      <c r="J1436" t="str">
        <f>_xll.BDP($B1436,"CNTRY_OF_DOMICILE")</f>
        <v>US</v>
      </c>
      <c r="K1436" t="s">
        <v>81</v>
      </c>
      <c r="L1436" t="s">
        <v>82</v>
      </c>
      <c r="O1436" s="1"/>
      <c r="AQ1436" s="1"/>
      <c r="AR1436" s="1"/>
      <c r="AS1436" s="1"/>
    </row>
    <row r="1437" spans="1:45" x14ac:dyDescent="0.25">
      <c r="A1437" t="s">
        <v>4344</v>
      </c>
      <c r="B1437" t="s">
        <v>4348</v>
      </c>
      <c r="C1437" s="1" t="s">
        <v>4349</v>
      </c>
      <c r="D1437" t="s">
        <v>4350</v>
      </c>
      <c r="E1437" t="str">
        <f>_xll.BDP($B1437,"LEGAL_ENTITY_IDENTIFIER")</f>
        <v>3003000RAVUT809U6P08</v>
      </c>
      <c r="F1437" t="s">
        <v>4350</v>
      </c>
      <c r="G1437" t="str">
        <f>custodian!D1437</f>
        <v>31810T101</v>
      </c>
      <c r="H1437" t="str">
        <f>_xll.BDP($B1437,"ID_ISIN")</f>
        <v>US31810T1016</v>
      </c>
      <c r="I1437" s="1" t="s">
        <v>4349</v>
      </c>
      <c r="J1437" t="str">
        <f>_xll.BDP($B1437,"CNTRY_OF_DOMICILE")</f>
        <v>CN</v>
      </c>
      <c r="K1437" t="s">
        <v>98</v>
      </c>
      <c r="L1437" t="s">
        <v>99</v>
      </c>
      <c r="O1437" s="1"/>
      <c r="AQ1437" s="1"/>
      <c r="AR1437" s="1"/>
      <c r="AS1437" s="1"/>
    </row>
    <row r="1438" spans="1:45" x14ac:dyDescent="0.25">
      <c r="A1438" t="s">
        <v>4344</v>
      </c>
      <c r="B1438" t="s">
        <v>4351</v>
      </c>
      <c r="C1438" s="1" t="s">
        <v>4352</v>
      </c>
      <c r="D1438" t="s">
        <v>4353</v>
      </c>
      <c r="E1438" t="str">
        <f>_xll.BDP($B1438,"LEGAL_ENTITY_IDENTIFIER")</f>
        <v>636700HER4JIK7GZUN17</v>
      </c>
      <c r="F1438" t="s">
        <v>4353</v>
      </c>
      <c r="G1438" t="str">
        <f>custodian!D1438</f>
        <v>G5279N105</v>
      </c>
      <c r="H1438" t="str">
        <f>_xll.BDP($B1438,"ID_ISIN")</f>
        <v>GB00BMHVL512</v>
      </c>
      <c r="I1438" s="1" t="s">
        <v>4352</v>
      </c>
      <c r="J1438" t="str">
        <f>_xll.BDP($B1438,"CNTRY_OF_DOMICILE")</f>
        <v>GB</v>
      </c>
      <c r="K1438" t="s">
        <v>98</v>
      </c>
      <c r="L1438" t="s">
        <v>99</v>
      </c>
      <c r="O1438" s="1"/>
      <c r="AQ1438" s="1"/>
      <c r="AR1438" s="1"/>
      <c r="AS1438" s="1"/>
    </row>
    <row r="1439" spans="1:45" x14ac:dyDescent="0.25">
      <c r="A1439" t="s">
        <v>4344</v>
      </c>
      <c r="B1439" t="s">
        <v>4257</v>
      </c>
      <c r="C1439" s="1" t="s">
        <v>4258</v>
      </c>
      <c r="D1439" t="s">
        <v>4259</v>
      </c>
      <c r="E1439" t="str">
        <f>_xll.BDP($B1439,"LEGAL_ENTITY_IDENTIFIER")</f>
        <v>2549003YU6FARG8OAZ13</v>
      </c>
      <c r="F1439" t="s">
        <v>4259</v>
      </c>
      <c r="G1439" t="str">
        <f>custodian!D1439</f>
        <v>48581R205</v>
      </c>
      <c r="H1439" t="str">
        <f>_xll.BDP($B1439,"ID_ISIN")</f>
        <v>US48581R2058</v>
      </c>
      <c r="I1439" s="1" t="s">
        <v>4258</v>
      </c>
      <c r="J1439" t="str">
        <f>_xll.BDP($B1439,"CNTRY_OF_DOMICILE")</f>
        <v>KZ</v>
      </c>
      <c r="K1439" t="s">
        <v>98</v>
      </c>
      <c r="L1439" t="s">
        <v>99</v>
      </c>
      <c r="O1439" s="1"/>
      <c r="AQ1439" s="1"/>
      <c r="AR1439" s="1"/>
      <c r="AS1439" s="1"/>
    </row>
    <row r="1440" spans="1:45" x14ac:dyDescent="0.25">
      <c r="A1440" t="s">
        <v>4344</v>
      </c>
      <c r="B1440" t="s">
        <v>4263</v>
      </c>
      <c r="C1440" s="1" t="s">
        <v>4264</v>
      </c>
      <c r="D1440" t="s">
        <v>4265</v>
      </c>
      <c r="E1440" t="str">
        <f>_xll.BDP($B1440,"LEGAL_ENTITY_IDENTIFIER")</f>
        <v>AR5L2ODV9HN37376R084</v>
      </c>
      <c r="F1440" t="s">
        <v>4265</v>
      </c>
      <c r="G1440" t="str">
        <f>custodian!D1440</f>
        <v>57636Q104</v>
      </c>
      <c r="H1440" t="str">
        <f>_xll.BDP($B1440,"ID_ISIN")</f>
        <v>US57636Q1040</v>
      </c>
      <c r="I1440" s="1" t="s">
        <v>4264</v>
      </c>
      <c r="J1440" t="str">
        <f>_xll.BDP($B1440,"CNTRY_OF_DOMICILE")</f>
        <v>US</v>
      </c>
      <c r="K1440" t="s">
        <v>98</v>
      </c>
      <c r="L1440" t="s">
        <v>99</v>
      </c>
      <c r="O1440" s="1"/>
      <c r="AQ1440" s="1"/>
      <c r="AR1440" s="1"/>
      <c r="AS1440" s="1"/>
    </row>
    <row r="1441" spans="1:45" x14ac:dyDescent="0.25">
      <c r="A1441" t="s">
        <v>4344</v>
      </c>
      <c r="B1441" t="s">
        <v>4266</v>
      </c>
      <c r="C1441" s="1" t="s">
        <v>4267</v>
      </c>
      <c r="D1441" t="s">
        <v>4268</v>
      </c>
      <c r="E1441" t="str">
        <f>_xll.BDP($B1441,"LEGAL_ENTITY_IDENTIFIER")</f>
        <v>549300DKPDN9M5S8GB14</v>
      </c>
      <c r="F1441" t="s">
        <v>4268</v>
      </c>
      <c r="G1441" t="str">
        <f>custodian!D1441</f>
        <v>58733R102</v>
      </c>
      <c r="H1441" t="str">
        <f>_xll.BDP($B1441,"ID_ISIN")</f>
        <v>US58733R1023</v>
      </c>
      <c r="I1441" s="1" t="s">
        <v>4267</v>
      </c>
      <c r="J1441" t="str">
        <f>_xll.BDP($B1441,"CNTRY_OF_DOMICILE")</f>
        <v>UY</v>
      </c>
      <c r="K1441" t="s">
        <v>98</v>
      </c>
      <c r="L1441" t="s">
        <v>99</v>
      </c>
      <c r="O1441" s="1"/>
      <c r="AQ1441" s="1"/>
      <c r="AR1441" s="1"/>
      <c r="AS1441" s="1"/>
    </row>
    <row r="1442" spans="1:45" x14ac:dyDescent="0.25">
      <c r="A1442" t="s">
        <v>4344</v>
      </c>
      <c r="B1442" t="s">
        <v>3521</v>
      </c>
      <c r="C1442" s="1" t="s">
        <v>3522</v>
      </c>
      <c r="D1442" t="s">
        <v>3523</v>
      </c>
      <c r="E1442" t="str">
        <f>_xll.BDP($B1442,"LEGAL_ENTITY_IDENTIFIER")</f>
        <v>549300ABZAQ3R25XG118</v>
      </c>
      <c r="F1442" t="s">
        <v>3523</v>
      </c>
      <c r="G1442" t="str">
        <f>custodian!D1442</f>
        <v>606710200</v>
      </c>
      <c r="H1442" t="str">
        <f>_xll.BDP($B1442,"ID_ISIN")</f>
        <v>US6067102003</v>
      </c>
      <c r="I1442" s="1" t="s">
        <v>3522</v>
      </c>
      <c r="J1442" t="str">
        <f>_xll.BDP($B1442,"CNTRY_OF_DOMICILE")</f>
        <v>US</v>
      </c>
      <c r="K1442" t="s">
        <v>98</v>
      </c>
      <c r="L1442" t="s">
        <v>99</v>
      </c>
      <c r="O1442" s="1"/>
      <c r="AQ1442" s="1"/>
      <c r="AR1442" s="1"/>
      <c r="AS1442" s="1"/>
    </row>
    <row r="1443" spans="1:45" x14ac:dyDescent="0.25">
      <c r="A1443" t="s">
        <v>4344</v>
      </c>
      <c r="B1443" t="s">
        <v>4273</v>
      </c>
      <c r="C1443" s="1" t="s">
        <v>4274</v>
      </c>
      <c r="D1443" t="s">
        <v>4275</v>
      </c>
      <c r="E1443" t="str">
        <f>_xll.BDP($B1443,"LEGAL_ENTITY_IDENTIFIER")</f>
        <v>254900UZARK0FMZGZE18</v>
      </c>
      <c r="F1443" t="s">
        <v>4275</v>
      </c>
      <c r="G1443" t="str">
        <f>custodian!D1443</f>
        <v>57142B104</v>
      </c>
      <c r="H1443" t="str">
        <f>_xll.BDP($B1443,"ID_ISIN")</f>
        <v>US57142B1044</v>
      </c>
      <c r="I1443" s="1" t="s">
        <v>4274</v>
      </c>
      <c r="J1443" t="str">
        <f>_xll.BDP($B1443,"CNTRY_OF_DOMICILE")</f>
        <v>US</v>
      </c>
      <c r="K1443" t="s">
        <v>98</v>
      </c>
      <c r="L1443" t="s">
        <v>99</v>
      </c>
      <c r="O1443" s="1"/>
      <c r="AQ1443" s="1"/>
      <c r="AR1443" s="1"/>
      <c r="AS1443" s="1"/>
    </row>
    <row r="1444" spans="1:45" x14ac:dyDescent="0.25">
      <c r="A1444" t="s">
        <v>4344</v>
      </c>
      <c r="B1444" t="s">
        <v>3603</v>
      </c>
      <c r="C1444" s="1" t="s">
        <v>3604</v>
      </c>
      <c r="D1444" t="s">
        <v>3605</v>
      </c>
      <c r="E1444" t="str">
        <f>_xll.BDP($B1444,"LEGAL_ENTITY_IDENTIFIER")</f>
        <v>5493002DG1RHWK9W2X27</v>
      </c>
      <c r="F1444" t="s">
        <v>3605</v>
      </c>
      <c r="G1444" t="str">
        <f>custodian!D1444</f>
        <v>G6683N103</v>
      </c>
      <c r="H1444" t="str">
        <f>_xll.BDP($B1444,"ID_ISIN")</f>
        <v>KYG6683N1034</v>
      </c>
      <c r="I1444" s="1" t="s">
        <v>3604</v>
      </c>
      <c r="J1444" t="str">
        <f>_xll.BDP($B1444,"CNTRY_OF_DOMICILE")</f>
        <v>BR</v>
      </c>
      <c r="K1444" t="s">
        <v>98</v>
      </c>
      <c r="L1444" t="s">
        <v>99</v>
      </c>
      <c r="O1444" s="1"/>
      <c r="AQ1444" s="1"/>
      <c r="AR1444" s="1"/>
      <c r="AS1444" s="1"/>
    </row>
    <row r="1445" spans="1:45" x14ac:dyDescent="0.25">
      <c r="A1445" t="s">
        <v>4344</v>
      </c>
      <c r="B1445" t="s">
        <v>4354</v>
      </c>
      <c r="C1445" s="1" t="s">
        <v>4355</v>
      </c>
      <c r="D1445" t="s">
        <v>4356</v>
      </c>
      <c r="E1445" t="str">
        <f>_xll.BDP($B1445,"LEGAL_ENTITY_IDENTIFIER")</f>
        <v>549300E3VEW8SMS5XW09</v>
      </c>
      <c r="F1445" t="s">
        <v>4356</v>
      </c>
      <c r="G1445" t="str">
        <f>custodian!D1445</f>
        <v>68268W103</v>
      </c>
      <c r="H1445" t="str">
        <f>_xll.BDP($B1445,"ID_ISIN")</f>
        <v>US68268W1036</v>
      </c>
      <c r="I1445" s="1" t="s">
        <v>4355</v>
      </c>
      <c r="J1445" t="str">
        <f>_xll.BDP($B1445,"CNTRY_OF_DOMICILE")</f>
        <v>US</v>
      </c>
      <c r="K1445" t="s">
        <v>98</v>
      </c>
      <c r="L1445" t="s">
        <v>99</v>
      </c>
      <c r="O1445" s="1"/>
      <c r="AQ1445" s="1"/>
      <c r="AR1445" s="1"/>
      <c r="AS1445" s="1"/>
    </row>
    <row r="1446" spans="1:45" x14ac:dyDescent="0.25">
      <c r="A1446" t="s">
        <v>4344</v>
      </c>
      <c r="B1446" t="s">
        <v>4357</v>
      </c>
      <c r="C1446" s="1" t="s">
        <v>4358</v>
      </c>
      <c r="D1446" t="s">
        <v>4359</v>
      </c>
      <c r="E1446" t="str">
        <f>_xll.BDP($B1446,"LEGAL_ENTITY_IDENTIFIER")</f>
        <v>#N/A N/A</v>
      </c>
      <c r="F1446" t="s">
        <v>4359</v>
      </c>
      <c r="G1446" t="str">
        <f>custodian!D1446</f>
        <v>68386H103</v>
      </c>
      <c r="H1446" t="str">
        <f>_xll.BDP($B1446,"ID_ISIN")</f>
        <v>US68386H1032</v>
      </c>
      <c r="I1446" s="1" t="s">
        <v>4358</v>
      </c>
      <c r="J1446" t="str">
        <f>_xll.BDP($B1446,"CNTRY_OF_DOMICILE")</f>
        <v>US</v>
      </c>
      <c r="K1446" t="s">
        <v>98</v>
      </c>
      <c r="L1446" t="s">
        <v>99</v>
      </c>
      <c r="O1446" s="1"/>
      <c r="AQ1446" s="1"/>
      <c r="AR1446" s="1"/>
      <c r="AS1446" s="1"/>
    </row>
    <row r="1447" spans="1:45" x14ac:dyDescent="0.25">
      <c r="A1447" t="s">
        <v>4344</v>
      </c>
      <c r="B1447" t="s">
        <v>4294</v>
      </c>
      <c r="C1447" s="1" t="s">
        <v>4295</v>
      </c>
      <c r="D1447" t="s">
        <v>4296</v>
      </c>
      <c r="E1447" t="str">
        <f>_xll.BDP($B1447,"LEGAL_ENTITY_IDENTIFIER")</f>
        <v>#N/A N/A</v>
      </c>
      <c r="F1447" t="s">
        <v>4296</v>
      </c>
      <c r="G1447" t="str">
        <f>custodian!D1447</f>
        <v>M7S64L123</v>
      </c>
      <c r="H1447" t="str">
        <f>_xll.BDP($B1447,"ID_ISIN")</f>
        <v>IL0011858912</v>
      </c>
      <c r="I1447" s="1" t="s">
        <v>4295</v>
      </c>
      <c r="J1447" t="str">
        <f>_xll.BDP($B1447,"CNTRY_OF_DOMICILE")</f>
        <v>US</v>
      </c>
      <c r="K1447" t="s">
        <v>98</v>
      </c>
      <c r="L1447" t="s">
        <v>99</v>
      </c>
      <c r="O1447" s="1"/>
      <c r="AQ1447" s="1"/>
      <c r="AR1447" s="1"/>
      <c r="AS1447" s="1"/>
    </row>
    <row r="1448" spans="1:45" x14ac:dyDescent="0.25">
      <c r="A1448" t="s">
        <v>4344</v>
      </c>
      <c r="B1448" t="s">
        <v>476</v>
      </c>
      <c r="C1448" s="1" t="s">
        <v>477</v>
      </c>
      <c r="D1448" t="s">
        <v>478</v>
      </c>
      <c r="E1448" t="str">
        <f>_xll.BDP($B1448,"LEGAL_ENTITY_IDENTIFIER")</f>
        <v>5493005X2GO78EFZ3E94</v>
      </c>
      <c r="F1448" t="s">
        <v>478</v>
      </c>
      <c r="G1448" t="str">
        <f>custodian!D1448</f>
        <v>70450Y103</v>
      </c>
      <c r="H1448" t="str">
        <f>_xll.BDP($B1448,"ID_ISIN")</f>
        <v>US70450Y1038</v>
      </c>
      <c r="I1448" s="1" t="s">
        <v>477</v>
      </c>
      <c r="J1448" t="str">
        <f>_xll.BDP($B1448,"CNTRY_OF_DOMICILE")</f>
        <v>US</v>
      </c>
      <c r="K1448" t="s">
        <v>98</v>
      </c>
      <c r="L1448" t="s">
        <v>99</v>
      </c>
      <c r="O1448" s="1"/>
      <c r="AQ1448" s="1"/>
      <c r="AR1448" s="1"/>
      <c r="AS1448" s="1"/>
    </row>
    <row r="1449" spans="1:45" x14ac:dyDescent="0.25">
      <c r="A1449" t="s">
        <v>4344</v>
      </c>
      <c r="B1449" t="s">
        <v>4312</v>
      </c>
      <c r="C1449" s="1" t="s">
        <v>4313</v>
      </c>
      <c r="D1449" t="s">
        <v>4314</v>
      </c>
      <c r="E1449" t="str">
        <f>_xll.BDP($B1449,"LEGAL_ENTITY_IDENTIFIER")</f>
        <v>529900OM6JLLW44YKI15</v>
      </c>
      <c r="F1449" t="s">
        <v>4314</v>
      </c>
      <c r="G1449" t="str">
        <f>custodian!D1449</f>
        <v>81141R100</v>
      </c>
      <c r="H1449" t="str">
        <f>_xll.BDP($B1449,"ID_ISIN")</f>
        <v>US81141R1005</v>
      </c>
      <c r="I1449" s="1" t="s">
        <v>4313</v>
      </c>
      <c r="J1449" t="str">
        <f>_xll.BDP($B1449,"CNTRY_OF_DOMICILE")</f>
        <v>SG</v>
      </c>
      <c r="K1449" t="s">
        <v>98</v>
      </c>
      <c r="L1449" t="s">
        <v>99</v>
      </c>
      <c r="O1449" s="1"/>
      <c r="AQ1449" s="1"/>
      <c r="AR1449" s="1"/>
      <c r="AS1449" s="1"/>
    </row>
    <row r="1450" spans="1:45" x14ac:dyDescent="0.25">
      <c r="A1450" t="s">
        <v>4344</v>
      </c>
      <c r="B1450" t="s">
        <v>4360</v>
      </c>
      <c r="C1450" s="1" t="s">
        <v>4361</v>
      </c>
      <c r="D1450" t="s">
        <v>4362</v>
      </c>
      <c r="E1450" t="str">
        <f>_xll.BDP($B1450,"LEGAL_ENTITY_IDENTIFIER")</f>
        <v>9845000CA64541AE3I35</v>
      </c>
      <c r="F1450" t="s">
        <v>4362</v>
      </c>
      <c r="G1450" t="str">
        <f>custodian!D1450</f>
        <v>78435P105</v>
      </c>
      <c r="H1450" t="str">
        <f>_xll.BDP($B1450,"ID_ISIN")</f>
        <v>US78435P1057</v>
      </c>
      <c r="I1450" s="1" t="s">
        <v>4361</v>
      </c>
      <c r="J1450" t="str">
        <f>_xll.BDP($B1450,"CNTRY_OF_DOMICILE")</f>
        <v>US</v>
      </c>
      <c r="K1450" t="s">
        <v>98</v>
      </c>
      <c r="L1450" t="s">
        <v>99</v>
      </c>
      <c r="O1450" s="1"/>
      <c r="AQ1450" s="1"/>
      <c r="AR1450" s="1"/>
      <c r="AS1450" s="1"/>
    </row>
    <row r="1451" spans="1:45" x14ac:dyDescent="0.25">
      <c r="A1451" t="s">
        <v>4344</v>
      </c>
      <c r="B1451" t="s">
        <v>3615</v>
      </c>
      <c r="C1451" s="1" t="s">
        <v>3616</v>
      </c>
      <c r="D1451" t="s">
        <v>3617</v>
      </c>
      <c r="E1451" t="str">
        <f>_xll.BDP($B1451,"LEGAL_ENTITY_IDENTIFIER")</f>
        <v>549300HGQ43STJLLP808</v>
      </c>
      <c r="F1451" t="s">
        <v>3617</v>
      </c>
      <c r="G1451" t="str">
        <f>custodian!D1451</f>
        <v>82509L107</v>
      </c>
      <c r="H1451" t="str">
        <f>_xll.BDP($B1451,"ID_ISIN")</f>
        <v>CA82509L1076</v>
      </c>
      <c r="I1451" s="1" t="s">
        <v>3616</v>
      </c>
      <c r="J1451" t="str">
        <f>_xll.BDP($B1451,"CNTRY_OF_DOMICILE")</f>
        <v>CA</v>
      </c>
      <c r="K1451" t="s">
        <v>98</v>
      </c>
      <c r="L1451" t="s">
        <v>99</v>
      </c>
      <c r="O1451" s="1"/>
      <c r="AQ1451" s="1"/>
      <c r="AR1451" s="1"/>
      <c r="AS1451" s="1"/>
    </row>
    <row r="1452" spans="1:45" x14ac:dyDescent="0.25">
      <c r="A1452" t="s">
        <v>4344</v>
      </c>
      <c r="B1452" t="s">
        <v>4363</v>
      </c>
      <c r="C1452" s="1" t="s">
        <v>4364</v>
      </c>
      <c r="D1452" t="s">
        <v>4365</v>
      </c>
      <c r="E1452" t="str">
        <f>_xll.BDP($B1452,"LEGAL_ENTITY_IDENTIFIER")</f>
        <v>549300RS7EWPM9MA6C78</v>
      </c>
      <c r="F1452" t="s">
        <v>4365</v>
      </c>
      <c r="G1452" t="str">
        <f>custodian!D1452</f>
        <v>87165B103</v>
      </c>
      <c r="H1452" t="str">
        <f>_xll.BDP($B1452,"ID_ISIN")</f>
        <v>US87165B1035</v>
      </c>
      <c r="I1452" s="1" t="s">
        <v>4364</v>
      </c>
      <c r="J1452" t="str">
        <f>_xll.BDP($B1452,"CNTRY_OF_DOMICILE")</f>
        <v>US</v>
      </c>
      <c r="K1452" t="s">
        <v>98</v>
      </c>
      <c r="L1452" t="s">
        <v>99</v>
      </c>
      <c r="O1452" s="1"/>
      <c r="AQ1452" s="1"/>
      <c r="AR1452" s="1"/>
      <c r="AS1452" s="1"/>
    </row>
    <row r="1453" spans="1:45" x14ac:dyDescent="0.25">
      <c r="A1453" t="s">
        <v>4344</v>
      </c>
      <c r="B1453" t="s">
        <v>4324</v>
      </c>
      <c r="C1453" s="1" t="s">
        <v>4325</v>
      </c>
      <c r="D1453" t="s">
        <v>4326</v>
      </c>
      <c r="E1453" t="str">
        <f>_xll.BDP($B1453,"LEGAL_ENTITY_IDENTIFIER")</f>
        <v>549300WNB47JRNENIC75</v>
      </c>
      <c r="F1453" t="s">
        <v>4326</v>
      </c>
      <c r="G1453" t="str">
        <f>custodian!D1453</f>
        <v>91680M107</v>
      </c>
      <c r="H1453" t="str">
        <f>_xll.BDP($B1453,"ID_ISIN")</f>
        <v>US91680M1071</v>
      </c>
      <c r="I1453" s="1" t="s">
        <v>4325</v>
      </c>
      <c r="J1453" t="str">
        <f>_xll.BDP($B1453,"CNTRY_OF_DOMICILE")</f>
        <v>US</v>
      </c>
      <c r="K1453" t="s">
        <v>98</v>
      </c>
      <c r="L1453" t="s">
        <v>99</v>
      </c>
      <c r="O1453" s="1"/>
      <c r="AQ1453" s="1"/>
      <c r="AR1453" s="1"/>
      <c r="AS1453" s="1"/>
    </row>
    <row r="1454" spans="1:45" x14ac:dyDescent="0.25">
      <c r="A1454" t="s">
        <v>4344</v>
      </c>
      <c r="B1454" t="s">
        <v>368</v>
      </c>
      <c r="C1454" s="1" t="s">
        <v>369</v>
      </c>
      <c r="D1454" t="s">
        <v>370</v>
      </c>
      <c r="E1454" t="str">
        <f>_xll.BDP($B1454,"LEGAL_ENTITY_IDENTIFIER")</f>
        <v>549300JZ4OKEHW3DPJ59</v>
      </c>
      <c r="F1454" t="s">
        <v>370</v>
      </c>
      <c r="G1454" t="str">
        <f>custodian!D1454</f>
        <v>92826C839</v>
      </c>
      <c r="H1454" t="str">
        <f>_xll.BDP($B1454,"ID_ISIN")</f>
        <v>US92826C8394</v>
      </c>
      <c r="I1454" s="1" t="s">
        <v>369</v>
      </c>
      <c r="J1454" t="str">
        <f>_xll.BDP($B1454,"CNTRY_OF_DOMICILE")</f>
        <v>US</v>
      </c>
      <c r="K1454" t="s">
        <v>98</v>
      </c>
      <c r="L1454" t="s">
        <v>99</v>
      </c>
      <c r="O1454" s="1"/>
      <c r="AQ1454" s="1"/>
      <c r="AR1454" s="1"/>
      <c r="AS1454" s="1"/>
    </row>
    <row r="1455" spans="1:45" x14ac:dyDescent="0.25">
      <c r="A1455" t="s">
        <v>4344</v>
      </c>
      <c r="B1455" t="s">
        <v>386</v>
      </c>
      <c r="C1455" s="1" t="s">
        <v>387</v>
      </c>
      <c r="D1455" t="s">
        <v>388</v>
      </c>
      <c r="E1455" t="str">
        <f>_xll.BDP($B1455,"LEGAL_ENTITY_IDENTIFIER")</f>
        <v>549300OHIIUWSTIZME52</v>
      </c>
      <c r="F1455" t="s">
        <v>388</v>
      </c>
      <c r="G1455" t="str">
        <f>custodian!D1455</f>
        <v>852234103</v>
      </c>
      <c r="H1455" t="str">
        <f>_xll.BDP($B1455,"ID_ISIN")</f>
        <v>US8522341036</v>
      </c>
      <c r="I1455" s="1" t="s">
        <v>387</v>
      </c>
      <c r="J1455" t="str">
        <f>_xll.BDP($B1455,"CNTRY_OF_DOMICILE")</f>
        <v>US</v>
      </c>
      <c r="K1455" t="s">
        <v>98</v>
      </c>
      <c r="L1455" t="s">
        <v>99</v>
      </c>
      <c r="O1455" s="1"/>
      <c r="AQ1455" s="1"/>
      <c r="AR1455" s="1"/>
      <c r="AS1455" s="1"/>
    </row>
    <row r="1456" spans="1:45" x14ac:dyDescent="0.25">
      <c r="A1456" t="s">
        <v>4344</v>
      </c>
      <c r="C1456" s="1" t="s">
        <v>52</v>
      </c>
      <c r="E1456" s="1"/>
      <c r="G1456" t="str">
        <f>custodian!D1456</f>
        <v>Cash&amp;Other</v>
      </c>
      <c r="H1456" s="1"/>
      <c r="I1456" s="1"/>
      <c r="O1456" s="1"/>
      <c r="AQ1456" s="1"/>
      <c r="AR1456" s="1"/>
      <c r="AS1456" s="1"/>
    </row>
    <row r="1457" spans="1:48" x14ac:dyDescent="0.25">
      <c r="A1457" t="s">
        <v>4366</v>
      </c>
      <c r="B1457" t="s">
        <v>4367</v>
      </c>
      <c r="C1457" s="1" t="s">
        <v>4368</v>
      </c>
      <c r="D1457" t="s">
        <v>56</v>
      </c>
      <c r="E1457" s="1" t="s">
        <v>56</v>
      </c>
      <c r="F1457" t="s">
        <v>4369</v>
      </c>
      <c r="G1457" t="str">
        <f>custodian!D1457</f>
        <v>86333M108-TRS-12/01/27-L-CANT</v>
      </c>
      <c r="H1457" s="1"/>
      <c r="I1457" s="1" t="s">
        <v>4368</v>
      </c>
      <c r="J1457" t="s">
        <v>58</v>
      </c>
      <c r="K1457" t="s">
        <v>59</v>
      </c>
      <c r="L1457" t="s">
        <v>60</v>
      </c>
      <c r="M1457" t="s">
        <v>61</v>
      </c>
      <c r="N1457" t="s">
        <v>62</v>
      </c>
      <c r="O1457" s="1" t="s">
        <v>63</v>
      </c>
      <c r="V1457" t="s">
        <v>64</v>
      </c>
      <c r="Y1457" t="s">
        <v>65</v>
      </c>
      <c r="Z1457" t="s">
        <v>66</v>
      </c>
      <c r="AA1457" t="s">
        <v>4370</v>
      </c>
      <c r="AB1457" t="s">
        <v>68</v>
      </c>
      <c r="AD1457" t="s">
        <v>4370</v>
      </c>
      <c r="AE1457" t="s">
        <v>4371</v>
      </c>
      <c r="AF1457" t="s">
        <v>70</v>
      </c>
      <c r="AG1457" t="s">
        <v>4372</v>
      </c>
      <c r="AH1457" t="s">
        <v>72</v>
      </c>
      <c r="AI1457" t="s">
        <v>73</v>
      </c>
      <c r="AK1457" t="s">
        <v>4370</v>
      </c>
      <c r="AL1457" t="s">
        <v>68</v>
      </c>
      <c r="AM1457" t="s">
        <v>74</v>
      </c>
      <c r="AN1457" t="s">
        <v>75</v>
      </c>
      <c r="AO1457" t="str">
        <f>_xll.BDP($B1457,"ISSUER")</f>
        <v>Stride Inc</v>
      </c>
      <c r="AP1457" t="str">
        <f>_xll.BDP($B1457,"NAME")</f>
        <v>STRIDE INC</v>
      </c>
      <c r="AQ1457" s="1" t="s">
        <v>4373</v>
      </c>
      <c r="AR1457" t="str">
        <f>_xll.BDP($B1457,"ID_ISIN")</f>
        <v>US86333M1080</v>
      </c>
      <c r="AS1457" t="str">
        <f>_xll.BDP($B1457,"TICKER")</f>
        <v>LRN</v>
      </c>
    </row>
    <row r="1458" spans="1:48" x14ac:dyDescent="0.25">
      <c r="A1458" t="s">
        <v>4366</v>
      </c>
      <c r="B1458" t="s">
        <v>77</v>
      </c>
      <c r="C1458" s="1" t="s">
        <v>78</v>
      </c>
      <c r="D1458" t="s">
        <v>79</v>
      </c>
      <c r="E1458" t="str">
        <f>_xll.BDP($B1458,"LEGAL_ENTITY_IDENTIFIER")</f>
        <v>549300R5MYM6VZF1RM44</v>
      </c>
      <c r="F1458" t="s">
        <v>80</v>
      </c>
      <c r="G1458" t="str">
        <f>custodian!D1458</f>
        <v>31846V336</v>
      </c>
      <c r="H1458" t="str">
        <f>_xll.BDP($B1458,"ID_ISIN")</f>
        <v>US31846V3362</v>
      </c>
      <c r="I1458" s="1" t="s">
        <v>78</v>
      </c>
      <c r="J1458" t="str">
        <f>_xll.BDP($B1458,"CNTRY_OF_DOMICILE")</f>
        <v>US</v>
      </c>
      <c r="K1458" t="s">
        <v>81</v>
      </c>
      <c r="L1458" t="s">
        <v>82</v>
      </c>
      <c r="O1458" s="1"/>
      <c r="AQ1458" s="1"/>
      <c r="AR1458" s="1"/>
      <c r="AS1458" s="1"/>
    </row>
    <row r="1459" spans="1:48" x14ac:dyDescent="0.25">
      <c r="A1459" t="s">
        <v>4366</v>
      </c>
      <c r="C1459" s="1" t="s">
        <v>52</v>
      </c>
      <c r="E1459" s="1"/>
      <c r="G1459" t="str">
        <f>custodian!D1459</f>
        <v>Cash&amp;Other</v>
      </c>
      <c r="H1459" s="1"/>
      <c r="I1459" s="1"/>
      <c r="O1459" s="1"/>
      <c r="AQ1459" s="1"/>
      <c r="AR1459" s="1"/>
      <c r="AS1459" s="1"/>
    </row>
    <row r="1460" spans="1:48" x14ac:dyDescent="0.25">
      <c r="A1460" t="s">
        <v>4374</v>
      </c>
      <c r="C1460" s="1" t="s">
        <v>2688</v>
      </c>
      <c r="D1460" t="s">
        <v>2689</v>
      </c>
      <c r="E1460" s="1" t="s">
        <v>56</v>
      </c>
      <c r="F1460" t="s">
        <v>2689</v>
      </c>
      <c r="G1460" t="str">
        <f>custodian!D1460</f>
        <v>2SPY  270430C00143730</v>
      </c>
      <c r="H1460" s="1"/>
      <c r="I1460" s="1" t="s">
        <v>2690</v>
      </c>
      <c r="J1460" t="s">
        <v>58</v>
      </c>
      <c r="K1460" t="s">
        <v>59</v>
      </c>
      <c r="L1460" t="s">
        <v>99</v>
      </c>
      <c r="M1460" t="s">
        <v>2598</v>
      </c>
      <c r="N1460" t="s">
        <v>2599</v>
      </c>
      <c r="O1460" s="1" t="s">
        <v>2600</v>
      </c>
      <c r="P1460" t="s">
        <v>2601</v>
      </c>
      <c r="Q1460" t="s">
        <v>2602</v>
      </c>
      <c r="R1460" t="s">
        <v>2691</v>
      </c>
      <c r="S1460" t="s">
        <v>68</v>
      </c>
      <c r="T1460" t="s">
        <v>2692</v>
      </c>
      <c r="U1460" t="s">
        <v>56</v>
      </c>
      <c r="V1460" t="s">
        <v>2605</v>
      </c>
      <c r="W1460" t="s">
        <v>2606</v>
      </c>
      <c r="X1460" t="s">
        <v>2607</v>
      </c>
      <c r="AD1460" t="s">
        <v>4375</v>
      </c>
      <c r="AE1460" t="s">
        <v>4376</v>
      </c>
      <c r="AQ1460" s="1"/>
      <c r="AR1460" s="1"/>
      <c r="AS1460" s="1"/>
    </row>
    <row r="1461" spans="1:48" x14ac:dyDescent="0.25">
      <c r="A1461" t="s">
        <v>4374</v>
      </c>
      <c r="C1461" s="1" t="s">
        <v>4377</v>
      </c>
      <c r="D1461" t="s">
        <v>4378</v>
      </c>
      <c r="E1461" s="1" t="s">
        <v>56</v>
      </c>
      <c r="F1461" t="s">
        <v>4378</v>
      </c>
      <c r="G1461" t="str">
        <f>custodian!D1461</f>
        <v>2SPY  270430C00815680</v>
      </c>
      <c r="H1461" s="1"/>
      <c r="I1461" s="1" t="s">
        <v>4379</v>
      </c>
      <c r="J1461" t="s">
        <v>58</v>
      </c>
      <c r="K1461" t="s">
        <v>59</v>
      </c>
      <c r="L1461" t="s">
        <v>99</v>
      </c>
      <c r="M1461" t="s">
        <v>2598</v>
      </c>
      <c r="N1461" t="s">
        <v>2599</v>
      </c>
      <c r="O1461" s="1" t="s">
        <v>2600</v>
      </c>
      <c r="P1461" t="s">
        <v>2601</v>
      </c>
      <c r="Q1461" t="s">
        <v>2613</v>
      </c>
      <c r="R1461" t="s">
        <v>4380</v>
      </c>
      <c r="S1461" t="s">
        <v>68</v>
      </c>
      <c r="T1461" t="s">
        <v>2692</v>
      </c>
      <c r="U1461" t="s">
        <v>56</v>
      </c>
      <c r="V1461" t="s">
        <v>2605</v>
      </c>
      <c r="W1461" t="s">
        <v>2606</v>
      </c>
      <c r="X1461" t="s">
        <v>2607</v>
      </c>
      <c r="AD1461" t="s">
        <v>4381</v>
      </c>
      <c r="AE1461" t="s">
        <v>4382</v>
      </c>
      <c r="AQ1461" s="1"/>
      <c r="AR1461" s="1"/>
      <c r="AS1461" s="1"/>
    </row>
    <row r="1462" spans="1:48" x14ac:dyDescent="0.25">
      <c r="A1462" t="s">
        <v>4374</v>
      </c>
      <c r="C1462" s="1" t="s">
        <v>4383</v>
      </c>
      <c r="D1462" t="s">
        <v>4384</v>
      </c>
      <c r="E1462" s="1" t="s">
        <v>56</v>
      </c>
      <c r="F1462" t="s">
        <v>4384</v>
      </c>
      <c r="G1462" t="str">
        <f>custodian!D1462</f>
        <v>2SPY  270430P00646790</v>
      </c>
      <c r="H1462" s="1"/>
      <c r="I1462" s="1" t="s">
        <v>4385</v>
      </c>
      <c r="J1462" t="s">
        <v>58</v>
      </c>
      <c r="K1462" t="s">
        <v>59</v>
      </c>
      <c r="L1462" t="s">
        <v>99</v>
      </c>
      <c r="M1462" t="s">
        <v>2598</v>
      </c>
      <c r="N1462" t="s">
        <v>2599</v>
      </c>
      <c r="O1462" s="1" t="s">
        <v>2600</v>
      </c>
      <c r="P1462" t="s">
        <v>2620</v>
      </c>
      <c r="Q1462" t="s">
        <v>2613</v>
      </c>
      <c r="R1462" t="s">
        <v>4386</v>
      </c>
      <c r="S1462" t="s">
        <v>68</v>
      </c>
      <c r="T1462" t="s">
        <v>2692</v>
      </c>
      <c r="U1462" t="s">
        <v>56</v>
      </c>
      <c r="V1462" t="s">
        <v>2605</v>
      </c>
      <c r="W1462" t="s">
        <v>2606</v>
      </c>
      <c r="X1462" t="s">
        <v>2607</v>
      </c>
      <c r="AD1462" t="s">
        <v>4387</v>
      </c>
      <c r="AE1462" t="s">
        <v>4388</v>
      </c>
      <c r="AQ1462" s="1"/>
      <c r="AR1462" s="1"/>
      <c r="AS1462" s="1"/>
    </row>
    <row r="1463" spans="1:48" x14ac:dyDescent="0.25">
      <c r="A1463" t="s">
        <v>4374</v>
      </c>
      <c r="C1463" s="1" t="s">
        <v>2707</v>
      </c>
      <c r="D1463" t="s">
        <v>2708</v>
      </c>
      <c r="E1463" s="1" t="s">
        <v>56</v>
      </c>
      <c r="F1463" t="s">
        <v>2708</v>
      </c>
      <c r="G1463" t="str">
        <f>custodian!D1463</f>
        <v>2SPY  270430P00718660</v>
      </c>
      <c r="H1463" s="1"/>
      <c r="I1463" s="1" t="s">
        <v>2709</v>
      </c>
      <c r="J1463" t="s">
        <v>58</v>
      </c>
      <c r="K1463" t="s">
        <v>59</v>
      </c>
      <c r="L1463" t="s">
        <v>99</v>
      </c>
      <c r="M1463" t="s">
        <v>2598</v>
      </c>
      <c r="N1463" t="s">
        <v>2599</v>
      </c>
      <c r="O1463" s="1" t="s">
        <v>2600</v>
      </c>
      <c r="P1463" t="s">
        <v>2620</v>
      </c>
      <c r="Q1463" t="s">
        <v>2602</v>
      </c>
      <c r="R1463" t="s">
        <v>2710</v>
      </c>
      <c r="S1463" t="s">
        <v>68</v>
      </c>
      <c r="T1463" t="s">
        <v>2692</v>
      </c>
      <c r="U1463" t="s">
        <v>56</v>
      </c>
      <c r="V1463" t="s">
        <v>2605</v>
      </c>
      <c r="W1463" t="s">
        <v>2606</v>
      </c>
      <c r="X1463" t="s">
        <v>2607</v>
      </c>
      <c r="AD1463" t="s">
        <v>4389</v>
      </c>
      <c r="AE1463" t="s">
        <v>4390</v>
      </c>
      <c r="AQ1463" s="1"/>
      <c r="AR1463" s="1"/>
      <c r="AS1463" s="1"/>
    </row>
    <row r="1464" spans="1:48" x14ac:dyDescent="0.25">
      <c r="A1464" t="s">
        <v>4374</v>
      </c>
      <c r="B1464" t="s">
        <v>2713</v>
      </c>
      <c r="C1464" s="1" t="s">
        <v>2714</v>
      </c>
      <c r="D1464" t="s">
        <v>1574</v>
      </c>
      <c r="E1464" t="str">
        <f>_xll.BDP($B1464,"LEGAL_ENTITY_IDENTIFIER")</f>
        <v>254900HROIFWPRGM1V77</v>
      </c>
      <c r="F1464" t="s">
        <v>2715</v>
      </c>
      <c r="G1464" t="str">
        <f>custodian!D1464</f>
        <v>912828ZN3</v>
      </c>
      <c r="H1464" t="str">
        <f>_xll.BDP($B1464,"ID_ISIN")</f>
        <v>US912828ZN34</v>
      </c>
      <c r="I1464" s="1"/>
      <c r="J1464" t="str">
        <f>_xll.BDP($B1464,"CNTRY_OF_DOMICILE")</f>
        <v>US</v>
      </c>
      <c r="K1464" t="s">
        <v>626</v>
      </c>
      <c r="L1464" t="s">
        <v>627</v>
      </c>
      <c r="O1464" s="1"/>
      <c r="AQ1464" s="1"/>
      <c r="AR1464" s="1"/>
      <c r="AS1464" s="1"/>
      <c r="AT1464" t="str">
        <f>TEXT(_xll.BDP($B1464,"MATURITY"),"yyyy-mm-dd")</f>
        <v>2027-04-30</v>
      </c>
      <c r="AU1464" t="str">
        <f>_xll.BDP($B1464,"CPN_TYP")</f>
        <v>FIXED</v>
      </c>
      <c r="AV1464">
        <f>_xll.BDP($B1464,"CPN")</f>
        <v>0.5</v>
      </c>
    </row>
    <row r="1465" spans="1:48" x14ac:dyDescent="0.25">
      <c r="A1465" t="s">
        <v>4374</v>
      </c>
      <c r="B1465" t="s">
        <v>77</v>
      </c>
      <c r="C1465" s="1" t="s">
        <v>78</v>
      </c>
      <c r="D1465" t="s">
        <v>79</v>
      </c>
      <c r="E1465" t="str">
        <f>_xll.BDP($B1465,"LEGAL_ENTITY_IDENTIFIER")</f>
        <v>549300R5MYM6VZF1RM44</v>
      </c>
      <c r="F1465" t="s">
        <v>80</v>
      </c>
      <c r="G1465" t="str">
        <f>custodian!D1465</f>
        <v>31846V336</v>
      </c>
      <c r="H1465" t="str">
        <f>_xll.BDP($B1465,"ID_ISIN")</f>
        <v>US31846V3362</v>
      </c>
      <c r="I1465" s="1" t="s">
        <v>78</v>
      </c>
      <c r="J1465" t="str">
        <f>_xll.BDP($B1465,"CNTRY_OF_DOMICILE")</f>
        <v>US</v>
      </c>
      <c r="K1465" t="s">
        <v>81</v>
      </c>
      <c r="L1465" t="s">
        <v>82</v>
      </c>
      <c r="O1465" s="1"/>
      <c r="AQ1465" s="1"/>
      <c r="AR1465" s="1"/>
      <c r="AS1465" s="1"/>
    </row>
    <row r="1466" spans="1:48" x14ac:dyDescent="0.25">
      <c r="A1466" t="s">
        <v>4374</v>
      </c>
      <c r="C1466" s="1" t="s">
        <v>52</v>
      </c>
      <c r="E1466" s="1"/>
      <c r="G1466" t="str">
        <f>custodian!D1466</f>
        <v>Cash&amp;Other</v>
      </c>
      <c r="H1466" s="1"/>
      <c r="I1466" s="1"/>
      <c r="O1466" s="1"/>
      <c r="AQ1466" s="1"/>
      <c r="AR1466" s="1"/>
      <c r="AS1466" s="1"/>
    </row>
    <row r="1467" spans="1:48" x14ac:dyDescent="0.25">
      <c r="A1467" t="s">
        <v>4391</v>
      </c>
      <c r="B1467" t="s">
        <v>4392</v>
      </c>
      <c r="C1467" s="1" t="s">
        <v>4393</v>
      </c>
      <c r="D1467" t="s">
        <v>56</v>
      </c>
      <c r="E1467" s="1" t="s">
        <v>56</v>
      </c>
      <c r="F1467" t="s">
        <v>4394</v>
      </c>
      <c r="G1467" t="str">
        <f>custodian!D1467</f>
        <v>921910816-TRS-07/05/27-L-MREX</v>
      </c>
      <c r="H1467" s="1"/>
      <c r="I1467" s="1" t="s">
        <v>4393</v>
      </c>
      <c r="J1467" t="s">
        <v>58</v>
      </c>
      <c r="K1467" t="s">
        <v>59</v>
      </c>
      <c r="L1467" t="s">
        <v>60</v>
      </c>
      <c r="M1467" t="s">
        <v>61</v>
      </c>
      <c r="N1467" t="s">
        <v>87</v>
      </c>
      <c r="O1467" s="1" t="s">
        <v>88</v>
      </c>
      <c r="V1467" t="s">
        <v>64</v>
      </c>
      <c r="Y1467" t="s">
        <v>65</v>
      </c>
      <c r="Z1467" t="s">
        <v>4395</v>
      </c>
      <c r="AA1467" t="s">
        <v>4396</v>
      </c>
      <c r="AB1467" t="s">
        <v>68</v>
      </c>
      <c r="AD1467" t="s">
        <v>4396</v>
      </c>
      <c r="AE1467" t="s">
        <v>4397</v>
      </c>
      <c r="AF1467" t="s">
        <v>70</v>
      </c>
      <c r="AG1467" t="s">
        <v>4398</v>
      </c>
      <c r="AH1467" t="s">
        <v>72</v>
      </c>
      <c r="AI1467" t="s">
        <v>73</v>
      </c>
      <c r="AK1467" t="s">
        <v>4396</v>
      </c>
      <c r="AL1467" t="s">
        <v>68</v>
      </c>
      <c r="AM1467" t="s">
        <v>74</v>
      </c>
      <c r="AN1467" t="s">
        <v>75</v>
      </c>
      <c r="AO1467" t="str">
        <f>_xll.BDP($B1467,"ISSUER")</f>
        <v>Vanguard Mega Cap Growth ETF</v>
      </c>
      <c r="AP1467" t="str">
        <f>_xll.BDP($B1467,"NAME")</f>
        <v>VANGUARD MEGA CAP GROWTH ETF</v>
      </c>
      <c r="AQ1467" s="1" t="s">
        <v>4399</v>
      </c>
      <c r="AR1467" t="str">
        <f>_xll.BDP($B1467,"ID_ISIN")</f>
        <v>US9219108167</v>
      </c>
      <c r="AS1467" t="str">
        <f>_xll.BDP($B1467,"TICKER")</f>
        <v>MGK</v>
      </c>
    </row>
    <row r="1468" spans="1:48" x14ac:dyDescent="0.25">
      <c r="A1468" t="s">
        <v>4391</v>
      </c>
      <c r="B1468" t="s">
        <v>77</v>
      </c>
      <c r="C1468" s="1" t="s">
        <v>78</v>
      </c>
      <c r="D1468" t="s">
        <v>79</v>
      </c>
      <c r="E1468" t="str">
        <f>_xll.BDP($B1468,"LEGAL_ENTITY_IDENTIFIER")</f>
        <v>549300R5MYM6VZF1RM44</v>
      </c>
      <c r="F1468" t="s">
        <v>80</v>
      </c>
      <c r="G1468" t="str">
        <f>custodian!D1468</f>
        <v>31846V336</v>
      </c>
      <c r="H1468" t="str">
        <f>_xll.BDP($B1468,"ID_ISIN")</f>
        <v>US31846V3362</v>
      </c>
      <c r="I1468" s="1" t="s">
        <v>78</v>
      </c>
      <c r="J1468" t="str">
        <f>_xll.BDP($B1468,"CNTRY_OF_DOMICILE")</f>
        <v>US</v>
      </c>
      <c r="K1468" t="s">
        <v>81</v>
      </c>
      <c r="L1468" t="s">
        <v>82</v>
      </c>
      <c r="O1468" s="1"/>
      <c r="AQ1468" s="1"/>
      <c r="AR1468" s="1"/>
      <c r="AS1468" s="1"/>
    </row>
    <row r="1469" spans="1:48" x14ac:dyDescent="0.25">
      <c r="A1469" t="s">
        <v>4391</v>
      </c>
      <c r="C1469" s="1" t="s">
        <v>52</v>
      </c>
      <c r="E1469" s="1"/>
      <c r="G1469" t="str">
        <f>custodian!D1469</f>
        <v>Cash&amp;Other</v>
      </c>
      <c r="H1469" s="1"/>
      <c r="I1469" s="1"/>
      <c r="O1469" s="1"/>
      <c r="AQ1469" s="1"/>
      <c r="AR1469" s="1"/>
      <c r="AS1469" s="1"/>
    </row>
    <row r="1470" spans="1:48" x14ac:dyDescent="0.25">
      <c r="A1470" t="s">
        <v>4400</v>
      </c>
      <c r="B1470" t="s">
        <v>4401</v>
      </c>
      <c r="C1470" s="1" t="s">
        <v>4402</v>
      </c>
      <c r="D1470" t="s">
        <v>56</v>
      </c>
      <c r="E1470" s="1" t="s">
        <v>56</v>
      </c>
      <c r="F1470" t="s">
        <v>4403</v>
      </c>
      <c r="G1470" t="str">
        <f>custodian!D1470</f>
        <v>61174X109-TRS-12/01/27-L-CANT</v>
      </c>
      <c r="H1470" s="1"/>
      <c r="I1470" s="1" t="s">
        <v>4402</v>
      </c>
      <c r="J1470" t="s">
        <v>58</v>
      </c>
      <c r="K1470" t="s">
        <v>59</v>
      </c>
      <c r="L1470" t="s">
        <v>60</v>
      </c>
      <c r="M1470" t="s">
        <v>61</v>
      </c>
      <c r="N1470" t="s">
        <v>62</v>
      </c>
      <c r="O1470" s="1" t="s">
        <v>63</v>
      </c>
      <c r="V1470" t="s">
        <v>64</v>
      </c>
      <c r="Y1470" t="s">
        <v>65</v>
      </c>
      <c r="Z1470" t="s">
        <v>66</v>
      </c>
      <c r="AA1470" t="s">
        <v>4404</v>
      </c>
      <c r="AB1470" t="s">
        <v>68</v>
      </c>
      <c r="AD1470" t="s">
        <v>4404</v>
      </c>
      <c r="AE1470" t="s">
        <v>4405</v>
      </c>
      <c r="AF1470" t="s">
        <v>70</v>
      </c>
      <c r="AG1470" t="s">
        <v>4406</v>
      </c>
      <c r="AH1470" t="s">
        <v>72</v>
      </c>
      <c r="AI1470" t="s">
        <v>73</v>
      </c>
      <c r="AK1470" t="s">
        <v>4404</v>
      </c>
      <c r="AL1470" t="s">
        <v>68</v>
      </c>
      <c r="AM1470" t="s">
        <v>74</v>
      </c>
      <c r="AN1470" t="s">
        <v>75</v>
      </c>
      <c r="AO1470" t="str">
        <f>_xll.BDP($B1470,"ISSUER")</f>
        <v>Monster Beverage Corp</v>
      </c>
      <c r="AP1470" t="str">
        <f>_xll.BDP($B1470,"NAME")</f>
        <v>MONSTER BEVERAGE CORP</v>
      </c>
      <c r="AQ1470" s="1" t="s">
        <v>4407</v>
      </c>
      <c r="AR1470" t="str">
        <f>_xll.BDP($B1470,"ID_ISIN")</f>
        <v>US61174X1090</v>
      </c>
      <c r="AS1470" t="str">
        <f>_xll.BDP($B1470,"TICKER")</f>
        <v>MNST</v>
      </c>
    </row>
    <row r="1471" spans="1:48" x14ac:dyDescent="0.25">
      <c r="A1471" t="s">
        <v>4400</v>
      </c>
      <c r="B1471" t="s">
        <v>77</v>
      </c>
      <c r="C1471" s="1" t="s">
        <v>78</v>
      </c>
      <c r="D1471" t="s">
        <v>79</v>
      </c>
      <c r="E1471" t="str">
        <f>_xll.BDP($B1471,"LEGAL_ENTITY_IDENTIFIER")</f>
        <v>549300R5MYM6VZF1RM44</v>
      </c>
      <c r="F1471" t="s">
        <v>80</v>
      </c>
      <c r="G1471" t="str">
        <f>custodian!D1471</f>
        <v>31846V336</v>
      </c>
      <c r="H1471" t="str">
        <f>_xll.BDP($B1471,"ID_ISIN")</f>
        <v>US31846V3362</v>
      </c>
      <c r="I1471" s="1" t="s">
        <v>78</v>
      </c>
      <c r="J1471" t="str">
        <f>_xll.BDP($B1471,"CNTRY_OF_DOMICILE")</f>
        <v>US</v>
      </c>
      <c r="K1471" t="s">
        <v>81</v>
      </c>
      <c r="L1471" t="s">
        <v>82</v>
      </c>
      <c r="O1471" s="1"/>
      <c r="AQ1471" s="1"/>
      <c r="AR1471" s="1"/>
      <c r="AS1471" s="1"/>
    </row>
    <row r="1472" spans="1:48" x14ac:dyDescent="0.25">
      <c r="A1472" t="s">
        <v>4400</v>
      </c>
      <c r="C1472" s="1" t="s">
        <v>52</v>
      </c>
      <c r="E1472" s="1"/>
      <c r="G1472" t="str">
        <f>custodian!D1472</f>
        <v>Cash&amp;Other</v>
      </c>
      <c r="H1472" s="1"/>
      <c r="I1472" s="1"/>
      <c r="O1472" s="1"/>
      <c r="AQ1472" s="1"/>
      <c r="AR1472" s="1"/>
      <c r="AS1472" s="1"/>
    </row>
    <row r="1473" spans="1:45" x14ac:dyDescent="0.25">
      <c r="A1473" t="s">
        <v>4408</v>
      </c>
      <c r="B1473" t="s">
        <v>4409</v>
      </c>
      <c r="C1473" s="1" t="s">
        <v>4410</v>
      </c>
      <c r="D1473" t="s">
        <v>56</v>
      </c>
      <c r="E1473" s="1" t="s">
        <v>56</v>
      </c>
      <c r="F1473" t="s">
        <v>4411</v>
      </c>
      <c r="G1473" t="str">
        <f>custodian!D1473</f>
        <v>620076307-TRS-12/01/27-L-CANT</v>
      </c>
      <c r="H1473" s="1"/>
      <c r="I1473" s="1" t="s">
        <v>4410</v>
      </c>
      <c r="J1473" t="s">
        <v>58</v>
      </c>
      <c r="K1473" t="s">
        <v>59</v>
      </c>
      <c r="L1473" t="s">
        <v>60</v>
      </c>
      <c r="M1473" t="s">
        <v>61</v>
      </c>
      <c r="N1473" t="s">
        <v>62</v>
      </c>
      <c r="O1473" s="1" t="s">
        <v>63</v>
      </c>
      <c r="V1473" t="s">
        <v>64</v>
      </c>
      <c r="Y1473" t="s">
        <v>65</v>
      </c>
      <c r="Z1473" t="s">
        <v>66</v>
      </c>
      <c r="AA1473" t="s">
        <v>4412</v>
      </c>
      <c r="AB1473" t="s">
        <v>68</v>
      </c>
      <c r="AD1473" t="s">
        <v>4412</v>
      </c>
      <c r="AE1473" t="s">
        <v>4413</v>
      </c>
      <c r="AF1473" t="s">
        <v>70</v>
      </c>
      <c r="AG1473" t="s">
        <v>4414</v>
      </c>
      <c r="AH1473" t="s">
        <v>72</v>
      </c>
      <c r="AI1473" t="s">
        <v>73</v>
      </c>
      <c r="AK1473" t="s">
        <v>4412</v>
      </c>
      <c r="AL1473" t="s">
        <v>68</v>
      </c>
      <c r="AM1473" t="s">
        <v>74</v>
      </c>
      <c r="AN1473" t="s">
        <v>75</v>
      </c>
      <c r="AO1473" t="str">
        <f>_xll.BDP($B1473,"ISSUER")</f>
        <v>Motorola Solutions Inc</v>
      </c>
      <c r="AP1473" t="str">
        <f>_xll.BDP($B1473,"NAME")</f>
        <v>MOTOROLA SOLUTIONS INC</v>
      </c>
      <c r="AQ1473" s="1" t="s">
        <v>4415</v>
      </c>
      <c r="AR1473" t="str">
        <f>_xll.BDP($B1473,"ID_ISIN")</f>
        <v>US6200763075</v>
      </c>
      <c r="AS1473" t="str">
        <f>_xll.BDP($B1473,"TICKER")</f>
        <v>MSI</v>
      </c>
    </row>
    <row r="1474" spans="1:45" x14ac:dyDescent="0.25">
      <c r="A1474" t="s">
        <v>4408</v>
      </c>
      <c r="B1474" t="s">
        <v>77</v>
      </c>
      <c r="C1474" s="1" t="s">
        <v>78</v>
      </c>
      <c r="D1474" t="s">
        <v>79</v>
      </c>
      <c r="E1474" t="str">
        <f>_xll.BDP($B1474,"LEGAL_ENTITY_IDENTIFIER")</f>
        <v>549300R5MYM6VZF1RM44</v>
      </c>
      <c r="F1474" t="s">
        <v>80</v>
      </c>
      <c r="G1474" t="str">
        <f>custodian!D1474</f>
        <v>31846V336</v>
      </c>
      <c r="H1474" t="str">
        <f>_xll.BDP($B1474,"ID_ISIN")</f>
        <v>US31846V3362</v>
      </c>
      <c r="I1474" s="1" t="s">
        <v>78</v>
      </c>
      <c r="J1474" t="str">
        <f>_xll.BDP($B1474,"CNTRY_OF_DOMICILE")</f>
        <v>US</v>
      </c>
      <c r="K1474" t="s">
        <v>81</v>
      </c>
      <c r="L1474" t="s">
        <v>82</v>
      </c>
      <c r="O1474" s="1"/>
      <c r="AQ1474" s="1"/>
      <c r="AR1474" s="1"/>
      <c r="AS1474" s="1"/>
    </row>
    <row r="1475" spans="1:45" x14ac:dyDescent="0.25">
      <c r="A1475" t="s">
        <v>4408</v>
      </c>
      <c r="C1475" s="1" t="s">
        <v>52</v>
      </c>
      <c r="E1475" s="1"/>
      <c r="G1475" t="str">
        <f>custodian!D1475</f>
        <v>Cash&amp;Other</v>
      </c>
      <c r="H1475" s="1"/>
      <c r="I1475" s="1"/>
      <c r="O1475" s="1"/>
      <c r="AQ1475" s="1"/>
      <c r="AR1475" s="1"/>
      <c r="AS1475" s="1"/>
    </row>
    <row r="1476" spans="1:45" x14ac:dyDescent="0.25">
      <c r="A1476" t="s">
        <v>4416</v>
      </c>
      <c r="B1476" t="s">
        <v>4417</v>
      </c>
      <c r="C1476" s="1" t="s">
        <v>4418</v>
      </c>
      <c r="D1476" t="s">
        <v>4419</v>
      </c>
      <c r="E1476" t="str">
        <f>_xll.BDP($B1476,"LEGAL_ENTITY_IDENTIFIER")</f>
        <v>ODVCVCQG2BP6VHV36M30</v>
      </c>
      <c r="F1476" t="s">
        <v>4420</v>
      </c>
      <c r="G1476" t="str">
        <f>custodian!D1476</f>
        <v>026874784</v>
      </c>
      <c r="H1476" t="str">
        <f>_xll.BDP($B1476,"ID_ISIN")</f>
        <v>US0268747849</v>
      </c>
      <c r="I1476" s="1" t="s">
        <v>4418</v>
      </c>
      <c r="J1476" t="str">
        <f>_xll.BDP($B1476,"CNTRY_OF_DOMICILE")</f>
        <v>US</v>
      </c>
      <c r="K1476" t="s">
        <v>98</v>
      </c>
      <c r="L1476" t="s">
        <v>99</v>
      </c>
      <c r="O1476" s="1"/>
      <c r="AQ1476" s="1"/>
      <c r="AR1476" s="1"/>
      <c r="AS1476" s="1"/>
    </row>
    <row r="1477" spans="1:45" x14ac:dyDescent="0.25">
      <c r="A1477" t="s">
        <v>4416</v>
      </c>
      <c r="B1477" t="s">
        <v>4421</v>
      </c>
      <c r="C1477" s="1" t="s">
        <v>4422</v>
      </c>
      <c r="D1477" t="s">
        <v>4423</v>
      </c>
      <c r="E1477" t="str">
        <f>_xll.BDP($B1477,"LEGAL_ENTITY_IDENTIFIER")</f>
        <v>H3F39CAXWQRVWURFXL38</v>
      </c>
      <c r="F1477" t="s">
        <v>4423</v>
      </c>
      <c r="G1477" t="str">
        <f>custodian!D1477</f>
        <v>04621X108</v>
      </c>
      <c r="H1477" t="str">
        <f>_xll.BDP($B1477,"ID_ISIN")</f>
        <v>US04621X1081</v>
      </c>
      <c r="I1477" s="1" t="s">
        <v>4422</v>
      </c>
      <c r="J1477" t="str">
        <f>_xll.BDP($B1477,"CNTRY_OF_DOMICILE")</f>
        <v>US</v>
      </c>
      <c r="K1477" t="s">
        <v>98</v>
      </c>
      <c r="L1477" t="s">
        <v>99</v>
      </c>
      <c r="O1477" s="1"/>
      <c r="AQ1477" s="1"/>
      <c r="AR1477" s="1"/>
      <c r="AS1477" s="1"/>
    </row>
    <row r="1478" spans="1:45" x14ac:dyDescent="0.25">
      <c r="A1478" t="s">
        <v>4416</v>
      </c>
      <c r="B1478" t="s">
        <v>3561</v>
      </c>
      <c r="C1478" s="1" t="s">
        <v>3562</v>
      </c>
      <c r="D1478" t="s">
        <v>3563</v>
      </c>
      <c r="E1478" t="str">
        <f>_xll.BDP($B1478,"LEGAL_ENTITY_IDENTIFIER")</f>
        <v>254900LMFT1CY9IYB476</v>
      </c>
      <c r="F1478" t="s">
        <v>3563</v>
      </c>
      <c r="G1478" t="str">
        <f>custodian!D1478</f>
        <v>03769M106</v>
      </c>
      <c r="H1478" t="str">
        <f>_xll.BDP($B1478,"ID_ISIN")</f>
        <v>US03769M1062</v>
      </c>
      <c r="I1478" s="1" t="s">
        <v>3562</v>
      </c>
      <c r="J1478" t="str">
        <f>_xll.BDP($B1478,"CNTRY_OF_DOMICILE")</f>
        <v>US</v>
      </c>
      <c r="K1478" t="s">
        <v>98</v>
      </c>
      <c r="L1478" t="s">
        <v>99</v>
      </c>
      <c r="O1478" s="1"/>
      <c r="AQ1478" s="1"/>
      <c r="AR1478" s="1"/>
      <c r="AS1478" s="1"/>
    </row>
    <row r="1479" spans="1:45" x14ac:dyDescent="0.25">
      <c r="A1479" t="s">
        <v>4416</v>
      </c>
      <c r="B1479" t="s">
        <v>4424</v>
      </c>
      <c r="C1479" s="1" t="s">
        <v>4425</v>
      </c>
      <c r="D1479" t="s">
        <v>4426</v>
      </c>
      <c r="E1479" t="str">
        <f>_xll.BDP($B1479,"LEGAL_ENTITY_IDENTIFIER")</f>
        <v>R4PP93JZOLY261QX3811</v>
      </c>
      <c r="F1479" t="s">
        <v>4426</v>
      </c>
      <c r="G1479" t="str">
        <f>custodian!D1479</f>
        <v>025816109</v>
      </c>
      <c r="H1479" t="str">
        <f>_xll.BDP($B1479,"ID_ISIN")</f>
        <v>US0258161092</v>
      </c>
      <c r="I1479" s="1" t="s">
        <v>4425</v>
      </c>
      <c r="J1479" t="str">
        <f>_xll.BDP($B1479,"CNTRY_OF_DOMICILE")</f>
        <v>US</v>
      </c>
      <c r="K1479" t="s">
        <v>98</v>
      </c>
      <c r="L1479" t="s">
        <v>99</v>
      </c>
      <c r="O1479" s="1"/>
      <c r="AQ1479" s="1"/>
      <c r="AR1479" s="1"/>
      <c r="AS1479" s="1"/>
    </row>
    <row r="1480" spans="1:45" x14ac:dyDescent="0.25">
      <c r="A1480" t="s">
        <v>4416</v>
      </c>
      <c r="B1480" t="s">
        <v>4427</v>
      </c>
      <c r="C1480" s="1" t="s">
        <v>4428</v>
      </c>
      <c r="D1480" t="s">
        <v>4429</v>
      </c>
      <c r="E1480" t="str">
        <f>_xll.BDP($B1480,"LEGAL_ENTITY_IDENTIFIER")</f>
        <v>549300EXGR0XLRJEIB95</v>
      </c>
      <c r="F1480" t="s">
        <v>4429</v>
      </c>
      <c r="G1480" t="str">
        <f>custodian!D1480</f>
        <v>05464T104</v>
      </c>
      <c r="H1480" t="str">
        <f>_xll.BDP($B1480,"ID_ISIN")</f>
        <v>US05464T1043</v>
      </c>
      <c r="I1480" s="1" t="s">
        <v>4428</v>
      </c>
      <c r="J1480" t="str">
        <f>_xll.BDP($B1480,"CNTRY_OF_DOMICILE")</f>
        <v>US</v>
      </c>
      <c r="K1480" t="s">
        <v>98</v>
      </c>
      <c r="L1480" t="s">
        <v>99</v>
      </c>
      <c r="O1480" s="1"/>
      <c r="AQ1480" s="1"/>
      <c r="AR1480" s="1"/>
      <c r="AS1480" s="1"/>
    </row>
    <row r="1481" spans="1:45" x14ac:dyDescent="0.25">
      <c r="A1481" t="s">
        <v>4416</v>
      </c>
      <c r="B1481" t="s">
        <v>4430</v>
      </c>
      <c r="C1481" s="1" t="s">
        <v>4431</v>
      </c>
      <c r="D1481" t="s">
        <v>4432</v>
      </c>
      <c r="E1481" t="str">
        <f>_xll.BDP($B1481,"LEGAL_ENTITY_IDENTIFIER")</f>
        <v>2549001IGRCG4F0RLD36</v>
      </c>
      <c r="F1481" t="s">
        <v>4432</v>
      </c>
      <c r="G1481" t="str">
        <f>custodian!D1481</f>
        <v>088929104</v>
      </c>
      <c r="H1481" t="str">
        <f>_xll.BDP($B1481,"ID_ISIN")</f>
        <v>US0889291045</v>
      </c>
      <c r="I1481" s="1" t="s">
        <v>4431</v>
      </c>
      <c r="J1481" t="str">
        <f>_xll.BDP($B1481,"CNTRY_OF_DOMICILE")</f>
        <v>US</v>
      </c>
      <c r="K1481" t="s">
        <v>98</v>
      </c>
      <c r="L1481" t="s">
        <v>99</v>
      </c>
      <c r="O1481" s="1"/>
      <c r="AQ1481" s="1"/>
      <c r="AR1481" s="1"/>
      <c r="AS1481" s="1"/>
    </row>
    <row r="1482" spans="1:45" x14ac:dyDescent="0.25">
      <c r="A1482" t="s">
        <v>4416</v>
      </c>
      <c r="B1482" t="s">
        <v>3567</v>
      </c>
      <c r="C1482" s="1" t="s">
        <v>3568</v>
      </c>
      <c r="D1482" t="s">
        <v>3569</v>
      </c>
      <c r="E1482" t="str">
        <f>_xll.BDP($B1482,"LEGAL_ENTITY_IDENTIFIER")</f>
        <v>529900VBK42Y5HHRMD23</v>
      </c>
      <c r="F1482" t="s">
        <v>3569</v>
      </c>
      <c r="G1482" t="str">
        <f>custodian!D1482</f>
        <v>09290D101</v>
      </c>
      <c r="H1482" t="str">
        <f>_xll.BDP($B1482,"ID_ISIN")</f>
        <v>US09290D1019</v>
      </c>
      <c r="I1482" s="1" t="s">
        <v>3568</v>
      </c>
      <c r="J1482" t="str">
        <f>_xll.BDP($B1482,"CNTRY_OF_DOMICILE")</f>
        <v>US</v>
      </c>
      <c r="K1482" t="s">
        <v>98</v>
      </c>
      <c r="L1482" t="s">
        <v>99</v>
      </c>
      <c r="O1482" s="1"/>
      <c r="AQ1482" s="1"/>
      <c r="AR1482" s="1"/>
      <c r="AS1482" s="1"/>
    </row>
    <row r="1483" spans="1:45" x14ac:dyDescent="0.25">
      <c r="A1483" t="s">
        <v>4416</v>
      </c>
      <c r="B1483" t="s">
        <v>4433</v>
      </c>
      <c r="C1483" s="1" t="s">
        <v>4434</v>
      </c>
      <c r="D1483" t="s">
        <v>4435</v>
      </c>
      <c r="E1483" t="str">
        <f>_xll.BDP($B1483,"LEGAL_ENTITY_IDENTIFIER")</f>
        <v>HLYYNH7UQUORYSJQCN42</v>
      </c>
      <c r="F1483" t="s">
        <v>4435</v>
      </c>
      <c r="G1483" t="str">
        <f>custodian!D1483</f>
        <v>110122108</v>
      </c>
      <c r="H1483" t="str">
        <f>_xll.BDP($B1483,"ID_ISIN")</f>
        <v>US1101221083</v>
      </c>
      <c r="I1483" s="1" t="s">
        <v>4434</v>
      </c>
      <c r="J1483" t="str">
        <f>_xll.BDP($B1483,"CNTRY_OF_DOMICILE")</f>
        <v>US</v>
      </c>
      <c r="K1483" t="s">
        <v>98</v>
      </c>
      <c r="L1483" t="s">
        <v>99</v>
      </c>
      <c r="O1483" s="1"/>
      <c r="AQ1483" s="1"/>
      <c r="AR1483" s="1"/>
      <c r="AS1483" s="1"/>
    </row>
    <row r="1484" spans="1:45" x14ac:dyDescent="0.25">
      <c r="A1484" t="s">
        <v>4416</v>
      </c>
      <c r="B1484" t="s">
        <v>4436</v>
      </c>
      <c r="C1484" s="1" t="s">
        <v>4437</v>
      </c>
      <c r="D1484" t="s">
        <v>1947</v>
      </c>
      <c r="E1484" t="str">
        <f>_xll.BDP($B1484,"LEGAL_ENTITY_IDENTIFIER")</f>
        <v>WFLLPEPC7FZXENRZV188</v>
      </c>
      <c r="F1484" t="s">
        <v>4438</v>
      </c>
      <c r="G1484" t="str">
        <f>custodian!D1484</f>
        <v>064058100</v>
      </c>
      <c r="H1484" t="str">
        <f>_xll.BDP($B1484,"ID_ISIN")</f>
        <v>US0640581007</v>
      </c>
      <c r="I1484" s="1" t="s">
        <v>4437</v>
      </c>
      <c r="J1484" t="str">
        <f>_xll.BDP($B1484,"CNTRY_OF_DOMICILE")</f>
        <v>US</v>
      </c>
      <c r="K1484" t="s">
        <v>98</v>
      </c>
      <c r="L1484" t="s">
        <v>99</v>
      </c>
      <c r="O1484" s="1"/>
      <c r="AQ1484" s="1"/>
      <c r="AR1484" s="1"/>
      <c r="AS1484" s="1"/>
    </row>
    <row r="1485" spans="1:45" x14ac:dyDescent="0.25">
      <c r="A1485" t="s">
        <v>4416</v>
      </c>
      <c r="B1485" t="s">
        <v>4439</v>
      </c>
      <c r="C1485" s="1" t="s">
        <v>4440</v>
      </c>
      <c r="D1485" t="s">
        <v>4441</v>
      </c>
      <c r="E1485" t="str">
        <f>_xll.BDP($B1485,"LEGAL_ENTITY_IDENTIFIER")</f>
        <v>5299007UXW6Y0W2EGZ95</v>
      </c>
      <c r="F1485" t="s">
        <v>4441</v>
      </c>
      <c r="G1485" t="str">
        <f>custodian!D1485</f>
        <v>11120U105</v>
      </c>
      <c r="H1485" t="str">
        <f>_xll.BDP($B1485,"ID_ISIN")</f>
        <v>US11120U1051</v>
      </c>
      <c r="I1485" s="1" t="s">
        <v>4440</v>
      </c>
      <c r="J1485" t="str">
        <f>_xll.BDP($B1485,"CNTRY_OF_DOMICILE")</f>
        <v>US</v>
      </c>
      <c r="K1485" t="s">
        <v>98</v>
      </c>
      <c r="L1485" t="s">
        <v>99</v>
      </c>
      <c r="O1485" s="1"/>
      <c r="AQ1485" s="1"/>
      <c r="AR1485" s="1"/>
      <c r="AS1485" s="1"/>
    </row>
    <row r="1486" spans="1:45" x14ac:dyDescent="0.25">
      <c r="A1486" t="s">
        <v>4416</v>
      </c>
      <c r="B1486" t="s">
        <v>3570</v>
      </c>
      <c r="C1486" s="1" t="s">
        <v>3571</v>
      </c>
      <c r="D1486" t="s">
        <v>3572</v>
      </c>
      <c r="E1486" t="str">
        <f>_xll.BDP($B1486,"LEGAL_ENTITY_IDENTIFIER")</f>
        <v>5299004LW4QWGZUB8Y96</v>
      </c>
      <c r="F1486" t="s">
        <v>3572</v>
      </c>
      <c r="G1486" t="str">
        <f>custodian!D1486</f>
        <v>09260D107</v>
      </c>
      <c r="H1486" t="str">
        <f>_xll.BDP($B1486,"ID_ISIN")</f>
        <v>US09260D1072</v>
      </c>
      <c r="I1486" s="1" t="s">
        <v>3571</v>
      </c>
      <c r="J1486" t="str">
        <f>_xll.BDP($B1486,"CNTRY_OF_DOMICILE")</f>
        <v>US</v>
      </c>
      <c r="K1486" t="s">
        <v>98</v>
      </c>
      <c r="L1486" t="s">
        <v>99</v>
      </c>
      <c r="O1486" s="1"/>
      <c r="AQ1486" s="1"/>
      <c r="AR1486" s="1"/>
      <c r="AS1486" s="1"/>
    </row>
    <row r="1487" spans="1:45" x14ac:dyDescent="0.25">
      <c r="A1487" t="s">
        <v>4416</v>
      </c>
      <c r="B1487" t="s">
        <v>4442</v>
      </c>
      <c r="C1487" s="1" t="s">
        <v>4443</v>
      </c>
      <c r="D1487" t="s">
        <v>4444</v>
      </c>
      <c r="E1487" t="str">
        <f>_xll.BDP($B1487,"LEGAL_ENTITY_IDENTIFIER")</f>
        <v>6SHGI4ZSSLCXXQSBB395</v>
      </c>
      <c r="F1487" t="s">
        <v>4444</v>
      </c>
      <c r="G1487" t="str">
        <f>custodian!D1487</f>
        <v>172967424</v>
      </c>
      <c r="H1487" t="str">
        <f>_xll.BDP($B1487,"ID_ISIN")</f>
        <v>US1729674242</v>
      </c>
      <c r="I1487" s="1" t="s">
        <v>4443</v>
      </c>
      <c r="J1487" t="str">
        <f>_xll.BDP($B1487,"CNTRY_OF_DOMICILE")</f>
        <v>US</v>
      </c>
      <c r="K1487" t="s">
        <v>98</v>
      </c>
      <c r="L1487" t="s">
        <v>99</v>
      </c>
      <c r="O1487" s="1"/>
      <c r="AQ1487" s="1"/>
      <c r="AR1487" s="1"/>
      <c r="AS1487" s="1"/>
    </row>
    <row r="1488" spans="1:45" x14ac:dyDescent="0.25">
      <c r="A1488" t="s">
        <v>4416</v>
      </c>
      <c r="B1488" t="s">
        <v>3714</v>
      </c>
      <c r="C1488" s="1" t="s">
        <v>3715</v>
      </c>
      <c r="D1488" t="s">
        <v>3716</v>
      </c>
      <c r="E1488" t="str">
        <f>_xll.BDP($B1488,"LEGAL_ENTITY_IDENTIFIER")</f>
        <v>YMEGZFW4SBUSS5BQXF88</v>
      </c>
      <c r="F1488" t="s">
        <v>3716</v>
      </c>
      <c r="G1488" t="str">
        <f>custodian!D1488</f>
        <v>194162103</v>
      </c>
      <c r="H1488" t="str">
        <f>_xll.BDP($B1488,"ID_ISIN")</f>
        <v>US1941621039</v>
      </c>
      <c r="I1488" s="1" t="s">
        <v>3715</v>
      </c>
      <c r="J1488" t="str">
        <f>_xll.BDP($B1488,"CNTRY_OF_DOMICILE")</f>
        <v>US</v>
      </c>
      <c r="K1488" t="s">
        <v>98</v>
      </c>
      <c r="L1488" t="s">
        <v>99</v>
      </c>
      <c r="O1488" s="1"/>
      <c r="AQ1488" s="1"/>
      <c r="AR1488" s="1"/>
      <c r="AS1488" s="1"/>
    </row>
    <row r="1489" spans="1:45" x14ac:dyDescent="0.25">
      <c r="A1489" t="s">
        <v>4416</v>
      </c>
      <c r="B1489" t="s">
        <v>4445</v>
      </c>
      <c r="C1489" s="1" t="s">
        <v>4446</v>
      </c>
      <c r="D1489" t="s">
        <v>4447</v>
      </c>
      <c r="E1489" t="str">
        <f>_xll.BDP($B1489,"LEGAL_ENTITY_IDENTIFIER")</f>
        <v>254900DMGQSTC3I2IM78</v>
      </c>
      <c r="F1489" t="s">
        <v>4447</v>
      </c>
      <c r="G1489" t="str">
        <f>custodian!D1489</f>
        <v>20464U100</v>
      </c>
      <c r="H1489" t="str">
        <f>_xll.BDP($B1489,"ID_ISIN")</f>
        <v>US20464U1007</v>
      </c>
      <c r="I1489" s="1" t="s">
        <v>4446</v>
      </c>
      <c r="J1489" t="str">
        <f>_xll.BDP($B1489,"CNTRY_OF_DOMICILE")</f>
        <v>US</v>
      </c>
      <c r="K1489" t="s">
        <v>98</v>
      </c>
      <c r="L1489" t="s">
        <v>99</v>
      </c>
      <c r="O1489" s="1"/>
      <c r="AQ1489" s="1"/>
      <c r="AR1489" s="1"/>
      <c r="AS1489" s="1"/>
    </row>
    <row r="1490" spans="1:45" x14ac:dyDescent="0.25">
      <c r="A1490" t="s">
        <v>4416</v>
      </c>
      <c r="B1490" t="s">
        <v>3503</v>
      </c>
      <c r="C1490" s="1" t="s">
        <v>3504</v>
      </c>
      <c r="D1490" t="s">
        <v>3505</v>
      </c>
      <c r="E1490" t="str">
        <f>_xll.BDP($B1490,"LEGAL_ENTITY_IDENTIFIER")</f>
        <v>549300F6JNO0KRPO1K63</v>
      </c>
      <c r="F1490" t="s">
        <v>3505</v>
      </c>
      <c r="G1490" t="str">
        <f>custodian!D1490</f>
        <v>23804L103</v>
      </c>
      <c r="H1490" t="str">
        <f>_xll.BDP($B1490,"ID_ISIN")</f>
        <v>US23804L1035</v>
      </c>
      <c r="I1490" s="1" t="s">
        <v>3504</v>
      </c>
      <c r="J1490" t="str">
        <f>_xll.BDP($B1490,"CNTRY_OF_DOMICILE")</f>
        <v>US</v>
      </c>
      <c r="K1490" t="s">
        <v>98</v>
      </c>
      <c r="L1490" t="s">
        <v>99</v>
      </c>
      <c r="O1490" s="1"/>
      <c r="AQ1490" s="1"/>
      <c r="AR1490" s="1"/>
      <c r="AS1490" s="1"/>
    </row>
    <row r="1491" spans="1:45" x14ac:dyDescent="0.25">
      <c r="A1491" t="s">
        <v>4416</v>
      </c>
      <c r="B1491" t="s">
        <v>4448</v>
      </c>
      <c r="C1491" s="1" t="s">
        <v>4449</v>
      </c>
      <c r="D1491" t="s">
        <v>4450</v>
      </c>
      <c r="E1491" t="str">
        <f>_xll.BDP($B1491,"LEGAL_ENTITY_IDENTIFIER")</f>
        <v>549300EPISPY3RE3DL21</v>
      </c>
      <c r="F1491" t="s">
        <v>4450</v>
      </c>
      <c r="G1491" t="str">
        <f>custodian!D1491</f>
        <v>25402D102</v>
      </c>
      <c r="H1491" t="str">
        <f>_xll.BDP($B1491,"ID_ISIN")</f>
        <v>US25402D1028</v>
      </c>
      <c r="I1491" s="1" t="s">
        <v>4449</v>
      </c>
      <c r="J1491" t="str">
        <f>_xll.BDP($B1491,"CNTRY_OF_DOMICILE")</f>
        <v>US</v>
      </c>
      <c r="K1491" t="s">
        <v>98</v>
      </c>
      <c r="L1491" t="s">
        <v>99</v>
      </c>
      <c r="O1491" s="1"/>
      <c r="AQ1491" s="1"/>
      <c r="AR1491" s="1"/>
      <c r="AS1491" s="1"/>
    </row>
    <row r="1492" spans="1:45" x14ac:dyDescent="0.25">
      <c r="A1492" t="s">
        <v>4416</v>
      </c>
      <c r="B1492" t="s">
        <v>4451</v>
      </c>
      <c r="C1492" s="1" t="s">
        <v>4452</v>
      </c>
      <c r="D1492" t="s">
        <v>4453</v>
      </c>
      <c r="E1492" t="str">
        <f>_xll.BDP($B1492,"LEGAL_ENTITY_IDENTIFIER")</f>
        <v>54930033SBW53OO8T749</v>
      </c>
      <c r="F1492" t="s">
        <v>4453</v>
      </c>
      <c r="G1492" t="str">
        <f>custodian!D1492</f>
        <v>209115104</v>
      </c>
      <c r="H1492" t="str">
        <f>_xll.BDP($B1492,"ID_ISIN")</f>
        <v>US2091151041</v>
      </c>
      <c r="I1492" s="1" t="s">
        <v>4452</v>
      </c>
      <c r="J1492" t="str">
        <f>_xll.BDP($B1492,"CNTRY_OF_DOMICILE")</f>
        <v>US</v>
      </c>
      <c r="K1492" t="s">
        <v>98</v>
      </c>
      <c r="L1492" t="s">
        <v>99</v>
      </c>
      <c r="O1492" s="1"/>
      <c r="AQ1492" s="1"/>
      <c r="AR1492" s="1"/>
      <c r="AS1492" s="1"/>
    </row>
    <row r="1493" spans="1:45" x14ac:dyDescent="0.25">
      <c r="A1493" t="s">
        <v>4416</v>
      </c>
      <c r="B1493" t="s">
        <v>3720</v>
      </c>
      <c r="C1493" s="1" t="s">
        <v>3721</v>
      </c>
      <c r="D1493" t="s">
        <v>3722</v>
      </c>
      <c r="E1493" t="str">
        <f>_xll.BDP($B1493,"LEGAL_ENTITY_IDENTIFIER")</f>
        <v>549300VFZ8XJ9NUPU221</v>
      </c>
      <c r="F1493" t="s">
        <v>3722</v>
      </c>
      <c r="G1493" t="str">
        <f>custodian!D1493</f>
        <v>518439104</v>
      </c>
      <c r="H1493" t="str">
        <f>_xll.BDP($B1493,"ID_ISIN")</f>
        <v>US5184391044</v>
      </c>
      <c r="I1493" s="1" t="s">
        <v>3721</v>
      </c>
      <c r="J1493" t="str">
        <f>_xll.BDP($B1493,"CNTRY_OF_DOMICILE")</f>
        <v>US</v>
      </c>
      <c r="K1493" t="s">
        <v>98</v>
      </c>
      <c r="L1493" t="s">
        <v>99</v>
      </c>
      <c r="O1493" s="1"/>
      <c r="AQ1493" s="1"/>
      <c r="AR1493" s="1"/>
      <c r="AS1493" s="1"/>
    </row>
    <row r="1494" spans="1:45" x14ac:dyDescent="0.25">
      <c r="A1494" t="s">
        <v>4416</v>
      </c>
      <c r="B1494" t="s">
        <v>4454</v>
      </c>
      <c r="C1494" s="1" t="s">
        <v>4455</v>
      </c>
      <c r="D1494" t="s">
        <v>4456</v>
      </c>
      <c r="E1494" t="str">
        <f>_xll.BDP($B1494,"LEGAL_ENTITY_IDENTIFIER")</f>
        <v>54930089Q7XT501AEA40</v>
      </c>
      <c r="F1494" t="s">
        <v>4456</v>
      </c>
      <c r="G1494" t="str">
        <f>custodian!D1494</f>
        <v>29786A106</v>
      </c>
      <c r="H1494" t="str">
        <f>_xll.BDP($B1494,"ID_ISIN")</f>
        <v>US29786A1060</v>
      </c>
      <c r="I1494" s="1" t="s">
        <v>4455</v>
      </c>
      <c r="J1494" t="str">
        <f>_xll.BDP($B1494,"CNTRY_OF_DOMICILE")</f>
        <v>US</v>
      </c>
      <c r="K1494" t="s">
        <v>98</v>
      </c>
      <c r="L1494" t="s">
        <v>99</v>
      </c>
      <c r="O1494" s="1"/>
      <c r="AQ1494" s="1"/>
      <c r="AR1494" s="1"/>
      <c r="AS1494" s="1"/>
    </row>
    <row r="1495" spans="1:45" x14ac:dyDescent="0.25">
      <c r="A1495" t="s">
        <v>4416</v>
      </c>
      <c r="B1495" t="s">
        <v>4457</v>
      </c>
      <c r="C1495" s="1" t="s">
        <v>4458</v>
      </c>
      <c r="D1495" t="s">
        <v>4459</v>
      </c>
      <c r="E1495" t="str">
        <f>_xll.BDP($B1495,"LEGAL_ENTITY_IDENTIFIER")</f>
        <v>529900P6KLPT95DW3W58</v>
      </c>
      <c r="F1495" t="s">
        <v>4459</v>
      </c>
      <c r="G1495" t="str">
        <f>custodian!D1495</f>
        <v>29977A105</v>
      </c>
      <c r="H1495" t="str">
        <f>_xll.BDP($B1495,"ID_ISIN")</f>
        <v>US29977A1051</v>
      </c>
      <c r="I1495" s="1" t="s">
        <v>4458</v>
      </c>
      <c r="J1495" t="str">
        <f>_xll.BDP($B1495,"CNTRY_OF_DOMICILE")</f>
        <v>US</v>
      </c>
      <c r="K1495" t="s">
        <v>98</v>
      </c>
      <c r="L1495" t="s">
        <v>99</v>
      </c>
      <c r="O1495" s="1"/>
      <c r="AQ1495" s="1"/>
      <c r="AR1495" s="1"/>
      <c r="AS1495" s="1"/>
    </row>
    <row r="1496" spans="1:45" x14ac:dyDescent="0.25">
      <c r="A1496" t="s">
        <v>4416</v>
      </c>
      <c r="B1496" t="s">
        <v>77</v>
      </c>
      <c r="C1496" s="1" t="s">
        <v>78</v>
      </c>
      <c r="D1496" t="s">
        <v>79</v>
      </c>
      <c r="E1496" t="str">
        <f>_xll.BDP($B1496,"LEGAL_ENTITY_IDENTIFIER")</f>
        <v>549300R5MYM6VZF1RM44</v>
      </c>
      <c r="F1496" t="s">
        <v>80</v>
      </c>
      <c r="G1496" t="str">
        <f>custodian!D1496</f>
        <v>31846V336</v>
      </c>
      <c r="H1496" t="str">
        <f>_xll.BDP($B1496,"ID_ISIN")</f>
        <v>US31846V3362</v>
      </c>
      <c r="I1496" s="1" t="s">
        <v>78</v>
      </c>
      <c r="J1496" t="str">
        <f>_xll.BDP($B1496,"CNTRY_OF_DOMICILE")</f>
        <v>US</v>
      </c>
      <c r="K1496" t="s">
        <v>81</v>
      </c>
      <c r="L1496" t="s">
        <v>82</v>
      </c>
      <c r="O1496" s="1"/>
      <c r="AQ1496" s="1"/>
      <c r="AR1496" s="1"/>
      <c r="AS1496" s="1"/>
    </row>
    <row r="1497" spans="1:45" x14ac:dyDescent="0.25">
      <c r="A1497" t="s">
        <v>4416</v>
      </c>
      <c r="B1497" t="s">
        <v>4460</v>
      </c>
      <c r="C1497" s="1" t="s">
        <v>4461</v>
      </c>
      <c r="D1497" t="s">
        <v>4462</v>
      </c>
      <c r="E1497" t="str">
        <f>_xll.BDP($B1497,"LEGAL_ENTITY_IDENTIFIER")</f>
        <v>549300DDU6FDRBIELS05</v>
      </c>
      <c r="F1497" t="s">
        <v>4462</v>
      </c>
      <c r="G1497" t="str">
        <f>custodian!D1497</f>
        <v>35137L105</v>
      </c>
      <c r="H1497" t="str">
        <f>_xll.BDP($B1497,"ID_ISIN")</f>
        <v>US35137L1052</v>
      </c>
      <c r="I1497" s="1" t="s">
        <v>4461</v>
      </c>
      <c r="J1497" t="str">
        <f>_xll.BDP($B1497,"CNTRY_OF_DOMICILE")</f>
        <v>US</v>
      </c>
      <c r="K1497" t="s">
        <v>98</v>
      </c>
      <c r="L1497" t="s">
        <v>99</v>
      </c>
      <c r="O1497" s="1"/>
      <c r="AQ1497" s="1"/>
      <c r="AR1497" s="1"/>
      <c r="AS1497" s="1"/>
    </row>
    <row r="1498" spans="1:45" x14ac:dyDescent="0.25">
      <c r="A1498" t="s">
        <v>4416</v>
      </c>
      <c r="B1498" t="s">
        <v>4463</v>
      </c>
      <c r="C1498" s="1" t="s">
        <v>4464</v>
      </c>
      <c r="D1498" t="s">
        <v>4465</v>
      </c>
      <c r="E1498" t="str">
        <f>_xll.BDP($B1498,"LEGAL_ENTITY_IDENTIFIER")</f>
        <v>784F5XWPLTWKTBV3E584</v>
      </c>
      <c r="F1498" t="s">
        <v>4465</v>
      </c>
      <c r="G1498" t="str">
        <f>custodian!D1498</f>
        <v>38141G104</v>
      </c>
      <c r="H1498" t="str">
        <f>_xll.BDP($B1498,"ID_ISIN")</f>
        <v>US38141G1040</v>
      </c>
      <c r="I1498" s="1" t="s">
        <v>4464</v>
      </c>
      <c r="J1498" t="str">
        <f>_xll.BDP($B1498,"CNTRY_OF_DOMICILE")</f>
        <v>US</v>
      </c>
      <c r="K1498" t="s">
        <v>98</v>
      </c>
      <c r="L1498" t="s">
        <v>99</v>
      </c>
      <c r="O1498" s="1"/>
      <c r="AQ1498" s="1"/>
      <c r="AR1498" s="1"/>
      <c r="AS1498" s="1"/>
    </row>
    <row r="1499" spans="1:45" x14ac:dyDescent="0.25">
      <c r="A1499" t="s">
        <v>4416</v>
      </c>
      <c r="B1499" t="s">
        <v>4466</v>
      </c>
      <c r="C1499" s="1" t="s">
        <v>4467</v>
      </c>
      <c r="D1499" t="s">
        <v>4468</v>
      </c>
      <c r="E1499" t="str">
        <f>_xll.BDP($B1499,"LEGAL_ENTITY_IDENTIFIER")</f>
        <v>549300HOF34RGOJ5YL07</v>
      </c>
      <c r="F1499" t="s">
        <v>4468</v>
      </c>
      <c r="G1499" t="str">
        <f>custodian!D1499</f>
        <v>47233W109</v>
      </c>
      <c r="H1499" t="str">
        <f>_xll.BDP($B1499,"ID_ISIN")</f>
        <v>US47233W1099</v>
      </c>
      <c r="I1499" s="1" t="s">
        <v>4467</v>
      </c>
      <c r="J1499" t="str">
        <f>_xll.BDP($B1499,"CNTRY_OF_DOMICILE")</f>
        <v>US</v>
      </c>
      <c r="K1499" t="s">
        <v>98</v>
      </c>
      <c r="L1499" t="s">
        <v>99</v>
      </c>
      <c r="O1499" s="1"/>
      <c r="AQ1499" s="1"/>
      <c r="AR1499" s="1"/>
      <c r="AS1499" s="1"/>
    </row>
    <row r="1500" spans="1:45" x14ac:dyDescent="0.25">
      <c r="A1500" t="s">
        <v>4416</v>
      </c>
      <c r="B1500" t="s">
        <v>4469</v>
      </c>
      <c r="C1500" s="1" t="s">
        <v>4470</v>
      </c>
      <c r="D1500" t="s">
        <v>4471</v>
      </c>
      <c r="E1500" t="str">
        <f>_xll.BDP($B1500,"LEGAL_ENTITY_IDENTIFIER")</f>
        <v>8I5DZWZKVSZI1NUHU748</v>
      </c>
      <c r="F1500" t="s">
        <v>4471</v>
      </c>
      <c r="G1500" t="str">
        <f>custodian!D1500</f>
        <v>46625H100</v>
      </c>
      <c r="H1500" t="str">
        <f>_xll.BDP($B1500,"ID_ISIN")</f>
        <v>US46625H1005</v>
      </c>
      <c r="I1500" s="1" t="s">
        <v>4470</v>
      </c>
      <c r="J1500" t="str">
        <f>_xll.BDP($B1500,"CNTRY_OF_DOMICILE")</f>
        <v>US</v>
      </c>
      <c r="K1500" t="s">
        <v>98</v>
      </c>
      <c r="L1500" t="s">
        <v>99</v>
      </c>
      <c r="O1500" s="1"/>
      <c r="AQ1500" s="1"/>
      <c r="AR1500" s="1"/>
      <c r="AS1500" s="1"/>
    </row>
    <row r="1501" spans="1:45" x14ac:dyDescent="0.25">
      <c r="A1501" t="s">
        <v>4416</v>
      </c>
      <c r="B1501" t="s">
        <v>4472</v>
      </c>
      <c r="C1501" s="1" t="s">
        <v>4473</v>
      </c>
      <c r="D1501" t="s">
        <v>4474</v>
      </c>
      <c r="E1501" t="str">
        <f>_xll.BDP($B1501,"LEGAL_ENTITY_IDENTIFIER")</f>
        <v>54930013V5I303TF9571</v>
      </c>
      <c r="F1501" t="s">
        <v>4474</v>
      </c>
      <c r="G1501" t="str">
        <f>custodian!D1501</f>
        <v>48251W104</v>
      </c>
      <c r="H1501" t="str">
        <f>_xll.BDP($B1501,"ID_ISIN")</f>
        <v>US48251W1045</v>
      </c>
      <c r="I1501" s="1" t="s">
        <v>4473</v>
      </c>
      <c r="J1501" t="str">
        <f>_xll.BDP($B1501,"CNTRY_OF_DOMICILE")</f>
        <v>US</v>
      </c>
      <c r="K1501" t="s">
        <v>98</v>
      </c>
      <c r="L1501" t="s">
        <v>99</v>
      </c>
      <c r="O1501" s="1"/>
      <c r="AQ1501" s="1"/>
      <c r="AR1501" s="1"/>
      <c r="AS1501" s="1"/>
    </row>
    <row r="1502" spans="1:45" x14ac:dyDescent="0.25">
      <c r="A1502" t="s">
        <v>4416</v>
      </c>
      <c r="B1502" t="s">
        <v>4475</v>
      </c>
      <c r="C1502" s="1" t="s">
        <v>4476</v>
      </c>
      <c r="D1502" t="s">
        <v>4477</v>
      </c>
      <c r="E1502" t="str">
        <f>_xll.BDP($B1502,"LEGAL_ENTITY_IDENTIFIER")</f>
        <v>R8V1FN4M5ITGZOG7BS19</v>
      </c>
      <c r="F1502" t="s">
        <v>4477</v>
      </c>
      <c r="G1502" t="str">
        <f>custodian!D1502</f>
        <v>540424108</v>
      </c>
      <c r="H1502" t="str">
        <f>_xll.BDP($B1502,"ID_ISIN")</f>
        <v>US5404241086</v>
      </c>
      <c r="I1502" s="1" t="s">
        <v>4476</v>
      </c>
      <c r="J1502" t="str">
        <f>_xll.BDP($B1502,"CNTRY_OF_DOMICILE")</f>
        <v>US</v>
      </c>
      <c r="K1502" t="s">
        <v>98</v>
      </c>
      <c r="L1502" t="s">
        <v>99</v>
      </c>
      <c r="O1502" s="1"/>
      <c r="AQ1502" s="1"/>
      <c r="AR1502" s="1"/>
      <c r="AS1502" s="1"/>
    </row>
    <row r="1503" spans="1:45" x14ac:dyDescent="0.25">
      <c r="A1503" t="s">
        <v>4416</v>
      </c>
      <c r="B1503" t="s">
        <v>4478</v>
      </c>
      <c r="C1503" s="1" t="s">
        <v>4479</v>
      </c>
      <c r="D1503" t="s">
        <v>4480</v>
      </c>
      <c r="E1503" t="str">
        <f>_xll.BDP($B1503,"LEGAL_ENTITY_IDENTIFIER")</f>
        <v>254900RIBCDJSUFG1A11</v>
      </c>
      <c r="F1503" t="s">
        <v>4480</v>
      </c>
      <c r="G1503" t="str">
        <f>custodian!D1503</f>
        <v>52110M109</v>
      </c>
      <c r="H1503" t="str">
        <f>_xll.BDP($B1503,"ID_ISIN")</f>
        <v>US52110M1099</v>
      </c>
      <c r="I1503" s="1" t="s">
        <v>4479</v>
      </c>
      <c r="J1503" t="str">
        <f>_xll.BDP($B1503,"CNTRY_OF_DOMICILE")</f>
        <v>US</v>
      </c>
      <c r="K1503" t="s">
        <v>98</v>
      </c>
      <c r="L1503" t="s">
        <v>99</v>
      </c>
      <c r="O1503" s="1"/>
      <c r="AQ1503" s="1"/>
      <c r="AR1503" s="1"/>
      <c r="AS1503" s="1"/>
    </row>
    <row r="1504" spans="1:45" x14ac:dyDescent="0.25">
      <c r="A1504" t="s">
        <v>4416</v>
      </c>
      <c r="B1504" t="s">
        <v>4481</v>
      </c>
      <c r="C1504" s="1" t="s">
        <v>4482</v>
      </c>
      <c r="D1504" t="s">
        <v>4483</v>
      </c>
      <c r="E1504" t="str">
        <f>_xll.BDP($B1504,"LEGAL_ENTITY_IDENTIFIER")</f>
        <v>549300891QNU7VTQUR83</v>
      </c>
      <c r="F1504" t="s">
        <v>4483</v>
      </c>
      <c r="G1504" t="str">
        <f>custodian!D1504</f>
        <v>60786M105</v>
      </c>
      <c r="H1504" t="str">
        <f>_xll.BDP($B1504,"ID_ISIN")</f>
        <v>US60786M1053</v>
      </c>
      <c r="I1504" s="1" t="s">
        <v>4482</v>
      </c>
      <c r="J1504" t="str">
        <f>_xll.BDP($B1504,"CNTRY_OF_DOMICILE")</f>
        <v>US</v>
      </c>
      <c r="K1504" t="s">
        <v>98</v>
      </c>
      <c r="L1504" t="s">
        <v>99</v>
      </c>
      <c r="O1504" s="1"/>
      <c r="AQ1504" s="1"/>
      <c r="AR1504" s="1"/>
      <c r="AS1504" s="1"/>
    </row>
    <row r="1505" spans="1:45" x14ac:dyDescent="0.25">
      <c r="A1505" t="s">
        <v>4416</v>
      </c>
      <c r="B1505" t="s">
        <v>4484</v>
      </c>
      <c r="C1505" s="1" t="s">
        <v>4485</v>
      </c>
      <c r="D1505" t="s">
        <v>4486</v>
      </c>
      <c r="E1505" t="str">
        <f>_xll.BDP($B1505,"LEGAL_ENTITY_IDENTIFIER")</f>
        <v>549300GCEDD8YCF5WU84</v>
      </c>
      <c r="F1505" t="s">
        <v>4486</v>
      </c>
      <c r="G1505" t="str">
        <f>custodian!D1505</f>
        <v>615369105</v>
      </c>
      <c r="H1505" t="str">
        <f>_xll.BDP($B1505,"ID_ISIN")</f>
        <v>US6153691059</v>
      </c>
      <c r="I1505" s="1" t="s">
        <v>4485</v>
      </c>
      <c r="J1505" t="str">
        <f>_xll.BDP($B1505,"CNTRY_OF_DOMICILE")</f>
        <v>US</v>
      </c>
      <c r="K1505" t="s">
        <v>98</v>
      </c>
      <c r="L1505" t="s">
        <v>99</v>
      </c>
      <c r="O1505" s="1"/>
      <c r="AQ1505" s="1"/>
      <c r="AR1505" s="1"/>
      <c r="AS1505" s="1"/>
    </row>
    <row r="1506" spans="1:45" x14ac:dyDescent="0.25">
      <c r="A1506" t="s">
        <v>4416</v>
      </c>
      <c r="B1506" t="s">
        <v>4487</v>
      </c>
      <c r="C1506" s="1" t="s">
        <v>4488</v>
      </c>
      <c r="D1506" t="s">
        <v>4489</v>
      </c>
      <c r="E1506" t="str">
        <f>_xll.BDP($B1506,"LEGAL_ENTITY_IDENTIFIER")</f>
        <v>549300TPTG69WKWE1Z37</v>
      </c>
      <c r="F1506" t="s">
        <v>4489</v>
      </c>
      <c r="G1506" t="str">
        <f>custodian!D1506</f>
        <v>60937P106</v>
      </c>
      <c r="H1506" t="str">
        <f>_xll.BDP($B1506,"ID_ISIN")</f>
        <v>US60937P1066</v>
      </c>
      <c r="I1506" s="1" t="s">
        <v>4488</v>
      </c>
      <c r="J1506" t="str">
        <f>_xll.BDP($B1506,"CNTRY_OF_DOMICILE")</f>
        <v>US</v>
      </c>
      <c r="K1506" t="s">
        <v>98</v>
      </c>
      <c r="L1506" t="s">
        <v>99</v>
      </c>
      <c r="O1506" s="1"/>
      <c r="AQ1506" s="1"/>
      <c r="AR1506" s="1"/>
      <c r="AS1506" s="1"/>
    </row>
    <row r="1507" spans="1:45" x14ac:dyDescent="0.25">
      <c r="A1507" t="s">
        <v>4416</v>
      </c>
      <c r="B1507" t="s">
        <v>4490</v>
      </c>
      <c r="C1507" s="1" t="s">
        <v>4491</v>
      </c>
      <c r="D1507" t="s">
        <v>4492</v>
      </c>
      <c r="E1507" t="str">
        <f>_xll.BDP($B1507,"LEGAL_ENTITY_IDENTIFIER")</f>
        <v>C4BXATY60WC6XEOZDX54</v>
      </c>
      <c r="F1507" t="s">
        <v>4492</v>
      </c>
      <c r="G1507" t="str">
        <f>custodian!D1507</f>
        <v>59156R108</v>
      </c>
      <c r="H1507" t="str">
        <f>_xll.BDP($B1507,"ID_ISIN")</f>
        <v>US59156R1086</v>
      </c>
      <c r="I1507" s="1" t="s">
        <v>4491</v>
      </c>
      <c r="J1507" t="str">
        <f>_xll.BDP($B1507,"CNTRY_OF_DOMICILE")</f>
        <v>US</v>
      </c>
      <c r="K1507" t="s">
        <v>98</v>
      </c>
      <c r="L1507" t="s">
        <v>99</v>
      </c>
      <c r="O1507" s="1"/>
      <c r="AQ1507" s="1"/>
      <c r="AR1507" s="1"/>
      <c r="AS1507" s="1"/>
    </row>
    <row r="1508" spans="1:45" x14ac:dyDescent="0.25">
      <c r="A1508" t="s">
        <v>4416</v>
      </c>
      <c r="B1508" t="s">
        <v>4493</v>
      </c>
      <c r="C1508" s="1" t="s">
        <v>4494</v>
      </c>
      <c r="D1508" t="s">
        <v>4495</v>
      </c>
      <c r="E1508" t="str">
        <f>_xll.BDP($B1508,"LEGAL_ENTITY_IDENTIFIER")</f>
        <v>5493002U1CA1XJOVID83</v>
      </c>
      <c r="F1508" t="s">
        <v>4495</v>
      </c>
      <c r="G1508" t="str">
        <f>custodian!D1508</f>
        <v>57060D108</v>
      </c>
      <c r="H1508" t="str">
        <f>_xll.BDP($B1508,"ID_ISIN")</f>
        <v>US57060D1081</v>
      </c>
      <c r="I1508" s="1" t="s">
        <v>4494</v>
      </c>
      <c r="J1508" t="str">
        <f>_xll.BDP($B1508,"CNTRY_OF_DOMICILE")</f>
        <v>US</v>
      </c>
      <c r="K1508" t="s">
        <v>98</v>
      </c>
      <c r="L1508" t="s">
        <v>99</v>
      </c>
      <c r="O1508" s="1"/>
      <c r="AQ1508" s="1"/>
      <c r="AR1508" s="1"/>
      <c r="AS1508" s="1"/>
    </row>
    <row r="1509" spans="1:45" x14ac:dyDescent="0.25">
      <c r="A1509" t="s">
        <v>4416</v>
      </c>
      <c r="B1509" t="s">
        <v>4496</v>
      </c>
      <c r="C1509" s="1" t="s">
        <v>4497</v>
      </c>
      <c r="D1509" t="s">
        <v>4498</v>
      </c>
      <c r="E1509" t="str">
        <f>_xll.BDP($B1509,"LEGAL_ENTITY_IDENTIFIER")</f>
        <v>549300XMP3KDCKJXIU47</v>
      </c>
      <c r="F1509" t="s">
        <v>4498</v>
      </c>
      <c r="G1509" t="str">
        <f>custodian!D1509</f>
        <v>571748102</v>
      </c>
      <c r="H1509" t="str">
        <f>_xll.BDP($B1509,"ID_ISIN")</f>
        <v>US5717481023</v>
      </c>
      <c r="I1509" s="1" t="s">
        <v>4497</v>
      </c>
      <c r="J1509" t="str">
        <f>_xll.BDP($B1509,"CNTRY_OF_DOMICILE")</f>
        <v>US</v>
      </c>
      <c r="K1509" t="s">
        <v>98</v>
      </c>
      <c r="L1509" t="s">
        <v>99</v>
      </c>
      <c r="O1509" s="1"/>
      <c r="AQ1509" s="1"/>
      <c r="AR1509" s="1"/>
      <c r="AS1509" s="1"/>
    </row>
    <row r="1510" spans="1:45" x14ac:dyDescent="0.25">
      <c r="A1510" t="s">
        <v>4416</v>
      </c>
      <c r="B1510" t="s">
        <v>4499</v>
      </c>
      <c r="C1510" s="1" t="s">
        <v>4500</v>
      </c>
      <c r="D1510" t="s">
        <v>4501</v>
      </c>
      <c r="E1510" t="str">
        <f>_xll.BDP($B1510,"LEGAL_ENTITY_IDENTIFIER")</f>
        <v>IGJSJL3JD5P30I6NJZ34</v>
      </c>
      <c r="F1510" t="s">
        <v>4501</v>
      </c>
      <c r="G1510" t="str">
        <f>custodian!D1510</f>
        <v>617446448</v>
      </c>
      <c r="H1510" t="str">
        <f>_xll.BDP($B1510,"ID_ISIN")</f>
        <v>US6174464486</v>
      </c>
      <c r="I1510" s="1" t="s">
        <v>4500</v>
      </c>
      <c r="J1510" t="str">
        <f>_xll.BDP($B1510,"CNTRY_OF_DOMICILE")</f>
        <v>US</v>
      </c>
      <c r="K1510" t="s">
        <v>98</v>
      </c>
      <c r="L1510" t="s">
        <v>99</v>
      </c>
      <c r="O1510" s="1"/>
      <c r="AQ1510" s="1"/>
      <c r="AR1510" s="1"/>
      <c r="AS1510" s="1"/>
    </row>
    <row r="1511" spans="1:45" x14ac:dyDescent="0.25">
      <c r="A1511" t="s">
        <v>4416</v>
      </c>
      <c r="B1511" t="s">
        <v>4502</v>
      </c>
      <c r="C1511" s="1" t="s">
        <v>4503</v>
      </c>
      <c r="D1511" t="s">
        <v>4504</v>
      </c>
      <c r="E1511" t="str">
        <f>_xll.BDP($B1511,"LEGAL_ENTITY_IDENTIFIER")</f>
        <v>549300HTIN2PD78UB763</v>
      </c>
      <c r="F1511" t="s">
        <v>4504</v>
      </c>
      <c r="G1511" t="str">
        <f>custodian!D1511</f>
        <v>55354G100</v>
      </c>
      <c r="H1511" t="str">
        <f>_xll.BDP($B1511,"ID_ISIN")</f>
        <v>US55354G1004</v>
      </c>
      <c r="I1511" s="1" t="s">
        <v>4503</v>
      </c>
      <c r="J1511" t="str">
        <f>_xll.BDP($B1511,"CNTRY_OF_DOMICILE")</f>
        <v>US</v>
      </c>
      <c r="K1511" t="s">
        <v>98</v>
      </c>
      <c r="L1511" t="s">
        <v>99</v>
      </c>
      <c r="O1511" s="1"/>
      <c r="AQ1511" s="1"/>
      <c r="AR1511" s="1"/>
      <c r="AS1511" s="1"/>
    </row>
    <row r="1512" spans="1:45" x14ac:dyDescent="0.25">
      <c r="A1512" t="s">
        <v>4416</v>
      </c>
      <c r="B1512" t="s">
        <v>4505</v>
      </c>
      <c r="C1512" s="1" t="s">
        <v>4506</v>
      </c>
      <c r="D1512" t="s">
        <v>4507</v>
      </c>
      <c r="E1512" t="str">
        <f>_xll.BDP($B1512,"LEGAL_ENTITY_IDENTIFIER")</f>
        <v>#N/A N/A</v>
      </c>
      <c r="F1512" t="s">
        <v>4508</v>
      </c>
      <c r="G1512" t="str">
        <f>custodian!D1512</f>
        <v>55825T103</v>
      </c>
      <c r="H1512" t="str">
        <f>_xll.BDP($B1512,"ID_ISIN")</f>
        <v>US55825T1034</v>
      </c>
      <c r="I1512" s="1" t="s">
        <v>4506</v>
      </c>
      <c r="J1512" t="str">
        <f>_xll.BDP($B1512,"CNTRY_OF_DOMICILE")</f>
        <v>US</v>
      </c>
      <c r="K1512" t="s">
        <v>98</v>
      </c>
      <c r="L1512" t="s">
        <v>99</v>
      </c>
      <c r="O1512" s="1"/>
      <c r="AQ1512" s="1"/>
      <c r="AR1512" s="1"/>
      <c r="AS1512" s="1"/>
    </row>
    <row r="1513" spans="1:45" x14ac:dyDescent="0.25">
      <c r="A1513" t="s">
        <v>4416</v>
      </c>
      <c r="B1513" t="s">
        <v>4509</v>
      </c>
      <c r="C1513" s="1" t="s">
        <v>4510</v>
      </c>
      <c r="D1513" t="s">
        <v>4511</v>
      </c>
      <c r="E1513" t="str">
        <f>_xll.BDP($B1513,"LEGAL_ENTITY_IDENTIFIER")</f>
        <v>549300L8X1Q78ERXFD06</v>
      </c>
      <c r="F1513" t="s">
        <v>4511</v>
      </c>
      <c r="G1513" t="str">
        <f>custodian!D1513</f>
        <v>631103108</v>
      </c>
      <c r="H1513" t="str">
        <f>_xll.BDP($B1513,"ID_ISIN")</f>
        <v>US6311031081</v>
      </c>
      <c r="I1513" s="1" t="s">
        <v>4510</v>
      </c>
      <c r="J1513" t="str">
        <f>_xll.BDP($B1513,"CNTRY_OF_DOMICILE")</f>
        <v>US</v>
      </c>
      <c r="K1513" t="s">
        <v>98</v>
      </c>
      <c r="L1513" t="s">
        <v>99</v>
      </c>
      <c r="O1513" s="1"/>
      <c r="AQ1513" s="1"/>
      <c r="AR1513" s="1"/>
      <c r="AS1513" s="1"/>
    </row>
    <row r="1514" spans="1:45" x14ac:dyDescent="0.25">
      <c r="A1514" t="s">
        <v>4416</v>
      </c>
      <c r="B1514" t="s">
        <v>4512</v>
      </c>
      <c r="C1514" s="1" t="s">
        <v>4513</v>
      </c>
      <c r="D1514" t="s">
        <v>4514</v>
      </c>
      <c r="E1514" t="str">
        <f>_xll.BDP($B1514,"LEGAL_ENTITY_IDENTIFIER")</f>
        <v>2DTL0G3FPRYUT58TI025</v>
      </c>
      <c r="F1514" t="s">
        <v>4514</v>
      </c>
      <c r="G1514" t="str">
        <f>custodian!D1514</f>
        <v>035710839</v>
      </c>
      <c r="H1514" t="str">
        <f>_xll.BDP($B1514,"ID_ISIN")</f>
        <v>US0357108390</v>
      </c>
      <c r="I1514" s="1" t="s">
        <v>4513</v>
      </c>
      <c r="J1514" t="str">
        <f>_xll.BDP($B1514,"CNTRY_OF_DOMICILE")</f>
        <v>US</v>
      </c>
      <c r="K1514" t="s">
        <v>98</v>
      </c>
      <c r="L1514" t="s">
        <v>99</v>
      </c>
      <c r="O1514" s="1"/>
      <c r="AQ1514" s="1"/>
      <c r="AR1514" s="1"/>
      <c r="AS1514" s="1"/>
    </row>
    <row r="1515" spans="1:45" x14ac:dyDescent="0.25">
      <c r="A1515" t="s">
        <v>4416</v>
      </c>
      <c r="B1515" t="s">
        <v>4515</v>
      </c>
      <c r="C1515" s="1" t="s">
        <v>4516</v>
      </c>
      <c r="D1515" t="s">
        <v>4517</v>
      </c>
      <c r="E1515" t="str">
        <f>_xll.BDP($B1515,"LEGAL_ENTITY_IDENTIFIER")</f>
        <v>549300ITS31QK8VRBQ14</v>
      </c>
      <c r="F1515" t="s">
        <v>4517</v>
      </c>
      <c r="G1515" t="str">
        <f>custodian!D1515</f>
        <v>65249B109</v>
      </c>
      <c r="H1515" t="str">
        <f>_xll.BDP($B1515,"ID_ISIN")</f>
        <v>US65249B1098</v>
      </c>
      <c r="I1515" s="1" t="s">
        <v>4516</v>
      </c>
      <c r="J1515" t="str">
        <f>_xll.BDP($B1515,"CNTRY_OF_DOMICILE")</f>
        <v>US</v>
      </c>
      <c r="K1515" t="s">
        <v>98</v>
      </c>
      <c r="L1515" t="s">
        <v>99</v>
      </c>
      <c r="O1515" s="1"/>
      <c r="AQ1515" s="1"/>
      <c r="AR1515" s="1"/>
      <c r="AS1515" s="1"/>
    </row>
    <row r="1516" spans="1:45" x14ac:dyDescent="0.25">
      <c r="A1516" t="s">
        <v>4416</v>
      </c>
      <c r="B1516" t="s">
        <v>4518</v>
      </c>
      <c r="C1516" s="1" t="s">
        <v>4519</v>
      </c>
      <c r="D1516" t="s">
        <v>4520</v>
      </c>
      <c r="E1516" t="str">
        <f>_xll.BDP($B1516,"LEGAL_ENTITY_IDENTIFIER")</f>
        <v>529900J1WEMMIW7BOH57</v>
      </c>
      <c r="F1516" t="s">
        <v>4520</v>
      </c>
      <c r="G1516" t="str">
        <f>custodian!D1516</f>
        <v>650111107</v>
      </c>
      <c r="H1516" t="str">
        <f>_xll.BDP($B1516,"ID_ISIN")</f>
        <v>US6501111073</v>
      </c>
      <c r="I1516" s="1" t="s">
        <v>4519</v>
      </c>
      <c r="J1516" t="str">
        <f>_xll.BDP($B1516,"CNTRY_OF_DOMICILE")</f>
        <v>US</v>
      </c>
      <c r="K1516" t="s">
        <v>98</v>
      </c>
      <c r="L1516" t="s">
        <v>99</v>
      </c>
      <c r="O1516" s="1"/>
      <c r="AQ1516" s="1"/>
      <c r="AR1516" s="1"/>
      <c r="AS1516" s="1"/>
    </row>
    <row r="1517" spans="1:45" x14ac:dyDescent="0.25">
      <c r="A1517" t="s">
        <v>4416</v>
      </c>
      <c r="B1517" t="s">
        <v>4521</v>
      </c>
      <c r="C1517" s="1" t="s">
        <v>4522</v>
      </c>
      <c r="D1517" t="s">
        <v>4523</v>
      </c>
      <c r="E1517" t="str">
        <f>_xll.BDP($B1517,"LEGAL_ENTITY_IDENTIFIER")</f>
        <v>HKUPACFHSSASQK8HLS17</v>
      </c>
      <c r="F1517" t="s">
        <v>4523</v>
      </c>
      <c r="G1517" t="str">
        <f>custodian!D1517</f>
        <v>681919106</v>
      </c>
      <c r="H1517" t="str">
        <f>_xll.BDP($B1517,"ID_ISIN")</f>
        <v>US6819191064</v>
      </c>
      <c r="I1517" s="1" t="s">
        <v>4522</v>
      </c>
      <c r="J1517" t="str">
        <f>_xll.BDP($B1517,"CNTRY_OF_DOMICILE")</f>
        <v>US</v>
      </c>
      <c r="K1517" t="s">
        <v>98</v>
      </c>
      <c r="L1517" t="s">
        <v>99</v>
      </c>
      <c r="O1517" s="1"/>
      <c r="AQ1517" s="1"/>
      <c r="AR1517" s="1"/>
      <c r="AS1517" s="1"/>
    </row>
    <row r="1518" spans="1:45" x14ac:dyDescent="0.25">
      <c r="A1518" t="s">
        <v>4416</v>
      </c>
      <c r="B1518" t="s">
        <v>4524</v>
      </c>
      <c r="C1518" s="1" t="s">
        <v>4525</v>
      </c>
      <c r="D1518" t="s">
        <v>4526</v>
      </c>
      <c r="E1518" t="str">
        <f>_xll.BDP($B1518,"LEGAL_ENTITY_IDENTIFIER")</f>
        <v>#N/A N/A</v>
      </c>
      <c r="F1518" t="s">
        <v>4526</v>
      </c>
      <c r="G1518" t="str">
        <f>custodian!D1518</f>
        <v>09581B103</v>
      </c>
      <c r="H1518" t="str">
        <f>_xll.BDP($B1518,"ID_ISIN")</f>
        <v>US09581B1035</v>
      </c>
      <c r="I1518" s="1" t="s">
        <v>4525</v>
      </c>
      <c r="J1518" t="str">
        <f>_xll.BDP($B1518,"CNTRY_OF_DOMICILE")</f>
        <v>US</v>
      </c>
      <c r="K1518" t="s">
        <v>98</v>
      </c>
      <c r="L1518" t="s">
        <v>99</v>
      </c>
      <c r="O1518" s="1"/>
      <c r="AQ1518" s="1"/>
      <c r="AR1518" s="1"/>
      <c r="AS1518" s="1"/>
    </row>
    <row r="1519" spans="1:45" x14ac:dyDescent="0.25">
      <c r="A1519" t="s">
        <v>4416</v>
      </c>
      <c r="B1519" t="s">
        <v>4527</v>
      </c>
      <c r="C1519" s="1" t="s">
        <v>4528</v>
      </c>
      <c r="D1519" t="s">
        <v>4529</v>
      </c>
      <c r="E1519" t="str">
        <f>_xll.BDP($B1519,"LEGAL_ENTITY_IDENTIFIER")</f>
        <v>765LHXWGK1KXCLTFYQ30</v>
      </c>
      <c r="F1519" t="s">
        <v>4529</v>
      </c>
      <c r="G1519" t="str">
        <f>custodian!D1519</f>
        <v>717081103</v>
      </c>
      <c r="H1519" t="str">
        <f>_xll.BDP($B1519,"ID_ISIN")</f>
        <v>US7170811035</v>
      </c>
      <c r="I1519" s="1" t="s">
        <v>4528</v>
      </c>
      <c r="J1519" t="str">
        <f>_xll.BDP($B1519,"CNTRY_OF_DOMICILE")</f>
        <v>US</v>
      </c>
      <c r="K1519" t="s">
        <v>98</v>
      </c>
      <c r="L1519" t="s">
        <v>99</v>
      </c>
      <c r="O1519" s="1"/>
      <c r="AQ1519" s="1"/>
      <c r="AR1519" s="1"/>
      <c r="AS1519" s="1"/>
    </row>
    <row r="1520" spans="1:45" x14ac:dyDescent="0.25">
      <c r="A1520" t="s">
        <v>4416</v>
      </c>
      <c r="B1520" t="s">
        <v>4530</v>
      </c>
      <c r="C1520" s="1" t="s">
        <v>4531</v>
      </c>
      <c r="D1520" t="s">
        <v>4532</v>
      </c>
      <c r="E1520" t="str">
        <f>_xll.BDP($B1520,"LEGAL_ENTITY_IDENTIFIER")</f>
        <v>549300W3WBEQUBKYTN87</v>
      </c>
      <c r="F1520" t="s">
        <v>4532</v>
      </c>
      <c r="G1520" t="str">
        <f>custodian!D1520</f>
        <v>69343T107</v>
      </c>
      <c r="H1520" t="str">
        <f>_xll.BDP($B1520,"ID_ISIN")</f>
        <v>US69343T1079</v>
      </c>
      <c r="I1520" s="1" t="s">
        <v>4531</v>
      </c>
      <c r="J1520" t="str">
        <f>_xll.BDP($B1520,"CNTRY_OF_DOMICILE")</f>
        <v>US</v>
      </c>
      <c r="K1520" t="s">
        <v>98</v>
      </c>
      <c r="L1520" t="s">
        <v>99</v>
      </c>
      <c r="O1520" s="1"/>
      <c r="AQ1520" s="1"/>
      <c r="AR1520" s="1"/>
      <c r="AS1520" s="1"/>
    </row>
    <row r="1521" spans="1:45" x14ac:dyDescent="0.25">
      <c r="A1521" t="s">
        <v>4416</v>
      </c>
      <c r="B1521" t="s">
        <v>4533</v>
      </c>
      <c r="C1521" s="1" t="s">
        <v>4534</v>
      </c>
      <c r="D1521" t="s">
        <v>4535</v>
      </c>
      <c r="E1521" t="str">
        <f>_xll.BDP($B1521,"LEGAL_ENTITY_IDENTIFIER")</f>
        <v>529900B6VAJG54Y9QF02</v>
      </c>
      <c r="F1521" t="s">
        <v>4535</v>
      </c>
      <c r="G1521" t="str">
        <f>custodian!D1521</f>
        <v>69932A204</v>
      </c>
      <c r="H1521" t="str">
        <f>_xll.BDP($B1521,"ID_ISIN")</f>
        <v>US69932A2042</v>
      </c>
      <c r="I1521" s="1" t="s">
        <v>4534</v>
      </c>
      <c r="J1521" t="str">
        <f>_xll.BDP($B1521,"CNTRY_OF_DOMICILE")</f>
        <v>US</v>
      </c>
      <c r="K1521" t="s">
        <v>98</v>
      </c>
      <c r="L1521" t="s">
        <v>99</v>
      </c>
      <c r="O1521" s="1"/>
      <c r="AQ1521" s="1"/>
      <c r="AR1521" s="1"/>
      <c r="AS1521" s="1"/>
    </row>
    <row r="1522" spans="1:45" x14ac:dyDescent="0.25">
      <c r="A1522" t="s">
        <v>4416</v>
      </c>
      <c r="B1522" t="s">
        <v>4536</v>
      </c>
      <c r="C1522" s="1" t="s">
        <v>4537</v>
      </c>
      <c r="D1522" t="s">
        <v>4538</v>
      </c>
      <c r="E1522" t="str">
        <f>_xll.BDP($B1522,"LEGAL_ENTITY_IDENTIFIER")</f>
        <v>549300WNTHGEO5LP2G31</v>
      </c>
      <c r="F1522" t="s">
        <v>4538</v>
      </c>
      <c r="G1522" t="str">
        <f>custodian!D1522</f>
        <v>64828T201</v>
      </c>
      <c r="H1522" t="str">
        <f>_xll.BDP($B1522,"ID_ISIN")</f>
        <v>US64828T2015</v>
      </c>
      <c r="I1522" s="1" t="s">
        <v>4537</v>
      </c>
      <c r="J1522" t="str">
        <f>_xll.BDP($B1522,"CNTRY_OF_DOMICILE")</f>
        <v>US</v>
      </c>
      <c r="K1522" t="s">
        <v>98</v>
      </c>
      <c r="L1522" t="s">
        <v>99</v>
      </c>
      <c r="O1522" s="1"/>
      <c r="AQ1522" s="1"/>
      <c r="AR1522" s="1"/>
      <c r="AS1522" s="1"/>
    </row>
    <row r="1523" spans="1:45" x14ac:dyDescent="0.25">
      <c r="A1523" t="s">
        <v>4416</v>
      </c>
      <c r="B1523" t="s">
        <v>4539</v>
      </c>
      <c r="C1523" s="1" t="s">
        <v>4540</v>
      </c>
      <c r="D1523" t="s">
        <v>4541</v>
      </c>
      <c r="E1523" t="str">
        <f>_xll.BDP($B1523,"LEGAL_ENTITY_IDENTIFIER")</f>
        <v>HO1QNWM0IXBZ0QSMMO20</v>
      </c>
      <c r="F1523" t="s">
        <v>4541</v>
      </c>
      <c r="G1523" t="str">
        <f>custodian!D1523</f>
        <v>751212101</v>
      </c>
      <c r="H1523" t="str">
        <f>_xll.BDP($B1523,"ID_ISIN")</f>
        <v>US7512121010</v>
      </c>
      <c r="I1523" s="1" t="s">
        <v>4540</v>
      </c>
      <c r="J1523" t="str">
        <f>_xll.BDP($B1523,"CNTRY_OF_DOMICILE")</f>
        <v>US</v>
      </c>
      <c r="K1523" t="s">
        <v>98</v>
      </c>
      <c r="L1523" t="s">
        <v>99</v>
      </c>
      <c r="O1523" s="1"/>
      <c r="AQ1523" s="1"/>
      <c r="AR1523" s="1"/>
      <c r="AS1523" s="1"/>
    </row>
    <row r="1524" spans="1:45" x14ac:dyDescent="0.25">
      <c r="A1524" t="s">
        <v>4416</v>
      </c>
      <c r="B1524" t="s">
        <v>4542</v>
      </c>
      <c r="C1524" s="1" t="s">
        <v>4543</v>
      </c>
      <c r="D1524" t="s">
        <v>4544</v>
      </c>
      <c r="E1524" t="str">
        <f>_xll.BDP($B1524,"LEGAL_ENTITY_IDENTIFIER")</f>
        <v>549300JUF07L8VF02M60</v>
      </c>
      <c r="F1524" t="s">
        <v>4544</v>
      </c>
      <c r="G1524" t="str">
        <f>custodian!D1524</f>
        <v>861896108</v>
      </c>
      <c r="H1524" t="str">
        <f>_xll.BDP($B1524,"ID_ISIN")</f>
        <v>US8618961085</v>
      </c>
      <c r="I1524" s="1" t="s">
        <v>4543</v>
      </c>
      <c r="J1524" t="str">
        <f>_xll.BDP($B1524,"CNTRY_OF_DOMICILE")</f>
        <v>US</v>
      </c>
      <c r="K1524" t="s">
        <v>98</v>
      </c>
      <c r="L1524" t="s">
        <v>99</v>
      </c>
      <c r="O1524" s="1"/>
      <c r="AQ1524" s="1"/>
      <c r="AR1524" s="1"/>
      <c r="AS1524" s="1"/>
    </row>
    <row r="1525" spans="1:45" x14ac:dyDescent="0.25">
      <c r="A1525" t="s">
        <v>4416</v>
      </c>
      <c r="B1525" t="s">
        <v>4545</v>
      </c>
      <c r="C1525" s="1" t="s">
        <v>4546</v>
      </c>
      <c r="D1525" t="s">
        <v>4547</v>
      </c>
      <c r="E1525" t="str">
        <f>_xll.BDP($B1525,"LEGAL_ENTITY_IDENTIFIER")</f>
        <v>Y6X4K52KMJMZE7I7MY94</v>
      </c>
      <c r="F1525" t="s">
        <v>4547</v>
      </c>
      <c r="G1525" t="str">
        <f>custodian!D1525</f>
        <v>78409V104</v>
      </c>
      <c r="H1525" t="str">
        <f>_xll.BDP($B1525,"ID_ISIN")</f>
        <v>US78409V1044</v>
      </c>
      <c r="I1525" s="1" t="s">
        <v>4546</v>
      </c>
      <c r="J1525" t="str">
        <f>_xll.BDP($B1525,"CNTRY_OF_DOMICILE")</f>
        <v>US</v>
      </c>
      <c r="K1525" t="s">
        <v>98</v>
      </c>
      <c r="L1525" t="s">
        <v>99</v>
      </c>
      <c r="O1525" s="1"/>
      <c r="AQ1525" s="1"/>
      <c r="AR1525" s="1"/>
      <c r="AS1525" s="1"/>
    </row>
    <row r="1526" spans="1:45" x14ac:dyDescent="0.25">
      <c r="A1526" t="s">
        <v>4416</v>
      </c>
      <c r="B1526" t="s">
        <v>4548</v>
      </c>
      <c r="C1526" s="1" t="s">
        <v>4549</v>
      </c>
      <c r="D1526" t="s">
        <v>4550</v>
      </c>
      <c r="E1526" t="str">
        <f>_xll.BDP($B1526,"LEGAL_ENTITY_IDENTIFIER")</f>
        <v>549300LJNVY5SW3VTN33</v>
      </c>
      <c r="F1526" t="s">
        <v>4550</v>
      </c>
      <c r="G1526" t="str">
        <f>custodian!D1526</f>
        <v>876030107</v>
      </c>
      <c r="H1526" t="str">
        <f>_xll.BDP($B1526,"ID_ISIN")</f>
        <v>US8760301072</v>
      </c>
      <c r="I1526" s="1" t="s">
        <v>4549</v>
      </c>
      <c r="J1526" t="str">
        <f>_xll.BDP($B1526,"CNTRY_OF_DOMICILE")</f>
        <v>US</v>
      </c>
      <c r="K1526" t="s">
        <v>98</v>
      </c>
      <c r="L1526" t="s">
        <v>99</v>
      </c>
      <c r="O1526" s="1"/>
      <c r="AQ1526" s="1"/>
      <c r="AR1526" s="1"/>
      <c r="AS1526" s="1"/>
    </row>
    <row r="1527" spans="1:45" x14ac:dyDescent="0.25">
      <c r="A1527" t="s">
        <v>4416</v>
      </c>
      <c r="B1527" t="s">
        <v>4551</v>
      </c>
      <c r="C1527" s="1" t="s">
        <v>4552</v>
      </c>
      <c r="D1527" t="s">
        <v>4553</v>
      </c>
      <c r="E1527" t="str">
        <f>_xll.BDP($B1527,"LEGAL_ENTITY_IDENTIFIER")</f>
        <v>549300Y650407RU8B149</v>
      </c>
      <c r="F1527" t="s">
        <v>4553</v>
      </c>
      <c r="G1527" t="str">
        <f>custodian!D1527</f>
        <v>89417E109</v>
      </c>
      <c r="H1527" t="str">
        <f>_xll.BDP($B1527,"ID_ISIN")</f>
        <v>US89417E1091</v>
      </c>
      <c r="I1527" s="1" t="s">
        <v>4552</v>
      </c>
      <c r="J1527" t="str">
        <f>_xll.BDP($B1527,"CNTRY_OF_DOMICILE")</f>
        <v>US</v>
      </c>
      <c r="K1527" t="s">
        <v>98</v>
      </c>
      <c r="L1527" t="s">
        <v>99</v>
      </c>
      <c r="O1527" s="1"/>
      <c r="AQ1527" s="1"/>
      <c r="AR1527" s="1"/>
      <c r="AS1527" s="1"/>
    </row>
    <row r="1528" spans="1:45" x14ac:dyDescent="0.25">
      <c r="A1528" t="s">
        <v>4416</v>
      </c>
      <c r="B1528" t="s">
        <v>4554</v>
      </c>
      <c r="C1528" s="1" t="s">
        <v>4555</v>
      </c>
      <c r="D1528" t="s">
        <v>4556</v>
      </c>
      <c r="E1528" t="str">
        <f>_xll.BDP($B1528,"LEGAL_ENTITY_IDENTIFIER")</f>
        <v>#N/A N/A</v>
      </c>
      <c r="F1528" t="s">
        <v>4556</v>
      </c>
      <c r="G1528" t="str">
        <f>custodian!D1528</f>
        <v>892672106</v>
      </c>
      <c r="H1528" t="str">
        <f>_xll.BDP($B1528,"ID_ISIN")</f>
        <v>US8926721064</v>
      </c>
      <c r="I1528" s="1" t="s">
        <v>4555</v>
      </c>
      <c r="J1528" t="str">
        <f>_xll.BDP($B1528,"CNTRY_OF_DOMICILE")</f>
        <v>US</v>
      </c>
      <c r="K1528" t="s">
        <v>98</v>
      </c>
      <c r="L1528" t="s">
        <v>99</v>
      </c>
      <c r="O1528" s="1"/>
      <c r="AQ1528" s="1"/>
      <c r="AR1528" s="1"/>
      <c r="AS1528" s="1"/>
    </row>
    <row r="1529" spans="1:45" x14ac:dyDescent="0.25">
      <c r="A1529" t="s">
        <v>4416</v>
      </c>
      <c r="B1529" t="s">
        <v>4557</v>
      </c>
      <c r="C1529" s="1" t="s">
        <v>4558</v>
      </c>
      <c r="D1529" t="s">
        <v>4559</v>
      </c>
      <c r="E1529" t="str">
        <f>_xll.BDP($B1529,"LEGAL_ENTITY_IDENTIFIER")</f>
        <v>254900RKH6RY9KCJQH63</v>
      </c>
      <c r="F1529" t="s">
        <v>4559</v>
      </c>
      <c r="G1529" t="str">
        <f>custodian!D1529</f>
        <v>925652109</v>
      </c>
      <c r="H1529" t="str">
        <f>_xll.BDP($B1529,"ID_ISIN")</f>
        <v>US9256521090</v>
      </c>
      <c r="I1529" s="1" t="s">
        <v>4558</v>
      </c>
      <c r="J1529" t="str">
        <f>_xll.BDP($B1529,"CNTRY_OF_DOMICILE")</f>
        <v>US</v>
      </c>
      <c r="K1529" t="s">
        <v>98</v>
      </c>
      <c r="L1529" t="s">
        <v>99</v>
      </c>
      <c r="O1529" s="1"/>
      <c r="AQ1529" s="1"/>
      <c r="AR1529" s="1"/>
      <c r="AS1529" s="1"/>
    </row>
    <row r="1530" spans="1:45" x14ac:dyDescent="0.25">
      <c r="A1530" t="s">
        <v>4416</v>
      </c>
      <c r="B1530" t="s">
        <v>4560</v>
      </c>
      <c r="C1530" s="1" t="s">
        <v>4561</v>
      </c>
      <c r="D1530" t="s">
        <v>4562</v>
      </c>
      <c r="E1530" t="str">
        <f>_xll.BDP($B1530,"LEGAL_ENTITY_IDENTIFIER")</f>
        <v>5493001OPW2K42CH3884</v>
      </c>
      <c r="F1530" t="s">
        <v>4562</v>
      </c>
      <c r="G1530" t="str">
        <f>custodian!D1530</f>
        <v>928254101</v>
      </c>
      <c r="H1530" t="str">
        <f>_xll.BDP($B1530,"ID_ISIN")</f>
        <v>US9282541013</v>
      </c>
      <c r="I1530" s="1" t="s">
        <v>4561</v>
      </c>
      <c r="J1530" t="str">
        <f>_xll.BDP($B1530,"CNTRY_OF_DOMICILE")</f>
        <v>US</v>
      </c>
      <c r="K1530" t="s">
        <v>98</v>
      </c>
      <c r="L1530" t="s">
        <v>99</v>
      </c>
      <c r="O1530" s="1"/>
      <c r="AQ1530" s="1"/>
      <c r="AR1530" s="1"/>
      <c r="AS1530" s="1"/>
    </row>
    <row r="1531" spans="1:45" x14ac:dyDescent="0.25">
      <c r="A1531" t="s">
        <v>4416</v>
      </c>
      <c r="B1531" t="s">
        <v>4563</v>
      </c>
      <c r="C1531" s="1" t="s">
        <v>4564</v>
      </c>
      <c r="D1531" t="s">
        <v>4565</v>
      </c>
      <c r="E1531" t="str">
        <f>_xll.BDP($B1531,"LEGAL_ENTITY_IDENTIFIER")</f>
        <v>2S72QS2UO2OESLG6Y829</v>
      </c>
      <c r="F1531" t="s">
        <v>4565</v>
      </c>
      <c r="G1531" t="str">
        <f>custodian!D1531</f>
        <v>92343V104</v>
      </c>
      <c r="H1531" t="str">
        <f>_xll.BDP($B1531,"ID_ISIN")</f>
        <v>US92343V1044</v>
      </c>
      <c r="I1531" s="1" t="s">
        <v>4564</v>
      </c>
      <c r="J1531" t="str">
        <f>_xll.BDP($B1531,"CNTRY_OF_DOMICILE")</f>
        <v>US</v>
      </c>
      <c r="K1531" t="s">
        <v>98</v>
      </c>
      <c r="L1531" t="s">
        <v>99</v>
      </c>
      <c r="O1531" s="1"/>
      <c r="AQ1531" s="1"/>
      <c r="AR1531" s="1"/>
      <c r="AS1531" s="1"/>
    </row>
    <row r="1532" spans="1:45" x14ac:dyDescent="0.25">
      <c r="A1532" t="s">
        <v>4416</v>
      </c>
      <c r="B1532" t="s">
        <v>4566</v>
      </c>
      <c r="C1532" s="1" t="s">
        <v>4567</v>
      </c>
      <c r="D1532" t="s">
        <v>4568</v>
      </c>
      <c r="E1532" t="str">
        <f>_xll.BDP($B1532,"LEGAL_ENTITY_IDENTIFIER")</f>
        <v>5493006ZCRFWKF6B1K26</v>
      </c>
      <c r="F1532" t="s">
        <v>4568</v>
      </c>
      <c r="G1532" t="str">
        <f>custodian!D1532</f>
        <v>934423104</v>
      </c>
      <c r="H1532" t="str">
        <f>_xll.BDP($B1532,"ID_ISIN")</f>
        <v>US9344231041</v>
      </c>
      <c r="I1532" s="1" t="s">
        <v>4567</v>
      </c>
      <c r="J1532" t="str">
        <f>_xll.BDP($B1532,"CNTRY_OF_DOMICILE")</f>
        <v>US</v>
      </c>
      <c r="K1532" t="s">
        <v>98</v>
      </c>
      <c r="L1532" t="s">
        <v>99</v>
      </c>
      <c r="O1532" s="1"/>
      <c r="AQ1532" s="1"/>
      <c r="AR1532" s="1"/>
      <c r="AS1532" s="1"/>
    </row>
    <row r="1533" spans="1:45" x14ac:dyDescent="0.25">
      <c r="A1533" t="s">
        <v>4416</v>
      </c>
      <c r="B1533" t="s">
        <v>4569</v>
      </c>
      <c r="C1533" s="1" t="s">
        <v>4570</v>
      </c>
      <c r="D1533" t="s">
        <v>4571</v>
      </c>
      <c r="E1533" t="str">
        <f>_xll.BDP($B1533,"LEGAL_ENTITY_IDENTIFIER")</f>
        <v>54930042CRNE713E3Q67</v>
      </c>
      <c r="F1533" t="s">
        <v>4571</v>
      </c>
      <c r="G1533" t="str">
        <f>custodian!D1533</f>
        <v>92936U109</v>
      </c>
      <c r="H1533" t="str">
        <f>_xll.BDP($B1533,"ID_ISIN")</f>
        <v>US92936U1097</v>
      </c>
      <c r="I1533" s="1" t="s">
        <v>4570</v>
      </c>
      <c r="J1533" t="str">
        <f>_xll.BDP($B1533,"CNTRY_OF_DOMICILE")</f>
        <v>US</v>
      </c>
      <c r="K1533" t="s">
        <v>98</v>
      </c>
      <c r="L1533" t="s">
        <v>99</v>
      </c>
      <c r="O1533" s="1"/>
      <c r="AQ1533" s="1"/>
      <c r="AR1533" s="1"/>
      <c r="AS1533" s="1"/>
    </row>
    <row r="1534" spans="1:45" x14ac:dyDescent="0.25">
      <c r="A1534" t="s">
        <v>4416</v>
      </c>
      <c r="C1534" s="1" t="s">
        <v>52</v>
      </c>
      <c r="E1534" s="1"/>
      <c r="G1534" t="str">
        <f>custodian!D1534</f>
        <v>Cash&amp;Other</v>
      </c>
      <c r="H1534" s="1"/>
      <c r="I1534" s="1"/>
      <c r="O1534" s="1"/>
      <c r="AQ1534" s="1"/>
      <c r="AR1534" s="1"/>
      <c r="AS1534" s="1"/>
    </row>
    <row r="1535" spans="1:45" x14ac:dyDescent="0.25">
      <c r="A1535" t="s">
        <v>4572</v>
      </c>
      <c r="B1535" t="s">
        <v>4573</v>
      </c>
      <c r="C1535" s="1" t="s">
        <v>4574</v>
      </c>
      <c r="D1535" t="s">
        <v>4575</v>
      </c>
      <c r="E1535" t="str">
        <f>_xll.BDP($B1535,"LEGAL_ENTITY_IDENTIFIER")</f>
        <v>#N/A N/A</v>
      </c>
      <c r="F1535" t="s">
        <v>4575</v>
      </c>
      <c r="G1535" t="str">
        <f>custodian!D1535</f>
        <v>00436Q106</v>
      </c>
      <c r="H1535" t="str">
        <f>_xll.BDP($B1535,"ID_ISIN")</f>
        <v>US00436Q1067</v>
      </c>
      <c r="I1535" s="1" t="s">
        <v>4574</v>
      </c>
      <c r="J1535" t="str">
        <f>_xll.BDP($B1535,"CNTRY_OF_DOMICILE")</f>
        <v>US</v>
      </c>
      <c r="K1535" t="s">
        <v>98</v>
      </c>
      <c r="L1535" t="s">
        <v>99</v>
      </c>
      <c r="O1535" s="1"/>
      <c r="AQ1535" s="1"/>
      <c r="AR1535" s="1"/>
      <c r="AS1535" s="1"/>
    </row>
    <row r="1536" spans="1:45" x14ac:dyDescent="0.25">
      <c r="A1536" t="s">
        <v>4572</v>
      </c>
      <c r="B1536" t="s">
        <v>4576</v>
      </c>
      <c r="C1536" s="1" t="s">
        <v>4577</v>
      </c>
      <c r="D1536" t="s">
        <v>4578</v>
      </c>
      <c r="E1536" t="str">
        <f>_xll.BDP($B1536,"LEGAL_ENTITY_IDENTIFIER")</f>
        <v>549300NS4D5IK406VT62</v>
      </c>
      <c r="F1536" t="s">
        <v>4578</v>
      </c>
      <c r="G1536" t="str">
        <f>custodian!D1536</f>
        <v>05875B304</v>
      </c>
      <c r="H1536" t="str">
        <f>_xll.BDP($B1536,"ID_ISIN")</f>
        <v>US05875B3042</v>
      </c>
      <c r="I1536" s="1" t="s">
        <v>4577</v>
      </c>
      <c r="J1536" t="str">
        <f>_xll.BDP($B1536,"CNTRY_OF_DOMICILE")</f>
        <v>US</v>
      </c>
      <c r="K1536" t="s">
        <v>98</v>
      </c>
      <c r="L1536" t="s">
        <v>99</v>
      </c>
      <c r="O1536" s="1"/>
      <c r="AQ1536" s="1"/>
      <c r="AR1536" s="1"/>
      <c r="AS1536" s="1"/>
    </row>
    <row r="1537" spans="1:45" x14ac:dyDescent="0.25">
      <c r="A1537" t="s">
        <v>4572</v>
      </c>
      <c r="B1537" t="s">
        <v>4579</v>
      </c>
      <c r="C1537" s="1" t="s">
        <v>4580</v>
      </c>
      <c r="D1537" t="s">
        <v>4581</v>
      </c>
      <c r="E1537" t="str">
        <f>_xll.BDP($B1537,"LEGAL_ENTITY_IDENTIFIER")</f>
        <v>549300UQ6KHRCZDRGZ76</v>
      </c>
      <c r="F1537" t="s">
        <v>4581</v>
      </c>
      <c r="G1537" t="str">
        <f>custodian!D1537</f>
        <v>G4863A108</v>
      </c>
      <c r="H1537" t="str">
        <f>_xll.BDP($B1537,"ID_ISIN")</f>
        <v>GB00BVG7F061</v>
      </c>
      <c r="I1537" s="1" t="s">
        <v>4580</v>
      </c>
      <c r="J1537" t="str">
        <f>_xll.BDP($B1537,"CNTRY_OF_DOMICILE")</f>
        <v>GB</v>
      </c>
      <c r="K1537" t="s">
        <v>98</v>
      </c>
      <c r="L1537" t="s">
        <v>99</v>
      </c>
      <c r="O1537" s="1"/>
      <c r="AQ1537" s="1"/>
      <c r="AR1537" s="1"/>
      <c r="AS1537" s="1"/>
    </row>
    <row r="1538" spans="1:45" x14ac:dyDescent="0.25">
      <c r="A1538" t="s">
        <v>4572</v>
      </c>
      <c r="B1538" t="s">
        <v>4582</v>
      </c>
      <c r="C1538" s="1" t="s">
        <v>4583</v>
      </c>
      <c r="D1538" t="s">
        <v>4584</v>
      </c>
      <c r="E1538" t="str">
        <f>_xll.BDP($B1538,"LEGAL_ENTITY_IDENTIFIER")</f>
        <v>254900787YGRYS2A1Z35</v>
      </c>
      <c r="F1538" t="s">
        <v>4584</v>
      </c>
      <c r="G1538" t="str">
        <f>custodian!D1538</f>
        <v>103304101</v>
      </c>
      <c r="H1538" t="str">
        <f>_xll.BDP($B1538,"ID_ISIN")</f>
        <v>US1033041013</v>
      </c>
      <c r="I1538" s="1" t="s">
        <v>4583</v>
      </c>
      <c r="J1538" t="str">
        <f>_xll.BDP($B1538,"CNTRY_OF_DOMICILE")</f>
        <v>US</v>
      </c>
      <c r="K1538" t="s">
        <v>98</v>
      </c>
      <c r="L1538" t="s">
        <v>99</v>
      </c>
      <c r="O1538" s="1"/>
      <c r="AQ1538" s="1"/>
      <c r="AR1538" s="1"/>
      <c r="AS1538" s="1"/>
    </row>
    <row r="1539" spans="1:45" x14ac:dyDescent="0.25">
      <c r="A1539" t="s">
        <v>4572</v>
      </c>
      <c r="B1539" t="s">
        <v>4585</v>
      </c>
      <c r="C1539" s="1" t="s">
        <v>4586</v>
      </c>
      <c r="D1539" t="s">
        <v>4587</v>
      </c>
      <c r="E1539" t="str">
        <f>_xll.BDP($B1539,"LEGAL_ENTITY_IDENTIFIER")</f>
        <v>222100ZJU57ZQLLYNO89</v>
      </c>
      <c r="F1539" t="s">
        <v>4587</v>
      </c>
      <c r="G1539" t="str">
        <f>custodian!D1539</f>
        <v>L18268109</v>
      </c>
      <c r="H1539" t="str">
        <f>_xll.BDP($B1539,"ID_ISIN")</f>
        <v>LU2405144788</v>
      </c>
      <c r="I1539" s="1" t="s">
        <v>4586</v>
      </c>
      <c r="J1539" t="str">
        <f>_xll.BDP($B1539,"CNTRY_OF_DOMICILE")</f>
        <v>LU</v>
      </c>
      <c r="K1539" t="s">
        <v>98</v>
      </c>
      <c r="L1539" t="s">
        <v>99</v>
      </c>
      <c r="O1539" s="1"/>
      <c r="AQ1539" s="1"/>
      <c r="AR1539" s="1"/>
      <c r="AS1539" s="1"/>
    </row>
    <row r="1540" spans="1:45" x14ac:dyDescent="0.25">
      <c r="A1540" t="s">
        <v>4572</v>
      </c>
      <c r="B1540" t="s">
        <v>4588</v>
      </c>
      <c r="C1540" s="1" t="s">
        <v>4589</v>
      </c>
      <c r="D1540" t="s">
        <v>4590</v>
      </c>
      <c r="E1540" t="str">
        <f>_xll.BDP($B1540,"LEGAL_ENTITY_IDENTIFIER")</f>
        <v>529900FODTBQC8MIS994</v>
      </c>
      <c r="F1540" t="s">
        <v>4590</v>
      </c>
      <c r="G1540" t="str">
        <f>custodian!D1540</f>
        <v>171484108</v>
      </c>
      <c r="H1540" t="str">
        <f>_xll.BDP($B1540,"ID_ISIN")</f>
        <v>US1714841087</v>
      </c>
      <c r="I1540" s="1" t="s">
        <v>4589</v>
      </c>
      <c r="J1540" t="str">
        <f>_xll.BDP($B1540,"CNTRY_OF_DOMICILE")</f>
        <v>US</v>
      </c>
      <c r="K1540" t="s">
        <v>98</v>
      </c>
      <c r="L1540" t="s">
        <v>99</v>
      </c>
      <c r="O1540" s="1"/>
      <c r="AQ1540" s="1"/>
      <c r="AR1540" s="1"/>
      <c r="AS1540" s="1"/>
    </row>
    <row r="1541" spans="1:45" x14ac:dyDescent="0.25">
      <c r="A1541" t="s">
        <v>4572</v>
      </c>
      <c r="B1541" t="s">
        <v>4591</v>
      </c>
      <c r="C1541" s="1" t="s">
        <v>4592</v>
      </c>
      <c r="D1541" t="s">
        <v>4593</v>
      </c>
      <c r="E1541" t="str">
        <f>_xll.BDP($B1541,"LEGAL_ENTITY_IDENTIFIER")</f>
        <v>549300FA4CTCW903Y781</v>
      </c>
      <c r="F1541" t="s">
        <v>4593</v>
      </c>
      <c r="G1541" t="str">
        <f>custodian!D1541</f>
        <v>12769G100</v>
      </c>
      <c r="H1541" t="str">
        <f>_xll.BDP($B1541,"ID_ISIN")</f>
        <v>US12769G1004</v>
      </c>
      <c r="I1541" s="1" t="s">
        <v>4592</v>
      </c>
      <c r="J1541" t="str">
        <f>_xll.BDP($B1541,"CNTRY_OF_DOMICILE")</f>
        <v>US</v>
      </c>
      <c r="K1541" t="s">
        <v>98</v>
      </c>
      <c r="L1541" t="s">
        <v>99</v>
      </c>
      <c r="O1541" s="1"/>
      <c r="AQ1541" s="1"/>
      <c r="AR1541" s="1"/>
      <c r="AS1541" s="1"/>
    </row>
    <row r="1542" spans="1:45" x14ac:dyDescent="0.25">
      <c r="A1542" t="s">
        <v>4572</v>
      </c>
      <c r="B1542" t="s">
        <v>4594</v>
      </c>
      <c r="C1542" s="1" t="s">
        <v>4595</v>
      </c>
      <c r="D1542" t="s">
        <v>4596</v>
      </c>
      <c r="E1542" t="str">
        <f>_xll.BDP($B1542,"LEGAL_ENTITY_IDENTIFIER")</f>
        <v>2549006G33IUL6IVOD83</v>
      </c>
      <c r="F1542" t="s">
        <v>4596</v>
      </c>
      <c r="G1542" t="str">
        <f>custodian!D1542</f>
        <v>26142V105</v>
      </c>
      <c r="H1542" t="str">
        <f>_xll.BDP($B1542,"ID_ISIN")</f>
        <v>US26142V1052</v>
      </c>
      <c r="I1542" s="1" t="s">
        <v>4595</v>
      </c>
      <c r="J1542" t="str">
        <f>_xll.BDP($B1542,"CNTRY_OF_DOMICILE")</f>
        <v>US</v>
      </c>
      <c r="K1542" t="s">
        <v>98</v>
      </c>
      <c r="L1542" t="s">
        <v>99</v>
      </c>
      <c r="O1542" s="1"/>
      <c r="AQ1542" s="1"/>
      <c r="AR1542" s="1"/>
      <c r="AS1542" s="1"/>
    </row>
    <row r="1543" spans="1:45" x14ac:dyDescent="0.25">
      <c r="A1543" t="s">
        <v>4572</v>
      </c>
      <c r="B1543" t="s">
        <v>77</v>
      </c>
      <c r="C1543" s="1" t="s">
        <v>78</v>
      </c>
      <c r="D1543" t="s">
        <v>79</v>
      </c>
      <c r="E1543" t="str">
        <f>_xll.BDP($B1543,"LEGAL_ENTITY_IDENTIFIER")</f>
        <v>549300R5MYM6VZF1RM44</v>
      </c>
      <c r="F1543" t="s">
        <v>80</v>
      </c>
      <c r="G1543" t="str">
        <f>custodian!D1543</f>
        <v>31846V336</v>
      </c>
      <c r="H1543" t="str">
        <f>_xll.BDP($B1543,"ID_ISIN")</f>
        <v>US31846V3362</v>
      </c>
      <c r="I1543" s="1" t="s">
        <v>78</v>
      </c>
      <c r="J1543" t="str">
        <f>_xll.BDP($B1543,"CNTRY_OF_DOMICILE")</f>
        <v>US</v>
      </c>
      <c r="K1543" t="s">
        <v>81</v>
      </c>
      <c r="L1543" t="s">
        <v>82</v>
      </c>
      <c r="O1543" s="1"/>
      <c r="AQ1543" s="1"/>
      <c r="AR1543" s="1"/>
      <c r="AS1543" s="1"/>
    </row>
    <row r="1544" spans="1:45" x14ac:dyDescent="0.25">
      <c r="A1544" t="s">
        <v>4572</v>
      </c>
      <c r="B1544" t="s">
        <v>4597</v>
      </c>
      <c r="C1544" s="1" t="s">
        <v>4598</v>
      </c>
      <c r="D1544" t="s">
        <v>4599</v>
      </c>
      <c r="E1544" t="str">
        <f>_xll.BDP($B1544,"LEGAL_ENTITY_IDENTIFIER")</f>
        <v>5493009DKIWW0H901Y82</v>
      </c>
      <c r="F1544" t="s">
        <v>4599</v>
      </c>
      <c r="G1544" t="str">
        <f>custodian!D1544</f>
        <v>359678109</v>
      </c>
      <c r="H1544" t="str">
        <f>_xll.BDP($B1544,"ID_ISIN")</f>
        <v>US3596781092</v>
      </c>
      <c r="I1544" s="1" t="s">
        <v>4598</v>
      </c>
      <c r="J1544" t="str">
        <f>_xll.BDP($B1544,"CNTRY_OF_DOMICILE")</f>
        <v>US</v>
      </c>
      <c r="K1544" t="s">
        <v>98</v>
      </c>
      <c r="L1544" t="s">
        <v>99</v>
      </c>
      <c r="O1544" s="1"/>
      <c r="AQ1544" s="1"/>
      <c r="AR1544" s="1"/>
      <c r="AS1544" s="1"/>
    </row>
    <row r="1545" spans="1:45" x14ac:dyDescent="0.25">
      <c r="A1545" t="s">
        <v>4572</v>
      </c>
      <c r="B1545" t="s">
        <v>4600</v>
      </c>
      <c r="C1545" s="1" t="s">
        <v>4601</v>
      </c>
      <c r="D1545" t="s">
        <v>4602</v>
      </c>
      <c r="E1545" t="str">
        <f>_xll.BDP($B1545,"LEGAL_ENTITY_IDENTIFIER")</f>
        <v>635400EG4YIJLJMZJ782</v>
      </c>
      <c r="F1545" t="s">
        <v>4602</v>
      </c>
      <c r="G1545" t="str">
        <f>custodian!D1545</f>
        <v>G3643J108</v>
      </c>
      <c r="H1545" t="str">
        <f>_xll.BDP($B1545,"ID_ISIN")</f>
        <v>IE00BWT6H894</v>
      </c>
      <c r="I1545" s="1" t="s">
        <v>4601</v>
      </c>
      <c r="J1545" t="str">
        <f>_xll.BDP($B1545,"CNTRY_OF_DOMICILE")</f>
        <v>US</v>
      </c>
      <c r="K1545" t="s">
        <v>98</v>
      </c>
      <c r="L1545" t="s">
        <v>99</v>
      </c>
      <c r="O1545" s="1"/>
      <c r="AQ1545" s="1"/>
      <c r="AR1545" s="1"/>
      <c r="AS1545" s="1"/>
    </row>
    <row r="1546" spans="1:45" x14ac:dyDescent="0.25">
      <c r="A1546" t="s">
        <v>4572</v>
      </c>
      <c r="B1546" t="s">
        <v>4603</v>
      </c>
      <c r="C1546" s="1" t="s">
        <v>4604</v>
      </c>
      <c r="D1546" t="s">
        <v>4605</v>
      </c>
      <c r="E1546" t="str">
        <f>_xll.BDP($B1546,"LEGAL_ENTITY_IDENTIFIER")</f>
        <v>254900PUNXQ3N26IMU63</v>
      </c>
      <c r="F1546" t="s">
        <v>4605</v>
      </c>
      <c r="G1546" t="str">
        <f>custodian!D1546</f>
        <v>G3R239101</v>
      </c>
      <c r="H1546" t="str">
        <f>_xll.BDP($B1546,"ID_ISIN")</f>
        <v>JE00BL970N11</v>
      </c>
      <c r="I1546" s="1" t="s">
        <v>4604</v>
      </c>
      <c r="J1546" t="str">
        <f>_xll.BDP($B1546,"CNTRY_OF_DOMICILE")</f>
        <v>JE</v>
      </c>
      <c r="K1546" t="s">
        <v>98</v>
      </c>
      <c r="L1546" t="s">
        <v>99</v>
      </c>
      <c r="O1546" s="1"/>
      <c r="AQ1546" s="1"/>
      <c r="AR1546" s="1"/>
      <c r="AS1546" s="1"/>
    </row>
    <row r="1547" spans="1:45" x14ac:dyDescent="0.25">
      <c r="A1547" t="s">
        <v>4572</v>
      </c>
      <c r="B1547" t="s">
        <v>4606</v>
      </c>
      <c r="C1547" s="1" t="s">
        <v>4607</v>
      </c>
      <c r="D1547" t="s">
        <v>4608</v>
      </c>
      <c r="E1547" t="str">
        <f>_xll.BDP($B1547,"LEGAL_ENTITY_IDENTIFIER")</f>
        <v>#N/A N/A</v>
      </c>
      <c r="F1547" t="s">
        <v>4608</v>
      </c>
      <c r="G1547" t="str">
        <f>custodian!D1547</f>
        <v>G3934V109</v>
      </c>
      <c r="H1547" t="str">
        <f>_xll.BDP($B1547,"ID_ISIN")</f>
        <v>GG00BMF1JR16</v>
      </c>
      <c r="I1547" s="1" t="s">
        <v>4607</v>
      </c>
      <c r="J1547" t="str">
        <f>_xll.BDP($B1547,"CNTRY_OF_DOMICILE")</f>
        <v>GB</v>
      </c>
      <c r="K1547" t="s">
        <v>98</v>
      </c>
      <c r="L1547" t="s">
        <v>99</v>
      </c>
      <c r="O1547" s="1"/>
      <c r="AQ1547" s="1"/>
      <c r="AR1547" s="1"/>
      <c r="AS1547" s="1"/>
    </row>
    <row r="1548" spans="1:45" x14ac:dyDescent="0.25">
      <c r="A1548" t="s">
        <v>4572</v>
      </c>
      <c r="B1548" t="s">
        <v>4609</v>
      </c>
      <c r="C1548" s="1" t="s">
        <v>4610</v>
      </c>
      <c r="D1548" t="s">
        <v>4611</v>
      </c>
      <c r="E1548" t="str">
        <f>_xll.BDP($B1548,"LEGAL_ENTITY_IDENTIFIER")</f>
        <v>549300ZUGYK6NBIU6D69</v>
      </c>
      <c r="F1548" t="s">
        <v>4611</v>
      </c>
      <c r="G1548" t="str">
        <f>custodian!D1548</f>
        <v>45782N108</v>
      </c>
      <c r="H1548" t="str">
        <f>_xll.BDP($B1548,"ID_ISIN")</f>
        <v>US45782N1081</v>
      </c>
      <c r="I1548" s="1" t="s">
        <v>4610</v>
      </c>
      <c r="J1548" t="str">
        <f>_xll.BDP($B1548,"CNTRY_OF_DOMICILE")</f>
        <v>US</v>
      </c>
      <c r="K1548" t="s">
        <v>98</v>
      </c>
      <c r="L1548" t="s">
        <v>99</v>
      </c>
      <c r="O1548" s="1"/>
      <c r="AQ1548" s="1"/>
      <c r="AR1548" s="1"/>
      <c r="AS1548" s="1"/>
    </row>
    <row r="1549" spans="1:45" x14ac:dyDescent="0.25">
      <c r="A1549" t="s">
        <v>4572</v>
      </c>
      <c r="B1549" t="s">
        <v>4612</v>
      </c>
      <c r="C1549" s="1" t="s">
        <v>4613</v>
      </c>
      <c r="D1549" t="s">
        <v>4614</v>
      </c>
      <c r="E1549" t="str">
        <f>_xll.BDP($B1549,"LEGAL_ENTITY_IDENTIFIER")</f>
        <v>549300DUOO1KXOHPM605</v>
      </c>
      <c r="F1549" t="s">
        <v>4614</v>
      </c>
      <c r="G1549" t="str">
        <f>custodian!D1549</f>
        <v>517834107</v>
      </c>
      <c r="H1549" t="str">
        <f>_xll.BDP($B1549,"ID_ISIN")</f>
        <v>US5178341070</v>
      </c>
      <c r="I1549" s="1" t="s">
        <v>4613</v>
      </c>
      <c r="J1549" t="str">
        <f>_xll.BDP($B1549,"CNTRY_OF_DOMICILE")</f>
        <v>US</v>
      </c>
      <c r="K1549" t="s">
        <v>98</v>
      </c>
      <c r="L1549" t="s">
        <v>99</v>
      </c>
      <c r="O1549" s="1"/>
      <c r="AQ1549" s="1"/>
      <c r="AR1549" s="1"/>
      <c r="AS1549" s="1"/>
    </row>
    <row r="1550" spans="1:45" x14ac:dyDescent="0.25">
      <c r="A1550" t="s">
        <v>4572</v>
      </c>
      <c r="B1550" t="s">
        <v>4615</v>
      </c>
      <c r="C1550" s="1" t="s">
        <v>4616</v>
      </c>
      <c r="D1550" t="s">
        <v>4617</v>
      </c>
      <c r="E1550" t="str">
        <f>_xll.BDP($B1550,"LEGAL_ENTITY_IDENTIFIER")</f>
        <v>549300AK5FF7KY11V997</v>
      </c>
      <c r="F1550" t="s">
        <v>4617</v>
      </c>
      <c r="G1550" t="str">
        <f>custodian!D1550</f>
        <v>609027107</v>
      </c>
      <c r="H1550" t="str">
        <f>_xll.BDP($B1550,"ID_ISIN")</f>
        <v>US6090271072</v>
      </c>
      <c r="I1550" s="1" t="s">
        <v>4616</v>
      </c>
      <c r="J1550" t="str">
        <f>_xll.BDP($B1550,"CNTRY_OF_DOMICILE")</f>
        <v>US</v>
      </c>
      <c r="K1550" t="s">
        <v>98</v>
      </c>
      <c r="L1550" t="s">
        <v>99</v>
      </c>
      <c r="O1550" s="1"/>
      <c r="AQ1550" s="1"/>
      <c r="AR1550" s="1"/>
      <c r="AS1550" s="1"/>
    </row>
    <row r="1551" spans="1:45" x14ac:dyDescent="0.25">
      <c r="A1551" t="s">
        <v>4572</v>
      </c>
      <c r="B1551" t="s">
        <v>4618</v>
      </c>
      <c r="C1551" s="1" t="s">
        <v>4619</v>
      </c>
      <c r="D1551" t="s">
        <v>4620</v>
      </c>
      <c r="E1551" t="str">
        <f>_xll.BDP($B1551,"LEGAL_ENTITY_IDENTIFIER")</f>
        <v>54930066VBP7DZEGGJ87</v>
      </c>
      <c r="F1551" t="s">
        <v>4620</v>
      </c>
      <c r="G1551" t="str">
        <f>custodian!D1551</f>
        <v>552953101</v>
      </c>
      <c r="H1551" t="str">
        <f>_xll.BDP($B1551,"ID_ISIN")</f>
        <v>US5529531015</v>
      </c>
      <c r="I1551" s="1" t="s">
        <v>4619</v>
      </c>
      <c r="J1551" t="str">
        <f>_xll.BDP($B1551,"CNTRY_OF_DOMICILE")</f>
        <v>US</v>
      </c>
      <c r="K1551" t="s">
        <v>98</v>
      </c>
      <c r="L1551" t="s">
        <v>99</v>
      </c>
      <c r="O1551" s="1"/>
      <c r="AQ1551" s="1"/>
      <c r="AR1551" s="1"/>
      <c r="AS1551" s="1"/>
    </row>
    <row r="1552" spans="1:45" x14ac:dyDescent="0.25">
      <c r="A1552" t="s">
        <v>4572</v>
      </c>
      <c r="B1552" t="s">
        <v>4621</v>
      </c>
      <c r="C1552" s="1" t="s">
        <v>4622</v>
      </c>
      <c r="D1552" t="s">
        <v>4623</v>
      </c>
      <c r="E1552" t="str">
        <f>_xll.BDP($B1552,"LEGAL_ENTITY_IDENTIFIER")</f>
        <v>529900NRV6LBR3T6B421</v>
      </c>
      <c r="F1552" t="s">
        <v>4624</v>
      </c>
      <c r="G1552" t="str">
        <f>custodian!D1552</f>
        <v>585464100</v>
      </c>
      <c r="H1552" t="str">
        <f>_xll.BDP($B1552,"ID_ISIN")</f>
        <v>US5854641009</v>
      </c>
      <c r="I1552" s="1" t="s">
        <v>4622</v>
      </c>
      <c r="J1552" t="str">
        <f>_xll.BDP($B1552,"CNTRY_OF_DOMICILE")</f>
        <v>HK</v>
      </c>
      <c r="K1552" t="s">
        <v>98</v>
      </c>
      <c r="L1552" t="s">
        <v>99</v>
      </c>
      <c r="O1552" s="1"/>
      <c r="AQ1552" s="1"/>
      <c r="AR1552" s="1"/>
      <c r="AS1552" s="1"/>
    </row>
    <row r="1553" spans="1:45" x14ac:dyDescent="0.25">
      <c r="A1553" t="s">
        <v>4572</v>
      </c>
      <c r="B1553" t="s">
        <v>4625</v>
      </c>
      <c r="C1553" s="1" t="s">
        <v>4626</v>
      </c>
      <c r="D1553" t="s">
        <v>4627</v>
      </c>
      <c r="E1553" t="str">
        <f>_xll.BDP($B1553,"LEGAL_ENTITY_IDENTIFIER")</f>
        <v>#N/A N/A</v>
      </c>
      <c r="F1553" t="s">
        <v>4627</v>
      </c>
      <c r="G1553" t="str">
        <f>custodian!D1553</f>
        <v>707569109</v>
      </c>
      <c r="H1553" t="str">
        <f>_xll.BDP($B1553,"ID_ISIN")</f>
        <v>US7075691094</v>
      </c>
      <c r="I1553" s="1" t="s">
        <v>4626</v>
      </c>
      <c r="J1553" t="str">
        <f>_xll.BDP($B1553,"CNTRY_OF_DOMICILE")</f>
        <v>US</v>
      </c>
      <c r="K1553" t="s">
        <v>98</v>
      </c>
      <c r="L1553" t="s">
        <v>99</v>
      </c>
      <c r="O1553" s="1"/>
      <c r="AQ1553" s="1"/>
      <c r="AR1553" s="1"/>
      <c r="AS1553" s="1"/>
    </row>
    <row r="1554" spans="1:45" x14ac:dyDescent="0.25">
      <c r="A1554" t="s">
        <v>4572</v>
      </c>
      <c r="B1554" t="s">
        <v>4297</v>
      </c>
      <c r="C1554" s="1" t="s">
        <v>4298</v>
      </c>
      <c r="D1554" t="s">
        <v>4299</v>
      </c>
      <c r="E1554" t="str">
        <f>_xll.BDP($B1554,"LEGAL_ENTITY_IDENTIFIER")</f>
        <v>2138003K6PVDCI5TBN11</v>
      </c>
      <c r="F1554" t="s">
        <v>4299</v>
      </c>
      <c r="G1554" t="str">
        <f>custodian!D1554</f>
        <v>G6964L206</v>
      </c>
      <c r="H1554" t="str">
        <f>_xll.BDP($B1554,"ID_ISIN")</f>
        <v>BMG6964L2062</v>
      </c>
      <c r="I1554" s="1" t="s">
        <v>4298</v>
      </c>
      <c r="J1554" t="str">
        <f>_xll.BDP($B1554,"CNTRY_OF_DOMICILE")</f>
        <v>GB</v>
      </c>
      <c r="K1554" t="s">
        <v>98</v>
      </c>
      <c r="L1554" t="s">
        <v>99</v>
      </c>
      <c r="O1554" s="1"/>
      <c r="AQ1554" s="1"/>
      <c r="AR1554" s="1"/>
      <c r="AS1554" s="1"/>
    </row>
    <row r="1555" spans="1:45" x14ac:dyDescent="0.25">
      <c r="A1555" t="s">
        <v>4572</v>
      </c>
      <c r="B1555" t="s">
        <v>4628</v>
      </c>
      <c r="C1555" s="1" t="s">
        <v>4629</v>
      </c>
      <c r="D1555" t="s">
        <v>4630</v>
      </c>
      <c r="E1555" t="str">
        <f>_xll.BDP($B1555,"LEGAL_ENTITY_IDENTIFIER")</f>
        <v>#N/A N/A</v>
      </c>
      <c r="F1555" t="s">
        <v>4630</v>
      </c>
      <c r="G1555" t="str">
        <f>custodian!D1555</f>
        <v>75700L108</v>
      </c>
      <c r="H1555" t="str">
        <f>_xll.BDP($B1555,"ID_ISIN")</f>
        <v>US75700L1089</v>
      </c>
      <c r="I1555" s="1" t="s">
        <v>4629</v>
      </c>
      <c r="J1555" t="str">
        <f>_xll.BDP($B1555,"CNTRY_OF_DOMICILE")</f>
        <v>US</v>
      </c>
      <c r="K1555" t="s">
        <v>98</v>
      </c>
      <c r="L1555" t="s">
        <v>99</v>
      </c>
      <c r="O1555" s="1"/>
      <c r="AQ1555" s="1"/>
      <c r="AR1555" s="1"/>
      <c r="AS1555" s="1"/>
    </row>
    <row r="1556" spans="1:45" x14ac:dyDescent="0.25">
      <c r="A1556" t="s">
        <v>4572</v>
      </c>
      <c r="B1556" t="s">
        <v>4631</v>
      </c>
      <c r="C1556" s="1" t="s">
        <v>4632</v>
      </c>
      <c r="D1556" t="s">
        <v>4633</v>
      </c>
      <c r="E1556" t="str">
        <f>_xll.BDP($B1556,"LEGAL_ENTITY_IDENTIFIER")</f>
        <v>#N/A N/A</v>
      </c>
      <c r="F1556" t="s">
        <v>4633</v>
      </c>
      <c r="G1556" t="str">
        <f>custodian!D1556</f>
        <v>782011100</v>
      </c>
      <c r="H1556" t="str">
        <f>_xll.BDP($B1556,"ID_ISIN")</f>
        <v>US7820111000</v>
      </c>
      <c r="I1556" s="1" t="s">
        <v>4632</v>
      </c>
      <c r="J1556" t="str">
        <f>_xll.BDP($B1556,"CNTRY_OF_DOMICILE")</f>
        <v>US</v>
      </c>
      <c r="K1556" t="s">
        <v>98</v>
      </c>
      <c r="L1556" t="s">
        <v>99</v>
      </c>
      <c r="O1556" s="1"/>
      <c r="AQ1556" s="1"/>
      <c r="AR1556" s="1"/>
      <c r="AS1556" s="1"/>
    </row>
    <row r="1557" spans="1:45" x14ac:dyDescent="0.25">
      <c r="A1557" t="s">
        <v>4572</v>
      </c>
      <c r="B1557" t="s">
        <v>4634</v>
      </c>
      <c r="C1557" s="1" t="s">
        <v>4635</v>
      </c>
      <c r="D1557" t="s">
        <v>4636</v>
      </c>
      <c r="E1557" t="str">
        <f>_xll.BDP($B1557,"LEGAL_ENTITY_IDENTIFIER")</f>
        <v>#N/A N/A</v>
      </c>
      <c r="F1557" t="s">
        <v>4636</v>
      </c>
      <c r="G1557" t="str">
        <f>custodian!D1557</f>
        <v>G8588X103</v>
      </c>
      <c r="H1557" t="str">
        <f>_xll.BDP($B1557,"ID_ISIN")</f>
        <v>GG00BMG42V42</v>
      </c>
      <c r="I1557" s="1" t="s">
        <v>4635</v>
      </c>
      <c r="J1557" t="str">
        <f>_xll.BDP($B1557,"CNTRY_OF_DOMICILE")</f>
        <v>GG</v>
      </c>
      <c r="K1557" t="s">
        <v>98</v>
      </c>
      <c r="L1557" t="s">
        <v>99</v>
      </c>
      <c r="O1557" s="1"/>
      <c r="AQ1557" s="1"/>
      <c r="AR1557" s="1"/>
      <c r="AS1557" s="1"/>
    </row>
    <row r="1558" spans="1:45" x14ac:dyDescent="0.25">
      <c r="A1558" t="s">
        <v>4572</v>
      </c>
      <c r="B1558" t="s">
        <v>4637</v>
      </c>
      <c r="C1558" s="1" t="s">
        <v>4638</v>
      </c>
      <c r="D1558" t="s">
        <v>4639</v>
      </c>
      <c r="E1558" t="str">
        <f>_xll.BDP($B1558,"LEGAL_ENTITY_IDENTIFIER")</f>
        <v>549300H1P33YOAT7Z533</v>
      </c>
      <c r="F1558" t="s">
        <v>4639</v>
      </c>
      <c r="G1558" t="str">
        <f>custodian!D1558</f>
        <v>H8088L103</v>
      </c>
      <c r="H1558" t="str">
        <f>_xll.BDP($B1558,"ID_ISIN")</f>
        <v>CH1134239669</v>
      </c>
      <c r="I1558" s="1" t="s">
        <v>4638</v>
      </c>
      <c r="J1558" t="str">
        <f>_xll.BDP($B1558,"CNTRY_OF_DOMICILE")</f>
        <v>CH</v>
      </c>
      <c r="K1558" t="s">
        <v>98</v>
      </c>
      <c r="L1558" t="s">
        <v>99</v>
      </c>
      <c r="O1558" s="1"/>
      <c r="AQ1558" s="1"/>
      <c r="AR1558" s="1"/>
      <c r="AS1558" s="1"/>
    </row>
    <row r="1559" spans="1:45" x14ac:dyDescent="0.25">
      <c r="A1559" t="s">
        <v>4572</v>
      </c>
      <c r="B1559" t="s">
        <v>4640</v>
      </c>
      <c r="C1559" s="1" t="s">
        <v>4641</v>
      </c>
      <c r="D1559" t="s">
        <v>4642</v>
      </c>
      <c r="E1559" t="str">
        <f>_xll.BDP($B1559,"LEGAL_ENTITY_IDENTIFIER")</f>
        <v>254900CEKKWIHTEAB172</v>
      </c>
      <c r="F1559" t="s">
        <v>4642</v>
      </c>
      <c r="G1559" t="str">
        <f>custodian!D1559</f>
        <v>983134107</v>
      </c>
      <c r="H1559" t="str">
        <f>_xll.BDP($B1559,"ID_ISIN")</f>
        <v>US9831341071</v>
      </c>
      <c r="I1559" s="1" t="s">
        <v>4641</v>
      </c>
      <c r="J1559" t="str">
        <f>_xll.BDP($B1559,"CNTRY_OF_DOMICILE")</f>
        <v>US</v>
      </c>
      <c r="K1559" t="s">
        <v>98</v>
      </c>
      <c r="L1559" t="s">
        <v>99</v>
      </c>
      <c r="O1559" s="1"/>
      <c r="AQ1559" s="1"/>
      <c r="AR1559" s="1"/>
      <c r="AS1559" s="1"/>
    </row>
    <row r="1560" spans="1:45" x14ac:dyDescent="0.25">
      <c r="A1560" t="s">
        <v>4572</v>
      </c>
      <c r="C1560" s="1" t="s">
        <v>52</v>
      </c>
      <c r="E1560" s="1"/>
      <c r="G1560" t="str">
        <f>custodian!D1560</f>
        <v>Cash&amp;Other</v>
      </c>
      <c r="H1560" s="1"/>
      <c r="I1560" s="1"/>
      <c r="O1560" s="1"/>
      <c r="AQ1560" s="1"/>
      <c r="AR1560" s="1"/>
      <c r="AS1560" s="1"/>
    </row>
    <row r="1561" spans="1:45" x14ac:dyDescent="0.25">
      <c r="A1561" t="s">
        <v>4643</v>
      </c>
      <c r="B1561" t="s">
        <v>4644</v>
      </c>
      <c r="C1561" s="1" t="s">
        <v>4645</v>
      </c>
      <c r="D1561" t="s">
        <v>56</v>
      </c>
      <c r="E1561" s="1" t="s">
        <v>56</v>
      </c>
      <c r="F1561" t="s">
        <v>4646</v>
      </c>
      <c r="G1561" t="str">
        <f>custodian!D1561</f>
        <v>683344105-TRS-12/01/27-L-CANT</v>
      </c>
      <c r="H1561" s="1"/>
      <c r="I1561" s="1" t="s">
        <v>4645</v>
      </c>
      <c r="J1561" t="s">
        <v>58</v>
      </c>
      <c r="K1561" t="s">
        <v>59</v>
      </c>
      <c r="L1561" t="s">
        <v>60</v>
      </c>
      <c r="M1561" t="s">
        <v>61</v>
      </c>
      <c r="N1561" t="s">
        <v>62</v>
      </c>
      <c r="O1561" s="1" t="s">
        <v>63</v>
      </c>
      <c r="V1561" t="s">
        <v>64</v>
      </c>
      <c r="Y1561" t="s">
        <v>65</v>
      </c>
      <c r="Z1561" t="s">
        <v>66</v>
      </c>
      <c r="AA1561" t="s">
        <v>4647</v>
      </c>
      <c r="AB1561" t="s">
        <v>68</v>
      </c>
      <c r="AD1561" t="s">
        <v>4647</v>
      </c>
      <c r="AE1561" t="s">
        <v>4648</v>
      </c>
      <c r="AF1561" t="s">
        <v>70</v>
      </c>
      <c r="AG1561" t="s">
        <v>4649</v>
      </c>
      <c r="AH1561" t="s">
        <v>72</v>
      </c>
      <c r="AI1561" t="s">
        <v>73</v>
      </c>
      <c r="AK1561" t="s">
        <v>4647</v>
      </c>
      <c r="AL1561" t="s">
        <v>68</v>
      </c>
      <c r="AM1561" t="s">
        <v>74</v>
      </c>
      <c r="AN1561" t="s">
        <v>75</v>
      </c>
      <c r="AO1561" t="str">
        <f>_xll.BDP($B1561,"ISSUER")</f>
        <v>Onto Innovation Inc</v>
      </c>
      <c r="AP1561" t="str">
        <f>_xll.BDP($B1561,"NAME")</f>
        <v>ONTO INNOVATION INC</v>
      </c>
      <c r="AQ1561" s="1" t="s">
        <v>4650</v>
      </c>
      <c r="AR1561" t="str">
        <f>_xll.BDP($B1561,"ID_ISIN")</f>
        <v>US6833441057</v>
      </c>
      <c r="AS1561" t="str">
        <f>_xll.BDP($B1561,"TICKER")</f>
        <v>ONTO</v>
      </c>
    </row>
    <row r="1562" spans="1:45" x14ac:dyDescent="0.25">
      <c r="A1562" t="s">
        <v>4643</v>
      </c>
      <c r="B1562" t="s">
        <v>77</v>
      </c>
      <c r="C1562" s="1" t="s">
        <v>78</v>
      </c>
      <c r="D1562" t="s">
        <v>79</v>
      </c>
      <c r="E1562" t="str">
        <f>_xll.BDP($B1562,"LEGAL_ENTITY_IDENTIFIER")</f>
        <v>549300R5MYM6VZF1RM44</v>
      </c>
      <c r="F1562" t="s">
        <v>80</v>
      </c>
      <c r="G1562" t="str">
        <f>custodian!D1562</f>
        <v>31846V336</v>
      </c>
      <c r="H1562" t="str">
        <f>_xll.BDP($B1562,"ID_ISIN")</f>
        <v>US31846V3362</v>
      </c>
      <c r="I1562" s="1" t="s">
        <v>78</v>
      </c>
      <c r="J1562" t="str">
        <f>_xll.BDP($B1562,"CNTRY_OF_DOMICILE")</f>
        <v>US</v>
      </c>
      <c r="K1562" t="s">
        <v>81</v>
      </c>
      <c r="L1562" t="s">
        <v>82</v>
      </c>
      <c r="O1562" s="1"/>
      <c r="AQ1562" s="1"/>
      <c r="AR1562" s="1"/>
      <c r="AS1562" s="1"/>
    </row>
    <row r="1563" spans="1:45" x14ac:dyDescent="0.25">
      <c r="A1563" t="s">
        <v>4643</v>
      </c>
      <c r="C1563" s="1" t="s">
        <v>52</v>
      </c>
      <c r="E1563" s="1"/>
      <c r="G1563" t="str">
        <f>custodian!D1563</f>
        <v>Cash&amp;Other</v>
      </c>
      <c r="H1563" s="1"/>
      <c r="I1563" s="1"/>
      <c r="O1563" s="1"/>
      <c r="AQ1563" s="1"/>
      <c r="AR1563" s="1"/>
      <c r="AS1563" s="1"/>
    </row>
    <row r="1564" spans="1:45" x14ac:dyDescent="0.25">
      <c r="A1564" t="s">
        <v>4651</v>
      </c>
      <c r="B1564" t="s">
        <v>217</v>
      </c>
      <c r="C1564" s="1" t="s">
        <v>218</v>
      </c>
      <c r="D1564" t="s">
        <v>219</v>
      </c>
      <c r="E1564" t="str">
        <f>_xll.BDP($B1564,"LEGAL_ENTITY_IDENTIFIER")</f>
        <v>HWUPKR0MPOU8FGXBT394</v>
      </c>
      <c r="F1564" t="s">
        <v>219</v>
      </c>
      <c r="G1564" t="str">
        <f>custodian!D1564</f>
        <v>037833100</v>
      </c>
      <c r="H1564" t="str">
        <f>_xll.BDP($B1564,"ID_ISIN")</f>
        <v>US0378331005</v>
      </c>
      <c r="I1564" s="1" t="s">
        <v>218</v>
      </c>
      <c r="J1564" t="str">
        <f>_xll.BDP($B1564,"CNTRY_OF_DOMICILE")</f>
        <v>US</v>
      </c>
      <c r="K1564" t="s">
        <v>98</v>
      </c>
      <c r="L1564" t="s">
        <v>99</v>
      </c>
      <c r="O1564" s="1"/>
      <c r="AQ1564" s="1"/>
      <c r="AR1564" s="1"/>
      <c r="AS1564" s="1"/>
    </row>
    <row r="1565" spans="1:45" x14ac:dyDescent="0.25">
      <c r="A1565" t="s">
        <v>4651</v>
      </c>
      <c r="B1565" t="s">
        <v>220</v>
      </c>
      <c r="C1565" s="1" t="s">
        <v>221</v>
      </c>
      <c r="D1565" t="s">
        <v>222</v>
      </c>
      <c r="E1565" t="str">
        <f>_xll.BDP($B1565,"LEGAL_ENTITY_IDENTIFIER")</f>
        <v>549300HMUDNO0RY56D37</v>
      </c>
      <c r="F1565" t="s">
        <v>222</v>
      </c>
      <c r="G1565" t="str">
        <f>custodian!D1565</f>
        <v>009066101</v>
      </c>
      <c r="H1565" t="str">
        <f>_xll.BDP($B1565,"ID_ISIN")</f>
        <v>US0090661010</v>
      </c>
      <c r="I1565" s="1" t="s">
        <v>221</v>
      </c>
      <c r="J1565" t="str">
        <f>_xll.BDP($B1565,"CNTRY_OF_DOMICILE")</f>
        <v>US</v>
      </c>
      <c r="K1565" t="s">
        <v>98</v>
      </c>
      <c r="L1565" t="s">
        <v>99</v>
      </c>
      <c r="O1565" s="1"/>
      <c r="AQ1565" s="1"/>
      <c r="AR1565" s="1"/>
      <c r="AS1565" s="1"/>
    </row>
    <row r="1566" spans="1:45" x14ac:dyDescent="0.25">
      <c r="A1566" t="s">
        <v>4651</v>
      </c>
      <c r="B1566" t="s">
        <v>4652</v>
      </c>
      <c r="C1566" s="1" t="s">
        <v>4653</v>
      </c>
      <c r="D1566" t="s">
        <v>4654</v>
      </c>
      <c r="E1566" t="str">
        <f>_xll.BDP($B1566,"LEGAL_ENTITY_IDENTIFIER")</f>
        <v>549300AYR4P8AFKDCE43</v>
      </c>
      <c r="F1566" t="s">
        <v>4654</v>
      </c>
      <c r="G1566" t="str">
        <f>custodian!D1566</f>
        <v>G0450A105</v>
      </c>
      <c r="H1566" t="str">
        <f>_xll.BDP($B1566,"ID_ISIN")</f>
        <v>BMG0450A1053</v>
      </c>
      <c r="I1566" s="1" t="s">
        <v>4653</v>
      </c>
      <c r="J1566" t="str">
        <f>_xll.BDP($B1566,"CNTRY_OF_DOMICILE")</f>
        <v>BM</v>
      </c>
      <c r="K1566" t="s">
        <v>98</v>
      </c>
      <c r="L1566" t="s">
        <v>99</v>
      </c>
      <c r="O1566" s="1"/>
      <c r="AQ1566" s="1"/>
      <c r="AR1566" s="1"/>
      <c r="AS1566" s="1"/>
    </row>
    <row r="1567" spans="1:45" x14ac:dyDescent="0.25">
      <c r="A1567" t="s">
        <v>4651</v>
      </c>
      <c r="B1567" t="s">
        <v>235</v>
      </c>
      <c r="C1567" s="1" t="s">
        <v>236</v>
      </c>
      <c r="D1567" t="s">
        <v>237</v>
      </c>
      <c r="E1567" t="str">
        <f>_xll.BDP($B1567,"LEGAL_ENTITY_IDENTIFIER")</f>
        <v>41BNNE1AFPNAZELZ6K07</v>
      </c>
      <c r="F1567" t="s">
        <v>237</v>
      </c>
      <c r="G1567" t="str">
        <f>custodian!D1567</f>
        <v>038222105</v>
      </c>
      <c r="H1567" t="str">
        <f>_xll.BDP($B1567,"ID_ISIN")</f>
        <v>US0382221051</v>
      </c>
      <c r="I1567" s="1" t="s">
        <v>236</v>
      </c>
      <c r="J1567" t="str">
        <f>_xll.BDP($B1567,"CNTRY_OF_DOMICILE")</f>
        <v>US</v>
      </c>
      <c r="K1567" t="s">
        <v>98</v>
      </c>
      <c r="L1567" t="s">
        <v>99</v>
      </c>
      <c r="O1567" s="1"/>
      <c r="AQ1567" s="1"/>
      <c r="AR1567" s="1"/>
      <c r="AS1567" s="1"/>
    </row>
    <row r="1568" spans="1:45" x14ac:dyDescent="0.25">
      <c r="A1568" t="s">
        <v>4651</v>
      </c>
      <c r="B1568" t="s">
        <v>238</v>
      </c>
      <c r="C1568" s="1" t="s">
        <v>239</v>
      </c>
      <c r="D1568" t="s">
        <v>240</v>
      </c>
      <c r="E1568" t="str">
        <f>_xll.BDP($B1568,"LEGAL_ENTITY_IDENTIFIER")</f>
        <v>R2I72C950HOYXII45366</v>
      </c>
      <c r="F1568" t="s">
        <v>240</v>
      </c>
      <c r="G1568" t="str">
        <f>custodian!D1568</f>
        <v>007903107</v>
      </c>
      <c r="H1568" t="str">
        <f>_xll.BDP($B1568,"ID_ISIN")</f>
        <v>US0079031078</v>
      </c>
      <c r="I1568" s="1" t="s">
        <v>239</v>
      </c>
      <c r="J1568" t="str">
        <f>_xll.BDP($B1568,"CNTRY_OF_DOMICILE")</f>
        <v>US</v>
      </c>
      <c r="K1568" t="s">
        <v>98</v>
      </c>
      <c r="L1568" t="s">
        <v>99</v>
      </c>
      <c r="O1568" s="1"/>
      <c r="AQ1568" s="1"/>
      <c r="AR1568" s="1"/>
      <c r="AS1568" s="1"/>
    </row>
    <row r="1569" spans="1:45" x14ac:dyDescent="0.25">
      <c r="A1569" t="s">
        <v>4651</v>
      </c>
      <c r="B1569" t="s">
        <v>706</v>
      </c>
      <c r="C1569" s="1" t="s">
        <v>707</v>
      </c>
      <c r="D1569" t="s">
        <v>708</v>
      </c>
      <c r="E1569" t="str">
        <f>_xll.BDP($B1569,"LEGAL_ENTITY_IDENTIFIER")</f>
        <v>ZXTILKJKG63JELOEG630</v>
      </c>
      <c r="F1569" t="s">
        <v>708</v>
      </c>
      <c r="G1569" t="str">
        <f>custodian!D1569</f>
        <v>023135106</v>
      </c>
      <c r="H1569" t="str">
        <f>_xll.BDP($B1569,"ID_ISIN")</f>
        <v>US0231351067</v>
      </c>
      <c r="I1569" s="1" t="s">
        <v>707</v>
      </c>
      <c r="J1569" t="str">
        <f>_xll.BDP($B1569,"CNTRY_OF_DOMICILE")</f>
        <v>US</v>
      </c>
      <c r="K1569" t="s">
        <v>98</v>
      </c>
      <c r="L1569" t="s">
        <v>99</v>
      </c>
      <c r="O1569" s="1"/>
      <c r="AQ1569" s="1"/>
      <c r="AR1569" s="1"/>
      <c r="AS1569" s="1"/>
    </row>
    <row r="1570" spans="1:45" x14ac:dyDescent="0.25">
      <c r="A1570" t="s">
        <v>4651</v>
      </c>
      <c r="B1570" t="s">
        <v>3558</v>
      </c>
      <c r="C1570" s="1" t="s">
        <v>3559</v>
      </c>
      <c r="D1570" t="s">
        <v>3560</v>
      </c>
      <c r="E1570" t="str">
        <f>_xll.BDP($B1570,"LEGAL_ENTITY_IDENTIFIER")</f>
        <v>635400H1WKBLOQERUU95</v>
      </c>
      <c r="F1570" t="s">
        <v>3560</v>
      </c>
      <c r="G1570" t="str">
        <f>custodian!D1570</f>
        <v>040413205</v>
      </c>
      <c r="H1570" t="str">
        <f>_xll.BDP($B1570,"ID_ISIN")</f>
        <v>US0404132054</v>
      </c>
      <c r="I1570" s="1" t="s">
        <v>3559</v>
      </c>
      <c r="J1570" t="str">
        <f>_xll.BDP($B1570,"CNTRY_OF_DOMICILE")</f>
        <v>US</v>
      </c>
      <c r="K1570" t="s">
        <v>98</v>
      </c>
      <c r="L1570" t="s">
        <v>99</v>
      </c>
      <c r="O1570" s="1"/>
      <c r="AQ1570" s="1"/>
      <c r="AR1570" s="1"/>
      <c r="AS1570" s="1"/>
    </row>
    <row r="1571" spans="1:45" x14ac:dyDescent="0.25">
      <c r="A1571" t="s">
        <v>4651</v>
      </c>
      <c r="B1571" t="s">
        <v>4655</v>
      </c>
      <c r="C1571" s="1" t="s">
        <v>4656</v>
      </c>
      <c r="D1571" t="s">
        <v>4657</v>
      </c>
      <c r="E1571" t="str">
        <f>_xll.BDP($B1571,"LEGAL_ENTITY_IDENTIFIER")</f>
        <v>7QEON6Y1RL5XR3R1W237</v>
      </c>
      <c r="F1571" t="s">
        <v>4657</v>
      </c>
      <c r="G1571" t="str">
        <f>custodian!D1571</f>
        <v>009158106</v>
      </c>
      <c r="H1571" t="str">
        <f>_xll.BDP($B1571,"ID_ISIN")</f>
        <v>US0091581068</v>
      </c>
      <c r="I1571" s="1" t="s">
        <v>4656</v>
      </c>
      <c r="J1571" t="str">
        <f>_xll.BDP($B1571,"CNTRY_OF_DOMICILE")</f>
        <v>US</v>
      </c>
      <c r="K1571" t="s">
        <v>98</v>
      </c>
      <c r="L1571" t="s">
        <v>99</v>
      </c>
      <c r="O1571" s="1"/>
      <c r="AQ1571" s="1"/>
      <c r="AR1571" s="1"/>
      <c r="AS1571" s="1"/>
    </row>
    <row r="1572" spans="1:45" x14ac:dyDescent="0.25">
      <c r="A1572" t="s">
        <v>4651</v>
      </c>
      <c r="B1572" t="s">
        <v>4658</v>
      </c>
      <c r="C1572" s="1" t="s">
        <v>4659</v>
      </c>
      <c r="D1572" t="s">
        <v>4660</v>
      </c>
      <c r="E1572" t="str">
        <f>_xll.BDP($B1572,"LEGAL_ENTITY_IDENTIFIER")</f>
        <v>549300D3L3G0R4U4VT04</v>
      </c>
      <c r="F1572" t="s">
        <v>4660</v>
      </c>
      <c r="G1572" t="str">
        <f>custodian!D1572</f>
        <v>032095101</v>
      </c>
      <c r="H1572" t="str">
        <f>_xll.BDP($B1572,"ID_ISIN")</f>
        <v>US0320951017</v>
      </c>
      <c r="I1572" s="1" t="s">
        <v>4659</v>
      </c>
      <c r="J1572" t="str">
        <f>_xll.BDP($B1572,"CNTRY_OF_DOMICILE")</f>
        <v>US</v>
      </c>
      <c r="K1572" t="s">
        <v>98</v>
      </c>
      <c r="L1572" t="s">
        <v>99</v>
      </c>
      <c r="O1572" s="1"/>
      <c r="AQ1572" s="1"/>
      <c r="AR1572" s="1"/>
      <c r="AS1572" s="1"/>
    </row>
    <row r="1573" spans="1:45" x14ac:dyDescent="0.25">
      <c r="A1573" t="s">
        <v>4651</v>
      </c>
      <c r="B1573" t="s">
        <v>3561</v>
      </c>
      <c r="C1573" s="1" t="s">
        <v>3562</v>
      </c>
      <c r="D1573" t="s">
        <v>3563</v>
      </c>
      <c r="E1573" t="str">
        <f>_xll.BDP($B1573,"LEGAL_ENTITY_IDENTIFIER")</f>
        <v>254900LMFT1CY9IYB476</v>
      </c>
      <c r="F1573" t="s">
        <v>3563</v>
      </c>
      <c r="G1573" t="str">
        <f>custodian!D1573</f>
        <v>03769M106</v>
      </c>
      <c r="H1573" t="str">
        <f>_xll.BDP($B1573,"ID_ISIN")</f>
        <v>US03769M1062</v>
      </c>
      <c r="I1573" s="1" t="s">
        <v>3562</v>
      </c>
      <c r="J1573" t="str">
        <f>_xll.BDP($B1573,"CNTRY_OF_DOMICILE")</f>
        <v>US</v>
      </c>
      <c r="K1573" t="s">
        <v>98</v>
      </c>
      <c r="L1573" t="s">
        <v>99</v>
      </c>
      <c r="O1573" s="1"/>
      <c r="AQ1573" s="1"/>
      <c r="AR1573" s="1"/>
      <c r="AS1573" s="1"/>
    </row>
    <row r="1574" spans="1:45" x14ac:dyDescent="0.25">
      <c r="A1574" t="s">
        <v>4651</v>
      </c>
      <c r="B1574" t="s">
        <v>241</v>
      </c>
      <c r="C1574" s="1" t="s">
        <v>242</v>
      </c>
      <c r="D1574" t="s">
        <v>243</v>
      </c>
      <c r="E1574" t="str">
        <f>_xll.BDP($B1574,"LEGAL_ENTITY_IDENTIFIER")</f>
        <v>549300LLVXMUAOL3SQ07</v>
      </c>
      <c r="F1574" t="s">
        <v>243</v>
      </c>
      <c r="G1574" t="str">
        <f>custodian!D1574</f>
        <v>03831W108</v>
      </c>
      <c r="H1574" t="str">
        <f>_xll.BDP($B1574,"ID_ISIN")</f>
        <v>US03831W1080</v>
      </c>
      <c r="I1574" s="1" t="s">
        <v>242</v>
      </c>
      <c r="J1574" t="str">
        <f>_xll.BDP($B1574,"CNTRY_OF_DOMICILE")</f>
        <v>US</v>
      </c>
      <c r="K1574" t="s">
        <v>98</v>
      </c>
      <c r="L1574" t="s">
        <v>99</v>
      </c>
      <c r="O1574" s="1"/>
      <c r="AQ1574" s="1"/>
      <c r="AR1574" s="1"/>
      <c r="AS1574" s="1"/>
    </row>
    <row r="1575" spans="1:45" x14ac:dyDescent="0.25">
      <c r="A1575" t="s">
        <v>4651</v>
      </c>
      <c r="B1575" t="s">
        <v>3564</v>
      </c>
      <c r="C1575" s="1" t="s">
        <v>3565</v>
      </c>
      <c r="D1575" t="s">
        <v>3566</v>
      </c>
      <c r="E1575" t="str">
        <f>_xll.BDP($B1575,"LEGAL_ENTITY_IDENTIFIER")</f>
        <v>529900JUV61FH7B8VW38</v>
      </c>
      <c r="F1575" t="s">
        <v>3566</v>
      </c>
      <c r="G1575" t="str">
        <f>custodian!D1575</f>
        <v>03990B101</v>
      </c>
      <c r="H1575" t="str">
        <f>_xll.BDP($B1575,"ID_ISIN")</f>
        <v>US03990B1017</v>
      </c>
      <c r="I1575" s="1" t="s">
        <v>3565</v>
      </c>
      <c r="J1575" t="str">
        <f>_xll.BDP($B1575,"CNTRY_OF_DOMICILE")</f>
        <v>US</v>
      </c>
      <c r="K1575" t="s">
        <v>98</v>
      </c>
      <c r="L1575" t="s">
        <v>99</v>
      </c>
      <c r="O1575" s="1"/>
      <c r="AQ1575" s="1"/>
      <c r="AR1575" s="1"/>
      <c r="AS1575" s="1"/>
    </row>
    <row r="1576" spans="1:45" x14ac:dyDescent="0.25">
      <c r="A1576" t="s">
        <v>4651</v>
      </c>
      <c r="B1576" t="s">
        <v>244</v>
      </c>
      <c r="C1576" s="1" t="s">
        <v>245</v>
      </c>
      <c r="D1576" t="s">
        <v>246</v>
      </c>
      <c r="E1576" t="str">
        <f>_xll.BDP($B1576,"LEGAL_ENTITY_IDENTIFIER")</f>
        <v>549300WV6GIDOZJTV909</v>
      </c>
      <c r="F1576" t="s">
        <v>246</v>
      </c>
      <c r="G1576" t="str">
        <f>custodian!D1576</f>
        <v>11135F101</v>
      </c>
      <c r="H1576" t="str">
        <f>_xll.BDP($B1576,"ID_ISIN")</f>
        <v>US11135F1012</v>
      </c>
      <c r="I1576" s="1" t="s">
        <v>245</v>
      </c>
      <c r="J1576" t="str">
        <f>_xll.BDP($B1576,"CNTRY_OF_DOMICILE")</f>
        <v>US</v>
      </c>
      <c r="K1576" t="s">
        <v>98</v>
      </c>
      <c r="L1576" t="s">
        <v>99</v>
      </c>
      <c r="O1576" s="1"/>
      <c r="AQ1576" s="1"/>
      <c r="AR1576" s="1"/>
      <c r="AS1576" s="1"/>
    </row>
    <row r="1577" spans="1:45" x14ac:dyDescent="0.25">
      <c r="A1577" t="s">
        <v>4651</v>
      </c>
      <c r="B1577" t="s">
        <v>560</v>
      </c>
      <c r="C1577" s="1" t="s">
        <v>561</v>
      </c>
      <c r="D1577" t="s">
        <v>562</v>
      </c>
      <c r="E1577" t="str">
        <f>_xll.BDP($B1577,"LEGAL_ENTITY_IDENTIFIER")</f>
        <v>549300QP2IEEGFE16681</v>
      </c>
      <c r="F1577" t="s">
        <v>562</v>
      </c>
      <c r="G1577" t="str">
        <f>custodian!D1577</f>
        <v>05464C101</v>
      </c>
      <c r="H1577" t="str">
        <f>_xll.BDP($B1577,"ID_ISIN")</f>
        <v>US05464C1018</v>
      </c>
      <c r="I1577" s="1" t="s">
        <v>561</v>
      </c>
      <c r="J1577" t="str">
        <f>_xll.BDP($B1577,"CNTRY_OF_DOMICILE")</f>
        <v>US</v>
      </c>
      <c r="K1577" t="s">
        <v>98</v>
      </c>
      <c r="L1577" t="s">
        <v>99</v>
      </c>
      <c r="O1577" s="1"/>
      <c r="AQ1577" s="1"/>
      <c r="AR1577" s="1"/>
      <c r="AS1577" s="1"/>
    </row>
    <row r="1578" spans="1:45" x14ac:dyDescent="0.25">
      <c r="A1578" t="s">
        <v>4651</v>
      </c>
      <c r="B1578" t="s">
        <v>4661</v>
      </c>
      <c r="C1578" s="1" t="s">
        <v>4662</v>
      </c>
      <c r="D1578" t="s">
        <v>4663</v>
      </c>
      <c r="E1578" t="str">
        <f>_xll.BDP($B1578,"LEGAL_ENTITY_IDENTIFIER")</f>
        <v>GA3JGKJ41LJKXDN23E90</v>
      </c>
      <c r="F1578" t="s">
        <v>4663</v>
      </c>
      <c r="G1578" t="str">
        <f>custodian!D1578</f>
        <v>053332102</v>
      </c>
      <c r="H1578" t="str">
        <f>_xll.BDP($B1578,"ID_ISIN")</f>
        <v>US0533321024</v>
      </c>
      <c r="I1578" s="1" t="s">
        <v>4662</v>
      </c>
      <c r="J1578" t="str">
        <f>_xll.BDP($B1578,"CNTRY_OF_DOMICILE")</f>
        <v>US</v>
      </c>
      <c r="K1578" t="s">
        <v>98</v>
      </c>
      <c r="L1578" t="s">
        <v>99</v>
      </c>
      <c r="O1578" s="1"/>
      <c r="AQ1578" s="1"/>
      <c r="AR1578" s="1"/>
      <c r="AS1578" s="1"/>
    </row>
    <row r="1579" spans="1:45" x14ac:dyDescent="0.25">
      <c r="A1579" t="s">
        <v>4651</v>
      </c>
      <c r="B1579" t="s">
        <v>4664</v>
      </c>
      <c r="C1579" s="1" t="s">
        <v>4665</v>
      </c>
      <c r="D1579" t="s">
        <v>4666</v>
      </c>
      <c r="E1579" t="str">
        <f>_xll.BDP($B1579,"LEGAL_ENTITY_IDENTIFIER")</f>
        <v>9DJT3UXIJIZJI4WXO774</v>
      </c>
      <c r="F1579" t="s">
        <v>4666</v>
      </c>
      <c r="G1579" t="str">
        <f>custodian!D1579</f>
        <v>060505104</v>
      </c>
      <c r="H1579" t="str">
        <f>_xll.BDP($B1579,"ID_ISIN")</f>
        <v>US0605051046</v>
      </c>
      <c r="I1579" s="1" t="s">
        <v>4665</v>
      </c>
      <c r="J1579" t="str">
        <f>_xll.BDP($B1579,"CNTRY_OF_DOMICILE")</f>
        <v>US</v>
      </c>
      <c r="K1579" t="s">
        <v>98</v>
      </c>
      <c r="L1579" t="s">
        <v>99</v>
      </c>
      <c r="O1579" s="1"/>
      <c r="AQ1579" s="1"/>
      <c r="AR1579" s="1"/>
      <c r="AS1579" s="1"/>
    </row>
    <row r="1580" spans="1:45" x14ac:dyDescent="0.25">
      <c r="A1580" t="s">
        <v>4651</v>
      </c>
      <c r="B1580" t="s">
        <v>3567</v>
      </c>
      <c r="C1580" s="1" t="s">
        <v>3568</v>
      </c>
      <c r="D1580" t="s">
        <v>3569</v>
      </c>
      <c r="E1580" t="str">
        <f>_xll.BDP($B1580,"LEGAL_ENTITY_IDENTIFIER")</f>
        <v>529900VBK42Y5HHRMD23</v>
      </c>
      <c r="F1580" t="s">
        <v>3569</v>
      </c>
      <c r="G1580" t="str">
        <f>custodian!D1580</f>
        <v>09290D101</v>
      </c>
      <c r="H1580" t="str">
        <f>_xll.BDP($B1580,"ID_ISIN")</f>
        <v>US09290D1019</v>
      </c>
      <c r="I1580" s="1" t="s">
        <v>3568</v>
      </c>
      <c r="J1580" t="str">
        <f>_xll.BDP($B1580,"CNTRY_OF_DOMICILE")</f>
        <v>US</v>
      </c>
      <c r="K1580" t="s">
        <v>98</v>
      </c>
      <c r="L1580" t="s">
        <v>99</v>
      </c>
      <c r="O1580" s="1"/>
      <c r="AQ1580" s="1"/>
      <c r="AR1580" s="1"/>
      <c r="AS1580" s="1"/>
    </row>
    <row r="1581" spans="1:45" x14ac:dyDescent="0.25">
      <c r="A1581" t="s">
        <v>4651</v>
      </c>
      <c r="B1581" t="s">
        <v>4667</v>
      </c>
      <c r="C1581" s="1" t="s">
        <v>4668</v>
      </c>
      <c r="D1581" t="s">
        <v>4669</v>
      </c>
      <c r="E1581" t="str">
        <f>_xll.BDP($B1581,"LEGAL_ENTITY_IDENTIFIER")</f>
        <v>5493000C01ZX7D35SD85</v>
      </c>
      <c r="F1581" t="s">
        <v>4669</v>
      </c>
      <c r="G1581" t="str">
        <f>custodian!D1581</f>
        <v>084670702</v>
      </c>
      <c r="H1581" t="str">
        <f>_xll.BDP($B1581,"ID_ISIN")</f>
        <v>US0846707026</v>
      </c>
      <c r="I1581" s="1" t="s">
        <v>4668</v>
      </c>
      <c r="J1581" t="str">
        <f>_xll.BDP($B1581,"CNTRY_OF_DOMICILE")</f>
        <v>US</v>
      </c>
      <c r="K1581" t="s">
        <v>98</v>
      </c>
      <c r="L1581" t="s">
        <v>99</v>
      </c>
      <c r="O1581" s="1"/>
      <c r="AQ1581" s="1"/>
      <c r="AR1581" s="1"/>
      <c r="AS1581" s="1"/>
    </row>
    <row r="1582" spans="1:45" x14ac:dyDescent="0.25">
      <c r="A1582" t="s">
        <v>4651</v>
      </c>
      <c r="B1582" t="s">
        <v>3570</v>
      </c>
      <c r="C1582" s="1" t="s">
        <v>3571</v>
      </c>
      <c r="D1582" t="s">
        <v>3572</v>
      </c>
      <c r="E1582" t="str">
        <f>_xll.BDP($B1582,"LEGAL_ENTITY_IDENTIFIER")</f>
        <v>5299004LW4QWGZUB8Y96</v>
      </c>
      <c r="F1582" t="s">
        <v>3572</v>
      </c>
      <c r="G1582" t="str">
        <f>custodian!D1582</f>
        <v>09260D107</v>
      </c>
      <c r="H1582" t="str">
        <f>_xll.BDP($B1582,"ID_ISIN")</f>
        <v>US09260D1072</v>
      </c>
      <c r="I1582" s="1" t="s">
        <v>3571</v>
      </c>
      <c r="J1582" t="str">
        <f>_xll.BDP($B1582,"CNTRY_OF_DOMICILE")</f>
        <v>US</v>
      </c>
      <c r="K1582" t="s">
        <v>98</v>
      </c>
      <c r="L1582" t="s">
        <v>99</v>
      </c>
      <c r="O1582" s="1"/>
      <c r="AQ1582" s="1"/>
      <c r="AR1582" s="1"/>
      <c r="AS1582" s="1"/>
    </row>
    <row r="1583" spans="1:45" x14ac:dyDescent="0.25">
      <c r="A1583" t="s">
        <v>4651</v>
      </c>
      <c r="B1583" t="s">
        <v>4670</v>
      </c>
      <c r="C1583" s="1" t="s">
        <v>4671</v>
      </c>
      <c r="D1583" t="s">
        <v>4672</v>
      </c>
      <c r="E1583" t="str">
        <f>_xll.BDP($B1583,"LEGAL_ENTITY_IDENTIFIER")</f>
        <v>549300JE3W6CWY2NAN77</v>
      </c>
      <c r="F1583" t="s">
        <v>4672</v>
      </c>
      <c r="G1583" t="str">
        <f>custodian!D1583</f>
        <v>14448C104</v>
      </c>
      <c r="H1583" t="str">
        <f>_xll.BDP($B1583,"ID_ISIN")</f>
        <v>US14448C1045</v>
      </c>
      <c r="I1583" s="1" t="s">
        <v>4671</v>
      </c>
      <c r="J1583" t="str">
        <f>_xll.BDP($B1583,"CNTRY_OF_DOMICILE")</f>
        <v>US</v>
      </c>
      <c r="K1583" t="s">
        <v>98</v>
      </c>
      <c r="L1583" t="s">
        <v>99</v>
      </c>
      <c r="O1583" s="1"/>
      <c r="AQ1583" s="1"/>
      <c r="AR1583" s="1"/>
      <c r="AS1583" s="1"/>
    </row>
    <row r="1584" spans="1:45" x14ac:dyDescent="0.25">
      <c r="A1584" t="s">
        <v>4651</v>
      </c>
      <c r="B1584" t="s">
        <v>712</v>
      </c>
      <c r="C1584" s="1" t="s">
        <v>713</v>
      </c>
      <c r="D1584" t="s">
        <v>714</v>
      </c>
      <c r="E1584" t="str">
        <f>_xll.BDP($B1584,"LEGAL_ENTITY_IDENTIFIER")</f>
        <v>WRJR7GS4GTRECRRTVX92</v>
      </c>
      <c r="F1584" t="s">
        <v>714</v>
      </c>
      <c r="G1584" t="str">
        <f>custodian!D1584</f>
        <v>149123101</v>
      </c>
      <c r="H1584" t="str">
        <f>_xll.BDP($B1584,"ID_ISIN")</f>
        <v>US1491231015</v>
      </c>
      <c r="I1584" s="1" t="s">
        <v>713</v>
      </c>
      <c r="J1584" t="str">
        <f>_xll.BDP($B1584,"CNTRY_OF_DOMICILE")</f>
        <v>US</v>
      </c>
      <c r="K1584" t="s">
        <v>98</v>
      </c>
      <c r="L1584" t="s">
        <v>99</v>
      </c>
      <c r="O1584" s="1"/>
      <c r="AQ1584" s="1"/>
      <c r="AR1584" s="1"/>
      <c r="AS1584" s="1"/>
    </row>
    <row r="1585" spans="1:45" x14ac:dyDescent="0.25">
      <c r="A1585" t="s">
        <v>4651</v>
      </c>
      <c r="B1585" t="s">
        <v>4673</v>
      </c>
      <c r="C1585" s="1" t="s">
        <v>4674</v>
      </c>
      <c r="D1585" t="s">
        <v>4675</v>
      </c>
      <c r="E1585" t="str">
        <f>_xll.BDP($B1585,"LEGAL_ENTITY_IDENTIFIER")</f>
        <v>F1OF2ZSX47CR0BCWA982</v>
      </c>
      <c r="F1585" t="s">
        <v>4675</v>
      </c>
      <c r="G1585" t="str">
        <f>custodian!D1585</f>
        <v>G2004J103</v>
      </c>
      <c r="H1585" t="str">
        <f>_xll.BDP($B1585,"ID_ISIN")</f>
        <v>BMG2004J1036</v>
      </c>
      <c r="I1585" s="1" t="s">
        <v>4674</v>
      </c>
      <c r="J1585" t="str">
        <f>_xll.BDP($B1585,"CNTRY_OF_DOMICILE")</f>
        <v>US</v>
      </c>
      <c r="K1585" t="s">
        <v>98</v>
      </c>
      <c r="L1585" t="s">
        <v>99</v>
      </c>
      <c r="O1585" s="1"/>
      <c r="AQ1585" s="1"/>
      <c r="AR1585" s="1"/>
      <c r="AS1585" s="1"/>
    </row>
    <row r="1586" spans="1:45" x14ac:dyDescent="0.25">
      <c r="A1586" t="s">
        <v>4651</v>
      </c>
      <c r="B1586" t="s">
        <v>4676</v>
      </c>
      <c r="C1586" s="1" t="s">
        <v>4677</v>
      </c>
      <c r="D1586" t="s">
        <v>4678</v>
      </c>
      <c r="E1586" t="str">
        <f>_xll.BDP($B1586,"LEGAL_ENTITY_IDENTIFIER")</f>
        <v>51M0QTTNCGUN7KFCFZ59</v>
      </c>
      <c r="F1586" t="s">
        <v>4678</v>
      </c>
      <c r="G1586" t="str">
        <f>custodian!D1586</f>
        <v>20030N101</v>
      </c>
      <c r="H1586" t="str">
        <f>_xll.BDP($B1586,"ID_ISIN")</f>
        <v>US20030N1019</v>
      </c>
      <c r="I1586" s="1" t="s">
        <v>4677</v>
      </c>
      <c r="J1586" t="str">
        <f>_xll.BDP($B1586,"CNTRY_OF_DOMICILE")</f>
        <v>US</v>
      </c>
      <c r="K1586" t="s">
        <v>98</v>
      </c>
      <c r="L1586" t="s">
        <v>99</v>
      </c>
      <c r="O1586" s="1"/>
      <c r="AQ1586" s="1"/>
      <c r="AR1586" s="1"/>
      <c r="AS1586" s="1"/>
    </row>
    <row r="1587" spans="1:45" x14ac:dyDescent="0.25">
      <c r="A1587" t="s">
        <v>4651</v>
      </c>
      <c r="B1587" t="s">
        <v>256</v>
      </c>
      <c r="C1587" s="1" t="s">
        <v>257</v>
      </c>
      <c r="D1587" t="s">
        <v>258</v>
      </c>
      <c r="E1587" t="str">
        <f>_xll.BDP($B1587,"LEGAL_ENTITY_IDENTIFIER")</f>
        <v>5493004G3J2SC154DU06</v>
      </c>
      <c r="F1587" t="s">
        <v>258</v>
      </c>
      <c r="G1587" t="str">
        <f>custodian!D1587</f>
        <v>19260Q107</v>
      </c>
      <c r="H1587" t="str">
        <f>_xll.BDP($B1587,"ID_ISIN")</f>
        <v>US19260Q1076</v>
      </c>
      <c r="I1587" s="1" t="s">
        <v>257</v>
      </c>
      <c r="J1587" t="str">
        <f>_xll.BDP($B1587,"CNTRY_OF_DOMICILE")</f>
        <v>US</v>
      </c>
      <c r="K1587" t="s">
        <v>98</v>
      </c>
      <c r="L1587" t="s">
        <v>99</v>
      </c>
      <c r="O1587" s="1"/>
      <c r="AQ1587" s="1"/>
      <c r="AR1587" s="1"/>
      <c r="AS1587" s="1"/>
    </row>
    <row r="1588" spans="1:45" x14ac:dyDescent="0.25">
      <c r="A1588" t="s">
        <v>4651</v>
      </c>
      <c r="B1588" t="s">
        <v>4212</v>
      </c>
      <c r="C1588" s="1" t="s">
        <v>4213</v>
      </c>
      <c r="D1588" t="s">
        <v>4214</v>
      </c>
      <c r="E1588" t="str">
        <f>_xll.BDP($B1588,"LEGAL_ENTITY_IDENTIFIER")</f>
        <v>549300DG6RR0NQSFLN74</v>
      </c>
      <c r="F1588" t="s">
        <v>4214</v>
      </c>
      <c r="G1588" t="str">
        <f>custodian!D1588</f>
        <v>219948106</v>
      </c>
      <c r="H1588" t="str">
        <f>_xll.BDP($B1588,"ID_ISIN")</f>
        <v>US2199481068</v>
      </c>
      <c r="I1588" s="1" t="s">
        <v>4213</v>
      </c>
      <c r="J1588" t="str">
        <f>_xll.BDP($B1588,"CNTRY_OF_DOMICILE")</f>
        <v>US</v>
      </c>
      <c r="K1588" t="s">
        <v>98</v>
      </c>
      <c r="L1588" t="s">
        <v>99</v>
      </c>
      <c r="O1588" s="1"/>
      <c r="AQ1588" s="1"/>
      <c r="AR1588" s="1"/>
      <c r="AS1588" s="1"/>
    </row>
    <row r="1589" spans="1:45" x14ac:dyDescent="0.25">
      <c r="A1589" t="s">
        <v>4651</v>
      </c>
      <c r="B1589" t="s">
        <v>4679</v>
      </c>
      <c r="C1589" s="1" t="s">
        <v>4680</v>
      </c>
      <c r="D1589" t="s">
        <v>4681</v>
      </c>
      <c r="E1589" t="str">
        <f>_xll.BDP($B1589,"LEGAL_ENTITY_IDENTIFIER")</f>
        <v>549300KVYX3JWMYEHU61</v>
      </c>
      <c r="F1589" t="s">
        <v>4681</v>
      </c>
      <c r="G1589" t="str">
        <f>custodian!D1589</f>
        <v>217204106</v>
      </c>
      <c r="H1589" t="str">
        <f>_xll.BDP($B1589,"ID_ISIN")</f>
        <v>US2172041061</v>
      </c>
      <c r="I1589" s="1" t="s">
        <v>4680</v>
      </c>
      <c r="J1589" t="str">
        <f>_xll.BDP($B1589,"CNTRY_OF_DOMICILE")</f>
        <v>US</v>
      </c>
      <c r="K1589" t="s">
        <v>98</v>
      </c>
      <c r="L1589" t="s">
        <v>99</v>
      </c>
      <c r="O1589" s="1"/>
      <c r="AQ1589" s="1"/>
      <c r="AR1589" s="1"/>
      <c r="AS1589" s="1"/>
    </row>
    <row r="1590" spans="1:45" x14ac:dyDescent="0.25">
      <c r="A1590" t="s">
        <v>4651</v>
      </c>
      <c r="B1590" t="s">
        <v>262</v>
      </c>
      <c r="C1590" s="1" t="s">
        <v>263</v>
      </c>
      <c r="D1590" t="s">
        <v>264</v>
      </c>
      <c r="E1590" t="str">
        <f>_xll.BDP($B1590,"LEGAL_ENTITY_IDENTIFIER")</f>
        <v>RCGZFPDMRW58VJ54VR07</v>
      </c>
      <c r="F1590" t="s">
        <v>264</v>
      </c>
      <c r="G1590" t="str">
        <f>custodian!D1590</f>
        <v>79466L302</v>
      </c>
      <c r="H1590" t="str">
        <f>_xll.BDP($B1590,"ID_ISIN")</f>
        <v>US79466L3024</v>
      </c>
      <c r="I1590" s="1" t="s">
        <v>263</v>
      </c>
      <c r="J1590" t="str">
        <f>_xll.BDP($B1590,"CNTRY_OF_DOMICILE")</f>
        <v>US</v>
      </c>
      <c r="K1590" t="s">
        <v>98</v>
      </c>
      <c r="L1590" t="s">
        <v>99</v>
      </c>
      <c r="O1590" s="1"/>
      <c r="AQ1590" s="1"/>
      <c r="AR1590" s="1"/>
      <c r="AS1590" s="1"/>
    </row>
    <row r="1591" spans="1:45" x14ac:dyDescent="0.25">
      <c r="A1591" t="s">
        <v>4651</v>
      </c>
      <c r="B1591" t="s">
        <v>3579</v>
      </c>
      <c r="C1591" s="1" t="s">
        <v>3580</v>
      </c>
      <c r="D1591" t="s">
        <v>3581</v>
      </c>
      <c r="E1591" t="str">
        <f>_xll.BDP($B1591,"LEGAL_ENTITY_IDENTIFIER")</f>
        <v>549300YBY08K9KM4HX32</v>
      </c>
      <c r="F1591" t="s">
        <v>3581</v>
      </c>
      <c r="G1591" t="str">
        <f>custodian!D1591</f>
        <v>22788C105</v>
      </c>
      <c r="H1591" t="str">
        <f>_xll.BDP($B1591,"ID_ISIN")</f>
        <v>US22788C1053</v>
      </c>
      <c r="I1591" s="1" t="s">
        <v>3580</v>
      </c>
      <c r="J1591" t="str">
        <f>_xll.BDP($B1591,"CNTRY_OF_DOMICILE")</f>
        <v>US</v>
      </c>
      <c r="K1591" t="s">
        <v>98</v>
      </c>
      <c r="L1591" t="s">
        <v>99</v>
      </c>
      <c r="O1591" s="1"/>
      <c r="AQ1591" s="1"/>
      <c r="AR1591" s="1"/>
      <c r="AS1591" s="1"/>
    </row>
    <row r="1592" spans="1:45" x14ac:dyDescent="0.25">
      <c r="A1592" t="s">
        <v>4651</v>
      </c>
      <c r="B1592" t="s">
        <v>4682</v>
      </c>
      <c r="C1592" s="1" t="s">
        <v>4683</v>
      </c>
      <c r="D1592" t="s">
        <v>4684</v>
      </c>
      <c r="E1592" t="str">
        <f>_xll.BDP($B1592,"LEGAL_ENTITY_IDENTIFIER")</f>
        <v>#N/A N/A</v>
      </c>
      <c r="F1592" t="s">
        <v>4684</v>
      </c>
      <c r="G1592" t="str">
        <f>custodian!D1592</f>
        <v>172908105</v>
      </c>
      <c r="H1592" t="str">
        <f>_xll.BDP($B1592,"ID_ISIN")</f>
        <v>US1729081059</v>
      </c>
      <c r="I1592" s="1" t="s">
        <v>4683</v>
      </c>
      <c r="J1592" t="str">
        <f>_xll.BDP($B1592,"CNTRY_OF_DOMICILE")</f>
        <v>US</v>
      </c>
      <c r="K1592" t="s">
        <v>98</v>
      </c>
      <c r="L1592" t="s">
        <v>99</v>
      </c>
      <c r="O1592" s="1"/>
      <c r="AQ1592" s="1"/>
      <c r="AR1592" s="1"/>
      <c r="AS1592" s="1"/>
    </row>
    <row r="1593" spans="1:45" x14ac:dyDescent="0.25">
      <c r="A1593" t="s">
        <v>4651</v>
      </c>
      <c r="B1593" t="s">
        <v>3585</v>
      </c>
      <c r="C1593" s="1" t="s">
        <v>3586</v>
      </c>
      <c r="D1593" t="s">
        <v>3587</v>
      </c>
      <c r="E1593" t="str">
        <f>_xll.BDP($B1593,"LEGAL_ENTITY_IDENTIFIER")</f>
        <v>5493003WEAK2PJ5WS063</v>
      </c>
      <c r="F1593" t="s">
        <v>3587</v>
      </c>
      <c r="G1593" t="str">
        <f>custodian!D1593</f>
        <v>146869102</v>
      </c>
      <c r="H1593" t="str">
        <f>_xll.BDP($B1593,"ID_ISIN")</f>
        <v>US1468691027</v>
      </c>
      <c r="I1593" s="1" t="s">
        <v>3586</v>
      </c>
      <c r="J1593" t="str">
        <f>_xll.BDP($B1593,"CNTRY_OF_DOMICILE")</f>
        <v>US</v>
      </c>
      <c r="K1593" t="s">
        <v>98</v>
      </c>
      <c r="L1593" t="s">
        <v>99</v>
      </c>
      <c r="O1593" s="1"/>
      <c r="AQ1593" s="1"/>
      <c r="AR1593" s="1"/>
      <c r="AS1593" s="1"/>
    </row>
    <row r="1594" spans="1:45" x14ac:dyDescent="0.25">
      <c r="A1594" t="s">
        <v>4651</v>
      </c>
      <c r="B1594" t="s">
        <v>4685</v>
      </c>
      <c r="C1594" s="1" t="s">
        <v>4686</v>
      </c>
      <c r="D1594" t="s">
        <v>4687</v>
      </c>
      <c r="E1594" t="str">
        <f>_xll.BDP($B1594,"LEGAL_ENTITY_IDENTIFIER")</f>
        <v>549300EJG376EN5NQE29</v>
      </c>
      <c r="F1594" t="s">
        <v>4687</v>
      </c>
      <c r="G1594" t="str">
        <f>custodian!D1594</f>
        <v>126650100</v>
      </c>
      <c r="H1594" t="str">
        <f>_xll.BDP($B1594,"ID_ISIN")</f>
        <v>US1266501006</v>
      </c>
      <c r="I1594" s="1" t="s">
        <v>4686</v>
      </c>
      <c r="J1594" t="str">
        <f>_xll.BDP($B1594,"CNTRY_OF_DOMICILE")</f>
        <v>US</v>
      </c>
      <c r="K1594" t="s">
        <v>98</v>
      </c>
      <c r="L1594" t="s">
        <v>99</v>
      </c>
      <c r="O1594" s="1"/>
      <c r="AQ1594" s="1"/>
      <c r="AR1594" s="1"/>
      <c r="AS1594" s="1"/>
    </row>
    <row r="1595" spans="1:45" x14ac:dyDescent="0.25">
      <c r="A1595" t="s">
        <v>4651</v>
      </c>
      <c r="B1595" t="s">
        <v>4688</v>
      </c>
      <c r="C1595" s="1" t="s">
        <v>4689</v>
      </c>
      <c r="D1595" t="s">
        <v>4690</v>
      </c>
      <c r="E1595" t="str">
        <f>_xll.BDP($B1595,"LEGAL_ENTITY_IDENTIFIER")</f>
        <v>#N/A N/A</v>
      </c>
      <c r="F1595" t="s">
        <v>4690</v>
      </c>
      <c r="G1595" t="str">
        <f>custodian!D1595</f>
        <v>166764100</v>
      </c>
      <c r="H1595" t="str">
        <f>_xll.BDP($B1595,"ID_ISIN")</f>
        <v>US1667641005</v>
      </c>
      <c r="I1595" s="1" t="s">
        <v>4689</v>
      </c>
      <c r="J1595" t="str">
        <f>_xll.BDP($B1595,"CNTRY_OF_DOMICILE")</f>
        <v>US</v>
      </c>
      <c r="K1595" t="s">
        <v>98</v>
      </c>
      <c r="L1595" t="s">
        <v>99</v>
      </c>
      <c r="O1595" s="1"/>
      <c r="AQ1595" s="1"/>
      <c r="AR1595" s="1"/>
      <c r="AS1595" s="1"/>
    </row>
    <row r="1596" spans="1:45" x14ac:dyDescent="0.25">
      <c r="A1596" t="s">
        <v>4651</v>
      </c>
      <c r="B1596" t="s">
        <v>268</v>
      </c>
      <c r="C1596" s="1" t="s">
        <v>269</v>
      </c>
      <c r="D1596" t="s">
        <v>270</v>
      </c>
      <c r="E1596" t="str">
        <f>_xll.BDP($B1596,"LEGAL_ENTITY_IDENTIFIER")</f>
        <v>549300NUQ43FGGSK5051</v>
      </c>
      <c r="F1596" t="s">
        <v>270</v>
      </c>
      <c r="G1596" t="str">
        <f>custodian!D1596</f>
        <v>25809K105</v>
      </c>
      <c r="H1596" t="str">
        <f>_xll.BDP($B1596,"ID_ISIN")</f>
        <v>US25809K1051</v>
      </c>
      <c r="I1596" s="1" t="s">
        <v>269</v>
      </c>
      <c r="J1596" t="str">
        <f>_xll.BDP($B1596,"CNTRY_OF_DOMICILE")</f>
        <v>US</v>
      </c>
      <c r="K1596" t="s">
        <v>98</v>
      </c>
      <c r="L1596" t="s">
        <v>99</v>
      </c>
      <c r="O1596" s="1"/>
      <c r="AQ1596" s="1"/>
      <c r="AR1596" s="1"/>
      <c r="AS1596" s="1"/>
    </row>
    <row r="1597" spans="1:45" x14ac:dyDescent="0.25">
      <c r="A1597" t="s">
        <v>4651</v>
      </c>
      <c r="B1597" t="s">
        <v>3503</v>
      </c>
      <c r="C1597" s="1" t="s">
        <v>3504</v>
      </c>
      <c r="D1597" t="s">
        <v>3505</v>
      </c>
      <c r="E1597" t="str">
        <f>_xll.BDP($B1597,"LEGAL_ENTITY_IDENTIFIER")</f>
        <v>549300F6JNO0KRPO1K63</v>
      </c>
      <c r="F1597" t="s">
        <v>3505</v>
      </c>
      <c r="G1597" t="str">
        <f>custodian!D1597</f>
        <v>23804L103</v>
      </c>
      <c r="H1597" t="str">
        <f>_xll.BDP($B1597,"ID_ISIN")</f>
        <v>US23804L1035</v>
      </c>
      <c r="I1597" s="1" t="s">
        <v>3504</v>
      </c>
      <c r="J1597" t="str">
        <f>_xll.BDP($B1597,"CNTRY_OF_DOMICILE")</f>
        <v>US</v>
      </c>
      <c r="K1597" t="s">
        <v>98</v>
      </c>
      <c r="L1597" t="s">
        <v>99</v>
      </c>
      <c r="O1597" s="1"/>
      <c r="AQ1597" s="1"/>
      <c r="AR1597" s="1"/>
      <c r="AS1597" s="1"/>
    </row>
    <row r="1598" spans="1:45" x14ac:dyDescent="0.25">
      <c r="A1598" t="s">
        <v>4651</v>
      </c>
      <c r="B1598" t="s">
        <v>3588</v>
      </c>
      <c r="C1598" s="1" t="s">
        <v>3589</v>
      </c>
      <c r="D1598" t="s">
        <v>3590</v>
      </c>
      <c r="E1598" t="str">
        <f>_xll.BDP($B1598,"LEGAL_ENTITY_IDENTIFIER")</f>
        <v>549300TJB5YBRUPOG437</v>
      </c>
      <c r="F1598" t="s">
        <v>3590</v>
      </c>
      <c r="G1598" t="str">
        <f>custodian!D1598</f>
        <v>24703L202</v>
      </c>
      <c r="H1598" t="str">
        <f>_xll.BDP($B1598,"ID_ISIN")</f>
        <v>US24703L2025</v>
      </c>
      <c r="I1598" s="1" t="s">
        <v>3589</v>
      </c>
      <c r="J1598" t="str">
        <f>_xll.BDP($B1598,"CNTRY_OF_DOMICILE")</f>
        <v>US</v>
      </c>
      <c r="K1598" t="s">
        <v>98</v>
      </c>
      <c r="L1598" t="s">
        <v>99</v>
      </c>
      <c r="O1598" s="1"/>
      <c r="AQ1598" s="1"/>
      <c r="AR1598" s="1"/>
      <c r="AS1598" s="1"/>
    </row>
    <row r="1599" spans="1:45" x14ac:dyDescent="0.25">
      <c r="A1599" t="s">
        <v>4651</v>
      </c>
      <c r="B1599" t="s">
        <v>4691</v>
      </c>
      <c r="C1599" s="1" t="s">
        <v>4692</v>
      </c>
      <c r="D1599" t="s">
        <v>4693</v>
      </c>
      <c r="E1599" t="str">
        <f>_xll.BDP($B1599,"LEGAL_ENTITY_IDENTIFIER")</f>
        <v>S4BKK9OTCEWQ3YHPFM11</v>
      </c>
      <c r="F1599" t="s">
        <v>4693</v>
      </c>
      <c r="G1599" t="str">
        <f>custodian!D1599</f>
        <v>235851102</v>
      </c>
      <c r="H1599" t="str">
        <f>_xll.BDP($B1599,"ID_ISIN")</f>
        <v>US2358511028</v>
      </c>
      <c r="I1599" s="1" t="s">
        <v>4692</v>
      </c>
      <c r="J1599" t="str">
        <f>_xll.BDP($B1599,"CNTRY_OF_DOMICILE")</f>
        <v>US</v>
      </c>
      <c r="K1599" t="s">
        <v>98</v>
      </c>
      <c r="L1599" t="s">
        <v>99</v>
      </c>
      <c r="O1599" s="1"/>
      <c r="AQ1599" s="1"/>
      <c r="AR1599" s="1"/>
      <c r="AS1599" s="1"/>
    </row>
    <row r="1600" spans="1:45" x14ac:dyDescent="0.25">
      <c r="A1600" t="s">
        <v>4651</v>
      </c>
      <c r="B1600" t="s">
        <v>4694</v>
      </c>
      <c r="C1600" s="1" t="s">
        <v>4695</v>
      </c>
      <c r="D1600" t="s">
        <v>4696</v>
      </c>
      <c r="E1600" t="str">
        <f>_xll.BDP($B1600,"LEGAL_ENTITY_IDENTIFIER")</f>
        <v>549300PMSTQITB1WHR43</v>
      </c>
      <c r="F1600" t="s">
        <v>4696</v>
      </c>
      <c r="G1600" t="str">
        <f>custodian!D1600</f>
        <v>256746108</v>
      </c>
      <c r="H1600" t="str">
        <f>_xll.BDP($B1600,"ID_ISIN")</f>
        <v>US2567461080</v>
      </c>
      <c r="I1600" s="1" t="s">
        <v>4695</v>
      </c>
      <c r="J1600" t="str">
        <f>_xll.BDP($B1600,"CNTRY_OF_DOMICILE")</f>
        <v>US</v>
      </c>
      <c r="K1600" t="s">
        <v>98</v>
      </c>
      <c r="L1600" t="s">
        <v>99</v>
      </c>
      <c r="O1600" s="1"/>
      <c r="AQ1600" s="1"/>
      <c r="AR1600" s="1"/>
      <c r="AS1600" s="1"/>
    </row>
    <row r="1601" spans="1:45" x14ac:dyDescent="0.25">
      <c r="A1601" t="s">
        <v>4651</v>
      </c>
      <c r="B1601" t="s">
        <v>3110</v>
      </c>
      <c r="C1601" s="1" t="s">
        <v>3111</v>
      </c>
      <c r="D1601" t="s">
        <v>3112</v>
      </c>
      <c r="E1601" t="str">
        <f>_xll.BDP($B1601,"LEGAL_ENTITY_IDENTIFIER")</f>
        <v>549300EE20907QZ9GT38</v>
      </c>
      <c r="F1601" t="s">
        <v>3112</v>
      </c>
      <c r="G1601" t="str">
        <f>custodian!D1601</f>
        <v>278768106</v>
      </c>
      <c r="H1601" t="str">
        <f>_xll.BDP($B1601,"ID_ISIN")</f>
        <v>US2787681061</v>
      </c>
      <c r="I1601" s="1" t="s">
        <v>3111</v>
      </c>
      <c r="J1601" t="str">
        <f>_xll.BDP($B1601,"CNTRY_OF_DOMICILE")</f>
        <v>US</v>
      </c>
      <c r="K1601" t="s">
        <v>98</v>
      </c>
      <c r="L1601" t="s">
        <v>99</v>
      </c>
      <c r="O1601" s="1"/>
      <c r="AQ1601" s="1"/>
      <c r="AR1601" s="1"/>
      <c r="AS1601" s="1"/>
    </row>
    <row r="1602" spans="1:45" x14ac:dyDescent="0.25">
      <c r="A1602" t="s">
        <v>4651</v>
      </c>
      <c r="B1602" t="s">
        <v>3720</v>
      </c>
      <c r="C1602" s="1" t="s">
        <v>3721</v>
      </c>
      <c r="D1602" t="s">
        <v>3722</v>
      </c>
      <c r="E1602" t="str">
        <f>_xll.BDP($B1602,"LEGAL_ENTITY_IDENTIFIER")</f>
        <v>549300VFZ8XJ9NUPU221</v>
      </c>
      <c r="F1602" t="s">
        <v>3722</v>
      </c>
      <c r="G1602" t="str">
        <f>custodian!D1602</f>
        <v>518439104</v>
      </c>
      <c r="H1602" t="str">
        <f>_xll.BDP($B1602,"ID_ISIN")</f>
        <v>US5184391044</v>
      </c>
      <c r="I1602" s="1" t="s">
        <v>3721</v>
      </c>
      <c r="J1602" t="str">
        <f>_xll.BDP($B1602,"CNTRY_OF_DOMICILE")</f>
        <v>US</v>
      </c>
      <c r="K1602" t="s">
        <v>98</v>
      </c>
      <c r="L1602" t="s">
        <v>99</v>
      </c>
      <c r="O1602" s="1"/>
      <c r="AQ1602" s="1"/>
      <c r="AR1602" s="1"/>
      <c r="AS1602" s="1"/>
    </row>
    <row r="1603" spans="1:45" x14ac:dyDescent="0.25">
      <c r="A1603" t="s">
        <v>4651</v>
      </c>
      <c r="B1603" t="s">
        <v>4697</v>
      </c>
      <c r="C1603" s="1" t="s">
        <v>4698</v>
      </c>
      <c r="D1603" t="s">
        <v>4699</v>
      </c>
      <c r="E1603" t="str">
        <f>_xll.BDP($B1603,"LEGAL_ENTITY_IDENTIFIER")</f>
        <v>2549009GW3Z3DQCB8H87</v>
      </c>
      <c r="F1603" t="s">
        <v>4699</v>
      </c>
      <c r="G1603" t="str">
        <f>custodian!D1603</f>
        <v>30212P303</v>
      </c>
      <c r="H1603" t="str">
        <f>_xll.BDP($B1603,"ID_ISIN")</f>
        <v>US30212P3038</v>
      </c>
      <c r="I1603" s="1" t="s">
        <v>4698</v>
      </c>
      <c r="J1603" t="str">
        <f>_xll.BDP($B1603,"CNTRY_OF_DOMICILE")</f>
        <v>US</v>
      </c>
      <c r="K1603" t="s">
        <v>98</v>
      </c>
      <c r="L1603" t="s">
        <v>99</v>
      </c>
      <c r="O1603" s="1"/>
      <c r="AQ1603" s="1"/>
      <c r="AR1603" s="1"/>
      <c r="AS1603" s="1"/>
    </row>
    <row r="1604" spans="1:45" x14ac:dyDescent="0.25">
      <c r="A1604" t="s">
        <v>4651</v>
      </c>
      <c r="B1604" t="s">
        <v>77</v>
      </c>
      <c r="C1604" s="1" t="s">
        <v>78</v>
      </c>
      <c r="D1604" t="s">
        <v>79</v>
      </c>
      <c r="E1604" t="str">
        <f>_xll.BDP($B1604,"LEGAL_ENTITY_IDENTIFIER")</f>
        <v>549300R5MYM6VZF1RM44</v>
      </c>
      <c r="F1604" t="s">
        <v>80</v>
      </c>
      <c r="G1604" t="str">
        <f>custodian!D1604</f>
        <v>31846V336</v>
      </c>
      <c r="H1604" t="str">
        <f>_xll.BDP($B1604,"ID_ISIN")</f>
        <v>US31846V3362</v>
      </c>
      <c r="I1604" s="1" t="s">
        <v>78</v>
      </c>
      <c r="J1604" t="str">
        <f>_xll.BDP($B1604,"CNTRY_OF_DOMICILE")</f>
        <v>US</v>
      </c>
      <c r="K1604" t="s">
        <v>81</v>
      </c>
      <c r="L1604" t="s">
        <v>82</v>
      </c>
      <c r="O1604" s="1"/>
      <c r="AQ1604" s="1"/>
      <c r="AR1604" s="1"/>
      <c r="AS1604" s="1"/>
    </row>
    <row r="1605" spans="1:45" x14ac:dyDescent="0.25">
      <c r="A1605" t="s">
        <v>4651</v>
      </c>
      <c r="B1605" t="s">
        <v>4460</v>
      </c>
      <c r="C1605" s="1" t="s">
        <v>4461</v>
      </c>
      <c r="D1605" t="s">
        <v>4462</v>
      </c>
      <c r="E1605" t="str">
        <f>_xll.BDP($B1605,"LEGAL_ENTITY_IDENTIFIER")</f>
        <v>549300DDU6FDRBIELS05</v>
      </c>
      <c r="F1605" t="s">
        <v>4462</v>
      </c>
      <c r="G1605" t="str">
        <f>custodian!D1605</f>
        <v>35137L105</v>
      </c>
      <c r="H1605" t="str">
        <f>_xll.BDP($B1605,"ID_ISIN")</f>
        <v>US35137L1052</v>
      </c>
      <c r="I1605" s="1" t="s">
        <v>4461</v>
      </c>
      <c r="J1605" t="str">
        <f>_xll.BDP($B1605,"CNTRY_OF_DOMICILE")</f>
        <v>US</v>
      </c>
      <c r="K1605" t="s">
        <v>98</v>
      </c>
      <c r="L1605" t="s">
        <v>99</v>
      </c>
      <c r="O1605" s="1"/>
      <c r="AQ1605" s="1"/>
      <c r="AR1605" s="1"/>
      <c r="AS1605" s="1"/>
    </row>
    <row r="1606" spans="1:45" x14ac:dyDescent="0.25">
      <c r="A1606" t="s">
        <v>4651</v>
      </c>
      <c r="B1606" t="s">
        <v>277</v>
      </c>
      <c r="C1606" s="1" t="s">
        <v>278</v>
      </c>
      <c r="D1606" t="s">
        <v>279</v>
      </c>
      <c r="E1606" t="str">
        <f>_xll.BDP($B1606,"LEGAL_ENTITY_IDENTIFIER")</f>
        <v>549300O0QJWDBAS0QX03</v>
      </c>
      <c r="F1606" t="s">
        <v>279</v>
      </c>
      <c r="G1606" t="str">
        <f>custodian!D1606</f>
        <v>34959E109</v>
      </c>
      <c r="H1606" t="str">
        <f>_xll.BDP($B1606,"ID_ISIN")</f>
        <v>US34959E1091</v>
      </c>
      <c r="I1606" s="1" t="s">
        <v>278</v>
      </c>
      <c r="J1606" t="str">
        <f>_xll.BDP($B1606,"CNTRY_OF_DOMICILE")</f>
        <v>US</v>
      </c>
      <c r="K1606" t="s">
        <v>98</v>
      </c>
      <c r="L1606" t="s">
        <v>99</v>
      </c>
      <c r="O1606" s="1"/>
      <c r="AQ1606" s="1"/>
      <c r="AR1606" s="1"/>
      <c r="AS1606" s="1"/>
    </row>
    <row r="1607" spans="1:45" x14ac:dyDescent="0.25">
      <c r="A1607" t="s">
        <v>4651</v>
      </c>
      <c r="B1607" t="s">
        <v>149</v>
      </c>
      <c r="C1607" s="1" t="s">
        <v>150</v>
      </c>
      <c r="D1607" t="s">
        <v>151</v>
      </c>
      <c r="E1607" t="str">
        <f>_xll.BDP($B1607,"LEGAL_ENTITY_IDENTIFIER")</f>
        <v>9C1X8XOOTYY2FNYTVH06</v>
      </c>
      <c r="F1607" t="s">
        <v>151</v>
      </c>
      <c r="G1607" t="str">
        <f>custodian!D1607</f>
        <v>369550108</v>
      </c>
      <c r="H1607" t="str">
        <f>_xll.BDP($B1607,"ID_ISIN")</f>
        <v>US3695501086</v>
      </c>
      <c r="I1607" s="1" t="s">
        <v>150</v>
      </c>
      <c r="J1607" t="str">
        <f>_xll.BDP($B1607,"CNTRY_OF_DOMICILE")</f>
        <v>US</v>
      </c>
      <c r="K1607" t="s">
        <v>98</v>
      </c>
      <c r="L1607" t="s">
        <v>99</v>
      </c>
      <c r="O1607" s="1"/>
      <c r="AQ1607" s="1"/>
      <c r="AR1607" s="1"/>
      <c r="AS1607" s="1"/>
    </row>
    <row r="1608" spans="1:45" x14ac:dyDescent="0.25">
      <c r="A1608" t="s">
        <v>4651</v>
      </c>
      <c r="B1608" t="s">
        <v>283</v>
      </c>
      <c r="C1608" s="1" t="s">
        <v>284</v>
      </c>
      <c r="D1608" t="s">
        <v>285</v>
      </c>
      <c r="E1608" t="str">
        <f>_xll.BDP($B1608,"LEGAL_ENTITY_IDENTIFIER")</f>
        <v>5493006MHB84DD0ZWV18</v>
      </c>
      <c r="F1608" t="s">
        <v>285</v>
      </c>
      <c r="G1608" t="str">
        <f>custodian!D1608</f>
        <v>02079K305</v>
      </c>
      <c r="H1608" t="str">
        <f>_xll.BDP($B1608,"ID_ISIN")</f>
        <v>US02079K3059</v>
      </c>
      <c r="I1608" s="1" t="s">
        <v>284</v>
      </c>
      <c r="J1608" t="str">
        <f>_xll.BDP($B1608,"CNTRY_OF_DOMICILE")</f>
        <v>US</v>
      </c>
      <c r="K1608" t="s">
        <v>98</v>
      </c>
      <c r="L1608" t="s">
        <v>99</v>
      </c>
      <c r="O1608" s="1"/>
      <c r="AQ1608" s="1"/>
      <c r="AR1608" s="1"/>
      <c r="AS1608" s="1"/>
    </row>
    <row r="1609" spans="1:45" x14ac:dyDescent="0.25">
      <c r="A1609" t="s">
        <v>4651</v>
      </c>
      <c r="B1609" t="s">
        <v>3125</v>
      </c>
      <c r="C1609" s="1" t="s">
        <v>3126</v>
      </c>
      <c r="D1609" t="s">
        <v>3127</v>
      </c>
      <c r="E1609" t="str">
        <f>_xll.BDP($B1609,"LEGAL_ENTITY_IDENTIFIER")</f>
        <v>2549001E0HIPIJQ0W046</v>
      </c>
      <c r="F1609" t="s">
        <v>3127</v>
      </c>
      <c r="G1609" t="str">
        <f>custodian!D1609</f>
        <v>H2906T109</v>
      </c>
      <c r="H1609" t="str">
        <f>_xll.BDP($B1609,"ID_ISIN")</f>
        <v>CH0114405324</v>
      </c>
      <c r="I1609" s="1" t="s">
        <v>3126</v>
      </c>
      <c r="J1609" t="str">
        <f>_xll.BDP($B1609,"CNTRY_OF_DOMICILE")</f>
        <v>CH</v>
      </c>
      <c r="K1609" t="s">
        <v>98</v>
      </c>
      <c r="L1609" t="s">
        <v>99</v>
      </c>
      <c r="O1609" s="1"/>
      <c r="AQ1609" s="1"/>
      <c r="AR1609" s="1"/>
      <c r="AS1609" s="1"/>
    </row>
    <row r="1610" spans="1:45" x14ac:dyDescent="0.25">
      <c r="A1610" t="s">
        <v>4651</v>
      </c>
      <c r="B1610" t="s">
        <v>4463</v>
      </c>
      <c r="C1610" s="1" t="s">
        <v>4464</v>
      </c>
      <c r="D1610" t="s">
        <v>4465</v>
      </c>
      <c r="E1610" t="str">
        <f>_xll.BDP($B1610,"LEGAL_ENTITY_IDENTIFIER")</f>
        <v>784F5XWPLTWKTBV3E584</v>
      </c>
      <c r="F1610" t="s">
        <v>4465</v>
      </c>
      <c r="G1610" t="str">
        <f>custodian!D1610</f>
        <v>38141G104</v>
      </c>
      <c r="H1610" t="str">
        <f>_xll.BDP($B1610,"ID_ISIN")</f>
        <v>US38141G1040</v>
      </c>
      <c r="I1610" s="1" t="s">
        <v>4464</v>
      </c>
      <c r="J1610" t="str">
        <f>_xll.BDP($B1610,"CNTRY_OF_DOMICILE")</f>
        <v>US</v>
      </c>
      <c r="K1610" t="s">
        <v>98</v>
      </c>
      <c r="L1610" t="s">
        <v>99</v>
      </c>
      <c r="O1610" s="1"/>
      <c r="AQ1610" s="1"/>
      <c r="AR1610" s="1"/>
      <c r="AS1610" s="1"/>
    </row>
    <row r="1611" spans="1:45" x14ac:dyDescent="0.25">
      <c r="A1611" t="s">
        <v>4651</v>
      </c>
      <c r="B1611" t="s">
        <v>4700</v>
      </c>
      <c r="C1611" s="1" t="s">
        <v>4701</v>
      </c>
      <c r="D1611" t="s">
        <v>4702</v>
      </c>
      <c r="E1611" t="str">
        <f>_xll.BDP($B1611,"LEGAL_ENTITY_IDENTIFIER")</f>
        <v>549300TWZSP6O1IH2V34</v>
      </c>
      <c r="F1611" t="s">
        <v>4702</v>
      </c>
      <c r="G1611" t="str">
        <f>custodian!D1611</f>
        <v>384802104</v>
      </c>
      <c r="H1611" t="str">
        <f>_xll.BDP($B1611,"ID_ISIN")</f>
        <v>US3848021040</v>
      </c>
      <c r="I1611" s="1" t="s">
        <v>4701</v>
      </c>
      <c r="J1611" t="str">
        <f>_xll.BDP($B1611,"CNTRY_OF_DOMICILE")</f>
        <v>US</v>
      </c>
      <c r="K1611" t="s">
        <v>98</v>
      </c>
      <c r="L1611" t="s">
        <v>99</v>
      </c>
      <c r="O1611" s="1"/>
      <c r="AQ1611" s="1"/>
      <c r="AR1611" s="1"/>
      <c r="AS1611" s="1"/>
    </row>
    <row r="1612" spans="1:45" x14ac:dyDescent="0.25">
      <c r="A1612" t="s">
        <v>4651</v>
      </c>
      <c r="B1612" t="s">
        <v>4703</v>
      </c>
      <c r="C1612" s="1" t="s">
        <v>4704</v>
      </c>
      <c r="D1612" t="s">
        <v>4705</v>
      </c>
      <c r="E1612" t="str">
        <f>_xll.BDP($B1612,"LEGAL_ENTITY_IDENTIFIER")</f>
        <v>529900PH4ZGUH2MNEU89</v>
      </c>
      <c r="F1612" t="s">
        <v>4705</v>
      </c>
      <c r="G1612" t="str">
        <f>custodian!D1612</f>
        <v>40412C101</v>
      </c>
      <c r="H1612" t="str">
        <f>_xll.BDP($B1612,"ID_ISIN")</f>
        <v>US40412C1018</v>
      </c>
      <c r="I1612" s="1" t="s">
        <v>4704</v>
      </c>
      <c r="J1612" t="str">
        <f>_xll.BDP($B1612,"CNTRY_OF_DOMICILE")</f>
        <v>US</v>
      </c>
      <c r="K1612" t="s">
        <v>98</v>
      </c>
      <c r="L1612" t="s">
        <v>99</v>
      </c>
      <c r="O1612" s="1"/>
      <c r="AQ1612" s="1"/>
      <c r="AR1612" s="1"/>
      <c r="AS1612" s="1"/>
    </row>
    <row r="1613" spans="1:45" x14ac:dyDescent="0.25">
      <c r="A1613" t="s">
        <v>4651</v>
      </c>
      <c r="B1613" t="s">
        <v>4706</v>
      </c>
      <c r="C1613" s="1" t="s">
        <v>4707</v>
      </c>
      <c r="D1613" t="s">
        <v>4708</v>
      </c>
      <c r="E1613" t="str">
        <f>_xll.BDP($B1613,"LEGAL_ENTITY_IDENTIFIER")</f>
        <v>549300HVGPK36ICB0B89</v>
      </c>
      <c r="F1613" t="s">
        <v>4708</v>
      </c>
      <c r="G1613" t="str">
        <f>custodian!D1613</f>
        <v>43300A203</v>
      </c>
      <c r="H1613" t="str">
        <f>_xll.BDP($B1613,"ID_ISIN")</f>
        <v>US43300A2033</v>
      </c>
      <c r="I1613" s="1" t="s">
        <v>4707</v>
      </c>
      <c r="J1613" t="str">
        <f>_xll.BDP($B1613,"CNTRY_OF_DOMICILE")</f>
        <v>US</v>
      </c>
      <c r="K1613" t="s">
        <v>98</v>
      </c>
      <c r="L1613" t="s">
        <v>99</v>
      </c>
      <c r="O1613" s="1"/>
      <c r="AQ1613" s="1"/>
      <c r="AR1613" s="1"/>
      <c r="AS1613" s="1"/>
    </row>
    <row r="1614" spans="1:45" x14ac:dyDescent="0.25">
      <c r="A1614" t="s">
        <v>4651</v>
      </c>
      <c r="B1614" t="s">
        <v>286</v>
      </c>
      <c r="C1614" s="1" t="s">
        <v>287</v>
      </c>
      <c r="D1614" t="s">
        <v>288</v>
      </c>
      <c r="E1614" t="str">
        <f>_xll.BDP($B1614,"LEGAL_ENTITY_IDENTIFIER")</f>
        <v>213800FS5AO3YWIE6F63</v>
      </c>
      <c r="F1614" t="s">
        <v>288</v>
      </c>
      <c r="G1614" t="str">
        <f>custodian!D1614</f>
        <v>770700102</v>
      </c>
      <c r="H1614" t="str">
        <f>_xll.BDP($B1614,"ID_ISIN")</f>
        <v>US7707001027</v>
      </c>
      <c r="I1614" s="1" t="s">
        <v>287</v>
      </c>
      <c r="J1614" t="str">
        <f>_xll.BDP($B1614,"CNTRY_OF_DOMICILE")</f>
        <v>US</v>
      </c>
      <c r="K1614" t="s">
        <v>98</v>
      </c>
      <c r="L1614" t="s">
        <v>99</v>
      </c>
      <c r="O1614" s="1"/>
      <c r="AQ1614" s="1"/>
      <c r="AR1614" s="1"/>
      <c r="AS1614" s="1"/>
    </row>
    <row r="1615" spans="1:45" x14ac:dyDescent="0.25">
      <c r="A1615" t="s">
        <v>4651</v>
      </c>
      <c r="B1615" t="s">
        <v>4709</v>
      </c>
      <c r="C1615" s="1" t="s">
        <v>4710</v>
      </c>
      <c r="D1615" t="s">
        <v>4711</v>
      </c>
      <c r="E1615" t="str">
        <f>_xll.BDP($B1615,"LEGAL_ENTITY_IDENTIFIER")</f>
        <v>5493004DT6DCDUZNDM53</v>
      </c>
      <c r="F1615" t="s">
        <v>4711</v>
      </c>
      <c r="G1615" t="str">
        <f>custodian!D1615</f>
        <v>45841N107</v>
      </c>
      <c r="H1615" t="str">
        <f>_xll.BDP($B1615,"ID_ISIN")</f>
        <v>US45841N1072</v>
      </c>
      <c r="I1615" s="1" t="s">
        <v>4710</v>
      </c>
      <c r="J1615" t="str">
        <f>_xll.BDP($B1615,"CNTRY_OF_DOMICILE")</f>
        <v>US</v>
      </c>
      <c r="K1615" t="s">
        <v>98</v>
      </c>
      <c r="L1615" t="s">
        <v>99</v>
      </c>
      <c r="O1615" s="1"/>
      <c r="AQ1615" s="1"/>
      <c r="AR1615" s="1"/>
      <c r="AS1615" s="1"/>
    </row>
    <row r="1616" spans="1:45" x14ac:dyDescent="0.25">
      <c r="A1616" t="s">
        <v>4651</v>
      </c>
      <c r="B1616" t="s">
        <v>3849</v>
      </c>
      <c r="C1616" s="1" t="s">
        <v>3850</v>
      </c>
      <c r="D1616" t="s">
        <v>3851</v>
      </c>
      <c r="E1616" t="str">
        <f>_xll.BDP($B1616,"LEGAL_ENTITY_IDENTIFIER")</f>
        <v>549300Z4WN6JVZ3T4680</v>
      </c>
      <c r="F1616" t="s">
        <v>3851</v>
      </c>
      <c r="G1616" t="str">
        <f>custodian!D1616</f>
        <v>45337C102</v>
      </c>
      <c r="H1616" t="str">
        <f>_xll.BDP($B1616,"ID_ISIN")</f>
        <v>US45337C1027</v>
      </c>
      <c r="I1616" s="1" t="s">
        <v>3850</v>
      </c>
      <c r="J1616" t="str">
        <f>_xll.BDP($B1616,"CNTRY_OF_DOMICILE")</f>
        <v>US</v>
      </c>
      <c r="K1616" t="s">
        <v>98</v>
      </c>
      <c r="L1616" t="s">
        <v>99</v>
      </c>
      <c r="O1616" s="1"/>
      <c r="AQ1616" s="1"/>
      <c r="AR1616" s="1"/>
      <c r="AS1616" s="1"/>
    </row>
    <row r="1617" spans="1:45" x14ac:dyDescent="0.25">
      <c r="A1617" t="s">
        <v>4651</v>
      </c>
      <c r="B1617" t="s">
        <v>4251</v>
      </c>
      <c r="C1617" s="1" t="s">
        <v>4252</v>
      </c>
      <c r="D1617" t="s">
        <v>4253</v>
      </c>
      <c r="E1617" t="str">
        <f>_xll.BDP($B1617,"LEGAL_ENTITY_IDENTIFIER")</f>
        <v>VI90HBPH7XSFMB9E4M29</v>
      </c>
      <c r="F1617" t="s">
        <v>4253</v>
      </c>
      <c r="G1617" t="str">
        <f>custodian!D1617</f>
        <v>461202103</v>
      </c>
      <c r="H1617" t="str">
        <f>_xll.BDP($B1617,"ID_ISIN")</f>
        <v>US4612021034</v>
      </c>
      <c r="I1617" s="1" t="s">
        <v>4252</v>
      </c>
      <c r="J1617" t="str">
        <f>_xll.BDP($B1617,"CNTRY_OF_DOMICILE")</f>
        <v>US</v>
      </c>
      <c r="K1617" t="s">
        <v>98</v>
      </c>
      <c r="L1617" t="s">
        <v>99</v>
      </c>
      <c r="O1617" s="1"/>
      <c r="AQ1617" s="1"/>
      <c r="AR1617" s="1"/>
      <c r="AS1617" s="1"/>
    </row>
    <row r="1618" spans="1:45" x14ac:dyDescent="0.25">
      <c r="A1618" t="s">
        <v>4651</v>
      </c>
      <c r="B1618" t="s">
        <v>4469</v>
      </c>
      <c r="C1618" s="1" t="s">
        <v>4470</v>
      </c>
      <c r="D1618" t="s">
        <v>4471</v>
      </c>
      <c r="E1618" t="str">
        <f>_xll.BDP($B1618,"LEGAL_ENTITY_IDENTIFIER")</f>
        <v>8I5DZWZKVSZI1NUHU748</v>
      </c>
      <c r="F1618" t="s">
        <v>4471</v>
      </c>
      <c r="G1618" t="str">
        <f>custodian!D1618</f>
        <v>46625H100</v>
      </c>
      <c r="H1618" t="str">
        <f>_xll.BDP($B1618,"ID_ISIN")</f>
        <v>US46625H1005</v>
      </c>
      <c r="I1618" s="1" t="s">
        <v>4470</v>
      </c>
      <c r="J1618" t="str">
        <f>_xll.BDP($B1618,"CNTRY_OF_DOMICILE")</f>
        <v>US</v>
      </c>
      <c r="K1618" t="s">
        <v>98</v>
      </c>
      <c r="L1618" t="s">
        <v>99</v>
      </c>
      <c r="O1618" s="1"/>
      <c r="AQ1618" s="1"/>
      <c r="AR1618" s="1"/>
      <c r="AS1618" s="1"/>
    </row>
    <row r="1619" spans="1:45" x14ac:dyDescent="0.25">
      <c r="A1619" t="s">
        <v>4651</v>
      </c>
      <c r="B1619" t="s">
        <v>4472</v>
      </c>
      <c r="C1619" s="1" t="s">
        <v>4473</v>
      </c>
      <c r="D1619" t="s">
        <v>4474</v>
      </c>
      <c r="E1619" t="str">
        <f>_xll.BDP($B1619,"LEGAL_ENTITY_IDENTIFIER")</f>
        <v>54930013V5I303TF9571</v>
      </c>
      <c r="F1619" t="s">
        <v>4474</v>
      </c>
      <c r="G1619" t="str">
        <f>custodian!D1619</f>
        <v>48251W104</v>
      </c>
      <c r="H1619" t="str">
        <f>_xll.BDP($B1619,"ID_ISIN")</f>
        <v>US48251W1045</v>
      </c>
      <c r="I1619" s="1" t="s">
        <v>4473</v>
      </c>
      <c r="J1619" t="str">
        <f>_xll.BDP($B1619,"CNTRY_OF_DOMICILE")</f>
        <v>US</v>
      </c>
      <c r="K1619" t="s">
        <v>98</v>
      </c>
      <c r="L1619" t="s">
        <v>99</v>
      </c>
      <c r="O1619" s="1"/>
      <c r="AQ1619" s="1"/>
      <c r="AR1619" s="1"/>
      <c r="AS1619" s="1"/>
    </row>
    <row r="1620" spans="1:45" x14ac:dyDescent="0.25">
      <c r="A1620" t="s">
        <v>4651</v>
      </c>
      <c r="B1620" t="s">
        <v>3683</v>
      </c>
      <c r="C1620" s="1" t="s">
        <v>3684</v>
      </c>
      <c r="D1620" t="s">
        <v>3685</v>
      </c>
      <c r="E1620" t="str">
        <f>_xll.BDP($B1620,"LEGAL_ENTITY_IDENTIFIER")</f>
        <v>549300WR7IX8XE0TBO16</v>
      </c>
      <c r="F1620" t="s">
        <v>3685</v>
      </c>
      <c r="G1620" t="str">
        <f>custodian!D1620</f>
        <v>49456B101</v>
      </c>
      <c r="H1620" t="str">
        <f>_xll.BDP($B1620,"ID_ISIN")</f>
        <v>US49456B1017</v>
      </c>
      <c r="I1620" s="1" t="s">
        <v>3684</v>
      </c>
      <c r="J1620" t="str">
        <f>_xll.BDP($B1620,"CNTRY_OF_DOMICILE")</f>
        <v>US</v>
      </c>
      <c r="K1620" t="s">
        <v>98</v>
      </c>
      <c r="L1620" t="s">
        <v>99</v>
      </c>
      <c r="O1620" s="1"/>
      <c r="AQ1620" s="1"/>
      <c r="AR1620" s="1"/>
      <c r="AS1620" s="1"/>
    </row>
    <row r="1621" spans="1:45" x14ac:dyDescent="0.25">
      <c r="A1621" t="s">
        <v>4651</v>
      </c>
      <c r="B1621" t="s">
        <v>511</v>
      </c>
      <c r="C1621" s="1" t="s">
        <v>512</v>
      </c>
      <c r="D1621" t="s">
        <v>513</v>
      </c>
      <c r="E1621" t="str">
        <f>_xll.BDP($B1621,"LEGAL_ENTITY_IDENTIFIER")</f>
        <v>UWJKFUJFZ02DKWI3RY53</v>
      </c>
      <c r="F1621" t="s">
        <v>513</v>
      </c>
      <c r="G1621" t="str">
        <f>custodian!D1621</f>
        <v>191216100</v>
      </c>
      <c r="H1621" t="str">
        <f>_xll.BDP($B1621,"ID_ISIN")</f>
        <v>US1912161007</v>
      </c>
      <c r="I1621" s="1" t="s">
        <v>512</v>
      </c>
      <c r="J1621" t="str">
        <f>_xll.BDP($B1621,"CNTRY_OF_DOMICILE")</f>
        <v>US</v>
      </c>
      <c r="K1621" t="s">
        <v>98</v>
      </c>
      <c r="L1621" t="s">
        <v>99</v>
      </c>
      <c r="O1621" s="1"/>
      <c r="AQ1621" s="1"/>
      <c r="AR1621" s="1"/>
      <c r="AS1621" s="1"/>
    </row>
    <row r="1622" spans="1:45" x14ac:dyDescent="0.25">
      <c r="A1622" t="s">
        <v>4651</v>
      </c>
      <c r="B1622" t="s">
        <v>4475</v>
      </c>
      <c r="C1622" s="1" t="s">
        <v>4476</v>
      </c>
      <c r="D1622" t="s">
        <v>4477</v>
      </c>
      <c r="E1622" t="str">
        <f>_xll.BDP($B1622,"LEGAL_ENTITY_IDENTIFIER")</f>
        <v>R8V1FN4M5ITGZOG7BS19</v>
      </c>
      <c r="F1622" t="s">
        <v>4477</v>
      </c>
      <c r="G1622" t="str">
        <f>custodian!D1622</f>
        <v>540424108</v>
      </c>
      <c r="H1622" t="str">
        <f>_xll.BDP($B1622,"ID_ISIN")</f>
        <v>US5404241086</v>
      </c>
      <c r="I1622" s="1" t="s">
        <v>4476</v>
      </c>
      <c r="J1622" t="str">
        <f>_xll.BDP($B1622,"CNTRY_OF_DOMICILE")</f>
        <v>US</v>
      </c>
      <c r="K1622" t="s">
        <v>98</v>
      </c>
      <c r="L1622" t="s">
        <v>99</v>
      </c>
      <c r="O1622" s="1"/>
      <c r="AQ1622" s="1"/>
      <c r="AR1622" s="1"/>
      <c r="AS1622" s="1"/>
    </row>
    <row r="1623" spans="1:45" x14ac:dyDescent="0.25">
      <c r="A1623" t="s">
        <v>4651</v>
      </c>
      <c r="B1623" t="s">
        <v>4712</v>
      </c>
      <c r="C1623" s="1" t="s">
        <v>4713</v>
      </c>
      <c r="D1623" t="s">
        <v>4714</v>
      </c>
      <c r="E1623" t="str">
        <f>_xll.BDP($B1623,"LEGAL_ENTITY_IDENTIFIER")</f>
        <v>529900G61XVRLX5TJX09</v>
      </c>
      <c r="F1623" t="s">
        <v>4714</v>
      </c>
      <c r="G1623" t="str">
        <f>custodian!D1623</f>
        <v>526057104</v>
      </c>
      <c r="H1623" t="str">
        <f>_xll.BDP($B1623,"ID_ISIN")</f>
        <v>US5260571048</v>
      </c>
      <c r="I1623" s="1" t="s">
        <v>4713</v>
      </c>
      <c r="J1623" t="str">
        <f>_xll.BDP($B1623,"CNTRY_OF_DOMICILE")</f>
        <v>US</v>
      </c>
      <c r="K1623" t="s">
        <v>98</v>
      </c>
      <c r="L1623" t="s">
        <v>99</v>
      </c>
      <c r="O1623" s="1"/>
      <c r="AQ1623" s="1"/>
      <c r="AR1623" s="1"/>
      <c r="AS1623" s="1"/>
    </row>
    <row r="1624" spans="1:45" x14ac:dyDescent="0.25">
      <c r="A1624" t="s">
        <v>4651</v>
      </c>
      <c r="B1624" t="s">
        <v>4715</v>
      </c>
      <c r="C1624" s="1" t="s">
        <v>4716</v>
      </c>
      <c r="D1624" t="s">
        <v>4717</v>
      </c>
      <c r="E1624" t="str">
        <f>_xll.BDP($B1624,"LEGAL_ENTITY_IDENTIFIER")</f>
        <v>FRDRIPF3EKNDJ2CQJL29</v>
      </c>
      <c r="F1624" t="s">
        <v>4717</v>
      </c>
      <c r="G1624" t="str">
        <f>custodian!D1624</f>
        <v>532457108</v>
      </c>
      <c r="H1624" t="str">
        <f>_xll.BDP($B1624,"ID_ISIN")</f>
        <v>US5324571083</v>
      </c>
      <c r="I1624" s="1" t="s">
        <v>4716</v>
      </c>
      <c r="J1624" t="str">
        <f>_xll.BDP($B1624,"CNTRY_OF_DOMICILE")</f>
        <v>US</v>
      </c>
      <c r="K1624" t="s">
        <v>98</v>
      </c>
      <c r="L1624" t="s">
        <v>99</v>
      </c>
      <c r="O1624" s="1"/>
      <c r="AQ1624" s="1"/>
      <c r="AR1624" s="1"/>
      <c r="AS1624" s="1"/>
    </row>
    <row r="1625" spans="1:45" x14ac:dyDescent="0.25">
      <c r="A1625" t="s">
        <v>4651</v>
      </c>
      <c r="B1625" t="s">
        <v>304</v>
      </c>
      <c r="C1625" s="1" t="s">
        <v>305</v>
      </c>
      <c r="D1625" t="s">
        <v>306</v>
      </c>
      <c r="E1625" t="str">
        <f>_xll.BDP($B1625,"LEGAL_ENTITY_IDENTIFIER")</f>
        <v>549300I4GMO6D34U1T02</v>
      </c>
      <c r="F1625" t="s">
        <v>306</v>
      </c>
      <c r="G1625" t="str">
        <f>custodian!D1625</f>
        <v>512807306</v>
      </c>
      <c r="H1625" t="str">
        <f>_xll.BDP($B1625,"ID_ISIN")</f>
        <v>US5128073062</v>
      </c>
      <c r="I1625" s="1" t="s">
        <v>305</v>
      </c>
      <c r="J1625" t="str">
        <f>_xll.BDP($B1625,"CNTRY_OF_DOMICILE")</f>
        <v>US</v>
      </c>
      <c r="K1625" t="s">
        <v>98</v>
      </c>
      <c r="L1625" t="s">
        <v>99</v>
      </c>
      <c r="O1625" s="1"/>
      <c r="AQ1625" s="1"/>
      <c r="AR1625" s="1"/>
      <c r="AS1625" s="1"/>
    </row>
    <row r="1626" spans="1:45" x14ac:dyDescent="0.25">
      <c r="A1626" t="s">
        <v>4651</v>
      </c>
      <c r="B1626" t="s">
        <v>4718</v>
      </c>
      <c r="C1626" s="1" t="s">
        <v>4719</v>
      </c>
      <c r="D1626" t="s">
        <v>4720</v>
      </c>
      <c r="E1626" t="str">
        <f>_xll.BDP($B1626,"LEGAL_ENTITY_IDENTIFIER")</f>
        <v>5493007B9BM9ZXJINO78</v>
      </c>
      <c r="F1626" t="s">
        <v>4720</v>
      </c>
      <c r="G1626" t="str">
        <f>custodian!D1626</f>
        <v>538034109</v>
      </c>
      <c r="H1626" t="str">
        <f>_xll.BDP($B1626,"ID_ISIN")</f>
        <v>US5380341090</v>
      </c>
      <c r="I1626" s="1" t="s">
        <v>4719</v>
      </c>
      <c r="J1626" t="str">
        <f>_xll.BDP($B1626,"CNTRY_OF_DOMICILE")</f>
        <v>US</v>
      </c>
      <c r="K1626" t="s">
        <v>98</v>
      </c>
      <c r="L1626" t="s">
        <v>99</v>
      </c>
      <c r="O1626" s="1"/>
      <c r="AQ1626" s="1"/>
      <c r="AR1626" s="1"/>
      <c r="AS1626" s="1"/>
    </row>
    <row r="1627" spans="1:45" x14ac:dyDescent="0.25">
      <c r="A1627" t="s">
        <v>4651</v>
      </c>
      <c r="B1627" t="s">
        <v>4721</v>
      </c>
      <c r="C1627" s="1" t="s">
        <v>4722</v>
      </c>
      <c r="D1627" t="s">
        <v>4723</v>
      </c>
      <c r="E1627" t="str">
        <f>_xll.BDP($B1627,"LEGAL_ENTITY_IDENTIFIER")</f>
        <v>225YDZ14ZO8E1TXUSU86</v>
      </c>
      <c r="F1627" t="s">
        <v>4723</v>
      </c>
      <c r="G1627" t="str">
        <f>custodian!D1627</f>
        <v>571903202</v>
      </c>
      <c r="H1627" t="str">
        <f>_xll.BDP($B1627,"ID_ISIN")</f>
        <v>US5719032022</v>
      </c>
      <c r="I1627" s="1" t="s">
        <v>4722</v>
      </c>
      <c r="J1627" t="str">
        <f>_xll.BDP($B1627,"CNTRY_OF_DOMICILE")</f>
        <v>US</v>
      </c>
      <c r="K1627" t="s">
        <v>98</v>
      </c>
      <c r="L1627" t="s">
        <v>99</v>
      </c>
      <c r="O1627" s="1"/>
      <c r="AQ1627" s="1"/>
      <c r="AR1627" s="1"/>
      <c r="AS1627" s="1"/>
    </row>
    <row r="1628" spans="1:45" x14ac:dyDescent="0.25">
      <c r="A1628" t="s">
        <v>4651</v>
      </c>
      <c r="B1628" t="s">
        <v>307</v>
      </c>
      <c r="C1628" s="1" t="s">
        <v>308</v>
      </c>
      <c r="D1628" t="s">
        <v>309</v>
      </c>
      <c r="E1628" t="str">
        <f>_xll.BDP($B1628,"LEGAL_ENTITY_IDENTIFIER")</f>
        <v>BQ4BKCS1HXDV9HN80Z93</v>
      </c>
      <c r="F1628" t="s">
        <v>309</v>
      </c>
      <c r="G1628" t="str">
        <f>custodian!D1628</f>
        <v>30303M102</v>
      </c>
      <c r="H1628" t="str">
        <f>_xll.BDP($B1628,"ID_ISIN")</f>
        <v>US30303M1027</v>
      </c>
      <c r="I1628" s="1" t="s">
        <v>308</v>
      </c>
      <c r="J1628" t="str">
        <f>_xll.BDP($B1628,"CNTRY_OF_DOMICILE")</f>
        <v>US</v>
      </c>
      <c r="K1628" t="s">
        <v>98</v>
      </c>
      <c r="L1628" t="s">
        <v>99</v>
      </c>
      <c r="O1628" s="1"/>
      <c r="AQ1628" s="1"/>
      <c r="AR1628" s="1"/>
      <c r="AS1628" s="1"/>
    </row>
    <row r="1629" spans="1:45" x14ac:dyDescent="0.25">
      <c r="A1629" t="s">
        <v>4651</v>
      </c>
      <c r="B1629" t="s">
        <v>514</v>
      </c>
      <c r="C1629" s="1" t="s">
        <v>515</v>
      </c>
      <c r="D1629" t="s">
        <v>516</v>
      </c>
      <c r="E1629" t="str">
        <f>_xll.BDP($B1629,"LEGAL_ENTITY_IDENTIFIER")</f>
        <v>52990090AP0E7HCB6F33</v>
      </c>
      <c r="F1629" t="s">
        <v>516</v>
      </c>
      <c r="G1629" t="str">
        <f>custodian!D1629</f>
        <v>61174X109</v>
      </c>
      <c r="H1629" t="str">
        <f>_xll.BDP($B1629,"ID_ISIN")</f>
        <v>US61174X1090</v>
      </c>
      <c r="I1629" s="1" t="s">
        <v>515</v>
      </c>
      <c r="J1629" t="str">
        <f>_xll.BDP($B1629,"CNTRY_OF_DOMICILE")</f>
        <v>US</v>
      </c>
      <c r="K1629" t="s">
        <v>98</v>
      </c>
      <c r="L1629" t="s">
        <v>99</v>
      </c>
      <c r="O1629" s="1"/>
      <c r="AQ1629" s="1"/>
      <c r="AR1629" s="1"/>
      <c r="AS1629" s="1"/>
    </row>
    <row r="1630" spans="1:45" x14ac:dyDescent="0.25">
      <c r="A1630" t="s">
        <v>4651</v>
      </c>
      <c r="B1630" t="s">
        <v>3594</v>
      </c>
      <c r="C1630" s="1" t="s">
        <v>3595</v>
      </c>
      <c r="D1630" t="s">
        <v>3596</v>
      </c>
      <c r="E1630" t="str">
        <f>_xll.BDP($B1630,"LEGAL_ENTITY_IDENTIFIER")</f>
        <v>529900TB7O85LSZ1XU31</v>
      </c>
      <c r="F1630" t="s">
        <v>3596</v>
      </c>
      <c r="G1630" t="str">
        <f>custodian!D1630</f>
        <v>609839105</v>
      </c>
      <c r="H1630" t="str">
        <f>_xll.BDP($B1630,"ID_ISIN")</f>
        <v>US6098391054</v>
      </c>
      <c r="I1630" s="1" t="s">
        <v>3595</v>
      </c>
      <c r="J1630" t="str">
        <f>_xll.BDP($B1630,"CNTRY_OF_DOMICILE")</f>
        <v>US</v>
      </c>
      <c r="K1630" t="s">
        <v>98</v>
      </c>
      <c r="L1630" t="s">
        <v>99</v>
      </c>
      <c r="O1630" s="1"/>
      <c r="AQ1630" s="1"/>
      <c r="AR1630" s="1"/>
      <c r="AS1630" s="1"/>
    </row>
    <row r="1631" spans="1:45" x14ac:dyDescent="0.25">
      <c r="A1631" t="s">
        <v>4651</v>
      </c>
      <c r="B1631" t="s">
        <v>4502</v>
      </c>
      <c r="C1631" s="1" t="s">
        <v>4503</v>
      </c>
      <c r="D1631" t="s">
        <v>4504</v>
      </c>
      <c r="E1631" t="str">
        <f>_xll.BDP($B1631,"LEGAL_ENTITY_IDENTIFIER")</f>
        <v>549300HTIN2PD78UB763</v>
      </c>
      <c r="F1631" t="s">
        <v>4504</v>
      </c>
      <c r="G1631" t="str">
        <f>custodian!D1631</f>
        <v>55354G100</v>
      </c>
      <c r="H1631" t="str">
        <f>_xll.BDP($B1631,"ID_ISIN")</f>
        <v>US55354G1004</v>
      </c>
      <c r="I1631" s="1" t="s">
        <v>4503</v>
      </c>
      <c r="J1631" t="str">
        <f>_xll.BDP($B1631,"CNTRY_OF_DOMICILE")</f>
        <v>US</v>
      </c>
      <c r="K1631" t="s">
        <v>98</v>
      </c>
      <c r="L1631" t="s">
        <v>99</v>
      </c>
      <c r="O1631" s="1"/>
      <c r="AQ1631" s="1"/>
      <c r="AR1631" s="1"/>
      <c r="AS1631" s="1"/>
    </row>
    <row r="1632" spans="1:45" x14ac:dyDescent="0.25">
      <c r="A1632" t="s">
        <v>4651</v>
      </c>
      <c r="B1632" t="s">
        <v>4724</v>
      </c>
      <c r="C1632" s="1" t="s">
        <v>4725</v>
      </c>
      <c r="D1632" t="s">
        <v>4726</v>
      </c>
      <c r="E1632" t="str">
        <f>_xll.BDP($B1632,"LEGAL_ENTITY_IDENTIFIER")</f>
        <v>B3DXGBC8GAIYWI2Z0172</v>
      </c>
      <c r="F1632" t="s">
        <v>4726</v>
      </c>
      <c r="G1632" t="str">
        <f>custodian!D1632</f>
        <v>595112103</v>
      </c>
      <c r="H1632" t="str">
        <f>_xll.BDP($B1632,"ID_ISIN")</f>
        <v>US5951121038</v>
      </c>
      <c r="I1632" s="1" t="s">
        <v>4725</v>
      </c>
      <c r="J1632" t="str">
        <f>_xll.BDP($B1632,"CNTRY_OF_DOMICILE")</f>
        <v>US</v>
      </c>
      <c r="K1632" t="s">
        <v>98</v>
      </c>
      <c r="L1632" t="s">
        <v>99</v>
      </c>
      <c r="O1632" s="1"/>
      <c r="AQ1632" s="1"/>
      <c r="AR1632" s="1"/>
      <c r="AS1632" s="1"/>
    </row>
    <row r="1633" spans="1:45" x14ac:dyDescent="0.25">
      <c r="A1633" t="s">
        <v>4651</v>
      </c>
      <c r="B1633" t="s">
        <v>316</v>
      </c>
      <c r="C1633" s="1" t="s">
        <v>317</v>
      </c>
      <c r="D1633" t="s">
        <v>318</v>
      </c>
      <c r="E1633" t="str">
        <f>_xll.BDP($B1633,"LEGAL_ENTITY_IDENTIFIER")</f>
        <v>549300Y7VHGU0I7CE873</v>
      </c>
      <c r="F1633" t="s">
        <v>318</v>
      </c>
      <c r="G1633" t="str">
        <f>custodian!D1633</f>
        <v>64110L106</v>
      </c>
      <c r="H1633" t="str">
        <f>_xll.BDP($B1633,"ID_ISIN")</f>
        <v>US64110L1061</v>
      </c>
      <c r="I1633" s="1" t="s">
        <v>317</v>
      </c>
      <c r="J1633" t="str">
        <f>_xll.BDP($B1633,"CNTRY_OF_DOMICILE")</f>
        <v>US</v>
      </c>
      <c r="K1633" t="s">
        <v>98</v>
      </c>
      <c r="L1633" t="s">
        <v>99</v>
      </c>
      <c r="O1633" s="1"/>
      <c r="AQ1633" s="1"/>
      <c r="AR1633" s="1"/>
      <c r="AS1633" s="1"/>
    </row>
    <row r="1634" spans="1:45" x14ac:dyDescent="0.25">
      <c r="A1634" t="s">
        <v>4651</v>
      </c>
      <c r="B1634" t="s">
        <v>322</v>
      </c>
      <c r="C1634" s="1" t="s">
        <v>323</v>
      </c>
      <c r="D1634" t="s">
        <v>324</v>
      </c>
      <c r="E1634" t="str">
        <f>_xll.BDP($B1634,"LEGAL_ENTITY_IDENTIFIER")</f>
        <v>549300S4KLFTLO7GSQ80</v>
      </c>
      <c r="F1634" t="s">
        <v>324</v>
      </c>
      <c r="G1634" t="str">
        <f>custodian!D1634</f>
        <v>67066G104</v>
      </c>
      <c r="H1634" t="str">
        <f>_xll.BDP($B1634,"ID_ISIN")</f>
        <v>US67066G1040</v>
      </c>
      <c r="I1634" s="1" t="s">
        <v>323</v>
      </c>
      <c r="J1634" t="str">
        <f>_xll.BDP($B1634,"CNTRY_OF_DOMICILE")</f>
        <v>US</v>
      </c>
      <c r="K1634" t="s">
        <v>98</v>
      </c>
      <c r="L1634" t="s">
        <v>99</v>
      </c>
      <c r="O1634" s="1"/>
      <c r="AQ1634" s="1"/>
      <c r="AR1634" s="1"/>
      <c r="AS1634" s="1"/>
    </row>
    <row r="1635" spans="1:45" x14ac:dyDescent="0.25">
      <c r="A1635" t="s">
        <v>4651</v>
      </c>
      <c r="B1635" t="s">
        <v>3263</v>
      </c>
      <c r="C1635" s="1" t="s">
        <v>3264</v>
      </c>
      <c r="D1635" t="s">
        <v>3265</v>
      </c>
      <c r="E1635" t="str">
        <f>_xll.BDP($B1635,"LEGAL_ENTITY_IDENTIFIER")</f>
        <v>5299009TWK32WE417T96</v>
      </c>
      <c r="F1635" t="s">
        <v>3265</v>
      </c>
      <c r="G1635" t="str">
        <f>custodian!D1635</f>
        <v>679580100</v>
      </c>
      <c r="H1635" t="str">
        <f>_xll.BDP($B1635,"ID_ISIN")</f>
        <v>US6795801009</v>
      </c>
      <c r="I1635" s="1" t="s">
        <v>3264</v>
      </c>
      <c r="J1635" t="str">
        <f>_xll.BDP($B1635,"CNTRY_OF_DOMICILE")</f>
        <v>US</v>
      </c>
      <c r="K1635" t="s">
        <v>98</v>
      </c>
      <c r="L1635" t="s">
        <v>99</v>
      </c>
      <c r="O1635" s="1"/>
      <c r="AQ1635" s="1"/>
      <c r="AR1635" s="1"/>
      <c r="AS1635" s="1"/>
    </row>
    <row r="1636" spans="1:45" x14ac:dyDescent="0.25">
      <c r="A1636" t="s">
        <v>4651</v>
      </c>
      <c r="B1636" t="s">
        <v>3606</v>
      </c>
      <c r="C1636" s="1" t="s">
        <v>3607</v>
      </c>
      <c r="D1636" t="s">
        <v>3608</v>
      </c>
      <c r="E1636" t="str">
        <f>_xll.BDP($B1636,"LEGAL_ENTITY_IDENTIFIER")</f>
        <v>1Z4GXXU7ZHVWFCD8TV52</v>
      </c>
      <c r="F1636" t="s">
        <v>3608</v>
      </c>
      <c r="G1636" t="str">
        <f>custodian!D1636</f>
        <v>68389X105</v>
      </c>
      <c r="H1636" t="str">
        <f>_xll.BDP($B1636,"ID_ISIN")</f>
        <v>US68389X1054</v>
      </c>
      <c r="I1636" s="1" t="s">
        <v>3607</v>
      </c>
      <c r="J1636" t="str">
        <f>_xll.BDP($B1636,"CNTRY_OF_DOMICILE")</f>
        <v>US</v>
      </c>
      <c r="K1636" t="s">
        <v>98</v>
      </c>
      <c r="L1636" t="s">
        <v>99</v>
      </c>
      <c r="O1636" s="1"/>
      <c r="AQ1636" s="1"/>
      <c r="AR1636" s="1"/>
      <c r="AS1636" s="1"/>
    </row>
    <row r="1637" spans="1:45" x14ac:dyDescent="0.25">
      <c r="A1637" t="s">
        <v>4651</v>
      </c>
      <c r="B1637" t="s">
        <v>328</v>
      </c>
      <c r="C1637" s="1" t="s">
        <v>329</v>
      </c>
      <c r="D1637" t="s">
        <v>330</v>
      </c>
      <c r="E1637" t="str">
        <f>_xll.BDP($B1637,"LEGAL_ENTITY_IDENTIFIER")</f>
        <v>549300QXR2YVZV231H43</v>
      </c>
      <c r="F1637" t="s">
        <v>330</v>
      </c>
      <c r="G1637" t="str">
        <f>custodian!D1637</f>
        <v>697435105</v>
      </c>
      <c r="H1637" t="str">
        <f>_xll.BDP($B1637,"ID_ISIN")</f>
        <v>US6974351057</v>
      </c>
      <c r="I1637" s="1" t="s">
        <v>329</v>
      </c>
      <c r="J1637" t="str">
        <f>_xll.BDP($B1637,"CNTRY_OF_DOMICILE")</f>
        <v>US</v>
      </c>
      <c r="K1637" t="s">
        <v>98</v>
      </c>
      <c r="L1637" t="s">
        <v>99</v>
      </c>
      <c r="O1637" s="1"/>
      <c r="AQ1637" s="1"/>
      <c r="AR1637" s="1"/>
      <c r="AS1637" s="1"/>
    </row>
    <row r="1638" spans="1:45" x14ac:dyDescent="0.25">
      <c r="A1638" t="s">
        <v>4651</v>
      </c>
      <c r="B1638" t="s">
        <v>3266</v>
      </c>
      <c r="C1638" s="1" t="s">
        <v>3267</v>
      </c>
      <c r="D1638" t="s">
        <v>3268</v>
      </c>
      <c r="E1638" t="str">
        <f>_xll.BDP($B1638,"LEGAL_ENTITY_IDENTIFIER")</f>
        <v>KDTEY8BWE486IKZ3CC07</v>
      </c>
      <c r="F1638" t="s">
        <v>3268</v>
      </c>
      <c r="G1638" t="str">
        <f>custodian!D1638</f>
        <v>693718108</v>
      </c>
      <c r="H1638" t="str">
        <f>_xll.BDP($B1638,"ID_ISIN")</f>
        <v>US6937181088</v>
      </c>
      <c r="I1638" s="1" t="s">
        <v>3267</v>
      </c>
      <c r="J1638" t="str">
        <f>_xll.BDP($B1638,"CNTRY_OF_DOMICILE")</f>
        <v>US</v>
      </c>
      <c r="K1638" t="s">
        <v>98</v>
      </c>
      <c r="L1638" t="s">
        <v>99</v>
      </c>
      <c r="O1638" s="1"/>
      <c r="AQ1638" s="1"/>
      <c r="AR1638" s="1"/>
      <c r="AS1638" s="1"/>
    </row>
    <row r="1639" spans="1:45" x14ac:dyDescent="0.25">
      <c r="A1639" t="s">
        <v>4651</v>
      </c>
      <c r="B1639" t="s">
        <v>3536</v>
      </c>
      <c r="C1639" s="1" t="s">
        <v>3537</v>
      </c>
      <c r="D1639" t="s">
        <v>3538</v>
      </c>
      <c r="E1639" t="str">
        <f>_xll.BDP($B1639,"LEGAL_ENTITY_IDENTIFIER")</f>
        <v>549300UVN46B3BBDHO85</v>
      </c>
      <c r="F1639" t="s">
        <v>3538</v>
      </c>
      <c r="G1639" t="str">
        <f>custodian!D1639</f>
        <v>69608A108</v>
      </c>
      <c r="H1639" t="str">
        <f>_xll.BDP($B1639,"ID_ISIN")</f>
        <v>US69608A1088</v>
      </c>
      <c r="I1639" s="1" t="s">
        <v>3537</v>
      </c>
      <c r="J1639" t="str">
        <f>_xll.BDP($B1639,"CNTRY_OF_DOMICILE")</f>
        <v>US</v>
      </c>
      <c r="K1639" t="s">
        <v>98</v>
      </c>
      <c r="L1639" t="s">
        <v>99</v>
      </c>
      <c r="O1639" s="1"/>
      <c r="AQ1639" s="1"/>
      <c r="AR1639" s="1"/>
      <c r="AS1639" s="1"/>
    </row>
    <row r="1640" spans="1:45" x14ac:dyDescent="0.25">
      <c r="A1640" t="s">
        <v>4651</v>
      </c>
      <c r="B1640" t="s">
        <v>4727</v>
      </c>
      <c r="C1640" s="1" t="s">
        <v>4728</v>
      </c>
      <c r="D1640" t="s">
        <v>4729</v>
      </c>
      <c r="E1640" t="str">
        <f>_xll.BDP($B1640,"LEGAL_ENTITY_IDENTIFIER")</f>
        <v>254900GLQZAD4N7N5Q19</v>
      </c>
      <c r="F1640" t="s">
        <v>4729</v>
      </c>
      <c r="G1640" t="str">
        <f>custodian!D1640</f>
        <v>74460D109</v>
      </c>
      <c r="H1640" t="str">
        <f>_xll.BDP($B1640,"ID_ISIN")</f>
        <v>US74460D1090</v>
      </c>
      <c r="I1640" s="1" t="s">
        <v>4728</v>
      </c>
      <c r="J1640" t="str">
        <f>_xll.BDP($B1640,"CNTRY_OF_DOMICILE")</f>
        <v>US</v>
      </c>
      <c r="K1640" t="s">
        <v>98</v>
      </c>
      <c r="L1640" t="s">
        <v>99</v>
      </c>
      <c r="O1640" s="1"/>
      <c r="AQ1640" s="1"/>
      <c r="AR1640" s="1"/>
      <c r="AS1640" s="1"/>
    </row>
    <row r="1641" spans="1:45" x14ac:dyDescent="0.25">
      <c r="A1641" t="s">
        <v>4651</v>
      </c>
      <c r="B1641" t="s">
        <v>4730</v>
      </c>
      <c r="C1641" s="1" t="s">
        <v>4731</v>
      </c>
      <c r="D1641" t="s">
        <v>4732</v>
      </c>
      <c r="E1641" t="str">
        <f>_xll.BDP($B1641,"LEGAL_ENTITY_IDENTIFIER")</f>
        <v>254900RSUG4J9TFFZX53</v>
      </c>
      <c r="F1641" t="s">
        <v>4732</v>
      </c>
      <c r="G1641" t="str">
        <f>custodian!D1641</f>
        <v>74743L100</v>
      </c>
      <c r="H1641" t="str">
        <f>_xll.BDP($B1641,"ID_ISIN")</f>
        <v>US74743L1008</v>
      </c>
      <c r="I1641" s="1" t="s">
        <v>4731</v>
      </c>
      <c r="J1641" t="str">
        <f>_xll.BDP($B1641,"CNTRY_OF_DOMICILE")</f>
        <v>US</v>
      </c>
      <c r="K1641" t="s">
        <v>98</v>
      </c>
      <c r="L1641" t="s">
        <v>99</v>
      </c>
      <c r="O1641" s="1"/>
      <c r="AQ1641" s="1"/>
      <c r="AR1641" s="1"/>
      <c r="AS1641" s="1"/>
    </row>
    <row r="1642" spans="1:45" x14ac:dyDescent="0.25">
      <c r="A1642" t="s">
        <v>4651</v>
      </c>
      <c r="B1642" t="s">
        <v>4733</v>
      </c>
      <c r="C1642" s="1" t="s">
        <v>4734</v>
      </c>
      <c r="D1642" t="s">
        <v>4735</v>
      </c>
      <c r="E1642" t="str">
        <f>_xll.BDP($B1642,"LEGAL_ENTITY_IDENTIFIER")</f>
        <v>K2NEH8QNVW44JIWK7Z55</v>
      </c>
      <c r="F1642" t="s">
        <v>4735</v>
      </c>
      <c r="G1642" t="str">
        <f>custodian!D1642</f>
        <v>V7780T103</v>
      </c>
      <c r="H1642" t="str">
        <f>_xll.BDP($B1642,"ID_ISIN")</f>
        <v>LR0008862868</v>
      </c>
      <c r="I1642" s="1" t="s">
        <v>4734</v>
      </c>
      <c r="J1642" t="str">
        <f>_xll.BDP($B1642,"CNTRY_OF_DOMICILE")</f>
        <v>US</v>
      </c>
      <c r="K1642" t="s">
        <v>98</v>
      </c>
      <c r="L1642" t="s">
        <v>99</v>
      </c>
      <c r="O1642" s="1"/>
      <c r="AQ1642" s="1"/>
      <c r="AR1642" s="1"/>
      <c r="AS1642" s="1"/>
    </row>
    <row r="1643" spans="1:45" x14ac:dyDescent="0.25">
      <c r="A1643" t="s">
        <v>4651</v>
      </c>
      <c r="B1643" t="s">
        <v>3612</v>
      </c>
      <c r="C1643" s="1" t="s">
        <v>3613</v>
      </c>
      <c r="D1643" t="s">
        <v>3614</v>
      </c>
      <c r="E1643" t="str">
        <f>_xll.BDP($B1643,"LEGAL_ENTITY_IDENTIFIER")</f>
        <v>549300RCBFWIRX3HYQ56</v>
      </c>
      <c r="F1643" t="s">
        <v>3614</v>
      </c>
      <c r="G1643" t="str">
        <f>custodian!D1643</f>
        <v>75886F107</v>
      </c>
      <c r="H1643" t="str">
        <f>_xll.BDP($B1643,"ID_ISIN")</f>
        <v>US75886F1075</v>
      </c>
      <c r="I1643" s="1" t="s">
        <v>3613</v>
      </c>
      <c r="J1643" t="str">
        <f>_xll.BDP($B1643,"CNTRY_OF_DOMICILE")</f>
        <v>US</v>
      </c>
      <c r="K1643" t="s">
        <v>98</v>
      </c>
      <c r="L1643" t="s">
        <v>99</v>
      </c>
      <c r="O1643" s="1"/>
      <c r="AQ1643" s="1"/>
      <c r="AR1643" s="1"/>
      <c r="AS1643" s="1"/>
    </row>
    <row r="1644" spans="1:45" x14ac:dyDescent="0.25">
      <c r="A1644" t="s">
        <v>4651</v>
      </c>
      <c r="B1644" t="s">
        <v>4539</v>
      </c>
      <c r="C1644" s="1" t="s">
        <v>4540</v>
      </c>
      <c r="D1644" t="s">
        <v>4541</v>
      </c>
      <c r="E1644" t="str">
        <f>_xll.BDP($B1644,"LEGAL_ENTITY_IDENTIFIER")</f>
        <v>HO1QNWM0IXBZ0QSMMO20</v>
      </c>
      <c r="F1644" t="s">
        <v>4541</v>
      </c>
      <c r="G1644" t="str">
        <f>custodian!D1644</f>
        <v>751212101</v>
      </c>
      <c r="H1644" t="str">
        <f>_xll.BDP($B1644,"ID_ISIN")</f>
        <v>US7512121010</v>
      </c>
      <c r="I1644" s="1" t="s">
        <v>4540</v>
      </c>
      <c r="J1644" t="str">
        <f>_xll.BDP($B1644,"CNTRY_OF_DOMICILE")</f>
        <v>US</v>
      </c>
      <c r="K1644" t="s">
        <v>98</v>
      </c>
      <c r="L1644" t="s">
        <v>99</v>
      </c>
      <c r="O1644" s="1"/>
      <c r="AQ1644" s="1"/>
      <c r="AR1644" s="1"/>
      <c r="AS1644" s="1"/>
    </row>
    <row r="1645" spans="1:45" x14ac:dyDescent="0.25">
      <c r="A1645" t="s">
        <v>4651</v>
      </c>
      <c r="B1645" t="s">
        <v>4736</v>
      </c>
      <c r="C1645" s="1" t="s">
        <v>4737</v>
      </c>
      <c r="D1645" t="s">
        <v>4738</v>
      </c>
      <c r="E1645" t="str">
        <f>_xll.BDP($B1645,"LEGAL_ENTITY_IDENTIFIER")</f>
        <v>549300F2A0BXT4SGWD84</v>
      </c>
      <c r="F1645" t="s">
        <v>4738</v>
      </c>
      <c r="G1645" t="str">
        <f>custodian!D1645</f>
        <v>775711104</v>
      </c>
      <c r="H1645" t="str">
        <f>_xll.BDP($B1645,"ID_ISIN")</f>
        <v>US7757111049</v>
      </c>
      <c r="I1645" s="1" t="s">
        <v>4737</v>
      </c>
      <c r="J1645" t="str">
        <f>_xll.BDP($B1645,"CNTRY_OF_DOMICILE")</f>
        <v>US</v>
      </c>
      <c r="K1645" t="s">
        <v>98</v>
      </c>
      <c r="L1645" t="s">
        <v>99</v>
      </c>
      <c r="O1645" s="1"/>
      <c r="AQ1645" s="1"/>
      <c r="AR1645" s="1"/>
      <c r="AS1645" s="1"/>
    </row>
    <row r="1646" spans="1:45" x14ac:dyDescent="0.25">
      <c r="A1646" t="s">
        <v>4651</v>
      </c>
      <c r="B1646" t="s">
        <v>343</v>
      </c>
      <c r="C1646" s="1" t="s">
        <v>344</v>
      </c>
      <c r="D1646" t="s">
        <v>345</v>
      </c>
      <c r="E1646" t="str">
        <f>_xll.BDP($B1646,"LEGAL_ENTITY_IDENTIFIER")</f>
        <v>549300ENZFLPGRDFZQ60</v>
      </c>
      <c r="F1646" t="s">
        <v>345</v>
      </c>
      <c r="G1646" t="str">
        <f>custodian!D1646</f>
        <v>778296103</v>
      </c>
      <c r="H1646" t="str">
        <f>_xll.BDP($B1646,"ID_ISIN")</f>
        <v>US7782961038</v>
      </c>
      <c r="I1646" s="1" t="s">
        <v>344</v>
      </c>
      <c r="J1646" t="str">
        <f>_xll.BDP($B1646,"CNTRY_OF_DOMICILE")</f>
        <v>US</v>
      </c>
      <c r="K1646" t="s">
        <v>98</v>
      </c>
      <c r="L1646" t="s">
        <v>99</v>
      </c>
      <c r="O1646" s="1"/>
      <c r="AQ1646" s="1"/>
      <c r="AR1646" s="1"/>
      <c r="AS1646" s="1"/>
    </row>
    <row r="1647" spans="1:45" x14ac:dyDescent="0.25">
      <c r="A1647" t="s">
        <v>4651</v>
      </c>
      <c r="B1647" t="s">
        <v>4739</v>
      </c>
      <c r="C1647" s="1" t="s">
        <v>4740</v>
      </c>
      <c r="D1647" t="s">
        <v>4741</v>
      </c>
      <c r="E1647" t="str">
        <f>_xll.BDP($B1647,"LEGAL_ENTITY_IDENTIFIER")</f>
        <v>549300VSGCJ7E698NM85</v>
      </c>
      <c r="F1647" t="s">
        <v>4741</v>
      </c>
      <c r="G1647" t="str">
        <f>custodian!D1647</f>
        <v>808513105</v>
      </c>
      <c r="H1647" t="str">
        <f>_xll.BDP($B1647,"ID_ISIN")</f>
        <v>US8085131055</v>
      </c>
      <c r="I1647" s="1" t="s">
        <v>4740</v>
      </c>
      <c r="J1647" t="str">
        <f>_xll.BDP($B1647,"CNTRY_OF_DOMICILE")</f>
        <v>US</v>
      </c>
      <c r="K1647" t="s">
        <v>98</v>
      </c>
      <c r="L1647" t="s">
        <v>99</v>
      </c>
      <c r="O1647" s="1"/>
      <c r="AQ1647" s="1"/>
      <c r="AR1647" s="1"/>
      <c r="AS1647" s="1"/>
    </row>
    <row r="1648" spans="1:45" x14ac:dyDescent="0.25">
      <c r="A1648" t="s">
        <v>4651</v>
      </c>
      <c r="B1648" t="s">
        <v>346</v>
      </c>
      <c r="C1648" s="1" t="s">
        <v>347</v>
      </c>
      <c r="D1648" t="s">
        <v>348</v>
      </c>
      <c r="E1648" t="str">
        <f>_xll.BDP($B1648,"LEGAL_ENTITY_IDENTIFIER")</f>
        <v>54930022CZO1N2UGVW07</v>
      </c>
      <c r="F1648" t="s">
        <v>348</v>
      </c>
      <c r="G1648" t="str">
        <f>custodian!D1648</f>
        <v>86800U302</v>
      </c>
      <c r="H1648" t="str">
        <f>_xll.BDP($B1648,"ID_ISIN")</f>
        <v>US86800U3023</v>
      </c>
      <c r="I1648" s="1" t="s">
        <v>347</v>
      </c>
      <c r="J1648" t="str">
        <f>_xll.BDP($B1648,"CNTRY_OF_DOMICILE")</f>
        <v>US</v>
      </c>
      <c r="K1648" t="s">
        <v>98</v>
      </c>
      <c r="L1648" t="s">
        <v>99</v>
      </c>
      <c r="O1648" s="1"/>
      <c r="AQ1648" s="1"/>
      <c r="AR1648" s="1"/>
      <c r="AS1648" s="1"/>
    </row>
    <row r="1649" spans="1:45" x14ac:dyDescent="0.25">
      <c r="A1649" t="s">
        <v>4651</v>
      </c>
      <c r="B1649" t="s">
        <v>4742</v>
      </c>
      <c r="C1649" s="1" t="s">
        <v>4743</v>
      </c>
      <c r="D1649" t="s">
        <v>4744</v>
      </c>
      <c r="E1649" t="str">
        <f>_xll.BDP($B1649,"LEGAL_ENTITY_IDENTIFIER")</f>
        <v>529900GQL5X8H7AO3T64</v>
      </c>
      <c r="F1649" t="s">
        <v>4744</v>
      </c>
      <c r="G1649" t="str">
        <f>custodian!D1649</f>
        <v>828806109</v>
      </c>
      <c r="H1649" t="str">
        <f>_xll.BDP($B1649,"ID_ISIN")</f>
        <v>US8288061091</v>
      </c>
      <c r="I1649" s="1" t="s">
        <v>4743</v>
      </c>
      <c r="J1649" t="str">
        <f>_xll.BDP($B1649,"CNTRY_OF_DOMICILE")</f>
        <v>US</v>
      </c>
      <c r="K1649" t="s">
        <v>98</v>
      </c>
      <c r="L1649" t="s">
        <v>99</v>
      </c>
      <c r="O1649" s="1"/>
      <c r="AQ1649" s="1"/>
      <c r="AR1649" s="1"/>
      <c r="AS1649" s="1"/>
    </row>
    <row r="1650" spans="1:45" x14ac:dyDescent="0.25">
      <c r="A1650" t="s">
        <v>4651</v>
      </c>
      <c r="B1650" t="s">
        <v>3622</v>
      </c>
      <c r="C1650" s="1" t="s">
        <v>3623</v>
      </c>
      <c r="D1650" t="s">
        <v>3624</v>
      </c>
      <c r="E1650" t="str">
        <f>_xll.BDP($B1650,"LEGAL_ENTITY_IDENTIFIER")</f>
        <v>549300HGGKEL4FYTTQ83</v>
      </c>
      <c r="F1650" t="s">
        <v>3624</v>
      </c>
      <c r="G1650" t="str">
        <f>custodian!D1650</f>
        <v>858119100</v>
      </c>
      <c r="H1650" t="str">
        <f>_xll.BDP($B1650,"ID_ISIN")</f>
        <v>US8581191009</v>
      </c>
      <c r="I1650" s="1" t="s">
        <v>3623</v>
      </c>
      <c r="J1650" t="str">
        <f>_xll.BDP($B1650,"CNTRY_OF_DOMICILE")</f>
        <v>US</v>
      </c>
      <c r="K1650" t="s">
        <v>98</v>
      </c>
      <c r="L1650" t="s">
        <v>99</v>
      </c>
      <c r="O1650" s="1"/>
      <c r="AQ1650" s="1"/>
      <c r="AR1650" s="1"/>
      <c r="AS1650" s="1"/>
    </row>
    <row r="1651" spans="1:45" x14ac:dyDescent="0.25">
      <c r="A1651" t="s">
        <v>4651</v>
      </c>
      <c r="B1651" t="s">
        <v>358</v>
      </c>
      <c r="C1651" s="1" t="s">
        <v>359</v>
      </c>
      <c r="D1651" t="s">
        <v>360</v>
      </c>
      <c r="E1651" t="str">
        <f>_xll.BDP($B1651,"LEGAL_ENTITY_IDENTIFIER")</f>
        <v>635400RUXIFEZSRU8X70</v>
      </c>
      <c r="F1651" t="s">
        <v>361</v>
      </c>
      <c r="G1651" t="str">
        <f>custodian!D1651</f>
        <v>G7997R103</v>
      </c>
      <c r="H1651" t="str">
        <f>_xll.BDP($B1651,"ID_ISIN")</f>
        <v>IE00BKVD2N49</v>
      </c>
      <c r="I1651" s="1" t="s">
        <v>359</v>
      </c>
      <c r="J1651" t="str">
        <f>_xll.BDP($B1651,"CNTRY_OF_DOMICILE")</f>
        <v>US</v>
      </c>
      <c r="K1651" t="s">
        <v>98</v>
      </c>
      <c r="L1651" t="s">
        <v>99</v>
      </c>
      <c r="O1651" s="1"/>
      <c r="AQ1651" s="1"/>
      <c r="AR1651" s="1"/>
      <c r="AS1651" s="1"/>
    </row>
    <row r="1652" spans="1:45" x14ac:dyDescent="0.25">
      <c r="A1652" t="s">
        <v>4651</v>
      </c>
      <c r="B1652" t="s">
        <v>4745</v>
      </c>
      <c r="C1652" s="1" t="s">
        <v>4746</v>
      </c>
      <c r="D1652" t="s">
        <v>4747</v>
      </c>
      <c r="E1652" t="str">
        <f>_xll.BDP($B1652,"LEGAL_ENTITY_IDENTIFIER")</f>
        <v>5493005GKEG8QCVY7037</v>
      </c>
      <c r="F1652" t="s">
        <v>4747</v>
      </c>
      <c r="G1652" t="str">
        <f>custodian!D1652</f>
        <v>21036P108</v>
      </c>
      <c r="H1652" t="str">
        <f>_xll.BDP($B1652,"ID_ISIN")</f>
        <v>US21036P1084</v>
      </c>
      <c r="I1652" s="1" t="s">
        <v>4746</v>
      </c>
      <c r="J1652" t="str">
        <f>_xll.BDP($B1652,"CNTRY_OF_DOMICILE")</f>
        <v>US</v>
      </c>
      <c r="K1652" t="s">
        <v>98</v>
      </c>
      <c r="L1652" t="s">
        <v>99</v>
      </c>
      <c r="O1652" s="1"/>
      <c r="AQ1652" s="1"/>
      <c r="AR1652" s="1"/>
      <c r="AS1652" s="1"/>
    </row>
    <row r="1653" spans="1:45" x14ac:dyDescent="0.25">
      <c r="A1653" t="s">
        <v>4651</v>
      </c>
      <c r="B1653" t="s">
        <v>747</v>
      </c>
      <c r="C1653" s="1" t="s">
        <v>748</v>
      </c>
      <c r="D1653" t="s">
        <v>749</v>
      </c>
      <c r="E1653" t="str">
        <f>_xll.BDP($B1653,"LEGAL_ENTITY_IDENTIFIER")</f>
        <v>5493002F0SC4JTBU5137</v>
      </c>
      <c r="F1653" t="s">
        <v>749</v>
      </c>
      <c r="G1653" t="str">
        <f>custodian!D1653</f>
        <v>863667101</v>
      </c>
      <c r="H1653" t="str">
        <f>_xll.BDP($B1653,"ID_ISIN")</f>
        <v>US8636671013</v>
      </c>
      <c r="I1653" s="1" t="s">
        <v>748</v>
      </c>
      <c r="J1653" t="str">
        <f>_xll.BDP($B1653,"CNTRY_OF_DOMICILE")</f>
        <v>US</v>
      </c>
      <c r="K1653" t="s">
        <v>98</v>
      </c>
      <c r="L1653" t="s">
        <v>99</v>
      </c>
      <c r="O1653" s="1"/>
      <c r="AQ1653" s="1"/>
      <c r="AR1653" s="1"/>
      <c r="AS1653" s="1"/>
    </row>
    <row r="1654" spans="1:45" x14ac:dyDescent="0.25">
      <c r="A1654" t="s">
        <v>4651</v>
      </c>
      <c r="B1654" t="s">
        <v>198</v>
      </c>
      <c r="C1654" s="1" t="s">
        <v>199</v>
      </c>
      <c r="D1654" t="s">
        <v>200</v>
      </c>
      <c r="E1654" t="str">
        <f>_xll.BDP($B1654,"LEGAL_ENTITY_IDENTIFIER")</f>
        <v>#N/A N/A</v>
      </c>
      <c r="F1654" t="s">
        <v>200</v>
      </c>
      <c r="G1654" t="str">
        <f>custodian!D1654</f>
        <v>893641100</v>
      </c>
      <c r="H1654" t="str">
        <f>_xll.BDP($B1654,"ID_ISIN")</f>
        <v>US8936411003</v>
      </c>
      <c r="I1654" s="1" t="s">
        <v>199</v>
      </c>
      <c r="J1654" t="str">
        <f>_xll.BDP($B1654,"CNTRY_OF_DOMICILE")</f>
        <v>US</v>
      </c>
      <c r="K1654" t="s">
        <v>98</v>
      </c>
      <c r="L1654" t="s">
        <v>99</v>
      </c>
      <c r="O1654" s="1"/>
      <c r="AQ1654" s="1"/>
      <c r="AR1654" s="1"/>
      <c r="AS1654" s="1"/>
    </row>
    <row r="1655" spans="1:45" x14ac:dyDescent="0.25">
      <c r="A1655" t="s">
        <v>4651</v>
      </c>
      <c r="B1655" t="s">
        <v>4748</v>
      </c>
      <c r="C1655" s="1" t="s">
        <v>4749</v>
      </c>
      <c r="D1655" t="s">
        <v>4750</v>
      </c>
      <c r="E1655" t="str">
        <f>_xll.BDP($B1655,"LEGAL_ENTITY_IDENTIFIER")</f>
        <v>#N/A N/A</v>
      </c>
      <c r="F1655" t="s">
        <v>4750</v>
      </c>
      <c r="G1655" t="str">
        <f>custodian!D1655</f>
        <v>87256C101</v>
      </c>
      <c r="H1655" t="str">
        <f>_xll.BDP($B1655,"ID_ISIN")</f>
        <v>US87256C1018</v>
      </c>
      <c r="I1655" s="1" t="s">
        <v>4749</v>
      </c>
      <c r="J1655" t="str">
        <f>_xll.BDP($B1655,"CNTRY_OF_DOMICILE")</f>
        <v>US</v>
      </c>
      <c r="K1655" t="s">
        <v>98</v>
      </c>
      <c r="L1655" t="s">
        <v>99</v>
      </c>
      <c r="O1655" s="1"/>
      <c r="AQ1655" s="1"/>
      <c r="AR1655" s="1"/>
      <c r="AS1655" s="1"/>
    </row>
    <row r="1656" spans="1:45" x14ac:dyDescent="0.25">
      <c r="A1656" t="s">
        <v>4651</v>
      </c>
      <c r="B1656" t="s">
        <v>4751</v>
      </c>
      <c r="C1656" s="1" t="s">
        <v>4752</v>
      </c>
      <c r="D1656" t="s">
        <v>4753</v>
      </c>
      <c r="E1656" t="str">
        <f>_xll.BDP($B1656,"LEGAL_ENTITY_IDENTIFIER")</f>
        <v>254900EMA79D44WVLD22</v>
      </c>
      <c r="F1656" t="s">
        <v>4753</v>
      </c>
      <c r="G1656" t="str">
        <f>custodian!D1656</f>
        <v>88262P102</v>
      </c>
      <c r="H1656" t="str">
        <f>_xll.BDP($B1656,"ID_ISIN")</f>
        <v>US88262P1021</v>
      </c>
      <c r="I1656" s="1" t="s">
        <v>4752</v>
      </c>
      <c r="J1656" t="str">
        <f>_xll.BDP($B1656,"CNTRY_OF_DOMICILE")</f>
        <v>US</v>
      </c>
      <c r="K1656" t="s">
        <v>98</v>
      </c>
      <c r="L1656" t="s">
        <v>99</v>
      </c>
      <c r="O1656" s="1"/>
      <c r="AQ1656" s="1"/>
      <c r="AR1656" s="1"/>
      <c r="AS1656" s="1"/>
    </row>
    <row r="1657" spans="1:45" x14ac:dyDescent="0.25">
      <c r="A1657" t="s">
        <v>4651</v>
      </c>
      <c r="B1657" t="s">
        <v>753</v>
      </c>
      <c r="C1657" s="1" t="s">
        <v>754</v>
      </c>
      <c r="D1657" t="s">
        <v>755</v>
      </c>
      <c r="E1657" t="str">
        <f>_xll.BDP($B1657,"LEGAL_ENTITY_IDENTIFIER")</f>
        <v>54930043XZGB27CTOV49</v>
      </c>
      <c r="F1657" t="s">
        <v>755</v>
      </c>
      <c r="G1657" t="str">
        <f>custodian!D1657</f>
        <v>88160R101</v>
      </c>
      <c r="H1657" t="str">
        <f>_xll.BDP($B1657,"ID_ISIN")</f>
        <v>US88160R1014</v>
      </c>
      <c r="I1657" s="1" t="s">
        <v>754</v>
      </c>
      <c r="J1657" t="str">
        <f>_xll.BDP($B1657,"CNTRY_OF_DOMICILE")</f>
        <v>US</v>
      </c>
      <c r="K1657" t="s">
        <v>98</v>
      </c>
      <c r="L1657" t="s">
        <v>99</v>
      </c>
      <c r="O1657" s="1"/>
      <c r="AQ1657" s="1"/>
      <c r="AR1657" s="1"/>
      <c r="AS1657" s="1"/>
    </row>
    <row r="1658" spans="1:45" x14ac:dyDescent="0.25">
      <c r="A1658" t="s">
        <v>4651</v>
      </c>
      <c r="B1658" t="s">
        <v>4754</v>
      </c>
      <c r="C1658" s="1" t="s">
        <v>4755</v>
      </c>
      <c r="D1658" t="s">
        <v>4756</v>
      </c>
      <c r="E1658" t="str">
        <f>_xll.BDP($B1658,"LEGAL_ENTITY_IDENTIFIER")</f>
        <v>WDJNR2L6D8RWOEB8T652</v>
      </c>
      <c r="F1658" t="s">
        <v>4756</v>
      </c>
      <c r="G1658" t="str">
        <f>custodian!D1658</f>
        <v>882508104</v>
      </c>
      <c r="H1658" t="str">
        <f>_xll.BDP($B1658,"ID_ISIN")</f>
        <v>US8825081040</v>
      </c>
      <c r="I1658" s="1" t="s">
        <v>4755</v>
      </c>
      <c r="J1658" t="str">
        <f>_xll.BDP($B1658,"CNTRY_OF_DOMICILE")</f>
        <v>US</v>
      </c>
      <c r="K1658" t="s">
        <v>98</v>
      </c>
      <c r="L1658" t="s">
        <v>99</v>
      </c>
      <c r="O1658" s="1"/>
      <c r="AQ1658" s="1"/>
      <c r="AR1658" s="1"/>
      <c r="AS1658" s="1"/>
    </row>
    <row r="1659" spans="1:45" x14ac:dyDescent="0.25">
      <c r="A1659" t="s">
        <v>4651</v>
      </c>
      <c r="B1659" t="s">
        <v>365</v>
      </c>
      <c r="C1659" s="1" t="s">
        <v>366</v>
      </c>
      <c r="D1659" t="s">
        <v>367</v>
      </c>
      <c r="E1659" t="str">
        <f>_xll.BDP($B1659,"LEGAL_ENTITY_IDENTIFIER")</f>
        <v>549300B2FTG34FILDR98</v>
      </c>
      <c r="F1659" t="s">
        <v>367</v>
      </c>
      <c r="G1659" t="str">
        <f>custodian!D1659</f>
        <v>90353T100</v>
      </c>
      <c r="H1659" t="str">
        <f>_xll.BDP($B1659,"ID_ISIN")</f>
        <v>US90353T1007</v>
      </c>
      <c r="I1659" s="1" t="s">
        <v>366</v>
      </c>
      <c r="J1659" t="str">
        <f>_xll.BDP($B1659,"CNTRY_OF_DOMICILE")</f>
        <v>US</v>
      </c>
      <c r="K1659" t="s">
        <v>98</v>
      </c>
      <c r="L1659" t="s">
        <v>99</v>
      </c>
      <c r="O1659" s="1"/>
      <c r="AQ1659" s="1"/>
      <c r="AR1659" s="1"/>
      <c r="AS1659" s="1"/>
    </row>
    <row r="1660" spans="1:45" x14ac:dyDescent="0.25">
      <c r="A1660" t="s">
        <v>4651</v>
      </c>
      <c r="B1660" t="s">
        <v>371</v>
      </c>
      <c r="C1660" s="1" t="s">
        <v>372</v>
      </c>
      <c r="D1660" t="s">
        <v>373</v>
      </c>
      <c r="E1660" t="str">
        <f>_xll.BDP($B1660,"LEGAL_ENTITY_IDENTIFIER")</f>
        <v>549300YZEXPDB92M2F02</v>
      </c>
      <c r="F1660" t="s">
        <v>373</v>
      </c>
      <c r="G1660" t="str">
        <f>custodian!D1660</f>
        <v>922475108</v>
      </c>
      <c r="H1660" t="str">
        <f>_xll.BDP($B1660,"ID_ISIN")</f>
        <v>US9224751084</v>
      </c>
      <c r="I1660" s="1" t="s">
        <v>372</v>
      </c>
      <c r="J1660" t="str">
        <f>_xll.BDP($B1660,"CNTRY_OF_DOMICILE")</f>
        <v>US</v>
      </c>
      <c r="K1660" t="s">
        <v>98</v>
      </c>
      <c r="L1660" t="s">
        <v>99</v>
      </c>
      <c r="O1660" s="1"/>
      <c r="AQ1660" s="1"/>
      <c r="AR1660" s="1"/>
      <c r="AS1660" s="1"/>
    </row>
    <row r="1661" spans="1:45" x14ac:dyDescent="0.25">
      <c r="A1661" t="s">
        <v>4651</v>
      </c>
      <c r="B1661" t="s">
        <v>4757</v>
      </c>
      <c r="C1661" s="1" t="s">
        <v>4758</v>
      </c>
      <c r="D1661" t="s">
        <v>4759</v>
      </c>
      <c r="E1661" t="str">
        <f>_xll.BDP($B1661,"LEGAL_ENTITY_IDENTIFIER")</f>
        <v>549300KTTIRAOGXCRV69</v>
      </c>
      <c r="F1661" t="s">
        <v>4759</v>
      </c>
      <c r="G1661" t="str">
        <f>custodian!D1661</f>
        <v>92537N108</v>
      </c>
      <c r="H1661" t="str">
        <f>_xll.BDP($B1661,"ID_ISIN")</f>
        <v>US92537N1081</v>
      </c>
      <c r="I1661" s="1" t="s">
        <v>4758</v>
      </c>
      <c r="J1661" t="str">
        <f>_xll.BDP($B1661,"CNTRY_OF_DOMICILE")</f>
        <v>US</v>
      </c>
      <c r="K1661" t="s">
        <v>98</v>
      </c>
      <c r="L1661" t="s">
        <v>99</v>
      </c>
      <c r="O1661" s="1"/>
      <c r="AQ1661" s="1"/>
      <c r="AR1661" s="1"/>
      <c r="AS1661" s="1"/>
    </row>
    <row r="1662" spans="1:45" x14ac:dyDescent="0.25">
      <c r="A1662" t="s">
        <v>4651</v>
      </c>
      <c r="B1662" t="s">
        <v>374</v>
      </c>
      <c r="C1662" s="1" t="s">
        <v>375</v>
      </c>
      <c r="D1662" t="s">
        <v>376</v>
      </c>
      <c r="E1662" t="str">
        <f>_xll.BDP($B1662,"LEGAL_ENTITY_IDENTIFIER")</f>
        <v>549300J0DYC0N31V7G13</v>
      </c>
      <c r="F1662" t="s">
        <v>376</v>
      </c>
      <c r="G1662" t="str">
        <f>custodian!D1662</f>
        <v>98138H101</v>
      </c>
      <c r="H1662" t="str">
        <f>_xll.BDP($B1662,"ID_ISIN")</f>
        <v>US98138H1014</v>
      </c>
      <c r="I1662" s="1" t="s">
        <v>375</v>
      </c>
      <c r="J1662" t="str">
        <f>_xll.BDP($B1662,"CNTRY_OF_DOMICILE")</f>
        <v>US</v>
      </c>
      <c r="K1662" t="s">
        <v>98</v>
      </c>
      <c r="L1662" t="s">
        <v>99</v>
      </c>
      <c r="O1662" s="1"/>
      <c r="AQ1662" s="1"/>
      <c r="AR1662" s="1"/>
      <c r="AS1662" s="1"/>
    </row>
    <row r="1663" spans="1:45" x14ac:dyDescent="0.25">
      <c r="A1663" t="s">
        <v>4651</v>
      </c>
      <c r="B1663" t="s">
        <v>4760</v>
      </c>
      <c r="C1663" s="1" t="s">
        <v>4761</v>
      </c>
      <c r="D1663" t="s">
        <v>4762</v>
      </c>
      <c r="E1663" t="str">
        <f>_xll.BDP($B1663,"LEGAL_ENTITY_IDENTIFIER")</f>
        <v>SQOAGCLKBDWNVYV1OV80</v>
      </c>
      <c r="F1663" t="s">
        <v>4762</v>
      </c>
      <c r="G1663" t="str">
        <f>custodian!D1663</f>
        <v>084423102</v>
      </c>
      <c r="H1663" t="str">
        <f>_xll.BDP($B1663,"ID_ISIN")</f>
        <v>US0844231029</v>
      </c>
      <c r="I1663" s="1" t="s">
        <v>4761</v>
      </c>
      <c r="J1663" t="str">
        <f>_xll.BDP($B1663,"CNTRY_OF_DOMICILE")</f>
        <v>US</v>
      </c>
      <c r="K1663" t="s">
        <v>98</v>
      </c>
      <c r="L1663" t="s">
        <v>99</v>
      </c>
      <c r="O1663" s="1"/>
      <c r="AQ1663" s="1"/>
      <c r="AR1663" s="1"/>
      <c r="AS1663" s="1"/>
    </row>
    <row r="1664" spans="1:45" x14ac:dyDescent="0.25">
      <c r="A1664" t="s">
        <v>4651</v>
      </c>
      <c r="B1664" t="s">
        <v>386</v>
      </c>
      <c r="C1664" s="1" t="s">
        <v>387</v>
      </c>
      <c r="D1664" t="s">
        <v>388</v>
      </c>
      <c r="E1664" t="str">
        <f>_xll.BDP($B1664,"LEGAL_ENTITY_IDENTIFIER")</f>
        <v>549300OHIIUWSTIZME52</v>
      </c>
      <c r="F1664" t="s">
        <v>388</v>
      </c>
      <c r="G1664" t="str">
        <f>custodian!D1664</f>
        <v>852234103</v>
      </c>
      <c r="H1664" t="str">
        <f>_xll.BDP($B1664,"ID_ISIN")</f>
        <v>US8522341036</v>
      </c>
      <c r="I1664" s="1" t="s">
        <v>387</v>
      </c>
      <c r="J1664" t="str">
        <f>_xll.BDP($B1664,"CNTRY_OF_DOMICILE")</f>
        <v>US</v>
      </c>
      <c r="K1664" t="s">
        <v>98</v>
      </c>
      <c r="L1664" t="s">
        <v>99</v>
      </c>
      <c r="O1664" s="1"/>
      <c r="AQ1664" s="1"/>
      <c r="AR1664" s="1"/>
      <c r="AS1664" s="1"/>
    </row>
    <row r="1665" spans="1:45" x14ac:dyDescent="0.25">
      <c r="A1665" t="s">
        <v>4651</v>
      </c>
      <c r="C1665" s="1" t="s">
        <v>52</v>
      </c>
      <c r="E1665" s="1"/>
      <c r="G1665" t="str">
        <f>custodian!D1665</f>
        <v>Cash&amp;Other</v>
      </c>
      <c r="H1665" s="1"/>
      <c r="I1665" s="1"/>
      <c r="O1665" s="1"/>
      <c r="AQ1665" s="1"/>
      <c r="AR1665" s="1"/>
      <c r="AS1665" s="1"/>
    </row>
    <row r="1666" spans="1:45" x14ac:dyDescent="0.25">
      <c r="A1666" t="s">
        <v>4763</v>
      </c>
      <c r="B1666" t="s">
        <v>4764</v>
      </c>
      <c r="C1666" s="1" t="s">
        <v>4765</v>
      </c>
      <c r="D1666" t="s">
        <v>4766</v>
      </c>
      <c r="E1666" t="str">
        <f>_xll.BDP($B1666,"LEGAL_ENTITY_IDENTIFIER")</f>
        <v>529900BCN7BE6ESPDZ72</v>
      </c>
      <c r="F1666" t="s">
        <v>4766</v>
      </c>
      <c r="G1666" t="str">
        <f>custodian!D1666</f>
        <v>003881307</v>
      </c>
      <c r="H1666" t="str">
        <f>_xll.BDP($B1666,"ID_ISIN")</f>
        <v>US0038813079</v>
      </c>
      <c r="I1666" s="1" t="s">
        <v>4765</v>
      </c>
      <c r="J1666" t="str">
        <f>_xll.BDP($B1666,"CNTRY_OF_DOMICILE")</f>
        <v>US</v>
      </c>
      <c r="K1666" t="s">
        <v>98</v>
      </c>
      <c r="L1666" t="s">
        <v>99</v>
      </c>
      <c r="O1666" s="1"/>
      <c r="AQ1666" s="1"/>
      <c r="AR1666" s="1"/>
      <c r="AS1666" s="1"/>
    </row>
    <row r="1667" spans="1:45" x14ac:dyDescent="0.25">
      <c r="A1667" t="s">
        <v>4763</v>
      </c>
      <c r="B1667" t="s">
        <v>4767</v>
      </c>
      <c r="C1667" s="1" t="s">
        <v>4768</v>
      </c>
      <c r="D1667" t="s">
        <v>4769</v>
      </c>
      <c r="E1667" t="str">
        <f>_xll.BDP($B1667,"LEGAL_ENTITY_IDENTIFIER")</f>
        <v>#N/A N/A</v>
      </c>
      <c r="F1667" t="s">
        <v>4769</v>
      </c>
      <c r="G1667" t="str">
        <f>custodian!D1667</f>
        <v>00676P107</v>
      </c>
      <c r="H1667" t="str">
        <f>_xll.BDP($B1667,"ID_ISIN")</f>
        <v>US00676P1075</v>
      </c>
      <c r="I1667" s="1" t="s">
        <v>4768</v>
      </c>
      <c r="J1667" t="str">
        <f>_xll.BDP($B1667,"CNTRY_OF_DOMICILE")</f>
        <v>US</v>
      </c>
      <c r="K1667" t="s">
        <v>98</v>
      </c>
      <c r="L1667" t="s">
        <v>99</v>
      </c>
      <c r="O1667" s="1"/>
      <c r="AQ1667" s="1"/>
      <c r="AR1667" s="1"/>
      <c r="AS1667" s="1"/>
    </row>
    <row r="1668" spans="1:45" x14ac:dyDescent="0.25">
      <c r="A1668" t="s">
        <v>4763</v>
      </c>
      <c r="B1668" t="s">
        <v>4770</v>
      </c>
      <c r="C1668" s="1" t="s">
        <v>4771</v>
      </c>
      <c r="D1668" t="s">
        <v>4772</v>
      </c>
      <c r="E1668" t="str">
        <f>_xll.BDP($B1668,"LEGAL_ENTITY_IDENTIFIER")</f>
        <v>2138001E66EELTE7Y904</v>
      </c>
      <c r="F1668" t="s">
        <v>4772</v>
      </c>
      <c r="G1668" t="str">
        <f>custodian!D1668</f>
        <v>042068205</v>
      </c>
      <c r="H1668" t="str">
        <f>_xll.BDP($B1668,"ID_ISIN")</f>
        <v>US0420682058</v>
      </c>
      <c r="I1668" s="1" t="s">
        <v>4771</v>
      </c>
      <c r="J1668" t="str">
        <f>_xll.BDP($B1668,"CNTRY_OF_DOMICILE")</f>
        <v>GB</v>
      </c>
      <c r="K1668" t="s">
        <v>98</v>
      </c>
      <c r="L1668" t="s">
        <v>99</v>
      </c>
      <c r="O1668" s="1"/>
      <c r="AQ1668" s="1"/>
      <c r="AR1668" s="1"/>
      <c r="AS1668" s="1"/>
    </row>
    <row r="1669" spans="1:45" x14ac:dyDescent="0.25">
      <c r="A1669" t="s">
        <v>4763</v>
      </c>
      <c r="B1669" t="s">
        <v>4773</v>
      </c>
      <c r="C1669" s="1" t="s">
        <v>4774</v>
      </c>
      <c r="D1669" t="s">
        <v>4775</v>
      </c>
      <c r="E1669" t="str">
        <f>_xll.BDP($B1669,"LEGAL_ENTITY_IDENTIFIER")</f>
        <v>GCT7RXJOGLXPV0NXZY22</v>
      </c>
      <c r="F1669" t="s">
        <v>4775</v>
      </c>
      <c r="G1669" t="str">
        <f>custodian!D1669</f>
        <v>127387108</v>
      </c>
      <c r="H1669" t="str">
        <f>_xll.BDP($B1669,"ID_ISIN")</f>
        <v>US1273871087</v>
      </c>
      <c r="I1669" s="1" t="s">
        <v>4774</v>
      </c>
      <c r="J1669" t="str">
        <f>_xll.BDP($B1669,"CNTRY_OF_DOMICILE")</f>
        <v>US</v>
      </c>
      <c r="K1669" t="s">
        <v>98</v>
      </c>
      <c r="L1669" t="s">
        <v>99</v>
      </c>
      <c r="O1669" s="1"/>
      <c r="AQ1669" s="1"/>
      <c r="AR1669" s="1"/>
      <c r="AS1669" s="1"/>
    </row>
    <row r="1670" spans="1:45" x14ac:dyDescent="0.25">
      <c r="A1670" t="s">
        <v>4763</v>
      </c>
      <c r="B1670" t="s">
        <v>4776</v>
      </c>
      <c r="C1670" s="1" t="s">
        <v>4777</v>
      </c>
      <c r="D1670" t="s">
        <v>4778</v>
      </c>
      <c r="E1670" t="str">
        <f>_xll.BDP($B1670,"LEGAL_ENTITY_IDENTIFIER")</f>
        <v>529900G9T7CVU2J2VU73</v>
      </c>
      <c r="F1670" t="s">
        <v>4778</v>
      </c>
      <c r="G1670" t="str">
        <f>custodian!D1670</f>
        <v>157210105</v>
      </c>
      <c r="H1670" t="str">
        <f>_xll.BDP($B1670,"ID_ISIN")</f>
        <v>US1572101053</v>
      </c>
      <c r="I1670" s="1" t="s">
        <v>4777</v>
      </c>
      <c r="J1670" t="str">
        <f>_xll.BDP($B1670,"CNTRY_OF_DOMICILE")</f>
        <v>US</v>
      </c>
      <c r="K1670" t="s">
        <v>98</v>
      </c>
      <c r="L1670" t="s">
        <v>99</v>
      </c>
      <c r="O1670" s="1"/>
      <c r="AQ1670" s="1"/>
      <c r="AR1670" s="1"/>
      <c r="AS1670" s="1"/>
    </row>
    <row r="1671" spans="1:45" x14ac:dyDescent="0.25">
      <c r="A1671" t="s">
        <v>4763</v>
      </c>
      <c r="B1671" t="s">
        <v>4779</v>
      </c>
      <c r="C1671" s="1" t="s">
        <v>4780</v>
      </c>
      <c r="D1671" t="s">
        <v>4781</v>
      </c>
      <c r="E1671" t="str">
        <f>_xll.BDP($B1671,"LEGAL_ENTITY_IDENTIFIER")</f>
        <v>549300GZKULIZ0WOW665</v>
      </c>
      <c r="F1671" t="s">
        <v>4781</v>
      </c>
      <c r="G1671" t="str">
        <f>custodian!D1671</f>
        <v>254687106</v>
      </c>
      <c r="H1671" t="str">
        <f>_xll.BDP($B1671,"ID_ISIN")</f>
        <v>US2546871060</v>
      </c>
      <c r="I1671" s="1" t="s">
        <v>4780</v>
      </c>
      <c r="J1671" t="str">
        <f>_xll.BDP($B1671,"CNTRY_OF_DOMICILE")</f>
        <v>US</v>
      </c>
      <c r="K1671" t="s">
        <v>98</v>
      </c>
      <c r="L1671" t="s">
        <v>99</v>
      </c>
      <c r="O1671" s="1"/>
      <c r="AQ1671" s="1"/>
      <c r="AR1671" s="1"/>
      <c r="AS1671" s="1"/>
    </row>
    <row r="1672" spans="1:45" x14ac:dyDescent="0.25">
      <c r="A1672" t="s">
        <v>4763</v>
      </c>
      <c r="B1672" t="s">
        <v>4782</v>
      </c>
      <c r="C1672" s="1" t="s">
        <v>4783</v>
      </c>
      <c r="D1672" t="s">
        <v>4784</v>
      </c>
      <c r="E1672" t="str">
        <f>_xll.BDP($B1672,"LEGAL_ENTITY_IDENTIFIER")</f>
        <v>549300X04FB2QPCJ5J24</v>
      </c>
      <c r="F1672" t="s">
        <v>4784</v>
      </c>
      <c r="G1672" t="str">
        <f>custodian!D1672</f>
        <v>25659T107</v>
      </c>
      <c r="H1672" t="str">
        <f>_xll.BDP($B1672,"ID_ISIN")</f>
        <v>US25659T1079</v>
      </c>
      <c r="I1672" s="1" t="s">
        <v>4783</v>
      </c>
      <c r="J1672" t="str">
        <f>_xll.BDP($B1672,"CNTRY_OF_DOMICILE")</f>
        <v>US</v>
      </c>
      <c r="K1672" t="s">
        <v>98</v>
      </c>
      <c r="L1672" t="s">
        <v>99</v>
      </c>
      <c r="O1672" s="1"/>
      <c r="AQ1672" s="1"/>
      <c r="AR1672" s="1"/>
      <c r="AS1672" s="1"/>
    </row>
    <row r="1673" spans="1:45" x14ac:dyDescent="0.25">
      <c r="A1673" t="s">
        <v>4763</v>
      </c>
      <c r="B1673" t="s">
        <v>4785</v>
      </c>
      <c r="C1673" s="1" t="s">
        <v>4786</v>
      </c>
      <c r="D1673" t="s">
        <v>4787</v>
      </c>
      <c r="E1673" t="str">
        <f>_xll.BDP($B1673,"LEGAL_ENTITY_IDENTIFIER")</f>
        <v>25490005ZWM1IF9UXU57</v>
      </c>
      <c r="F1673" t="s">
        <v>4787</v>
      </c>
      <c r="G1673" t="str">
        <f>custodian!D1673</f>
        <v>25754A201</v>
      </c>
      <c r="H1673" t="str">
        <f>_xll.BDP($B1673,"ID_ISIN")</f>
        <v>US25754A2015</v>
      </c>
      <c r="I1673" s="1" t="s">
        <v>4786</v>
      </c>
      <c r="J1673" t="str">
        <f>_xll.BDP($B1673,"CNTRY_OF_DOMICILE")</f>
        <v>US</v>
      </c>
      <c r="K1673" t="s">
        <v>98</v>
      </c>
      <c r="L1673" t="s">
        <v>99</v>
      </c>
      <c r="O1673" s="1"/>
      <c r="AQ1673" s="1"/>
      <c r="AR1673" s="1"/>
      <c r="AS1673" s="1"/>
    </row>
    <row r="1674" spans="1:45" x14ac:dyDescent="0.25">
      <c r="A1674" t="s">
        <v>4763</v>
      </c>
      <c r="B1674" t="s">
        <v>77</v>
      </c>
      <c r="C1674" s="1" t="s">
        <v>78</v>
      </c>
      <c r="D1674" t="s">
        <v>79</v>
      </c>
      <c r="E1674" t="str">
        <f>_xll.BDP($B1674,"LEGAL_ENTITY_IDENTIFIER")</f>
        <v>549300R5MYM6VZF1RM44</v>
      </c>
      <c r="F1674" t="s">
        <v>80</v>
      </c>
      <c r="G1674" t="str">
        <f>custodian!D1674</f>
        <v>31846V336</v>
      </c>
      <c r="H1674" t="str">
        <f>_xll.BDP($B1674,"ID_ISIN")</f>
        <v>US31846V3362</v>
      </c>
      <c r="I1674" s="1" t="s">
        <v>78</v>
      </c>
      <c r="J1674" t="str">
        <f>_xll.BDP($B1674,"CNTRY_OF_DOMICILE")</f>
        <v>US</v>
      </c>
      <c r="K1674" t="s">
        <v>81</v>
      </c>
      <c r="L1674" t="s">
        <v>82</v>
      </c>
      <c r="O1674" s="1"/>
      <c r="AQ1674" s="1"/>
      <c r="AR1674" s="1"/>
      <c r="AS1674" s="1"/>
    </row>
    <row r="1675" spans="1:45" x14ac:dyDescent="0.25">
      <c r="A1675" t="s">
        <v>4763</v>
      </c>
      <c r="B1675" t="s">
        <v>4788</v>
      </c>
      <c r="C1675" s="1" t="s">
        <v>4789</v>
      </c>
      <c r="D1675" t="s">
        <v>4790</v>
      </c>
      <c r="E1675" t="str">
        <f>_xll.BDP($B1675,"LEGAL_ENTITY_IDENTIFIER")</f>
        <v>#N/A N/A</v>
      </c>
      <c r="F1675" t="s">
        <v>4791</v>
      </c>
      <c r="G1675" t="str">
        <f>custodian!D1675</f>
        <v>531229755</v>
      </c>
      <c r="H1675" t="str">
        <f>_xll.BDP($B1675,"ID_ISIN")</f>
        <v>US5312297550</v>
      </c>
      <c r="I1675" s="1" t="s">
        <v>4789</v>
      </c>
      <c r="J1675" t="str">
        <f>_xll.BDP($B1675,"CNTRY_OF_DOMICILE")</f>
        <v>US</v>
      </c>
      <c r="K1675" t="s">
        <v>98</v>
      </c>
      <c r="L1675" t="s">
        <v>99</v>
      </c>
      <c r="O1675" s="1"/>
      <c r="AQ1675" s="1"/>
      <c r="AR1675" s="1"/>
      <c r="AS1675" s="1"/>
    </row>
    <row r="1676" spans="1:45" x14ac:dyDescent="0.25">
      <c r="A1676" t="s">
        <v>4763</v>
      </c>
      <c r="B1676" t="s">
        <v>4792</v>
      </c>
      <c r="C1676" s="1" t="s">
        <v>4793</v>
      </c>
      <c r="D1676" t="s">
        <v>4794</v>
      </c>
      <c r="E1676" t="str">
        <f>_xll.BDP($B1676,"LEGAL_ENTITY_IDENTIFIER")</f>
        <v>549300NUB6D2R1ITYR45</v>
      </c>
      <c r="F1676" t="s">
        <v>4794</v>
      </c>
      <c r="G1676" t="str">
        <f>custodian!D1676</f>
        <v>418056107</v>
      </c>
      <c r="H1676" t="str">
        <f>_xll.BDP($B1676,"ID_ISIN")</f>
        <v>US4180561072</v>
      </c>
      <c r="I1676" s="1" t="s">
        <v>4793</v>
      </c>
      <c r="J1676" t="str">
        <f>_xll.BDP($B1676,"CNTRY_OF_DOMICILE")</f>
        <v>US</v>
      </c>
      <c r="K1676" t="s">
        <v>98</v>
      </c>
      <c r="L1676" t="s">
        <v>99</v>
      </c>
      <c r="O1676" s="1"/>
      <c r="AQ1676" s="1"/>
      <c r="AR1676" s="1"/>
      <c r="AS1676" s="1"/>
    </row>
    <row r="1677" spans="1:45" x14ac:dyDescent="0.25">
      <c r="A1677" t="s">
        <v>4763</v>
      </c>
      <c r="B1677" t="s">
        <v>2732</v>
      </c>
      <c r="C1677" s="1" t="s">
        <v>2733</v>
      </c>
      <c r="D1677" t="s">
        <v>2243</v>
      </c>
      <c r="E1677" t="str">
        <f>_xll.BDP($B1677,"LEGAL_ENTITY_IDENTIFIER")</f>
        <v>VGRQXHF3J8VDLUA7XE92</v>
      </c>
      <c r="F1677" t="s">
        <v>2734</v>
      </c>
      <c r="G1677" t="str">
        <f>custodian!D1677</f>
        <v>459200101</v>
      </c>
      <c r="H1677" t="str">
        <f>_xll.BDP($B1677,"ID_ISIN")</f>
        <v>US4592001014</v>
      </c>
      <c r="I1677" s="1" t="s">
        <v>2733</v>
      </c>
      <c r="J1677" t="str">
        <f>_xll.BDP($B1677,"CNTRY_OF_DOMICILE")</f>
        <v>US</v>
      </c>
      <c r="K1677" t="s">
        <v>98</v>
      </c>
      <c r="L1677" t="s">
        <v>99</v>
      </c>
      <c r="O1677" s="1"/>
      <c r="AQ1677" s="1"/>
      <c r="AR1677" s="1"/>
      <c r="AS1677" s="1"/>
    </row>
    <row r="1678" spans="1:45" x14ac:dyDescent="0.25">
      <c r="A1678" t="s">
        <v>4763</v>
      </c>
      <c r="B1678" t="s">
        <v>4795</v>
      </c>
      <c r="C1678" s="1" t="s">
        <v>4796</v>
      </c>
      <c r="D1678" t="s">
        <v>4797</v>
      </c>
      <c r="E1678" t="str">
        <f>_xll.BDP($B1678,"LEGAL_ENTITY_IDENTIFIER")</f>
        <v>#N/A N/A</v>
      </c>
      <c r="F1678" t="s">
        <v>4797</v>
      </c>
      <c r="G1678" t="str">
        <f>custodian!D1678</f>
        <v>45867G101</v>
      </c>
      <c r="H1678" t="str">
        <f>_xll.BDP($B1678,"ID_ISIN")</f>
        <v>US45867G1013</v>
      </c>
      <c r="I1678" s="1" t="s">
        <v>4796</v>
      </c>
      <c r="J1678" t="str">
        <f>_xll.BDP($B1678,"CNTRY_OF_DOMICILE")</f>
        <v>US</v>
      </c>
      <c r="K1678" t="s">
        <v>98</v>
      </c>
      <c r="L1678" t="s">
        <v>99</v>
      </c>
      <c r="O1678" s="1"/>
      <c r="AQ1678" s="1"/>
      <c r="AR1678" s="1"/>
      <c r="AS1678" s="1"/>
    </row>
    <row r="1679" spans="1:45" x14ac:dyDescent="0.25">
      <c r="A1679" t="s">
        <v>4763</v>
      </c>
      <c r="B1679" t="s">
        <v>4798</v>
      </c>
      <c r="C1679" s="1" t="s">
        <v>4799</v>
      </c>
      <c r="D1679" t="s">
        <v>4800</v>
      </c>
      <c r="E1679" t="str">
        <f>_xll.BDP($B1679,"LEGAL_ENTITY_IDENTIFIER")</f>
        <v>5493008K7TB0IKP37H79</v>
      </c>
      <c r="F1679" t="s">
        <v>4800</v>
      </c>
      <c r="G1679" t="str">
        <f>custodian!D1679</f>
        <v>53220K504</v>
      </c>
      <c r="H1679" t="str">
        <f>_xll.BDP($B1679,"ID_ISIN")</f>
        <v>US53220K5048</v>
      </c>
      <c r="I1679" s="1" t="s">
        <v>4799</v>
      </c>
      <c r="J1679" t="str">
        <f>_xll.BDP($B1679,"CNTRY_OF_DOMICILE")</f>
        <v>US</v>
      </c>
      <c r="K1679" t="s">
        <v>98</v>
      </c>
      <c r="L1679" t="s">
        <v>99</v>
      </c>
      <c r="O1679" s="1"/>
      <c r="AQ1679" s="1"/>
      <c r="AR1679" s="1"/>
      <c r="AS1679" s="1"/>
    </row>
    <row r="1680" spans="1:45" x14ac:dyDescent="0.25">
      <c r="A1680" t="s">
        <v>4763</v>
      </c>
      <c r="B1680" t="s">
        <v>4801</v>
      </c>
      <c r="C1680" s="1" t="s">
        <v>4802</v>
      </c>
      <c r="D1680" t="s">
        <v>4803</v>
      </c>
      <c r="E1680" t="str">
        <f>_xll.BDP($B1680,"LEGAL_ENTITY_IDENTIFIER")</f>
        <v>549300VELLG24KHTJ564</v>
      </c>
      <c r="F1680" t="s">
        <v>4803</v>
      </c>
      <c r="G1680" t="str">
        <f>custodian!D1680</f>
        <v>577081102</v>
      </c>
      <c r="H1680" t="str">
        <f>_xll.BDP($B1680,"ID_ISIN")</f>
        <v>US5770811025</v>
      </c>
      <c r="I1680" s="1" t="s">
        <v>4802</v>
      </c>
      <c r="J1680" t="str">
        <f>_xll.BDP($B1680,"CNTRY_OF_DOMICILE")</f>
        <v>US</v>
      </c>
      <c r="K1680" t="s">
        <v>98</v>
      </c>
      <c r="L1680" t="s">
        <v>99</v>
      </c>
      <c r="O1680" s="1"/>
      <c r="AQ1680" s="1"/>
      <c r="AR1680" s="1"/>
      <c r="AS1680" s="1"/>
    </row>
    <row r="1681" spans="1:45" x14ac:dyDescent="0.25">
      <c r="A1681" t="s">
        <v>4763</v>
      </c>
      <c r="B1681" t="s">
        <v>4804</v>
      </c>
      <c r="C1681" s="1" t="s">
        <v>4805</v>
      </c>
      <c r="D1681" t="s">
        <v>4806</v>
      </c>
      <c r="E1681" t="str">
        <f>_xll.BDP($B1681,"LEGAL_ENTITY_IDENTIFIER")</f>
        <v>UE2136O97NLB5BYP9H04</v>
      </c>
      <c r="F1681" t="s">
        <v>4806</v>
      </c>
      <c r="G1681" t="str">
        <f>custodian!D1681</f>
        <v>580135101</v>
      </c>
      <c r="H1681" t="str">
        <f>_xll.BDP($B1681,"ID_ISIN")</f>
        <v>US5801351017</v>
      </c>
      <c r="I1681" s="1" t="s">
        <v>4805</v>
      </c>
      <c r="J1681" t="str">
        <f>_xll.BDP($B1681,"CNTRY_OF_DOMICILE")</f>
        <v>US</v>
      </c>
      <c r="K1681" t="s">
        <v>98</v>
      </c>
      <c r="L1681" t="s">
        <v>99</v>
      </c>
      <c r="O1681" s="1"/>
      <c r="AQ1681" s="1"/>
      <c r="AR1681" s="1"/>
      <c r="AS1681" s="1"/>
    </row>
    <row r="1682" spans="1:45" x14ac:dyDescent="0.25">
      <c r="A1682" t="s">
        <v>4763</v>
      </c>
      <c r="B1682" t="s">
        <v>316</v>
      </c>
      <c r="C1682" s="1" t="s">
        <v>317</v>
      </c>
      <c r="D1682" t="s">
        <v>318</v>
      </c>
      <c r="E1682" t="str">
        <f>_xll.BDP($B1682,"LEGAL_ENTITY_IDENTIFIER")</f>
        <v>549300Y7VHGU0I7CE873</v>
      </c>
      <c r="F1682" t="s">
        <v>318</v>
      </c>
      <c r="G1682" t="str">
        <f>custodian!D1682</f>
        <v>64110L106</v>
      </c>
      <c r="H1682" t="str">
        <f>_xll.BDP($B1682,"ID_ISIN")</f>
        <v>US64110L1061</v>
      </c>
      <c r="I1682" s="1" t="s">
        <v>317</v>
      </c>
      <c r="J1682" t="str">
        <f>_xll.BDP($B1682,"CNTRY_OF_DOMICILE")</f>
        <v>US</v>
      </c>
      <c r="K1682" t="s">
        <v>98</v>
      </c>
      <c r="L1682" t="s">
        <v>99</v>
      </c>
      <c r="O1682" s="1"/>
      <c r="AQ1682" s="1"/>
      <c r="AR1682" s="1"/>
      <c r="AS1682" s="1"/>
    </row>
    <row r="1683" spans="1:45" x14ac:dyDescent="0.25">
      <c r="A1683" t="s">
        <v>4763</v>
      </c>
      <c r="B1683" t="s">
        <v>4807</v>
      </c>
      <c r="C1683" s="1" t="s">
        <v>4808</v>
      </c>
      <c r="D1683" t="s">
        <v>4809</v>
      </c>
      <c r="E1683" t="str">
        <f>_xll.BDP($B1683,"LEGAL_ENTITY_IDENTIFIER")</f>
        <v>549300A0JPRWG1KI7U06</v>
      </c>
      <c r="F1683" t="s">
        <v>4809</v>
      </c>
      <c r="G1683" t="str">
        <f>custodian!D1683</f>
        <v>654902204</v>
      </c>
      <c r="H1683" t="str">
        <f>_xll.BDP($B1683,"ID_ISIN")</f>
        <v>US6549022043</v>
      </c>
      <c r="I1683" s="1" t="s">
        <v>4808</v>
      </c>
      <c r="J1683" t="str">
        <f>_xll.BDP($B1683,"CNTRY_OF_DOMICILE")</f>
        <v>FI</v>
      </c>
      <c r="K1683" t="s">
        <v>98</v>
      </c>
      <c r="L1683" t="s">
        <v>99</v>
      </c>
      <c r="O1683" s="1"/>
      <c r="AQ1683" s="1"/>
      <c r="AR1683" s="1"/>
      <c r="AS1683" s="1"/>
    </row>
    <row r="1684" spans="1:45" x14ac:dyDescent="0.25">
      <c r="A1684" t="s">
        <v>4763</v>
      </c>
      <c r="B1684" t="s">
        <v>4810</v>
      </c>
      <c r="C1684" s="1" t="s">
        <v>4811</v>
      </c>
      <c r="D1684" t="s">
        <v>4812</v>
      </c>
      <c r="E1684" t="str">
        <f>_xll.BDP($B1684,"LEGAL_ENTITY_IDENTIFIER")</f>
        <v>H1J8DDZKZP6H7RWC0H53</v>
      </c>
      <c r="F1684" t="s">
        <v>4812</v>
      </c>
      <c r="G1684" t="str">
        <f>custodian!D1684</f>
        <v>747525103</v>
      </c>
      <c r="H1684" t="str">
        <f>_xll.BDP($B1684,"ID_ISIN")</f>
        <v>US7475251036</v>
      </c>
      <c r="I1684" s="1" t="s">
        <v>4811</v>
      </c>
      <c r="J1684" t="str">
        <f>_xll.BDP($B1684,"CNTRY_OF_DOMICILE")</f>
        <v>US</v>
      </c>
      <c r="K1684" t="s">
        <v>98</v>
      </c>
      <c r="L1684" t="s">
        <v>99</v>
      </c>
      <c r="O1684" s="1"/>
      <c r="AQ1684" s="1"/>
      <c r="AR1684" s="1"/>
      <c r="AS1684" s="1"/>
    </row>
    <row r="1685" spans="1:45" x14ac:dyDescent="0.25">
      <c r="A1685" t="s">
        <v>4763</v>
      </c>
      <c r="B1685" t="s">
        <v>4813</v>
      </c>
      <c r="C1685" s="1" t="s">
        <v>4814</v>
      </c>
      <c r="D1685" t="s">
        <v>4815</v>
      </c>
      <c r="E1685" t="str">
        <f>_xll.BDP($B1685,"LEGAL_ENTITY_IDENTIFIER")</f>
        <v>2549000211GDCQSLV833</v>
      </c>
      <c r="F1685" t="s">
        <v>4815</v>
      </c>
      <c r="G1685" t="str">
        <f>custodian!D1685</f>
        <v>750917106</v>
      </c>
      <c r="H1685" t="str">
        <f>_xll.BDP($B1685,"ID_ISIN")</f>
        <v>US7509171069</v>
      </c>
      <c r="I1685" s="1" t="s">
        <v>4814</v>
      </c>
      <c r="J1685" t="str">
        <f>_xll.BDP($B1685,"CNTRY_OF_DOMICILE")</f>
        <v>US</v>
      </c>
      <c r="K1685" t="s">
        <v>98</v>
      </c>
      <c r="L1685" t="s">
        <v>99</v>
      </c>
      <c r="O1685" s="1"/>
      <c r="AQ1685" s="1"/>
      <c r="AR1685" s="1"/>
      <c r="AS1685" s="1"/>
    </row>
    <row r="1686" spans="1:45" x14ac:dyDescent="0.25">
      <c r="A1686" t="s">
        <v>4763</v>
      </c>
      <c r="B1686" t="s">
        <v>4816</v>
      </c>
      <c r="C1686" s="1" t="s">
        <v>4817</v>
      </c>
      <c r="D1686" t="s">
        <v>4818</v>
      </c>
      <c r="E1686" t="str">
        <f>_xll.BDP($B1686,"LEGAL_ENTITY_IDENTIFIER")</f>
        <v>549300FGFN7VOK8BZR03</v>
      </c>
      <c r="F1686" t="s">
        <v>4818</v>
      </c>
      <c r="G1686" t="str">
        <f>custodian!D1686</f>
        <v>G7709Q104</v>
      </c>
      <c r="H1686" t="str">
        <f>_xll.BDP($B1686,"ID_ISIN")</f>
        <v>GB00BMVP7Y09</v>
      </c>
      <c r="I1686" s="1" t="s">
        <v>4817</v>
      </c>
      <c r="J1686" t="str">
        <f>_xll.BDP($B1686,"CNTRY_OF_DOMICILE")</f>
        <v>US</v>
      </c>
      <c r="K1686" t="s">
        <v>98</v>
      </c>
      <c r="L1686" t="s">
        <v>99</v>
      </c>
      <c r="O1686" s="1"/>
      <c r="AQ1686" s="1"/>
      <c r="AR1686" s="1"/>
      <c r="AS1686" s="1"/>
    </row>
    <row r="1687" spans="1:45" x14ac:dyDescent="0.25">
      <c r="A1687" t="s">
        <v>4763</v>
      </c>
      <c r="B1687" t="s">
        <v>4819</v>
      </c>
      <c r="C1687" s="1" t="s">
        <v>4820</v>
      </c>
      <c r="D1687" t="s">
        <v>4821</v>
      </c>
      <c r="E1687" t="str">
        <f>_xll.BDP($B1687,"LEGAL_ENTITY_IDENTIFIER")</f>
        <v>QG7T915N9S0NY5UKNE63</v>
      </c>
      <c r="F1687" t="s">
        <v>4821</v>
      </c>
      <c r="G1687" t="str">
        <f>custodian!D1687</f>
        <v>871607107</v>
      </c>
      <c r="H1687" t="str">
        <f>_xll.BDP($B1687,"ID_ISIN")</f>
        <v>US8716071076</v>
      </c>
      <c r="I1687" s="1" t="s">
        <v>4820</v>
      </c>
      <c r="J1687" t="str">
        <f>_xll.BDP($B1687,"CNTRY_OF_DOMICILE")</f>
        <v>US</v>
      </c>
      <c r="K1687" t="s">
        <v>98</v>
      </c>
      <c r="L1687" t="s">
        <v>99</v>
      </c>
      <c r="O1687" s="1"/>
      <c r="AQ1687" s="1"/>
      <c r="AR1687" s="1"/>
      <c r="AS1687" s="1"/>
    </row>
    <row r="1688" spans="1:45" x14ac:dyDescent="0.25">
      <c r="A1688" t="s">
        <v>4763</v>
      </c>
      <c r="B1688" t="s">
        <v>4822</v>
      </c>
      <c r="C1688" s="1" t="s">
        <v>4823</v>
      </c>
      <c r="D1688" t="s">
        <v>4824</v>
      </c>
      <c r="E1688" t="str">
        <f>_xll.BDP($B1688,"LEGAL_ENTITY_IDENTIFIER")</f>
        <v>89450009UUSWTJL6DP68</v>
      </c>
      <c r="F1688" t="s">
        <v>4824</v>
      </c>
      <c r="G1688" t="str">
        <f>custodian!D1688</f>
        <v>82728C102</v>
      </c>
      <c r="H1688" t="str">
        <f>_xll.BDP($B1688,"ID_ISIN")</f>
        <v>US82728C1027</v>
      </c>
      <c r="I1688" s="1" t="s">
        <v>4823</v>
      </c>
      <c r="J1688" t="str">
        <f>_xll.BDP($B1688,"CNTRY_OF_DOMICILE")</f>
        <v>US</v>
      </c>
      <c r="K1688" t="s">
        <v>98</v>
      </c>
      <c r="L1688" t="s">
        <v>99</v>
      </c>
      <c r="O1688" s="1"/>
      <c r="AQ1688" s="1"/>
      <c r="AR1688" s="1"/>
      <c r="AS1688" s="1"/>
    </row>
    <row r="1689" spans="1:45" x14ac:dyDescent="0.25">
      <c r="A1689" t="s">
        <v>4763</v>
      </c>
      <c r="B1689" t="s">
        <v>4748</v>
      </c>
      <c r="C1689" s="1" t="s">
        <v>4749</v>
      </c>
      <c r="D1689" t="s">
        <v>4750</v>
      </c>
      <c r="E1689" t="str">
        <f>_xll.BDP($B1689,"LEGAL_ENTITY_IDENTIFIER")</f>
        <v>#N/A N/A</v>
      </c>
      <c r="F1689" t="s">
        <v>4750</v>
      </c>
      <c r="G1689" t="str">
        <f>custodian!D1689</f>
        <v>87256C101</v>
      </c>
      <c r="H1689" t="str">
        <f>_xll.BDP($B1689,"ID_ISIN")</f>
        <v>US87256C1018</v>
      </c>
      <c r="I1689" s="1" t="s">
        <v>4749</v>
      </c>
      <c r="J1689" t="str">
        <f>_xll.BDP($B1689,"CNTRY_OF_DOMICILE")</f>
        <v>US</v>
      </c>
      <c r="K1689" t="s">
        <v>98</v>
      </c>
      <c r="L1689" t="s">
        <v>99</v>
      </c>
      <c r="O1689" s="1"/>
      <c r="AQ1689" s="1"/>
      <c r="AR1689" s="1"/>
      <c r="AS1689" s="1"/>
    </row>
    <row r="1690" spans="1:45" x14ac:dyDescent="0.25">
      <c r="A1690" t="s">
        <v>4763</v>
      </c>
      <c r="B1690" t="s">
        <v>4825</v>
      </c>
      <c r="C1690" s="1" t="s">
        <v>4826</v>
      </c>
      <c r="D1690" t="s">
        <v>4827</v>
      </c>
      <c r="E1690" t="str">
        <f>_xll.BDP($B1690,"LEGAL_ENTITY_IDENTIFIER")</f>
        <v>BOMSTHHJK882EWYX3334</v>
      </c>
      <c r="F1690" t="s">
        <v>4828</v>
      </c>
      <c r="G1690" t="str">
        <f>custodian!D1690</f>
        <v>874054109</v>
      </c>
      <c r="H1690" t="str">
        <f>_xll.BDP($B1690,"ID_ISIN")</f>
        <v>US8740541094</v>
      </c>
      <c r="I1690" s="1" t="s">
        <v>4826</v>
      </c>
      <c r="J1690" t="str">
        <f>_xll.BDP($B1690,"CNTRY_OF_DOMICILE")</f>
        <v>US</v>
      </c>
      <c r="K1690" t="s">
        <v>98</v>
      </c>
      <c r="L1690" t="s">
        <v>99</v>
      </c>
      <c r="O1690" s="1"/>
      <c r="AQ1690" s="1"/>
      <c r="AR1690" s="1"/>
      <c r="AS1690" s="1"/>
    </row>
    <row r="1691" spans="1:45" x14ac:dyDescent="0.25">
      <c r="A1691" t="s">
        <v>4763</v>
      </c>
      <c r="B1691" t="s">
        <v>4829</v>
      </c>
      <c r="C1691" s="1" t="s">
        <v>4830</v>
      </c>
      <c r="D1691" t="s">
        <v>4831</v>
      </c>
      <c r="E1691" t="str">
        <f>_xll.BDP($B1691,"LEGAL_ENTITY_IDENTIFIER")</f>
        <v>LMPL4N8ZOJRMF0KOF759</v>
      </c>
      <c r="F1691" t="s">
        <v>4831</v>
      </c>
      <c r="G1691" t="str">
        <f>custodian!D1691</f>
        <v>92343E102</v>
      </c>
      <c r="H1691" t="str">
        <f>_xll.BDP($B1691,"ID_ISIN")</f>
        <v>US92343E1029</v>
      </c>
      <c r="I1691" s="1" t="s">
        <v>4830</v>
      </c>
      <c r="J1691" t="str">
        <f>_xll.BDP($B1691,"CNTRY_OF_DOMICILE")</f>
        <v>US</v>
      </c>
      <c r="K1691" t="s">
        <v>98</v>
      </c>
      <c r="L1691" t="s">
        <v>99</v>
      </c>
      <c r="O1691" s="1"/>
      <c r="AQ1691" s="1"/>
      <c r="AR1691" s="1"/>
      <c r="AS1691" s="1"/>
    </row>
    <row r="1692" spans="1:45" x14ac:dyDescent="0.25">
      <c r="A1692" t="s">
        <v>4763</v>
      </c>
      <c r="B1692" t="s">
        <v>4832</v>
      </c>
      <c r="C1692" s="1" t="s">
        <v>4833</v>
      </c>
      <c r="D1692" t="s">
        <v>4834</v>
      </c>
      <c r="E1692" t="str">
        <f>_xll.BDP($B1692,"LEGAL_ENTITY_IDENTIFIER")</f>
        <v>549300SSH3F8HPIM3Q47</v>
      </c>
      <c r="F1692" t="s">
        <v>4834</v>
      </c>
      <c r="G1692" t="str">
        <f>custodian!D1692</f>
        <v>974155103</v>
      </c>
      <c r="H1692" t="str">
        <f>_xll.BDP($B1692,"ID_ISIN")</f>
        <v>US9741551033</v>
      </c>
      <c r="I1692" s="1" t="s">
        <v>4833</v>
      </c>
      <c r="J1692" t="str">
        <f>_xll.BDP($B1692,"CNTRY_OF_DOMICILE")</f>
        <v>US</v>
      </c>
      <c r="K1692" t="s">
        <v>98</v>
      </c>
      <c r="L1692" t="s">
        <v>99</v>
      </c>
      <c r="O1692" s="1"/>
      <c r="AQ1692" s="1"/>
      <c r="AR1692" s="1"/>
      <c r="AS1692" s="1"/>
    </row>
    <row r="1693" spans="1:45" x14ac:dyDescent="0.25">
      <c r="A1693" t="s">
        <v>4763</v>
      </c>
      <c r="B1693" t="s">
        <v>4835</v>
      </c>
      <c r="C1693" s="1" t="s">
        <v>4836</v>
      </c>
      <c r="D1693" t="s">
        <v>4837</v>
      </c>
      <c r="E1693" t="str">
        <f>_xll.BDP($B1693,"LEGAL_ENTITY_IDENTIFIER")</f>
        <v>#N/A N/A</v>
      </c>
      <c r="F1693" t="s">
        <v>4837</v>
      </c>
      <c r="G1693" t="str">
        <f>custodian!D1693</f>
        <v>934550203</v>
      </c>
      <c r="H1693" t="str">
        <f>_xll.BDP($B1693,"ID_ISIN")</f>
        <v>US9345502036</v>
      </c>
      <c r="I1693" s="1" t="s">
        <v>4836</v>
      </c>
      <c r="J1693" t="str">
        <f>_xll.BDP($B1693,"CNTRY_OF_DOMICILE")</f>
        <v>US</v>
      </c>
      <c r="K1693" t="s">
        <v>98</v>
      </c>
      <c r="L1693" t="s">
        <v>99</v>
      </c>
      <c r="O1693" s="1"/>
      <c r="AQ1693" s="1"/>
      <c r="AR1693" s="1"/>
      <c r="AS1693" s="1"/>
    </row>
    <row r="1694" spans="1:45" x14ac:dyDescent="0.25">
      <c r="A1694" t="s">
        <v>4763</v>
      </c>
      <c r="B1694" t="s">
        <v>4838</v>
      </c>
      <c r="C1694" s="1" t="s">
        <v>4839</v>
      </c>
      <c r="D1694" t="s">
        <v>4840</v>
      </c>
      <c r="E1694" t="str">
        <f>_xll.BDP($B1694,"LEGAL_ENTITY_IDENTIFIER")</f>
        <v>#N/A N/A</v>
      </c>
      <c r="F1694" t="s">
        <v>4840</v>
      </c>
      <c r="G1694" t="str">
        <f>custodian!D1694</f>
        <v>98419J206</v>
      </c>
      <c r="H1694" t="str">
        <f>_xll.BDP($B1694,"ID_ISIN")</f>
        <v>US98419J2069</v>
      </c>
      <c r="I1694" s="1" t="s">
        <v>4839</v>
      </c>
      <c r="J1694" t="str">
        <f>_xll.BDP($B1694,"CNTRY_OF_DOMICILE")</f>
        <v>US</v>
      </c>
      <c r="K1694" t="s">
        <v>98</v>
      </c>
      <c r="L1694" t="s">
        <v>99</v>
      </c>
      <c r="O1694" s="1"/>
      <c r="AQ1694" s="1"/>
      <c r="AR1694" s="1"/>
      <c r="AS1694" s="1"/>
    </row>
    <row r="1695" spans="1:45" x14ac:dyDescent="0.25">
      <c r="A1695" t="s">
        <v>4763</v>
      </c>
      <c r="B1695" t="s">
        <v>4841</v>
      </c>
      <c r="C1695" s="1" t="s">
        <v>4842</v>
      </c>
      <c r="D1695" t="s">
        <v>4843</v>
      </c>
      <c r="E1695" t="str">
        <f>_xll.BDP($B1695,"LEGAL_ENTITY_IDENTIFIER")</f>
        <v>529900I86PYPO1GBLY22</v>
      </c>
      <c r="F1695" t="s">
        <v>4843</v>
      </c>
      <c r="G1695" t="str">
        <f>custodian!D1695</f>
        <v>98423J101</v>
      </c>
      <c r="H1695" t="str">
        <f>_xll.BDP($B1695,"ID_ISIN")</f>
        <v>US98423J1016</v>
      </c>
      <c r="I1695" s="1" t="s">
        <v>4842</v>
      </c>
      <c r="J1695" t="str">
        <f>_xll.BDP($B1695,"CNTRY_OF_DOMICILE")</f>
        <v>US</v>
      </c>
      <c r="K1695" t="s">
        <v>98</v>
      </c>
      <c r="L1695" t="s">
        <v>99</v>
      </c>
      <c r="O1695" s="1"/>
      <c r="AQ1695" s="1"/>
      <c r="AR1695" s="1"/>
      <c r="AS1695" s="1"/>
    </row>
    <row r="1696" spans="1:45" x14ac:dyDescent="0.25">
      <c r="A1696" t="s">
        <v>4763</v>
      </c>
      <c r="B1696" t="s">
        <v>4844</v>
      </c>
      <c r="C1696" s="1" t="s">
        <v>4845</v>
      </c>
      <c r="D1696" t="s">
        <v>4846</v>
      </c>
      <c r="E1696" t="str">
        <f>_xll.BDP($B1696,"LEGAL_ENTITY_IDENTIFIER")</f>
        <v>549300JE8XHZZ7OHN517</v>
      </c>
      <c r="F1696" t="s">
        <v>4846</v>
      </c>
      <c r="G1696" t="str">
        <f>custodian!D1696</f>
        <v>988498101</v>
      </c>
      <c r="H1696" t="str">
        <f>_xll.BDP($B1696,"ID_ISIN")</f>
        <v>US9884981013</v>
      </c>
      <c r="I1696" s="1" t="s">
        <v>4845</v>
      </c>
      <c r="J1696" t="str">
        <f>_xll.BDP($B1696,"CNTRY_OF_DOMICILE")</f>
        <v>US</v>
      </c>
      <c r="K1696" t="s">
        <v>98</v>
      </c>
      <c r="L1696" t="s">
        <v>99</v>
      </c>
      <c r="O1696" s="1"/>
      <c r="AQ1696" s="1"/>
      <c r="AR1696" s="1"/>
      <c r="AS1696" s="1"/>
    </row>
    <row r="1697" spans="1:48" x14ac:dyDescent="0.25">
      <c r="A1697" t="s">
        <v>4763</v>
      </c>
      <c r="C1697" s="1" t="s">
        <v>52</v>
      </c>
      <c r="E1697" s="1"/>
      <c r="G1697" t="str">
        <f>custodian!D1697</f>
        <v>Cash&amp;Other</v>
      </c>
      <c r="H1697" s="1"/>
      <c r="I1697" s="1"/>
      <c r="O1697" s="1"/>
      <c r="AQ1697" s="1"/>
      <c r="AR1697" s="1"/>
      <c r="AS1697" s="1"/>
    </row>
    <row r="1698" spans="1:48" x14ac:dyDescent="0.25">
      <c r="A1698" t="s">
        <v>4847</v>
      </c>
      <c r="C1698" s="1" t="s">
        <v>4848</v>
      </c>
      <c r="D1698" t="s">
        <v>4849</v>
      </c>
      <c r="E1698" s="1" t="s">
        <v>56</v>
      </c>
      <c r="F1698" t="s">
        <v>4849</v>
      </c>
      <c r="G1698" t="str">
        <f>custodian!D1698</f>
        <v>2QQQ  270528C00148550</v>
      </c>
      <c r="H1698" s="1"/>
      <c r="I1698" s="1" t="s">
        <v>4850</v>
      </c>
      <c r="J1698" t="s">
        <v>58</v>
      </c>
      <c r="K1698" t="s">
        <v>59</v>
      </c>
      <c r="L1698" t="s">
        <v>99</v>
      </c>
      <c r="M1698" t="s">
        <v>2598</v>
      </c>
      <c r="N1698" t="s">
        <v>2599</v>
      </c>
      <c r="O1698" s="1" t="s">
        <v>2600</v>
      </c>
      <c r="P1698" t="s">
        <v>2601</v>
      </c>
      <c r="Q1698" t="s">
        <v>2602</v>
      </c>
      <c r="R1698" t="s">
        <v>4851</v>
      </c>
      <c r="S1698" t="s">
        <v>68</v>
      </c>
      <c r="T1698" t="s">
        <v>2604</v>
      </c>
      <c r="U1698" t="s">
        <v>56</v>
      </c>
      <c r="V1698" t="s">
        <v>2605</v>
      </c>
      <c r="W1698" t="s">
        <v>4852</v>
      </c>
      <c r="X1698" t="s">
        <v>4853</v>
      </c>
      <c r="AD1698" t="s">
        <v>4854</v>
      </c>
      <c r="AE1698" t="s">
        <v>4855</v>
      </c>
      <c r="AQ1698" s="1"/>
      <c r="AR1698" s="1"/>
      <c r="AS1698" s="1"/>
    </row>
    <row r="1699" spans="1:48" x14ac:dyDescent="0.25">
      <c r="A1699" t="s">
        <v>4847</v>
      </c>
      <c r="C1699" s="1" t="s">
        <v>4856</v>
      </c>
      <c r="D1699" t="s">
        <v>4857</v>
      </c>
      <c r="E1699" s="1" t="s">
        <v>56</v>
      </c>
      <c r="F1699" t="s">
        <v>4857</v>
      </c>
      <c r="G1699" t="str">
        <f>custodian!D1699</f>
        <v>2QQQ  270528C00905400</v>
      </c>
      <c r="H1699" s="1"/>
      <c r="I1699" s="1" t="s">
        <v>4858</v>
      </c>
      <c r="J1699" t="s">
        <v>58</v>
      </c>
      <c r="K1699" t="s">
        <v>59</v>
      </c>
      <c r="L1699" t="s">
        <v>99</v>
      </c>
      <c r="M1699" t="s">
        <v>2598</v>
      </c>
      <c r="N1699" t="s">
        <v>2599</v>
      </c>
      <c r="O1699" s="1" t="s">
        <v>2600</v>
      </c>
      <c r="P1699" t="s">
        <v>2601</v>
      </c>
      <c r="Q1699" t="s">
        <v>2613</v>
      </c>
      <c r="R1699" t="s">
        <v>4859</v>
      </c>
      <c r="S1699" t="s">
        <v>68</v>
      </c>
      <c r="T1699" t="s">
        <v>2604</v>
      </c>
      <c r="U1699" t="s">
        <v>56</v>
      </c>
      <c r="V1699" t="s">
        <v>2605</v>
      </c>
      <c r="W1699" t="s">
        <v>4852</v>
      </c>
      <c r="X1699" t="s">
        <v>4853</v>
      </c>
      <c r="AD1699" t="s">
        <v>4860</v>
      </c>
      <c r="AE1699" t="s">
        <v>4861</v>
      </c>
      <c r="AQ1699" s="1"/>
      <c r="AR1699" s="1"/>
      <c r="AS1699" s="1"/>
    </row>
    <row r="1700" spans="1:48" x14ac:dyDescent="0.25">
      <c r="A1700" t="s">
        <v>4847</v>
      </c>
      <c r="C1700" s="1" t="s">
        <v>4862</v>
      </c>
      <c r="D1700" t="s">
        <v>4863</v>
      </c>
      <c r="E1700" s="1" t="s">
        <v>56</v>
      </c>
      <c r="F1700" t="s">
        <v>4863</v>
      </c>
      <c r="G1700" t="str">
        <f>custodian!D1700</f>
        <v>2QQQ  270528P00668470</v>
      </c>
      <c r="H1700" s="1"/>
      <c r="I1700" s="1" t="s">
        <v>4864</v>
      </c>
      <c r="J1700" t="s">
        <v>58</v>
      </c>
      <c r="K1700" t="s">
        <v>59</v>
      </c>
      <c r="L1700" t="s">
        <v>99</v>
      </c>
      <c r="M1700" t="s">
        <v>2598</v>
      </c>
      <c r="N1700" t="s">
        <v>2599</v>
      </c>
      <c r="O1700" s="1" t="s">
        <v>2600</v>
      </c>
      <c r="P1700" t="s">
        <v>2620</v>
      </c>
      <c r="Q1700" t="s">
        <v>2613</v>
      </c>
      <c r="R1700" t="s">
        <v>4865</v>
      </c>
      <c r="S1700" t="s">
        <v>68</v>
      </c>
      <c r="T1700" t="s">
        <v>2604</v>
      </c>
      <c r="U1700" t="s">
        <v>56</v>
      </c>
      <c r="V1700" t="s">
        <v>2605</v>
      </c>
      <c r="W1700" t="s">
        <v>4852</v>
      </c>
      <c r="X1700" t="s">
        <v>4853</v>
      </c>
      <c r="AD1700" t="s">
        <v>4866</v>
      </c>
      <c r="AE1700" t="s">
        <v>4867</v>
      </c>
      <c r="AQ1700" s="1"/>
      <c r="AR1700" s="1"/>
      <c r="AS1700" s="1"/>
    </row>
    <row r="1701" spans="1:48" x14ac:dyDescent="0.25">
      <c r="A1701" t="s">
        <v>4847</v>
      </c>
      <c r="C1701" s="1" t="s">
        <v>4868</v>
      </c>
      <c r="D1701" t="s">
        <v>4869</v>
      </c>
      <c r="E1701" s="1" t="s">
        <v>56</v>
      </c>
      <c r="F1701" t="s">
        <v>4869</v>
      </c>
      <c r="G1701" t="str">
        <f>custodian!D1701</f>
        <v>2QQQ  270528P00742740</v>
      </c>
      <c r="H1701" s="1"/>
      <c r="I1701" s="1" t="s">
        <v>4870</v>
      </c>
      <c r="J1701" t="s">
        <v>58</v>
      </c>
      <c r="K1701" t="s">
        <v>59</v>
      </c>
      <c r="L1701" t="s">
        <v>99</v>
      </c>
      <c r="M1701" t="s">
        <v>2598</v>
      </c>
      <c r="N1701" t="s">
        <v>2599</v>
      </c>
      <c r="O1701" s="1" t="s">
        <v>2600</v>
      </c>
      <c r="P1701" t="s">
        <v>2620</v>
      </c>
      <c r="Q1701" t="s">
        <v>2602</v>
      </c>
      <c r="R1701" t="s">
        <v>4871</v>
      </c>
      <c r="S1701" t="s">
        <v>68</v>
      </c>
      <c r="T1701" t="s">
        <v>2604</v>
      </c>
      <c r="U1701" t="s">
        <v>56</v>
      </c>
      <c r="V1701" t="s">
        <v>2605</v>
      </c>
      <c r="W1701" t="s">
        <v>4852</v>
      </c>
      <c r="X1701" t="s">
        <v>4853</v>
      </c>
      <c r="AD1701" t="s">
        <v>4872</v>
      </c>
      <c r="AE1701" t="s">
        <v>4873</v>
      </c>
      <c r="AQ1701" s="1"/>
      <c r="AR1701" s="1"/>
      <c r="AS1701" s="1"/>
    </row>
    <row r="1702" spans="1:48" x14ac:dyDescent="0.25">
      <c r="A1702" t="s">
        <v>4847</v>
      </c>
      <c r="B1702" t="s">
        <v>2630</v>
      </c>
      <c r="C1702" s="1" t="s">
        <v>2631</v>
      </c>
      <c r="D1702" t="s">
        <v>1574</v>
      </c>
      <c r="E1702" t="str">
        <f>_xll.BDP($B1702,"LEGAL_ENTITY_IDENTIFIER")</f>
        <v>254900HROIFWPRGM1V77</v>
      </c>
      <c r="F1702" t="s">
        <v>2632</v>
      </c>
      <c r="G1702" t="str">
        <f>custodian!D1702</f>
        <v>912828ZS2</v>
      </c>
      <c r="H1702" t="str">
        <f>_xll.BDP($B1702,"ID_ISIN")</f>
        <v>US912828ZS21</v>
      </c>
      <c r="I1702" s="1"/>
      <c r="J1702" t="str">
        <f>_xll.BDP($B1702,"CNTRY_OF_DOMICILE")</f>
        <v>US</v>
      </c>
      <c r="K1702" t="s">
        <v>626</v>
      </c>
      <c r="L1702" t="s">
        <v>627</v>
      </c>
      <c r="O1702" s="1"/>
      <c r="AQ1702" s="1"/>
      <c r="AR1702" s="1"/>
      <c r="AS1702" s="1"/>
      <c r="AT1702" t="str">
        <f>TEXT(_xll.BDP($B1702,"MATURITY"),"yyyy-mm-dd")</f>
        <v>2027-05-31</v>
      </c>
      <c r="AU1702" t="str">
        <f>_xll.BDP($B1702,"CPN_TYP")</f>
        <v>FIXED</v>
      </c>
      <c r="AV1702">
        <f>_xll.BDP($B1702,"CPN")</f>
        <v>0.5</v>
      </c>
    </row>
    <row r="1703" spans="1:48" x14ac:dyDescent="0.25">
      <c r="A1703" t="s">
        <v>4847</v>
      </c>
      <c r="B1703" t="s">
        <v>77</v>
      </c>
      <c r="C1703" s="1" t="s">
        <v>78</v>
      </c>
      <c r="D1703" t="s">
        <v>79</v>
      </c>
      <c r="E1703" t="str">
        <f>_xll.BDP($B1703,"LEGAL_ENTITY_IDENTIFIER")</f>
        <v>549300R5MYM6VZF1RM44</v>
      </c>
      <c r="F1703" t="s">
        <v>80</v>
      </c>
      <c r="G1703" t="str">
        <f>custodian!D1703</f>
        <v>31846V336</v>
      </c>
      <c r="H1703" t="str">
        <f>_xll.BDP($B1703,"ID_ISIN")</f>
        <v>US31846V3362</v>
      </c>
      <c r="I1703" s="1" t="s">
        <v>78</v>
      </c>
      <c r="J1703" t="str">
        <f>_xll.BDP($B1703,"CNTRY_OF_DOMICILE")</f>
        <v>US</v>
      </c>
      <c r="K1703" t="s">
        <v>81</v>
      </c>
      <c r="L1703" t="s">
        <v>82</v>
      </c>
      <c r="O1703" s="1"/>
      <c r="AQ1703" s="1"/>
      <c r="AR1703" s="1"/>
      <c r="AS1703" s="1"/>
    </row>
    <row r="1704" spans="1:48" x14ac:dyDescent="0.25">
      <c r="A1704" t="s">
        <v>4847</v>
      </c>
      <c r="C1704" s="1" t="s">
        <v>52</v>
      </c>
      <c r="E1704" s="1"/>
      <c r="G1704" t="str">
        <f>custodian!D1704</f>
        <v>Cash&amp;Other</v>
      </c>
      <c r="H1704" s="1"/>
      <c r="I1704" s="1"/>
      <c r="O1704" s="1"/>
      <c r="AQ1704" s="1"/>
      <c r="AR1704" s="1"/>
      <c r="AS1704" s="1"/>
    </row>
    <row r="1705" spans="1:48" x14ac:dyDescent="0.25">
      <c r="A1705" t="s">
        <v>4874</v>
      </c>
      <c r="C1705" s="1" t="s">
        <v>4875</v>
      </c>
      <c r="D1705" t="s">
        <v>4876</v>
      </c>
      <c r="E1705" s="1" t="s">
        <v>56</v>
      </c>
      <c r="F1705" t="s">
        <v>4876</v>
      </c>
      <c r="G1705" t="str">
        <f>custodian!D1705</f>
        <v>2QQQ  270430C00136300</v>
      </c>
      <c r="H1705" s="1"/>
      <c r="I1705" s="1" t="s">
        <v>4877</v>
      </c>
      <c r="J1705" t="s">
        <v>58</v>
      </c>
      <c r="K1705" t="s">
        <v>59</v>
      </c>
      <c r="L1705" t="s">
        <v>99</v>
      </c>
      <c r="M1705" t="s">
        <v>2598</v>
      </c>
      <c r="N1705" t="s">
        <v>2599</v>
      </c>
      <c r="O1705" s="1" t="s">
        <v>2600</v>
      </c>
      <c r="P1705" t="s">
        <v>2601</v>
      </c>
      <c r="Q1705" t="s">
        <v>2602</v>
      </c>
      <c r="R1705" t="s">
        <v>4878</v>
      </c>
      <c r="S1705" t="s">
        <v>68</v>
      </c>
      <c r="T1705" t="s">
        <v>2692</v>
      </c>
      <c r="U1705" t="s">
        <v>56</v>
      </c>
      <c r="V1705" t="s">
        <v>2605</v>
      </c>
      <c r="W1705" t="s">
        <v>4852</v>
      </c>
      <c r="X1705" t="s">
        <v>4853</v>
      </c>
      <c r="AD1705" t="s">
        <v>4879</v>
      </c>
      <c r="AE1705" t="s">
        <v>4880</v>
      </c>
      <c r="AQ1705" s="1"/>
      <c r="AR1705" s="1"/>
      <c r="AS1705" s="1"/>
    </row>
    <row r="1706" spans="1:48" x14ac:dyDescent="0.25">
      <c r="A1706" t="s">
        <v>4874</v>
      </c>
      <c r="C1706" s="1" t="s">
        <v>4881</v>
      </c>
      <c r="D1706" t="s">
        <v>4882</v>
      </c>
      <c r="E1706" s="1" t="s">
        <v>56</v>
      </c>
      <c r="F1706" t="s">
        <v>4882</v>
      </c>
      <c r="G1706" t="str">
        <f>custodian!D1706</f>
        <v>2QQQ  270430C00834840</v>
      </c>
      <c r="H1706" s="1"/>
      <c r="I1706" s="1" t="s">
        <v>4883</v>
      </c>
      <c r="J1706" t="s">
        <v>58</v>
      </c>
      <c r="K1706" t="s">
        <v>59</v>
      </c>
      <c r="L1706" t="s">
        <v>99</v>
      </c>
      <c r="M1706" t="s">
        <v>2598</v>
      </c>
      <c r="N1706" t="s">
        <v>2599</v>
      </c>
      <c r="O1706" s="1" t="s">
        <v>2600</v>
      </c>
      <c r="P1706" t="s">
        <v>2601</v>
      </c>
      <c r="Q1706" t="s">
        <v>2613</v>
      </c>
      <c r="R1706" t="s">
        <v>4884</v>
      </c>
      <c r="S1706" t="s">
        <v>68</v>
      </c>
      <c r="T1706" t="s">
        <v>2692</v>
      </c>
      <c r="U1706" t="s">
        <v>56</v>
      </c>
      <c r="V1706" t="s">
        <v>2605</v>
      </c>
      <c r="W1706" t="s">
        <v>4852</v>
      </c>
      <c r="X1706" t="s">
        <v>4853</v>
      </c>
      <c r="AD1706" t="s">
        <v>4885</v>
      </c>
      <c r="AE1706" t="s">
        <v>4886</v>
      </c>
      <c r="AQ1706" s="1"/>
      <c r="AR1706" s="1"/>
      <c r="AS1706" s="1"/>
    </row>
    <row r="1707" spans="1:48" x14ac:dyDescent="0.25">
      <c r="A1707" t="s">
        <v>4874</v>
      </c>
      <c r="C1707" s="1" t="s">
        <v>4887</v>
      </c>
      <c r="D1707" t="s">
        <v>4888</v>
      </c>
      <c r="E1707" s="1" t="s">
        <v>56</v>
      </c>
      <c r="F1707" t="s">
        <v>4888</v>
      </c>
      <c r="G1707" t="str">
        <f>custodian!D1707</f>
        <v>2QQQ  270430P00613350</v>
      </c>
      <c r="H1707" s="1"/>
      <c r="I1707" s="1" t="s">
        <v>4889</v>
      </c>
      <c r="J1707" t="s">
        <v>58</v>
      </c>
      <c r="K1707" t="s">
        <v>59</v>
      </c>
      <c r="L1707" t="s">
        <v>99</v>
      </c>
      <c r="M1707" t="s">
        <v>2598</v>
      </c>
      <c r="N1707" t="s">
        <v>2599</v>
      </c>
      <c r="O1707" s="1" t="s">
        <v>2600</v>
      </c>
      <c r="P1707" t="s">
        <v>2620</v>
      </c>
      <c r="Q1707" t="s">
        <v>2613</v>
      </c>
      <c r="R1707" t="s">
        <v>4890</v>
      </c>
      <c r="S1707" t="s">
        <v>68</v>
      </c>
      <c r="T1707" t="s">
        <v>2692</v>
      </c>
      <c r="U1707" t="s">
        <v>56</v>
      </c>
      <c r="V1707" t="s">
        <v>2605</v>
      </c>
      <c r="W1707" t="s">
        <v>4852</v>
      </c>
      <c r="X1707" t="s">
        <v>4853</v>
      </c>
      <c r="AD1707" t="s">
        <v>4891</v>
      </c>
      <c r="AE1707" t="s">
        <v>4892</v>
      </c>
      <c r="AQ1707" s="1"/>
      <c r="AR1707" s="1"/>
      <c r="AS1707" s="1"/>
    </row>
    <row r="1708" spans="1:48" x14ac:dyDescent="0.25">
      <c r="A1708" t="s">
        <v>4874</v>
      </c>
      <c r="C1708" s="1" t="s">
        <v>4893</v>
      </c>
      <c r="D1708" t="s">
        <v>4894</v>
      </c>
      <c r="E1708" s="1" t="s">
        <v>56</v>
      </c>
      <c r="F1708" t="s">
        <v>4894</v>
      </c>
      <c r="G1708" t="str">
        <f>custodian!D1708</f>
        <v>2QQQ  270430P00681500</v>
      </c>
      <c r="H1708" s="1"/>
      <c r="I1708" s="1" t="s">
        <v>4895</v>
      </c>
      <c r="J1708" t="s">
        <v>58</v>
      </c>
      <c r="K1708" t="s">
        <v>59</v>
      </c>
      <c r="L1708" t="s">
        <v>99</v>
      </c>
      <c r="M1708" t="s">
        <v>2598</v>
      </c>
      <c r="N1708" t="s">
        <v>2599</v>
      </c>
      <c r="O1708" s="1" t="s">
        <v>2600</v>
      </c>
      <c r="P1708" t="s">
        <v>2620</v>
      </c>
      <c r="Q1708" t="s">
        <v>2602</v>
      </c>
      <c r="R1708" t="s">
        <v>4896</v>
      </c>
      <c r="S1708" t="s">
        <v>68</v>
      </c>
      <c r="T1708" t="s">
        <v>2692</v>
      </c>
      <c r="U1708" t="s">
        <v>56</v>
      </c>
      <c r="V1708" t="s">
        <v>2605</v>
      </c>
      <c r="W1708" t="s">
        <v>4852</v>
      </c>
      <c r="X1708" t="s">
        <v>4853</v>
      </c>
      <c r="AD1708" t="s">
        <v>4897</v>
      </c>
      <c r="AE1708" t="s">
        <v>4898</v>
      </c>
      <c r="AQ1708" s="1"/>
      <c r="AR1708" s="1"/>
      <c r="AS1708" s="1"/>
    </row>
    <row r="1709" spans="1:48" x14ac:dyDescent="0.25">
      <c r="A1709" t="s">
        <v>4874</v>
      </c>
      <c r="B1709" t="s">
        <v>2820</v>
      </c>
      <c r="C1709" s="1" t="s">
        <v>2821</v>
      </c>
      <c r="D1709" t="s">
        <v>1574</v>
      </c>
      <c r="E1709" t="str">
        <f>_xll.BDP($B1709,"LEGAL_ENTITY_IDENTIFIER")</f>
        <v>254900HROIFWPRGM1V77</v>
      </c>
      <c r="F1709" t="s">
        <v>2822</v>
      </c>
      <c r="G1709" t="str">
        <f>custodian!D1709</f>
        <v>91282CMY4</v>
      </c>
      <c r="H1709" t="str">
        <f>_xll.BDP($B1709,"ID_ISIN")</f>
        <v>US91282CMY48</v>
      </c>
      <c r="I1709" s="1"/>
      <c r="J1709" t="str">
        <f>_xll.BDP($B1709,"CNTRY_OF_DOMICILE")</f>
        <v>US</v>
      </c>
      <c r="K1709" t="s">
        <v>626</v>
      </c>
      <c r="L1709" t="s">
        <v>627</v>
      </c>
      <c r="O1709" s="1"/>
      <c r="AQ1709" s="1"/>
      <c r="AR1709" s="1"/>
      <c r="AS1709" s="1"/>
      <c r="AT1709" t="str">
        <f>TEXT(_xll.BDP($B1709,"MATURITY"),"yyyy-mm-dd")</f>
        <v>2027-04-30</v>
      </c>
      <c r="AU1709" t="str">
        <f>_xll.BDP($B1709,"CPN_TYP")</f>
        <v>FIXED</v>
      </c>
      <c r="AV1709">
        <f>_xll.BDP($B1709,"CPN")</f>
        <v>3.75</v>
      </c>
    </row>
    <row r="1710" spans="1:48" x14ac:dyDescent="0.25">
      <c r="A1710" t="s">
        <v>4874</v>
      </c>
      <c r="B1710" t="s">
        <v>77</v>
      </c>
      <c r="C1710" s="1" t="s">
        <v>78</v>
      </c>
      <c r="D1710" t="s">
        <v>79</v>
      </c>
      <c r="E1710" t="str">
        <f>_xll.BDP($B1710,"LEGAL_ENTITY_IDENTIFIER")</f>
        <v>549300R5MYM6VZF1RM44</v>
      </c>
      <c r="F1710" t="s">
        <v>80</v>
      </c>
      <c r="G1710" t="str">
        <f>custodian!D1710</f>
        <v>31846V336</v>
      </c>
      <c r="H1710" t="str">
        <f>_xll.BDP($B1710,"ID_ISIN")</f>
        <v>US31846V3362</v>
      </c>
      <c r="I1710" s="1" t="s">
        <v>78</v>
      </c>
      <c r="J1710" t="str">
        <f>_xll.BDP($B1710,"CNTRY_OF_DOMICILE")</f>
        <v>US</v>
      </c>
      <c r="K1710" t="s">
        <v>81</v>
      </c>
      <c r="L1710" t="s">
        <v>82</v>
      </c>
      <c r="O1710" s="1"/>
      <c r="AQ1710" s="1"/>
      <c r="AR1710" s="1"/>
      <c r="AS1710" s="1"/>
    </row>
    <row r="1711" spans="1:48" x14ac:dyDescent="0.25">
      <c r="A1711" t="s">
        <v>4874</v>
      </c>
      <c r="C1711" s="1" t="s">
        <v>52</v>
      </c>
      <c r="E1711" s="1"/>
      <c r="G1711" t="str">
        <f>custodian!D1711</f>
        <v>Cash&amp;Other</v>
      </c>
      <c r="H1711" s="1"/>
      <c r="I1711" s="1"/>
      <c r="O1711" s="1"/>
      <c r="AQ1711" s="1"/>
      <c r="AR1711" s="1"/>
      <c r="AS1711" s="1"/>
    </row>
    <row r="1712" spans="1:48" x14ac:dyDescent="0.25">
      <c r="A1712" t="s">
        <v>4899</v>
      </c>
      <c r="C1712" s="1" t="s">
        <v>4848</v>
      </c>
      <c r="D1712" t="s">
        <v>4849</v>
      </c>
      <c r="E1712" s="1" t="s">
        <v>56</v>
      </c>
      <c r="F1712" t="s">
        <v>4849</v>
      </c>
      <c r="G1712" t="str">
        <f>custodian!D1712</f>
        <v>2QQQ  270528C00148550</v>
      </c>
      <c r="H1712" s="1"/>
      <c r="I1712" s="1" t="s">
        <v>4850</v>
      </c>
      <c r="J1712" t="s">
        <v>58</v>
      </c>
      <c r="K1712" t="s">
        <v>59</v>
      </c>
      <c r="L1712" t="s">
        <v>99</v>
      </c>
      <c r="M1712" t="s">
        <v>2598</v>
      </c>
      <c r="N1712" t="s">
        <v>2599</v>
      </c>
      <c r="O1712" s="1" t="s">
        <v>2600</v>
      </c>
      <c r="P1712" t="s">
        <v>2601</v>
      </c>
      <c r="Q1712" t="s">
        <v>2602</v>
      </c>
      <c r="R1712" t="s">
        <v>4851</v>
      </c>
      <c r="S1712" t="s">
        <v>68</v>
      </c>
      <c r="T1712" t="s">
        <v>2604</v>
      </c>
      <c r="U1712" t="s">
        <v>56</v>
      </c>
      <c r="V1712" t="s">
        <v>2605</v>
      </c>
      <c r="W1712" t="s">
        <v>4852</v>
      </c>
      <c r="X1712" t="s">
        <v>4853</v>
      </c>
      <c r="AD1712" t="s">
        <v>4900</v>
      </c>
      <c r="AE1712" t="s">
        <v>4901</v>
      </c>
      <c r="AQ1712" s="1"/>
      <c r="AR1712" s="1"/>
      <c r="AS1712" s="1"/>
    </row>
    <row r="1713" spans="1:48" x14ac:dyDescent="0.25">
      <c r="A1713" t="s">
        <v>4899</v>
      </c>
      <c r="C1713" s="1" t="s">
        <v>4902</v>
      </c>
      <c r="D1713" t="s">
        <v>4903</v>
      </c>
      <c r="E1713" s="1" t="s">
        <v>56</v>
      </c>
      <c r="F1713" t="s">
        <v>4903</v>
      </c>
      <c r="G1713" t="str">
        <f>custodian!D1713</f>
        <v>2QQQ  270528C00880220</v>
      </c>
      <c r="H1713" s="1"/>
      <c r="I1713" s="1" t="s">
        <v>4904</v>
      </c>
      <c r="J1713" t="s">
        <v>58</v>
      </c>
      <c r="K1713" t="s">
        <v>59</v>
      </c>
      <c r="L1713" t="s">
        <v>99</v>
      </c>
      <c r="M1713" t="s">
        <v>2598</v>
      </c>
      <c r="N1713" t="s">
        <v>2599</v>
      </c>
      <c r="O1713" s="1" t="s">
        <v>2600</v>
      </c>
      <c r="P1713" t="s">
        <v>2601</v>
      </c>
      <c r="Q1713" t="s">
        <v>2613</v>
      </c>
      <c r="R1713" t="s">
        <v>4905</v>
      </c>
      <c r="S1713" t="s">
        <v>68</v>
      </c>
      <c r="T1713" t="s">
        <v>2604</v>
      </c>
      <c r="U1713" t="s">
        <v>56</v>
      </c>
      <c r="V1713" t="s">
        <v>2605</v>
      </c>
      <c r="W1713" t="s">
        <v>4852</v>
      </c>
      <c r="X1713" t="s">
        <v>4853</v>
      </c>
      <c r="AD1713" t="s">
        <v>4906</v>
      </c>
      <c r="AE1713" t="s">
        <v>4907</v>
      </c>
      <c r="AQ1713" s="1"/>
      <c r="AR1713" s="1"/>
      <c r="AS1713" s="1"/>
    </row>
    <row r="1714" spans="1:48" x14ac:dyDescent="0.25">
      <c r="A1714" t="s">
        <v>4899</v>
      </c>
      <c r="C1714" s="1" t="s">
        <v>4908</v>
      </c>
      <c r="D1714" t="s">
        <v>4909</v>
      </c>
      <c r="E1714" s="1" t="s">
        <v>56</v>
      </c>
      <c r="F1714" t="s">
        <v>4909</v>
      </c>
      <c r="G1714" t="str">
        <f>custodian!D1714</f>
        <v>2QQQ  270528P00631330</v>
      </c>
      <c r="H1714" s="1"/>
      <c r="I1714" s="1" t="s">
        <v>4910</v>
      </c>
      <c r="J1714" t="s">
        <v>58</v>
      </c>
      <c r="K1714" t="s">
        <v>59</v>
      </c>
      <c r="L1714" t="s">
        <v>99</v>
      </c>
      <c r="M1714" t="s">
        <v>2598</v>
      </c>
      <c r="N1714" t="s">
        <v>2599</v>
      </c>
      <c r="O1714" s="1" t="s">
        <v>2600</v>
      </c>
      <c r="P1714" t="s">
        <v>2620</v>
      </c>
      <c r="Q1714" t="s">
        <v>2613</v>
      </c>
      <c r="R1714" t="s">
        <v>4911</v>
      </c>
      <c r="S1714" t="s">
        <v>68</v>
      </c>
      <c r="T1714" t="s">
        <v>2604</v>
      </c>
      <c r="U1714" t="s">
        <v>56</v>
      </c>
      <c r="V1714" t="s">
        <v>2605</v>
      </c>
      <c r="W1714" t="s">
        <v>4852</v>
      </c>
      <c r="X1714" t="s">
        <v>4853</v>
      </c>
      <c r="AD1714" t="s">
        <v>4912</v>
      </c>
      <c r="AE1714" t="s">
        <v>4913</v>
      </c>
      <c r="AQ1714" s="1"/>
      <c r="AR1714" s="1"/>
      <c r="AS1714" s="1"/>
    </row>
    <row r="1715" spans="1:48" x14ac:dyDescent="0.25">
      <c r="A1715" t="s">
        <v>4899</v>
      </c>
      <c r="C1715" s="1" t="s">
        <v>4868</v>
      </c>
      <c r="D1715" t="s">
        <v>4869</v>
      </c>
      <c r="E1715" s="1" t="s">
        <v>56</v>
      </c>
      <c r="F1715" t="s">
        <v>4869</v>
      </c>
      <c r="G1715" t="str">
        <f>custodian!D1715</f>
        <v>2QQQ  270528P00742740</v>
      </c>
      <c r="H1715" s="1"/>
      <c r="I1715" s="1" t="s">
        <v>4870</v>
      </c>
      <c r="J1715" t="s">
        <v>58</v>
      </c>
      <c r="K1715" t="s">
        <v>59</v>
      </c>
      <c r="L1715" t="s">
        <v>99</v>
      </c>
      <c r="M1715" t="s">
        <v>2598</v>
      </c>
      <c r="N1715" t="s">
        <v>2599</v>
      </c>
      <c r="O1715" s="1" t="s">
        <v>2600</v>
      </c>
      <c r="P1715" t="s">
        <v>2620</v>
      </c>
      <c r="Q1715" t="s">
        <v>2602</v>
      </c>
      <c r="R1715" t="s">
        <v>4871</v>
      </c>
      <c r="S1715" t="s">
        <v>68</v>
      </c>
      <c r="T1715" t="s">
        <v>2604</v>
      </c>
      <c r="U1715" t="s">
        <v>56</v>
      </c>
      <c r="V1715" t="s">
        <v>2605</v>
      </c>
      <c r="W1715" t="s">
        <v>4852</v>
      </c>
      <c r="X1715" t="s">
        <v>4853</v>
      </c>
      <c r="AD1715" t="s">
        <v>4914</v>
      </c>
      <c r="AE1715" t="s">
        <v>4915</v>
      </c>
      <c r="AQ1715" s="1"/>
      <c r="AR1715" s="1"/>
      <c r="AS1715" s="1"/>
    </row>
    <row r="1716" spans="1:48" x14ac:dyDescent="0.25">
      <c r="A1716" t="s">
        <v>4899</v>
      </c>
      <c r="B1716" t="s">
        <v>2630</v>
      </c>
      <c r="C1716" s="1" t="s">
        <v>2631</v>
      </c>
      <c r="D1716" t="s">
        <v>1574</v>
      </c>
      <c r="E1716" t="str">
        <f>_xll.BDP($B1716,"LEGAL_ENTITY_IDENTIFIER")</f>
        <v>254900HROIFWPRGM1V77</v>
      </c>
      <c r="F1716" t="s">
        <v>2632</v>
      </c>
      <c r="G1716" t="str">
        <f>custodian!D1716</f>
        <v>912828ZS2</v>
      </c>
      <c r="H1716" t="str">
        <f>_xll.BDP($B1716,"ID_ISIN")</f>
        <v>US912828ZS21</v>
      </c>
      <c r="I1716" s="1"/>
      <c r="J1716" t="str">
        <f>_xll.BDP($B1716,"CNTRY_OF_DOMICILE")</f>
        <v>US</v>
      </c>
      <c r="K1716" t="s">
        <v>626</v>
      </c>
      <c r="L1716" t="s">
        <v>627</v>
      </c>
      <c r="O1716" s="1"/>
      <c r="AQ1716" s="1"/>
      <c r="AR1716" s="1"/>
      <c r="AS1716" s="1"/>
      <c r="AT1716" t="str">
        <f>TEXT(_xll.BDP($B1716,"MATURITY"),"yyyy-mm-dd")</f>
        <v>2027-05-31</v>
      </c>
      <c r="AU1716" t="str">
        <f>_xll.BDP($B1716,"CPN_TYP")</f>
        <v>FIXED</v>
      </c>
      <c r="AV1716">
        <f>_xll.BDP($B1716,"CPN")</f>
        <v>0.5</v>
      </c>
    </row>
    <row r="1717" spans="1:48" x14ac:dyDescent="0.25">
      <c r="A1717" t="s">
        <v>4899</v>
      </c>
      <c r="B1717" t="s">
        <v>77</v>
      </c>
      <c r="C1717" s="1" t="s">
        <v>78</v>
      </c>
      <c r="D1717" t="s">
        <v>79</v>
      </c>
      <c r="E1717" t="str">
        <f>_xll.BDP($B1717,"LEGAL_ENTITY_IDENTIFIER")</f>
        <v>549300R5MYM6VZF1RM44</v>
      </c>
      <c r="F1717" t="s">
        <v>80</v>
      </c>
      <c r="G1717" t="str">
        <f>custodian!D1717</f>
        <v>31846V336</v>
      </c>
      <c r="H1717" t="str">
        <f>_xll.BDP($B1717,"ID_ISIN")</f>
        <v>US31846V3362</v>
      </c>
      <c r="I1717" s="1" t="s">
        <v>78</v>
      </c>
      <c r="J1717" t="str">
        <f>_xll.BDP($B1717,"CNTRY_OF_DOMICILE")</f>
        <v>US</v>
      </c>
      <c r="K1717" t="s">
        <v>81</v>
      </c>
      <c r="L1717" t="s">
        <v>82</v>
      </c>
      <c r="O1717" s="1"/>
      <c r="AQ1717" s="1"/>
      <c r="AR1717" s="1"/>
      <c r="AS1717" s="1"/>
    </row>
    <row r="1718" spans="1:48" x14ac:dyDescent="0.25">
      <c r="A1718" t="s">
        <v>4899</v>
      </c>
      <c r="C1718" s="1" t="s">
        <v>52</v>
      </c>
      <c r="E1718" s="1"/>
      <c r="G1718" t="str">
        <f>custodian!D1718</f>
        <v>Cash&amp;Other</v>
      </c>
      <c r="H1718" s="1"/>
      <c r="I1718" s="1"/>
      <c r="O1718" s="1"/>
      <c r="AQ1718" s="1"/>
      <c r="AR1718" s="1"/>
      <c r="AS1718" s="1"/>
    </row>
    <row r="1719" spans="1:48" x14ac:dyDescent="0.25">
      <c r="A1719" t="s">
        <v>4916</v>
      </c>
      <c r="C1719" s="1" t="s">
        <v>4917</v>
      </c>
      <c r="D1719" t="s">
        <v>4918</v>
      </c>
      <c r="E1719" s="1" t="s">
        <v>56</v>
      </c>
      <c r="F1719" t="s">
        <v>4918</v>
      </c>
      <c r="G1719" t="str">
        <f>custodian!D1719</f>
        <v>2QQQ  270430C00133550</v>
      </c>
      <c r="H1719" s="1"/>
      <c r="I1719" s="1" t="s">
        <v>4919</v>
      </c>
      <c r="J1719" t="s">
        <v>58</v>
      </c>
      <c r="K1719" t="s">
        <v>59</v>
      </c>
      <c r="L1719" t="s">
        <v>99</v>
      </c>
      <c r="M1719" t="s">
        <v>2598</v>
      </c>
      <c r="N1719" t="s">
        <v>2599</v>
      </c>
      <c r="O1719" s="1" t="s">
        <v>2600</v>
      </c>
      <c r="P1719" t="s">
        <v>2601</v>
      </c>
      <c r="Q1719" t="s">
        <v>2602</v>
      </c>
      <c r="R1719" t="s">
        <v>4920</v>
      </c>
      <c r="S1719" t="s">
        <v>68</v>
      </c>
      <c r="T1719" t="s">
        <v>2692</v>
      </c>
      <c r="U1719" t="s">
        <v>56</v>
      </c>
      <c r="V1719" t="s">
        <v>2605</v>
      </c>
      <c r="W1719" t="s">
        <v>4852</v>
      </c>
      <c r="X1719" t="s">
        <v>4853</v>
      </c>
      <c r="AD1719" t="s">
        <v>4921</v>
      </c>
      <c r="AE1719" t="s">
        <v>4922</v>
      </c>
      <c r="AQ1719" s="1"/>
      <c r="AR1719" s="1"/>
      <c r="AS1719" s="1"/>
    </row>
    <row r="1720" spans="1:48" x14ac:dyDescent="0.25">
      <c r="A1720" t="s">
        <v>4916</v>
      </c>
      <c r="C1720" s="1" t="s">
        <v>4923</v>
      </c>
      <c r="D1720" t="s">
        <v>4924</v>
      </c>
      <c r="E1720" s="1" t="s">
        <v>56</v>
      </c>
      <c r="F1720" t="s">
        <v>4924</v>
      </c>
      <c r="G1720" t="str">
        <f>custodian!D1720</f>
        <v>2QQQ  270430C00767900</v>
      </c>
      <c r="H1720" s="1"/>
      <c r="I1720" s="1" t="s">
        <v>4925</v>
      </c>
      <c r="J1720" t="s">
        <v>58</v>
      </c>
      <c r="K1720" t="s">
        <v>59</v>
      </c>
      <c r="L1720" t="s">
        <v>99</v>
      </c>
      <c r="M1720" t="s">
        <v>2598</v>
      </c>
      <c r="N1720" t="s">
        <v>2599</v>
      </c>
      <c r="O1720" s="1" t="s">
        <v>2600</v>
      </c>
      <c r="P1720" t="s">
        <v>2601</v>
      </c>
      <c r="Q1720" t="s">
        <v>2613</v>
      </c>
      <c r="R1720" t="s">
        <v>4926</v>
      </c>
      <c r="S1720" t="s">
        <v>68</v>
      </c>
      <c r="T1720" t="s">
        <v>2692</v>
      </c>
      <c r="U1720" t="s">
        <v>56</v>
      </c>
      <c r="V1720" t="s">
        <v>2605</v>
      </c>
      <c r="W1720" t="s">
        <v>4852</v>
      </c>
      <c r="X1720" t="s">
        <v>4853</v>
      </c>
      <c r="AD1720" t="s">
        <v>4927</v>
      </c>
      <c r="AE1720" t="s">
        <v>4928</v>
      </c>
      <c r="AQ1720" s="1"/>
      <c r="AR1720" s="1"/>
      <c r="AS1720" s="1"/>
    </row>
    <row r="1721" spans="1:48" x14ac:dyDescent="0.25">
      <c r="A1721" t="s">
        <v>4916</v>
      </c>
      <c r="C1721" s="1" t="s">
        <v>4929</v>
      </c>
      <c r="D1721" t="s">
        <v>4930</v>
      </c>
      <c r="E1721" s="1" t="s">
        <v>56</v>
      </c>
      <c r="F1721" t="s">
        <v>4930</v>
      </c>
      <c r="G1721" t="str">
        <f>custodian!D1721</f>
        <v>2QQQ  270430P00567580</v>
      </c>
      <c r="H1721" s="1"/>
      <c r="I1721" s="1" t="s">
        <v>4931</v>
      </c>
      <c r="J1721" t="s">
        <v>58</v>
      </c>
      <c r="K1721" t="s">
        <v>59</v>
      </c>
      <c r="L1721" t="s">
        <v>99</v>
      </c>
      <c r="M1721" t="s">
        <v>2598</v>
      </c>
      <c r="N1721" t="s">
        <v>2599</v>
      </c>
      <c r="O1721" s="1" t="s">
        <v>2600</v>
      </c>
      <c r="P1721" t="s">
        <v>2620</v>
      </c>
      <c r="Q1721" t="s">
        <v>2613</v>
      </c>
      <c r="R1721" t="s">
        <v>4932</v>
      </c>
      <c r="S1721" t="s">
        <v>68</v>
      </c>
      <c r="T1721" t="s">
        <v>2692</v>
      </c>
      <c r="U1721" t="s">
        <v>56</v>
      </c>
      <c r="V1721" t="s">
        <v>2605</v>
      </c>
      <c r="W1721" t="s">
        <v>4852</v>
      </c>
      <c r="X1721" t="s">
        <v>4853</v>
      </c>
      <c r="AD1721" t="s">
        <v>4933</v>
      </c>
      <c r="AE1721" t="s">
        <v>4934</v>
      </c>
      <c r="AQ1721" s="1"/>
      <c r="AR1721" s="1"/>
      <c r="AS1721" s="1"/>
    </row>
    <row r="1722" spans="1:48" x14ac:dyDescent="0.25">
      <c r="A1722" t="s">
        <v>4916</v>
      </c>
      <c r="C1722" s="1" t="s">
        <v>4935</v>
      </c>
      <c r="D1722" t="s">
        <v>4936</v>
      </c>
      <c r="E1722" s="1" t="s">
        <v>56</v>
      </c>
      <c r="F1722" t="s">
        <v>4936</v>
      </c>
      <c r="G1722" t="str">
        <f>custodian!D1722</f>
        <v>2QQQ  270430P00667740</v>
      </c>
      <c r="H1722" s="1"/>
      <c r="I1722" s="1" t="s">
        <v>4937</v>
      </c>
      <c r="J1722" t="s">
        <v>58</v>
      </c>
      <c r="K1722" t="s">
        <v>59</v>
      </c>
      <c r="L1722" t="s">
        <v>99</v>
      </c>
      <c r="M1722" t="s">
        <v>2598</v>
      </c>
      <c r="N1722" t="s">
        <v>2599</v>
      </c>
      <c r="O1722" s="1" t="s">
        <v>2600</v>
      </c>
      <c r="P1722" t="s">
        <v>2620</v>
      </c>
      <c r="Q1722" t="s">
        <v>2602</v>
      </c>
      <c r="R1722" t="s">
        <v>4938</v>
      </c>
      <c r="S1722" t="s">
        <v>68</v>
      </c>
      <c r="T1722" t="s">
        <v>2692</v>
      </c>
      <c r="U1722" t="s">
        <v>56</v>
      </c>
      <c r="V1722" t="s">
        <v>2605</v>
      </c>
      <c r="W1722" t="s">
        <v>4852</v>
      </c>
      <c r="X1722" t="s">
        <v>4853</v>
      </c>
      <c r="AD1722" t="s">
        <v>4939</v>
      </c>
      <c r="AE1722" t="s">
        <v>4940</v>
      </c>
      <c r="AQ1722" s="1"/>
      <c r="AR1722" s="1"/>
      <c r="AS1722" s="1"/>
    </row>
    <row r="1723" spans="1:48" x14ac:dyDescent="0.25">
      <c r="A1723" t="s">
        <v>4916</v>
      </c>
      <c r="B1723" t="s">
        <v>2713</v>
      </c>
      <c r="C1723" s="1" t="s">
        <v>2714</v>
      </c>
      <c r="D1723" t="s">
        <v>1574</v>
      </c>
      <c r="E1723" t="str">
        <f>_xll.BDP($B1723,"LEGAL_ENTITY_IDENTIFIER")</f>
        <v>254900HROIFWPRGM1V77</v>
      </c>
      <c r="F1723" t="s">
        <v>2715</v>
      </c>
      <c r="G1723" t="str">
        <f>custodian!D1723</f>
        <v>912828ZN3</v>
      </c>
      <c r="H1723" t="str">
        <f>_xll.BDP($B1723,"ID_ISIN")</f>
        <v>US912828ZN34</v>
      </c>
      <c r="I1723" s="1"/>
      <c r="J1723" t="str">
        <f>_xll.BDP($B1723,"CNTRY_OF_DOMICILE")</f>
        <v>US</v>
      </c>
      <c r="K1723" t="s">
        <v>626</v>
      </c>
      <c r="L1723" t="s">
        <v>627</v>
      </c>
      <c r="O1723" s="1"/>
      <c r="AQ1723" s="1"/>
      <c r="AR1723" s="1"/>
      <c r="AS1723" s="1"/>
      <c r="AT1723" t="str">
        <f>TEXT(_xll.BDP($B1723,"MATURITY"),"yyyy-mm-dd")</f>
        <v>2027-04-30</v>
      </c>
      <c r="AU1723" t="str">
        <f>_xll.BDP($B1723,"CPN_TYP")</f>
        <v>FIXED</v>
      </c>
      <c r="AV1723">
        <f>_xll.BDP($B1723,"CPN")</f>
        <v>0.5</v>
      </c>
    </row>
    <row r="1724" spans="1:48" x14ac:dyDescent="0.25">
      <c r="A1724" t="s">
        <v>4916</v>
      </c>
      <c r="B1724" t="s">
        <v>77</v>
      </c>
      <c r="C1724" s="1" t="s">
        <v>78</v>
      </c>
      <c r="D1724" t="s">
        <v>79</v>
      </c>
      <c r="E1724" t="str">
        <f>_xll.BDP($B1724,"LEGAL_ENTITY_IDENTIFIER")</f>
        <v>549300R5MYM6VZF1RM44</v>
      </c>
      <c r="F1724" t="s">
        <v>80</v>
      </c>
      <c r="G1724" t="str">
        <f>custodian!D1724</f>
        <v>31846V336</v>
      </c>
      <c r="H1724" t="str">
        <f>_xll.BDP($B1724,"ID_ISIN")</f>
        <v>US31846V3362</v>
      </c>
      <c r="I1724" s="1" t="s">
        <v>78</v>
      </c>
      <c r="J1724" t="str">
        <f>_xll.BDP($B1724,"CNTRY_OF_DOMICILE")</f>
        <v>US</v>
      </c>
      <c r="K1724" t="s">
        <v>81</v>
      </c>
      <c r="L1724" t="s">
        <v>82</v>
      </c>
      <c r="O1724" s="1"/>
      <c r="AQ1724" s="1"/>
      <c r="AR1724" s="1"/>
      <c r="AS1724" s="1"/>
    </row>
    <row r="1725" spans="1:48" x14ac:dyDescent="0.25">
      <c r="A1725" t="s">
        <v>4916</v>
      </c>
      <c r="C1725" s="1" t="s">
        <v>52</v>
      </c>
      <c r="E1725" s="1"/>
      <c r="G1725" t="str">
        <f>custodian!D1725</f>
        <v>Cash&amp;Other</v>
      </c>
      <c r="H1725" s="1"/>
      <c r="I1725" s="1"/>
      <c r="O1725" s="1"/>
      <c r="AQ1725" s="1"/>
      <c r="AR1725" s="1"/>
      <c r="AS1725" s="1"/>
    </row>
    <row r="1726" spans="1:48" x14ac:dyDescent="0.25">
      <c r="A1726" t="s">
        <v>4941</v>
      </c>
      <c r="B1726" t="s">
        <v>4942</v>
      </c>
      <c r="C1726" s="1" t="s">
        <v>4943</v>
      </c>
      <c r="D1726" t="s">
        <v>56</v>
      </c>
      <c r="E1726" s="1" t="s">
        <v>56</v>
      </c>
      <c r="F1726" t="s">
        <v>4944</v>
      </c>
      <c r="G1726" t="str">
        <f>custodian!D1726</f>
        <v>750917106-TRS-12/01/27-L-CANT</v>
      </c>
      <c r="H1726" s="1"/>
      <c r="I1726" s="1" t="s">
        <v>4943</v>
      </c>
      <c r="J1726" t="s">
        <v>58</v>
      </c>
      <c r="K1726" t="s">
        <v>59</v>
      </c>
      <c r="L1726" t="s">
        <v>60</v>
      </c>
      <c r="M1726" t="s">
        <v>61</v>
      </c>
      <c r="N1726" t="s">
        <v>62</v>
      </c>
      <c r="O1726" s="1" t="s">
        <v>63</v>
      </c>
      <c r="V1726" t="s">
        <v>64</v>
      </c>
      <c r="Y1726" t="s">
        <v>65</v>
      </c>
      <c r="Z1726" t="s">
        <v>66</v>
      </c>
      <c r="AA1726" t="s">
        <v>4945</v>
      </c>
      <c r="AB1726" t="s">
        <v>68</v>
      </c>
      <c r="AD1726" t="s">
        <v>4945</v>
      </c>
      <c r="AE1726" t="s">
        <v>4946</v>
      </c>
      <c r="AF1726" t="s">
        <v>70</v>
      </c>
      <c r="AG1726" t="s">
        <v>4947</v>
      </c>
      <c r="AH1726" t="s">
        <v>72</v>
      </c>
      <c r="AI1726" t="s">
        <v>73</v>
      </c>
      <c r="AK1726" t="s">
        <v>4945</v>
      </c>
      <c r="AL1726" t="s">
        <v>68</v>
      </c>
      <c r="AM1726" t="s">
        <v>74</v>
      </c>
      <c r="AN1726" t="s">
        <v>75</v>
      </c>
      <c r="AO1726" t="str">
        <f>_xll.BDP($B1726,"ISSUER")</f>
        <v>Rambus Inc</v>
      </c>
      <c r="AP1726" t="str">
        <f>_xll.BDP($B1726,"NAME")</f>
        <v>RAMBUS INC</v>
      </c>
      <c r="AQ1726" s="1" t="s">
        <v>4948</v>
      </c>
      <c r="AR1726" t="str">
        <f>_xll.BDP($B1726,"ID_ISIN")</f>
        <v>US7509171069</v>
      </c>
      <c r="AS1726" t="str">
        <f>_xll.BDP($B1726,"TICKER")</f>
        <v>RMBS</v>
      </c>
    </row>
    <row r="1727" spans="1:48" x14ac:dyDescent="0.25">
      <c r="A1727" t="s">
        <v>4941</v>
      </c>
      <c r="B1727" t="s">
        <v>77</v>
      </c>
      <c r="C1727" s="1" t="s">
        <v>78</v>
      </c>
      <c r="D1727" t="s">
        <v>79</v>
      </c>
      <c r="E1727" t="str">
        <f>_xll.BDP($B1727,"LEGAL_ENTITY_IDENTIFIER")</f>
        <v>549300R5MYM6VZF1RM44</v>
      </c>
      <c r="F1727" t="s">
        <v>80</v>
      </c>
      <c r="G1727" t="str">
        <f>custodian!D1727</f>
        <v>31846V336</v>
      </c>
      <c r="H1727" t="str">
        <f>_xll.BDP($B1727,"ID_ISIN")</f>
        <v>US31846V3362</v>
      </c>
      <c r="I1727" s="1" t="s">
        <v>78</v>
      </c>
      <c r="J1727" t="str">
        <f>_xll.BDP($B1727,"CNTRY_OF_DOMICILE")</f>
        <v>US</v>
      </c>
      <c r="K1727" t="s">
        <v>81</v>
      </c>
      <c r="L1727" t="s">
        <v>82</v>
      </c>
      <c r="O1727" s="1"/>
      <c r="AQ1727" s="1"/>
      <c r="AR1727" s="1"/>
      <c r="AS1727" s="1"/>
    </row>
    <row r="1728" spans="1:48" x14ac:dyDescent="0.25">
      <c r="A1728" t="s">
        <v>4941</v>
      </c>
      <c r="C1728" s="1" t="s">
        <v>52</v>
      </c>
      <c r="E1728" s="1"/>
      <c r="G1728" t="str">
        <f>custodian!D1728</f>
        <v>Cash&amp;Other</v>
      </c>
      <c r="H1728" s="1"/>
      <c r="I1728" s="1"/>
      <c r="O1728" s="1"/>
      <c r="AQ1728" s="1"/>
      <c r="AR1728" s="1"/>
      <c r="AS1728" s="1"/>
    </row>
    <row r="1729" spans="1:48" x14ac:dyDescent="0.25">
      <c r="A1729" t="s">
        <v>4949</v>
      </c>
      <c r="C1729" s="1" t="s">
        <v>4950</v>
      </c>
      <c r="D1729" t="s">
        <v>4951</v>
      </c>
      <c r="E1729" s="1" t="s">
        <v>56</v>
      </c>
      <c r="F1729" t="s">
        <v>4951</v>
      </c>
      <c r="G1729" t="str">
        <f>custodian!D1729</f>
        <v>2IWM  270528C00057790</v>
      </c>
      <c r="H1729" s="1"/>
      <c r="I1729" s="1" t="s">
        <v>4952</v>
      </c>
      <c r="J1729" t="s">
        <v>58</v>
      </c>
      <c r="K1729" t="s">
        <v>59</v>
      </c>
      <c r="L1729" t="s">
        <v>99</v>
      </c>
      <c r="M1729" t="s">
        <v>2598</v>
      </c>
      <c r="N1729" t="s">
        <v>2599</v>
      </c>
      <c r="O1729" s="1" t="s">
        <v>2600</v>
      </c>
      <c r="P1729" t="s">
        <v>2601</v>
      </c>
      <c r="Q1729" t="s">
        <v>2602</v>
      </c>
      <c r="R1729" t="s">
        <v>4953</v>
      </c>
      <c r="S1729" t="s">
        <v>68</v>
      </c>
      <c r="T1729" t="s">
        <v>2604</v>
      </c>
      <c r="U1729" t="s">
        <v>56</v>
      </c>
      <c r="V1729" t="s">
        <v>2605</v>
      </c>
      <c r="W1729" t="s">
        <v>4954</v>
      </c>
      <c r="X1729" t="s">
        <v>4955</v>
      </c>
      <c r="AD1729" t="s">
        <v>4956</v>
      </c>
      <c r="AE1729" t="s">
        <v>4957</v>
      </c>
      <c r="AQ1729" s="1"/>
      <c r="AR1729" s="1"/>
      <c r="AS1729" s="1"/>
    </row>
    <row r="1730" spans="1:48" x14ac:dyDescent="0.25">
      <c r="A1730" t="s">
        <v>4949</v>
      </c>
      <c r="C1730" s="1" t="s">
        <v>4958</v>
      </c>
      <c r="D1730" t="s">
        <v>4959</v>
      </c>
      <c r="E1730" s="1" t="s">
        <v>56</v>
      </c>
      <c r="F1730" t="s">
        <v>4959</v>
      </c>
      <c r="G1730" t="str">
        <f>custodian!D1730</f>
        <v>2IWM  270528C00345560</v>
      </c>
      <c r="H1730" s="1"/>
      <c r="I1730" s="1" t="s">
        <v>4960</v>
      </c>
      <c r="J1730" t="s">
        <v>58</v>
      </c>
      <c r="K1730" t="s">
        <v>59</v>
      </c>
      <c r="L1730" t="s">
        <v>99</v>
      </c>
      <c r="M1730" t="s">
        <v>2598</v>
      </c>
      <c r="N1730" t="s">
        <v>2599</v>
      </c>
      <c r="O1730" s="1" t="s">
        <v>2600</v>
      </c>
      <c r="P1730" t="s">
        <v>2601</v>
      </c>
      <c r="Q1730" t="s">
        <v>2613</v>
      </c>
      <c r="R1730" t="s">
        <v>4961</v>
      </c>
      <c r="S1730" t="s">
        <v>68</v>
      </c>
      <c r="T1730" t="s">
        <v>2604</v>
      </c>
      <c r="U1730" t="s">
        <v>56</v>
      </c>
      <c r="V1730" t="s">
        <v>2605</v>
      </c>
      <c r="W1730" t="s">
        <v>4954</v>
      </c>
      <c r="X1730" t="s">
        <v>4955</v>
      </c>
      <c r="AD1730" t="s">
        <v>4962</v>
      </c>
      <c r="AE1730" t="s">
        <v>4963</v>
      </c>
      <c r="AQ1730" s="1"/>
      <c r="AR1730" s="1"/>
      <c r="AS1730" s="1"/>
    </row>
    <row r="1731" spans="1:48" x14ac:dyDescent="0.25">
      <c r="A1731" t="s">
        <v>4949</v>
      </c>
      <c r="C1731" s="1" t="s">
        <v>4964</v>
      </c>
      <c r="D1731" t="s">
        <v>4965</v>
      </c>
      <c r="E1731" s="1" t="s">
        <v>56</v>
      </c>
      <c r="F1731" t="s">
        <v>4965</v>
      </c>
      <c r="G1731" t="str">
        <f>custodian!D1731</f>
        <v>2IWM  270528P00245610</v>
      </c>
      <c r="H1731" s="1"/>
      <c r="I1731" s="1" t="s">
        <v>4966</v>
      </c>
      <c r="J1731" t="s">
        <v>58</v>
      </c>
      <c r="K1731" t="s">
        <v>59</v>
      </c>
      <c r="L1731" t="s">
        <v>99</v>
      </c>
      <c r="M1731" t="s">
        <v>2598</v>
      </c>
      <c r="N1731" t="s">
        <v>2599</v>
      </c>
      <c r="O1731" s="1" t="s">
        <v>2600</v>
      </c>
      <c r="P1731" t="s">
        <v>2620</v>
      </c>
      <c r="Q1731" t="s">
        <v>2613</v>
      </c>
      <c r="R1731" t="s">
        <v>4967</v>
      </c>
      <c r="S1731" t="s">
        <v>68</v>
      </c>
      <c r="T1731" t="s">
        <v>2604</v>
      </c>
      <c r="U1731" t="s">
        <v>56</v>
      </c>
      <c r="V1731" t="s">
        <v>2605</v>
      </c>
      <c r="W1731" t="s">
        <v>4954</v>
      </c>
      <c r="X1731" t="s">
        <v>4955</v>
      </c>
      <c r="AD1731" t="s">
        <v>4968</v>
      </c>
      <c r="AE1731" t="s">
        <v>4969</v>
      </c>
      <c r="AQ1731" s="1"/>
      <c r="AR1731" s="1"/>
      <c r="AS1731" s="1"/>
    </row>
    <row r="1732" spans="1:48" x14ac:dyDescent="0.25">
      <c r="A1732" t="s">
        <v>4949</v>
      </c>
      <c r="C1732" s="1" t="s">
        <v>4970</v>
      </c>
      <c r="D1732" t="s">
        <v>4971</v>
      </c>
      <c r="E1732" s="1" t="s">
        <v>56</v>
      </c>
      <c r="F1732" t="s">
        <v>4971</v>
      </c>
      <c r="G1732" t="str">
        <f>custodian!D1732</f>
        <v>2IWM  270528P00288950</v>
      </c>
      <c r="H1732" s="1"/>
      <c r="I1732" s="1" t="s">
        <v>4972</v>
      </c>
      <c r="J1732" t="s">
        <v>58</v>
      </c>
      <c r="K1732" t="s">
        <v>59</v>
      </c>
      <c r="L1732" t="s">
        <v>99</v>
      </c>
      <c r="M1732" t="s">
        <v>2598</v>
      </c>
      <c r="N1732" t="s">
        <v>2599</v>
      </c>
      <c r="O1732" s="1" t="s">
        <v>2600</v>
      </c>
      <c r="P1732" t="s">
        <v>2620</v>
      </c>
      <c r="Q1732" t="s">
        <v>2602</v>
      </c>
      <c r="R1732" t="s">
        <v>4973</v>
      </c>
      <c r="S1732" t="s">
        <v>68</v>
      </c>
      <c r="T1732" t="s">
        <v>2604</v>
      </c>
      <c r="U1732" t="s">
        <v>56</v>
      </c>
      <c r="V1732" t="s">
        <v>2605</v>
      </c>
      <c r="W1732" t="s">
        <v>4954</v>
      </c>
      <c r="X1732" t="s">
        <v>4955</v>
      </c>
      <c r="AD1732" t="s">
        <v>4974</v>
      </c>
      <c r="AE1732" t="s">
        <v>4975</v>
      </c>
      <c r="AQ1732" s="1"/>
      <c r="AR1732" s="1"/>
      <c r="AS1732" s="1"/>
    </row>
    <row r="1733" spans="1:48" x14ac:dyDescent="0.25">
      <c r="A1733" t="s">
        <v>4949</v>
      </c>
      <c r="B1733" t="s">
        <v>2630</v>
      </c>
      <c r="C1733" s="1" t="s">
        <v>2631</v>
      </c>
      <c r="D1733" t="s">
        <v>1574</v>
      </c>
      <c r="E1733" t="str">
        <f>_xll.BDP($B1733,"LEGAL_ENTITY_IDENTIFIER")</f>
        <v>254900HROIFWPRGM1V77</v>
      </c>
      <c r="F1733" t="s">
        <v>2632</v>
      </c>
      <c r="G1733" t="str">
        <f>custodian!D1733</f>
        <v>912828ZS2</v>
      </c>
      <c r="H1733" t="str">
        <f>_xll.BDP($B1733,"ID_ISIN")</f>
        <v>US912828ZS21</v>
      </c>
      <c r="I1733" s="1"/>
      <c r="J1733" t="str">
        <f>_xll.BDP($B1733,"CNTRY_OF_DOMICILE")</f>
        <v>US</v>
      </c>
      <c r="K1733" t="s">
        <v>626</v>
      </c>
      <c r="L1733" t="s">
        <v>627</v>
      </c>
      <c r="O1733" s="1"/>
      <c r="AQ1733" s="1"/>
      <c r="AR1733" s="1"/>
      <c r="AS1733" s="1"/>
      <c r="AT1733" t="str">
        <f>TEXT(_xll.BDP($B1733,"MATURITY"),"yyyy-mm-dd")</f>
        <v>2027-05-31</v>
      </c>
      <c r="AU1733" t="str">
        <f>_xll.BDP($B1733,"CPN_TYP")</f>
        <v>FIXED</v>
      </c>
      <c r="AV1733">
        <f>_xll.BDP($B1733,"CPN")</f>
        <v>0.5</v>
      </c>
    </row>
    <row r="1734" spans="1:48" x14ac:dyDescent="0.25">
      <c r="A1734" t="s">
        <v>4949</v>
      </c>
      <c r="B1734" t="s">
        <v>77</v>
      </c>
      <c r="C1734" s="1" t="s">
        <v>78</v>
      </c>
      <c r="D1734" t="s">
        <v>79</v>
      </c>
      <c r="E1734" t="str">
        <f>_xll.BDP($B1734,"LEGAL_ENTITY_IDENTIFIER")</f>
        <v>549300R5MYM6VZF1RM44</v>
      </c>
      <c r="F1734" t="s">
        <v>80</v>
      </c>
      <c r="G1734" t="str">
        <f>custodian!D1734</f>
        <v>31846V336</v>
      </c>
      <c r="H1734" t="str">
        <f>_xll.BDP($B1734,"ID_ISIN")</f>
        <v>US31846V3362</v>
      </c>
      <c r="I1734" s="1" t="s">
        <v>78</v>
      </c>
      <c r="J1734" t="str">
        <f>_xll.BDP($B1734,"CNTRY_OF_DOMICILE")</f>
        <v>US</v>
      </c>
      <c r="K1734" t="s">
        <v>81</v>
      </c>
      <c r="L1734" t="s">
        <v>82</v>
      </c>
      <c r="O1734" s="1"/>
      <c r="AQ1734" s="1"/>
      <c r="AR1734" s="1"/>
      <c r="AS1734" s="1"/>
    </row>
    <row r="1735" spans="1:48" x14ac:dyDescent="0.25">
      <c r="A1735" t="s">
        <v>4949</v>
      </c>
      <c r="C1735" s="1" t="s">
        <v>52</v>
      </c>
      <c r="E1735" s="1"/>
      <c r="G1735" t="str">
        <f>custodian!D1735</f>
        <v>Cash&amp;Other</v>
      </c>
      <c r="H1735" s="1"/>
      <c r="I1735" s="1"/>
      <c r="O1735" s="1"/>
      <c r="AQ1735" s="1"/>
      <c r="AR1735" s="1"/>
      <c r="AS1735" s="1"/>
    </row>
    <row r="1736" spans="1:48" x14ac:dyDescent="0.25">
      <c r="A1736" t="s">
        <v>4976</v>
      </c>
      <c r="C1736" s="1" t="s">
        <v>4977</v>
      </c>
      <c r="D1736" t="s">
        <v>4978</v>
      </c>
      <c r="E1736" s="1" t="s">
        <v>56</v>
      </c>
      <c r="F1736" t="s">
        <v>4978</v>
      </c>
      <c r="G1736" t="str">
        <f>custodian!D1736</f>
        <v>2IWM  270430C00056520</v>
      </c>
      <c r="H1736" s="1"/>
      <c r="I1736" s="1" t="s">
        <v>4979</v>
      </c>
      <c r="J1736" t="s">
        <v>58</v>
      </c>
      <c r="K1736" t="s">
        <v>59</v>
      </c>
      <c r="L1736" t="s">
        <v>99</v>
      </c>
      <c r="M1736" t="s">
        <v>2598</v>
      </c>
      <c r="N1736" t="s">
        <v>2599</v>
      </c>
      <c r="O1736" s="1" t="s">
        <v>2600</v>
      </c>
      <c r="P1736" t="s">
        <v>2601</v>
      </c>
      <c r="Q1736" t="s">
        <v>2602</v>
      </c>
      <c r="R1736" t="s">
        <v>4980</v>
      </c>
      <c r="S1736" t="s">
        <v>68</v>
      </c>
      <c r="T1736" t="s">
        <v>2692</v>
      </c>
      <c r="U1736" t="s">
        <v>56</v>
      </c>
      <c r="V1736" t="s">
        <v>2605</v>
      </c>
      <c r="W1736" t="s">
        <v>4954</v>
      </c>
      <c r="X1736" t="s">
        <v>4955</v>
      </c>
      <c r="AD1736" t="s">
        <v>4981</v>
      </c>
      <c r="AE1736" t="s">
        <v>4982</v>
      </c>
      <c r="AQ1736" s="1"/>
      <c r="AR1736" s="1"/>
      <c r="AS1736" s="1"/>
    </row>
    <row r="1737" spans="1:48" x14ac:dyDescent="0.25">
      <c r="A1737" t="s">
        <v>4976</v>
      </c>
      <c r="C1737" s="1" t="s">
        <v>4983</v>
      </c>
      <c r="D1737" t="s">
        <v>4984</v>
      </c>
      <c r="E1737" s="1" t="s">
        <v>56</v>
      </c>
      <c r="F1737" t="s">
        <v>4984</v>
      </c>
      <c r="G1737" t="str">
        <f>custodian!D1737</f>
        <v>2IWM  270430C00333470</v>
      </c>
      <c r="H1737" s="1"/>
      <c r="I1737" s="1" t="s">
        <v>4985</v>
      </c>
      <c r="J1737" t="s">
        <v>58</v>
      </c>
      <c r="K1737" t="s">
        <v>59</v>
      </c>
      <c r="L1737" t="s">
        <v>99</v>
      </c>
      <c r="M1737" t="s">
        <v>2598</v>
      </c>
      <c r="N1737" t="s">
        <v>2599</v>
      </c>
      <c r="O1737" s="1" t="s">
        <v>2600</v>
      </c>
      <c r="P1737" t="s">
        <v>2601</v>
      </c>
      <c r="Q1737" t="s">
        <v>2613</v>
      </c>
      <c r="R1737" t="s">
        <v>4986</v>
      </c>
      <c r="S1737" t="s">
        <v>68</v>
      </c>
      <c r="T1737" t="s">
        <v>2692</v>
      </c>
      <c r="U1737" t="s">
        <v>56</v>
      </c>
      <c r="V1737" t="s">
        <v>2605</v>
      </c>
      <c r="W1737" t="s">
        <v>4954</v>
      </c>
      <c r="X1737" t="s">
        <v>4955</v>
      </c>
      <c r="AD1737" t="s">
        <v>4987</v>
      </c>
      <c r="AE1737" t="s">
        <v>4988</v>
      </c>
      <c r="AQ1737" s="1"/>
      <c r="AR1737" s="1"/>
      <c r="AS1737" s="1"/>
    </row>
    <row r="1738" spans="1:48" x14ac:dyDescent="0.25">
      <c r="A1738" t="s">
        <v>4976</v>
      </c>
      <c r="C1738" s="1" t="s">
        <v>4989</v>
      </c>
      <c r="D1738" t="s">
        <v>4990</v>
      </c>
      <c r="E1738" s="1" t="s">
        <v>56</v>
      </c>
      <c r="F1738" t="s">
        <v>4990</v>
      </c>
      <c r="G1738" t="str">
        <f>custodian!D1738</f>
        <v>2IWM  270430P00240210</v>
      </c>
      <c r="H1738" s="1"/>
      <c r="I1738" s="1" t="s">
        <v>4991</v>
      </c>
      <c r="J1738" t="s">
        <v>58</v>
      </c>
      <c r="K1738" t="s">
        <v>59</v>
      </c>
      <c r="L1738" t="s">
        <v>99</v>
      </c>
      <c r="M1738" t="s">
        <v>2598</v>
      </c>
      <c r="N1738" t="s">
        <v>2599</v>
      </c>
      <c r="O1738" s="1" t="s">
        <v>2600</v>
      </c>
      <c r="P1738" t="s">
        <v>2620</v>
      </c>
      <c r="Q1738" t="s">
        <v>2613</v>
      </c>
      <c r="R1738" t="s">
        <v>4992</v>
      </c>
      <c r="S1738" t="s">
        <v>68</v>
      </c>
      <c r="T1738" t="s">
        <v>2692</v>
      </c>
      <c r="U1738" t="s">
        <v>56</v>
      </c>
      <c r="V1738" t="s">
        <v>2605</v>
      </c>
      <c r="W1738" t="s">
        <v>4954</v>
      </c>
      <c r="X1738" t="s">
        <v>4955</v>
      </c>
      <c r="AD1738" t="s">
        <v>4993</v>
      </c>
      <c r="AE1738" t="s">
        <v>4994</v>
      </c>
      <c r="AQ1738" s="1"/>
      <c r="AR1738" s="1"/>
      <c r="AS1738" s="1"/>
    </row>
    <row r="1739" spans="1:48" x14ac:dyDescent="0.25">
      <c r="A1739" t="s">
        <v>4976</v>
      </c>
      <c r="C1739" s="1" t="s">
        <v>4995</v>
      </c>
      <c r="D1739" t="s">
        <v>4996</v>
      </c>
      <c r="E1739" s="1" t="s">
        <v>56</v>
      </c>
      <c r="F1739" t="s">
        <v>4996</v>
      </c>
      <c r="G1739" t="str">
        <f>custodian!D1739</f>
        <v>2IWM  270430P00282600</v>
      </c>
      <c r="H1739" s="1"/>
      <c r="I1739" s="1" t="s">
        <v>4997</v>
      </c>
      <c r="J1739" t="s">
        <v>58</v>
      </c>
      <c r="K1739" t="s">
        <v>59</v>
      </c>
      <c r="L1739" t="s">
        <v>99</v>
      </c>
      <c r="M1739" t="s">
        <v>2598</v>
      </c>
      <c r="N1739" t="s">
        <v>2599</v>
      </c>
      <c r="O1739" s="1" t="s">
        <v>2600</v>
      </c>
      <c r="P1739" t="s">
        <v>2620</v>
      </c>
      <c r="Q1739" t="s">
        <v>2602</v>
      </c>
      <c r="R1739" t="s">
        <v>4998</v>
      </c>
      <c r="S1739" t="s">
        <v>68</v>
      </c>
      <c r="T1739" t="s">
        <v>2692</v>
      </c>
      <c r="U1739" t="s">
        <v>56</v>
      </c>
      <c r="V1739" t="s">
        <v>2605</v>
      </c>
      <c r="W1739" t="s">
        <v>4954</v>
      </c>
      <c r="X1739" t="s">
        <v>4955</v>
      </c>
      <c r="AD1739" t="s">
        <v>4999</v>
      </c>
      <c r="AE1739" t="s">
        <v>5000</v>
      </c>
      <c r="AQ1739" s="1"/>
      <c r="AR1739" s="1"/>
      <c r="AS1739" s="1"/>
    </row>
    <row r="1740" spans="1:48" x14ac:dyDescent="0.25">
      <c r="A1740" t="s">
        <v>4976</v>
      </c>
      <c r="B1740" t="s">
        <v>2820</v>
      </c>
      <c r="C1740" s="1" t="s">
        <v>2821</v>
      </c>
      <c r="D1740" t="s">
        <v>1574</v>
      </c>
      <c r="E1740" t="str">
        <f>_xll.BDP($B1740,"LEGAL_ENTITY_IDENTIFIER")</f>
        <v>254900HROIFWPRGM1V77</v>
      </c>
      <c r="F1740" t="s">
        <v>2822</v>
      </c>
      <c r="G1740" t="str">
        <f>custodian!D1740</f>
        <v>91282CMY4</v>
      </c>
      <c r="H1740" t="str">
        <f>_xll.BDP($B1740,"ID_ISIN")</f>
        <v>US91282CMY48</v>
      </c>
      <c r="I1740" s="1"/>
      <c r="J1740" t="str">
        <f>_xll.BDP($B1740,"CNTRY_OF_DOMICILE")</f>
        <v>US</v>
      </c>
      <c r="K1740" t="s">
        <v>626</v>
      </c>
      <c r="L1740" t="s">
        <v>627</v>
      </c>
      <c r="O1740" s="1"/>
      <c r="AQ1740" s="1"/>
      <c r="AR1740" s="1"/>
      <c r="AS1740" s="1"/>
      <c r="AT1740" t="str">
        <f>TEXT(_xll.BDP($B1740,"MATURITY"),"yyyy-mm-dd")</f>
        <v>2027-04-30</v>
      </c>
      <c r="AU1740" t="str">
        <f>_xll.BDP($B1740,"CPN_TYP")</f>
        <v>FIXED</v>
      </c>
      <c r="AV1740">
        <f>_xll.BDP($B1740,"CPN")</f>
        <v>3.75</v>
      </c>
    </row>
    <row r="1741" spans="1:48" x14ac:dyDescent="0.25">
      <c r="A1741" t="s">
        <v>4976</v>
      </c>
      <c r="B1741" t="s">
        <v>77</v>
      </c>
      <c r="C1741" s="1" t="s">
        <v>78</v>
      </c>
      <c r="D1741" t="s">
        <v>79</v>
      </c>
      <c r="E1741" t="str">
        <f>_xll.BDP($B1741,"LEGAL_ENTITY_IDENTIFIER")</f>
        <v>549300R5MYM6VZF1RM44</v>
      </c>
      <c r="F1741" t="s">
        <v>80</v>
      </c>
      <c r="G1741" t="str">
        <f>custodian!D1741</f>
        <v>31846V336</v>
      </c>
      <c r="H1741" t="str">
        <f>_xll.BDP($B1741,"ID_ISIN")</f>
        <v>US31846V3362</v>
      </c>
      <c r="I1741" s="1" t="s">
        <v>78</v>
      </c>
      <c r="J1741" t="str">
        <f>_xll.BDP($B1741,"CNTRY_OF_DOMICILE")</f>
        <v>US</v>
      </c>
      <c r="K1741" t="s">
        <v>81</v>
      </c>
      <c r="L1741" t="s">
        <v>82</v>
      </c>
      <c r="O1741" s="1"/>
      <c r="AQ1741" s="1"/>
      <c r="AR1741" s="1"/>
      <c r="AS1741" s="1"/>
    </row>
    <row r="1742" spans="1:48" x14ac:dyDescent="0.25">
      <c r="A1742" t="s">
        <v>4976</v>
      </c>
      <c r="C1742" s="1" t="s">
        <v>52</v>
      </c>
      <c r="E1742" s="1"/>
      <c r="G1742" t="str">
        <f>custodian!D1742</f>
        <v>Cash&amp;Other</v>
      </c>
      <c r="H1742" s="1"/>
      <c r="I1742" s="1"/>
      <c r="O1742" s="1"/>
      <c r="AQ1742" s="1"/>
      <c r="AR1742" s="1"/>
      <c r="AS1742" s="1"/>
    </row>
    <row r="1743" spans="1:48" x14ac:dyDescent="0.25">
      <c r="A1743" t="s">
        <v>5001</v>
      </c>
      <c r="B1743" t="s">
        <v>5002</v>
      </c>
      <c r="C1743" s="1" t="s">
        <v>5003</v>
      </c>
      <c r="D1743" t="s">
        <v>56</v>
      </c>
      <c r="E1743" s="1" t="s">
        <v>56</v>
      </c>
      <c r="F1743" t="s">
        <v>5004</v>
      </c>
      <c r="G1743" t="str">
        <f>custodian!D1743</f>
        <v>82706C108-TRS-12/01/27-L-CANT</v>
      </c>
      <c r="H1743" s="1"/>
      <c r="I1743" s="1" t="s">
        <v>5003</v>
      </c>
      <c r="J1743" t="s">
        <v>58</v>
      </c>
      <c r="K1743" t="s">
        <v>59</v>
      </c>
      <c r="L1743" t="s">
        <v>60</v>
      </c>
      <c r="M1743" t="s">
        <v>61</v>
      </c>
      <c r="N1743" t="s">
        <v>62</v>
      </c>
      <c r="O1743" s="1" t="s">
        <v>63</v>
      </c>
      <c r="V1743" t="s">
        <v>64</v>
      </c>
      <c r="Y1743" t="s">
        <v>65</v>
      </c>
      <c r="Z1743" t="s">
        <v>66</v>
      </c>
      <c r="AA1743" t="s">
        <v>5005</v>
      </c>
      <c r="AB1743" t="s">
        <v>68</v>
      </c>
      <c r="AD1743" t="s">
        <v>5005</v>
      </c>
      <c r="AE1743" t="s">
        <v>5006</v>
      </c>
      <c r="AF1743" t="s">
        <v>70</v>
      </c>
      <c r="AG1743" t="s">
        <v>5007</v>
      </c>
      <c r="AH1743" t="s">
        <v>72</v>
      </c>
      <c r="AI1743" t="s">
        <v>73</v>
      </c>
      <c r="AK1743" t="s">
        <v>5005</v>
      </c>
      <c r="AL1743" t="s">
        <v>68</v>
      </c>
      <c r="AM1743" t="s">
        <v>74</v>
      </c>
      <c r="AN1743" t="s">
        <v>75</v>
      </c>
      <c r="AO1743" t="str">
        <f>_xll.BDP($B1743,"ISSUER")</f>
        <v>Silicon Motion Technology Corp</v>
      </c>
      <c r="AP1743" t="str">
        <f>_xll.BDP($B1743,"NAME")</f>
        <v>SILICON MOTION TECHNOL-ADR</v>
      </c>
      <c r="AQ1743" s="1" t="s">
        <v>5008</v>
      </c>
      <c r="AR1743" t="str">
        <f>_xll.BDP($B1743,"ID_ISIN")</f>
        <v>US82706C1080</v>
      </c>
      <c r="AS1743" t="str">
        <f>_xll.BDP($B1743,"TICKER")</f>
        <v>SIMO</v>
      </c>
    </row>
    <row r="1744" spans="1:48" x14ac:dyDescent="0.25">
      <c r="A1744" t="s">
        <v>5001</v>
      </c>
      <c r="B1744" t="s">
        <v>77</v>
      </c>
      <c r="C1744" s="1" t="s">
        <v>78</v>
      </c>
      <c r="D1744" t="s">
        <v>79</v>
      </c>
      <c r="E1744" t="str">
        <f>_xll.BDP($B1744,"LEGAL_ENTITY_IDENTIFIER")</f>
        <v>549300R5MYM6VZF1RM44</v>
      </c>
      <c r="F1744" t="s">
        <v>80</v>
      </c>
      <c r="G1744" t="str">
        <f>custodian!D1744</f>
        <v>31846V336</v>
      </c>
      <c r="H1744" t="str">
        <f>_xll.BDP($B1744,"ID_ISIN")</f>
        <v>US31846V3362</v>
      </c>
      <c r="I1744" s="1" t="s">
        <v>78</v>
      </c>
      <c r="J1744" t="str">
        <f>_xll.BDP($B1744,"CNTRY_OF_DOMICILE")</f>
        <v>US</v>
      </c>
      <c r="K1744" t="s">
        <v>81</v>
      </c>
      <c r="L1744" t="s">
        <v>82</v>
      </c>
      <c r="O1744" s="1"/>
      <c r="AQ1744" s="1"/>
      <c r="AR1744" s="1"/>
      <c r="AS1744" s="1"/>
    </row>
    <row r="1745" spans="1:45" x14ac:dyDescent="0.25">
      <c r="A1745" t="s">
        <v>5001</v>
      </c>
      <c r="C1745" s="1" t="s">
        <v>52</v>
      </c>
      <c r="E1745" s="1"/>
      <c r="G1745" t="str">
        <f>custodian!D1745</f>
        <v>Cash&amp;Other</v>
      </c>
      <c r="H1745" s="1"/>
      <c r="I1745" s="1"/>
      <c r="O1745" s="1"/>
      <c r="AQ1745" s="1"/>
      <c r="AR1745" s="1"/>
      <c r="AS1745" s="1"/>
    </row>
    <row r="1746" spans="1:45" x14ac:dyDescent="0.25">
      <c r="A1746" t="s">
        <v>5009</v>
      </c>
      <c r="B1746" t="s">
        <v>5010</v>
      </c>
      <c r="C1746" s="1" t="s">
        <v>5011</v>
      </c>
      <c r="D1746" t="s">
        <v>5012</v>
      </c>
      <c r="E1746" t="str">
        <f>_xll.BDP($B1746,"LEGAL_ENTITY_IDENTIFIER")</f>
        <v>5299001Z9HXK01DHW793</v>
      </c>
      <c r="F1746" t="s">
        <v>5012</v>
      </c>
      <c r="G1746" t="str">
        <f>custodian!D1746</f>
        <v>02553E106</v>
      </c>
      <c r="H1746" t="str">
        <f>_xll.BDP($B1746,"ID_ISIN")</f>
        <v>US02553E1064</v>
      </c>
      <c r="I1746" s="1" t="s">
        <v>5011</v>
      </c>
      <c r="J1746" t="str">
        <f>_xll.BDP($B1746,"CNTRY_OF_DOMICILE")</f>
        <v>US</v>
      </c>
      <c r="K1746" t="s">
        <v>98</v>
      </c>
      <c r="L1746" t="s">
        <v>99</v>
      </c>
      <c r="O1746" s="1"/>
      <c r="AQ1746" s="1"/>
      <c r="AR1746" s="1"/>
      <c r="AS1746" s="1"/>
    </row>
    <row r="1747" spans="1:45" x14ac:dyDescent="0.25">
      <c r="A1747" t="s">
        <v>5009</v>
      </c>
      <c r="B1747" t="s">
        <v>5013</v>
      </c>
      <c r="C1747" s="1" t="s">
        <v>5014</v>
      </c>
      <c r="D1747" t="s">
        <v>5015</v>
      </c>
      <c r="E1747" t="str">
        <f>_xll.BDP($B1747,"LEGAL_ENTITY_IDENTIFIER")</f>
        <v>5493000J7LL72TOGT983</v>
      </c>
      <c r="F1747" t="s">
        <v>5015</v>
      </c>
      <c r="G1747" t="str">
        <f>custodian!D1747</f>
        <v>002896207</v>
      </c>
      <c r="H1747" t="str">
        <f>_xll.BDP($B1747,"ID_ISIN")</f>
        <v>US0028962076</v>
      </c>
      <c r="I1747" s="1" t="s">
        <v>5014</v>
      </c>
      <c r="J1747" t="str">
        <f>_xll.BDP($B1747,"CNTRY_OF_DOMICILE")</f>
        <v>US</v>
      </c>
      <c r="K1747" t="s">
        <v>98</v>
      </c>
      <c r="L1747" t="s">
        <v>99</v>
      </c>
      <c r="O1747" s="1"/>
      <c r="AQ1747" s="1"/>
      <c r="AR1747" s="1"/>
      <c r="AS1747" s="1"/>
    </row>
    <row r="1748" spans="1:45" x14ac:dyDescent="0.25">
      <c r="A1748" t="s">
        <v>5009</v>
      </c>
      <c r="B1748" t="s">
        <v>5016</v>
      </c>
      <c r="C1748" s="1" t="s">
        <v>5017</v>
      </c>
      <c r="D1748" t="s">
        <v>5018</v>
      </c>
      <c r="E1748" t="str">
        <f>_xll.BDP($B1748,"LEGAL_ENTITY_IDENTIFIER")</f>
        <v>391200YCSWTRD1J21867</v>
      </c>
      <c r="F1748" t="s">
        <v>5018</v>
      </c>
      <c r="G1748" t="str">
        <f>custodian!D1748</f>
        <v>G0260P102</v>
      </c>
      <c r="H1748" t="str">
        <f>_xll.BDP($B1748,"ID_ISIN")</f>
        <v>KYG0260P1028</v>
      </c>
      <c r="I1748" s="1" t="s">
        <v>5017</v>
      </c>
      <c r="J1748" t="str">
        <f>_xll.BDP($B1748,"CNTRY_OF_DOMICILE")</f>
        <v>FI</v>
      </c>
      <c r="K1748" t="s">
        <v>98</v>
      </c>
      <c r="L1748" t="s">
        <v>99</v>
      </c>
      <c r="O1748" s="1"/>
      <c r="AQ1748" s="1"/>
      <c r="AR1748" s="1"/>
      <c r="AS1748" s="1"/>
    </row>
    <row r="1749" spans="1:45" x14ac:dyDescent="0.25">
      <c r="A1749" t="s">
        <v>5009</v>
      </c>
      <c r="B1749" t="s">
        <v>5019</v>
      </c>
      <c r="C1749" s="1" t="s">
        <v>5020</v>
      </c>
      <c r="D1749" t="s">
        <v>5021</v>
      </c>
      <c r="E1749" t="str">
        <f>_xll.BDP($B1749,"LEGAL_ENTITY_IDENTIFIER")</f>
        <v>529900CQ8LQKQ7LIT631</v>
      </c>
      <c r="F1749" t="s">
        <v>5021</v>
      </c>
      <c r="G1749" t="str">
        <f>custodian!D1749</f>
        <v>M2029K104</v>
      </c>
      <c r="H1749" t="str">
        <f>_xll.BDP($B1749,"ID_ISIN")</f>
        <v>JE00BS44BN30</v>
      </c>
      <c r="I1749" s="1" t="s">
        <v>5020</v>
      </c>
      <c r="J1749" t="str">
        <f>_xll.BDP($B1749,"CNTRY_OF_DOMICILE")</f>
        <v>GB</v>
      </c>
      <c r="K1749" t="s">
        <v>98</v>
      </c>
      <c r="L1749" t="s">
        <v>99</v>
      </c>
      <c r="O1749" s="1"/>
      <c r="AQ1749" s="1"/>
      <c r="AR1749" s="1"/>
      <c r="AS1749" s="1"/>
    </row>
    <row r="1750" spans="1:45" x14ac:dyDescent="0.25">
      <c r="A1750" t="s">
        <v>5009</v>
      </c>
      <c r="B1750" t="s">
        <v>5022</v>
      </c>
      <c r="C1750" s="1" t="s">
        <v>5023</v>
      </c>
      <c r="D1750" t="s">
        <v>5024</v>
      </c>
      <c r="E1750" t="str">
        <f>_xll.BDP($B1750,"LEGAL_ENTITY_IDENTIFIER")</f>
        <v>5299007IU0461T3GDL34</v>
      </c>
      <c r="F1750" t="s">
        <v>5024</v>
      </c>
      <c r="G1750" t="str">
        <f>custodian!D1750</f>
        <v>118440106</v>
      </c>
      <c r="H1750" t="str">
        <f>_xll.BDP($B1750,"ID_ISIN")</f>
        <v>US1184401065</v>
      </c>
      <c r="I1750" s="1" t="s">
        <v>5023</v>
      </c>
      <c r="J1750" t="str">
        <f>_xll.BDP($B1750,"CNTRY_OF_DOMICILE")</f>
        <v>US</v>
      </c>
      <c r="K1750" t="s">
        <v>98</v>
      </c>
      <c r="L1750" t="s">
        <v>99</v>
      </c>
      <c r="O1750" s="1"/>
      <c r="AQ1750" s="1"/>
      <c r="AR1750" s="1"/>
      <c r="AS1750" s="1"/>
    </row>
    <row r="1751" spans="1:45" x14ac:dyDescent="0.25">
      <c r="A1751" t="s">
        <v>5009</v>
      </c>
      <c r="B1751" t="s">
        <v>5025</v>
      </c>
      <c r="C1751" s="1" t="s">
        <v>5026</v>
      </c>
      <c r="D1751" t="s">
        <v>5027</v>
      </c>
      <c r="E1751" t="str">
        <f>_xll.BDP($B1751,"LEGAL_ENTITY_IDENTIFIER")</f>
        <v>529900QE1BFMYA3N4E71</v>
      </c>
      <c r="F1751" t="s">
        <v>5027</v>
      </c>
      <c r="G1751" t="str">
        <f>custodian!D1751</f>
        <v>099406100</v>
      </c>
      <c r="H1751" t="str">
        <f>_xll.BDP($B1751,"ID_ISIN")</f>
        <v>US0994061002</v>
      </c>
      <c r="I1751" s="1" t="s">
        <v>5026</v>
      </c>
      <c r="J1751" t="str">
        <f>_xll.BDP($B1751,"CNTRY_OF_DOMICILE")</f>
        <v>US</v>
      </c>
      <c r="K1751" t="s">
        <v>98</v>
      </c>
      <c r="L1751" t="s">
        <v>99</v>
      </c>
      <c r="O1751" s="1"/>
      <c r="AQ1751" s="1"/>
      <c r="AR1751" s="1"/>
      <c r="AS1751" s="1"/>
    </row>
    <row r="1752" spans="1:45" x14ac:dyDescent="0.25">
      <c r="A1752" t="s">
        <v>5009</v>
      </c>
      <c r="B1752" t="s">
        <v>5028</v>
      </c>
      <c r="C1752" s="1" t="s">
        <v>5029</v>
      </c>
      <c r="D1752" t="s">
        <v>5030</v>
      </c>
      <c r="E1752" t="str">
        <f>_xll.BDP($B1752,"LEGAL_ENTITY_IDENTIFIER")</f>
        <v>JFU6RQQJ8Z1CPOLBXQ18</v>
      </c>
      <c r="F1752" t="s">
        <v>5030</v>
      </c>
      <c r="G1752" t="str">
        <f>custodian!D1752</f>
        <v>129500104</v>
      </c>
      <c r="H1752" t="str">
        <f>_xll.BDP($B1752,"ID_ISIN")</f>
        <v>US1295001044</v>
      </c>
      <c r="I1752" s="1" t="s">
        <v>5029</v>
      </c>
      <c r="J1752" t="str">
        <f>_xll.BDP($B1752,"CNTRY_OF_DOMICILE")</f>
        <v>US</v>
      </c>
      <c r="K1752" t="s">
        <v>98</v>
      </c>
      <c r="L1752" t="s">
        <v>99</v>
      </c>
      <c r="O1752" s="1"/>
      <c r="AQ1752" s="1"/>
      <c r="AR1752" s="1"/>
      <c r="AS1752" s="1"/>
    </row>
    <row r="1753" spans="1:45" x14ac:dyDescent="0.25">
      <c r="A1753" t="s">
        <v>5009</v>
      </c>
      <c r="B1753" t="s">
        <v>5031</v>
      </c>
      <c r="C1753" s="1" t="s">
        <v>5032</v>
      </c>
      <c r="D1753" t="s">
        <v>5033</v>
      </c>
      <c r="E1753" t="str">
        <f>_xll.BDP($B1753,"LEGAL_ENTITY_IDENTIFIER")</f>
        <v>549300OTMCIEUXAH5Z60</v>
      </c>
      <c r="F1753" t="s">
        <v>5033</v>
      </c>
      <c r="G1753" t="str">
        <f>custodian!D1753</f>
        <v>198516106</v>
      </c>
      <c r="H1753" t="str">
        <f>_xll.BDP($B1753,"ID_ISIN")</f>
        <v>US1985161066</v>
      </c>
      <c r="I1753" s="1" t="s">
        <v>5032</v>
      </c>
      <c r="J1753" t="str">
        <f>_xll.BDP($B1753,"CNTRY_OF_DOMICILE")</f>
        <v>US</v>
      </c>
      <c r="K1753" t="s">
        <v>98</v>
      </c>
      <c r="L1753" t="s">
        <v>99</v>
      </c>
      <c r="O1753" s="1"/>
      <c r="AQ1753" s="1"/>
      <c r="AR1753" s="1"/>
      <c r="AS1753" s="1"/>
    </row>
    <row r="1754" spans="1:45" x14ac:dyDescent="0.25">
      <c r="A1754" t="s">
        <v>5009</v>
      </c>
      <c r="B1754" t="s">
        <v>5034</v>
      </c>
      <c r="C1754" s="1" t="s">
        <v>5035</v>
      </c>
      <c r="D1754" t="s">
        <v>5036</v>
      </c>
      <c r="E1754" t="str">
        <f>_xll.BDP($B1754,"LEGAL_ENTITY_IDENTIFIER")</f>
        <v>549300LPG8W0H1OX3A26</v>
      </c>
      <c r="F1754" t="s">
        <v>5036</v>
      </c>
      <c r="G1754" t="str">
        <f>custodian!D1754</f>
        <v>G1890L107</v>
      </c>
      <c r="H1754" t="str">
        <f>_xll.BDP($B1754,"ID_ISIN")</f>
        <v>VGG1890L1076</v>
      </c>
      <c r="I1754" s="1" t="s">
        <v>5035</v>
      </c>
      <c r="J1754" t="str">
        <f>_xll.BDP($B1754,"CNTRY_OF_DOMICILE")</f>
        <v>GB</v>
      </c>
      <c r="K1754" t="s">
        <v>98</v>
      </c>
      <c r="L1754" t="s">
        <v>99</v>
      </c>
      <c r="O1754" s="1"/>
      <c r="AQ1754" s="1"/>
      <c r="AR1754" s="1"/>
      <c r="AS1754" s="1"/>
    </row>
    <row r="1755" spans="1:45" x14ac:dyDescent="0.25">
      <c r="A1755" t="s">
        <v>5009</v>
      </c>
      <c r="B1755" t="s">
        <v>5037</v>
      </c>
      <c r="C1755" s="1" t="s">
        <v>5038</v>
      </c>
      <c r="D1755" t="s">
        <v>5039</v>
      </c>
      <c r="E1755" t="str">
        <f>_xll.BDP($B1755,"LEGAL_ENTITY_IDENTIFIER")</f>
        <v>5299003WAQK4R3L3ZU36</v>
      </c>
      <c r="F1755" t="s">
        <v>5039</v>
      </c>
      <c r="G1755" t="str">
        <f>custodian!D1755</f>
        <v>146229109</v>
      </c>
      <c r="H1755" t="str">
        <f>_xll.BDP($B1755,"ID_ISIN")</f>
        <v>US1462291097</v>
      </c>
      <c r="I1755" s="1" t="s">
        <v>5038</v>
      </c>
      <c r="J1755" t="str">
        <f>_xll.BDP($B1755,"CNTRY_OF_DOMICILE")</f>
        <v>US</v>
      </c>
      <c r="K1755" t="s">
        <v>98</v>
      </c>
      <c r="L1755" t="s">
        <v>99</v>
      </c>
      <c r="O1755" s="1"/>
      <c r="AQ1755" s="1"/>
      <c r="AR1755" s="1"/>
      <c r="AS1755" s="1"/>
    </row>
    <row r="1756" spans="1:45" x14ac:dyDescent="0.25">
      <c r="A1756" t="s">
        <v>5009</v>
      </c>
      <c r="B1756" t="s">
        <v>5040</v>
      </c>
      <c r="C1756" s="1" t="s">
        <v>5041</v>
      </c>
      <c r="D1756" t="s">
        <v>5042</v>
      </c>
      <c r="E1756" t="str">
        <f>_xll.BDP($B1756,"LEGAL_ENTITY_IDENTIFIER")</f>
        <v>549300B0J6YCXD63OG72</v>
      </c>
      <c r="F1756" t="s">
        <v>5042</v>
      </c>
      <c r="G1756" t="str">
        <f>custodian!D1756</f>
        <v>227046109</v>
      </c>
      <c r="H1756" t="str">
        <f>_xll.BDP($B1756,"ID_ISIN")</f>
        <v>US2270461096</v>
      </c>
      <c r="I1756" s="1" t="s">
        <v>5041</v>
      </c>
      <c r="J1756" t="str">
        <f>_xll.BDP($B1756,"CNTRY_OF_DOMICILE")</f>
        <v>US</v>
      </c>
      <c r="K1756" t="s">
        <v>98</v>
      </c>
      <c r="L1756" t="s">
        <v>99</v>
      </c>
      <c r="O1756" s="1"/>
      <c r="AQ1756" s="1"/>
      <c r="AR1756" s="1"/>
      <c r="AS1756" s="1"/>
    </row>
    <row r="1757" spans="1:45" x14ac:dyDescent="0.25">
      <c r="A1757" t="s">
        <v>5009</v>
      </c>
      <c r="B1757" t="s">
        <v>5043</v>
      </c>
      <c r="C1757" s="1" t="s">
        <v>5044</v>
      </c>
      <c r="D1757" t="s">
        <v>5045</v>
      </c>
      <c r="E1757" t="str">
        <f>_xll.BDP($B1757,"LEGAL_ENTITY_IDENTIFIER")</f>
        <v>#N/A N/A</v>
      </c>
      <c r="F1757" t="s">
        <v>5045</v>
      </c>
      <c r="G1757" t="str">
        <f>custodian!D1757</f>
        <v>250565108</v>
      </c>
      <c r="H1757" t="str">
        <f>_xll.BDP($B1757,"ID_ISIN")</f>
        <v>US2505651081</v>
      </c>
      <c r="I1757" s="1" t="s">
        <v>5044</v>
      </c>
      <c r="J1757" t="str">
        <f>_xll.BDP($B1757,"CNTRY_OF_DOMICILE")</f>
        <v>US</v>
      </c>
      <c r="K1757" t="s">
        <v>98</v>
      </c>
      <c r="L1757" t="s">
        <v>99</v>
      </c>
      <c r="O1757" s="1"/>
      <c r="AQ1757" s="1"/>
      <c r="AR1757" s="1"/>
      <c r="AS1757" s="1"/>
    </row>
    <row r="1758" spans="1:45" x14ac:dyDescent="0.25">
      <c r="A1758" t="s">
        <v>5009</v>
      </c>
      <c r="B1758" t="s">
        <v>5046</v>
      </c>
      <c r="C1758" s="1" t="s">
        <v>5047</v>
      </c>
      <c r="D1758" t="s">
        <v>5048</v>
      </c>
      <c r="E1758" t="str">
        <f>_xll.BDP($B1758,"LEGAL_ENTITY_IDENTIFIER")</f>
        <v>5493008LG4W3I6K8J118</v>
      </c>
      <c r="F1758" t="s">
        <v>5048</v>
      </c>
      <c r="G1758" t="str">
        <f>custodian!D1758</f>
        <v>243537107</v>
      </c>
      <c r="H1758" t="str">
        <f>_xll.BDP($B1758,"ID_ISIN")</f>
        <v>US2435371073</v>
      </c>
      <c r="I1758" s="1" t="s">
        <v>5047</v>
      </c>
      <c r="J1758" t="str">
        <f>_xll.BDP($B1758,"CNTRY_OF_DOMICILE")</f>
        <v>US</v>
      </c>
      <c r="K1758" t="s">
        <v>98</v>
      </c>
      <c r="L1758" t="s">
        <v>99</v>
      </c>
      <c r="O1758" s="1"/>
      <c r="AQ1758" s="1"/>
      <c r="AR1758" s="1"/>
      <c r="AS1758" s="1"/>
    </row>
    <row r="1759" spans="1:45" x14ac:dyDescent="0.25">
      <c r="A1759" t="s">
        <v>5009</v>
      </c>
      <c r="B1759" t="s">
        <v>77</v>
      </c>
      <c r="C1759" s="1" t="s">
        <v>78</v>
      </c>
      <c r="D1759" t="s">
        <v>79</v>
      </c>
      <c r="E1759" t="str">
        <f>_xll.BDP($B1759,"LEGAL_ENTITY_IDENTIFIER")</f>
        <v>549300R5MYM6VZF1RM44</v>
      </c>
      <c r="F1759" t="s">
        <v>80</v>
      </c>
      <c r="G1759" t="str">
        <f>custodian!D1759</f>
        <v>31846V336</v>
      </c>
      <c r="H1759" t="str">
        <f>_xll.BDP($B1759,"ID_ISIN")</f>
        <v>US31846V3362</v>
      </c>
      <c r="I1759" s="1" t="s">
        <v>78</v>
      </c>
      <c r="J1759" t="str">
        <f>_xll.BDP($B1759,"CNTRY_OF_DOMICILE")</f>
        <v>US</v>
      </c>
      <c r="K1759" t="s">
        <v>81</v>
      </c>
      <c r="L1759" t="s">
        <v>82</v>
      </c>
      <c r="O1759" s="1"/>
      <c r="AQ1759" s="1"/>
      <c r="AR1759" s="1"/>
      <c r="AS1759" s="1"/>
    </row>
    <row r="1760" spans="1:45" x14ac:dyDescent="0.25">
      <c r="A1760" t="s">
        <v>5009</v>
      </c>
      <c r="B1760" t="s">
        <v>5049</v>
      </c>
      <c r="C1760" s="1" t="s">
        <v>5050</v>
      </c>
      <c r="D1760" t="s">
        <v>5051</v>
      </c>
      <c r="E1760" t="str">
        <f>_xll.BDP($B1760,"LEGAL_ENTITY_IDENTIFIER")</f>
        <v>#N/A N/A</v>
      </c>
      <c r="F1760" t="s">
        <v>5051</v>
      </c>
      <c r="G1760" t="str">
        <f>custodian!D1760</f>
        <v>30260D103</v>
      </c>
      <c r="H1760" t="str">
        <f>_xll.BDP($B1760,"ID_ISIN")</f>
        <v>US30260D1037</v>
      </c>
      <c r="I1760" s="1" t="s">
        <v>5050</v>
      </c>
      <c r="J1760" t="str">
        <f>_xll.BDP($B1760,"CNTRY_OF_DOMICILE")</f>
        <v>US</v>
      </c>
      <c r="K1760" t="s">
        <v>98</v>
      </c>
      <c r="L1760" t="s">
        <v>99</v>
      </c>
      <c r="O1760" s="1"/>
      <c r="AQ1760" s="1"/>
      <c r="AR1760" s="1"/>
      <c r="AS1760" s="1"/>
    </row>
    <row r="1761" spans="1:45" x14ac:dyDescent="0.25">
      <c r="A1761" t="s">
        <v>5009</v>
      </c>
      <c r="B1761" t="s">
        <v>5052</v>
      </c>
      <c r="C1761" s="1" t="s">
        <v>5053</v>
      </c>
      <c r="D1761" t="s">
        <v>5054</v>
      </c>
      <c r="E1761" t="str">
        <f>_xll.BDP($B1761,"LEGAL_ENTITY_IDENTIFIER")</f>
        <v>DDMY8YZ6L8UEMS1FDM73</v>
      </c>
      <c r="F1761" t="s">
        <v>5054</v>
      </c>
      <c r="G1761" t="str">
        <f>custodian!D1761</f>
        <v>34988V106</v>
      </c>
      <c r="H1761" t="str">
        <f>_xll.BDP($B1761,"ID_ISIN")</f>
        <v>US34988V1061</v>
      </c>
      <c r="I1761" s="1" t="s">
        <v>5053</v>
      </c>
      <c r="J1761" t="str">
        <f>_xll.BDP($B1761,"CNTRY_OF_DOMICILE")</f>
        <v>US</v>
      </c>
      <c r="K1761" t="s">
        <v>98</v>
      </c>
      <c r="L1761" t="s">
        <v>99</v>
      </c>
      <c r="O1761" s="1"/>
      <c r="AQ1761" s="1"/>
      <c r="AR1761" s="1"/>
      <c r="AS1761" s="1"/>
    </row>
    <row r="1762" spans="1:45" x14ac:dyDescent="0.25">
      <c r="A1762" t="s">
        <v>5009</v>
      </c>
      <c r="B1762" t="s">
        <v>5055</v>
      </c>
      <c r="C1762" s="1" t="s">
        <v>5056</v>
      </c>
      <c r="D1762" t="s">
        <v>5057</v>
      </c>
      <c r="E1762" t="str">
        <f>_xll.BDP($B1762,"LEGAL_ENTITY_IDENTIFIER")</f>
        <v>T2ZG1WRWZ4BUCMQL9224</v>
      </c>
      <c r="F1762" t="s">
        <v>5057</v>
      </c>
      <c r="G1762" t="str">
        <f>custodian!D1762</f>
        <v>364760108</v>
      </c>
      <c r="H1762" t="str">
        <f>_xll.BDP($B1762,"ID_ISIN")</f>
        <v>US3647601083</v>
      </c>
      <c r="I1762" s="1" t="s">
        <v>5056</v>
      </c>
      <c r="J1762" t="str">
        <f>_xll.BDP($B1762,"CNTRY_OF_DOMICILE")</f>
        <v>US</v>
      </c>
      <c r="K1762" t="s">
        <v>98</v>
      </c>
      <c r="L1762" t="s">
        <v>99</v>
      </c>
      <c r="O1762" s="1"/>
      <c r="AQ1762" s="1"/>
      <c r="AR1762" s="1"/>
      <c r="AS1762" s="1"/>
    </row>
    <row r="1763" spans="1:45" x14ac:dyDescent="0.25">
      <c r="A1763" t="s">
        <v>5009</v>
      </c>
      <c r="B1763" t="s">
        <v>5058</v>
      </c>
      <c r="C1763" s="1" t="s">
        <v>5059</v>
      </c>
      <c r="D1763" t="s">
        <v>5060</v>
      </c>
      <c r="E1763" t="str">
        <f>_xll.BDP($B1763,"LEGAL_ENTITY_IDENTIFIER")</f>
        <v>549300VY2Q511P1K5P56</v>
      </c>
      <c r="F1763" t="s">
        <v>5060</v>
      </c>
      <c r="G1763" t="str">
        <f>custodian!D1763</f>
        <v>371532102</v>
      </c>
      <c r="H1763" t="str">
        <f>_xll.BDP($B1763,"ID_ISIN")</f>
        <v>US3715321028</v>
      </c>
      <c r="I1763" s="1" t="s">
        <v>5059</v>
      </c>
      <c r="J1763" t="str">
        <f>_xll.BDP($B1763,"CNTRY_OF_DOMICILE")</f>
        <v>US</v>
      </c>
      <c r="K1763" t="s">
        <v>98</v>
      </c>
      <c r="L1763" t="s">
        <v>99</v>
      </c>
      <c r="O1763" s="1"/>
      <c r="AQ1763" s="1"/>
      <c r="AR1763" s="1"/>
      <c r="AS1763" s="1"/>
    </row>
    <row r="1764" spans="1:45" x14ac:dyDescent="0.25">
      <c r="A1764" t="s">
        <v>5009</v>
      </c>
      <c r="B1764" t="s">
        <v>5061</v>
      </c>
      <c r="C1764" s="1" t="s">
        <v>5062</v>
      </c>
      <c r="D1764" t="s">
        <v>5063</v>
      </c>
      <c r="E1764" t="str">
        <f>_xll.BDP($B1764,"LEGAL_ENTITY_IDENTIFIER")</f>
        <v>529900O5KABM3R3SFM87</v>
      </c>
      <c r="F1764" t="s">
        <v>5063</v>
      </c>
      <c r="G1764" t="str">
        <f>custodian!D1764</f>
        <v>36237H101</v>
      </c>
      <c r="H1764" t="str">
        <f>_xll.BDP($B1764,"ID_ISIN")</f>
        <v>US36237H1014</v>
      </c>
      <c r="I1764" s="1" t="s">
        <v>5062</v>
      </c>
      <c r="J1764" t="str">
        <f>_xll.BDP($B1764,"CNTRY_OF_DOMICILE")</f>
        <v>US</v>
      </c>
      <c r="K1764" t="s">
        <v>98</v>
      </c>
      <c r="L1764" t="s">
        <v>99</v>
      </c>
      <c r="O1764" s="1"/>
      <c r="AQ1764" s="1"/>
      <c r="AR1764" s="1"/>
      <c r="AS1764" s="1"/>
    </row>
    <row r="1765" spans="1:45" x14ac:dyDescent="0.25">
      <c r="A1765" t="s">
        <v>5009</v>
      </c>
      <c r="B1765" t="s">
        <v>5064</v>
      </c>
      <c r="C1765" s="1" t="s">
        <v>5065</v>
      </c>
      <c r="D1765" t="s">
        <v>5066</v>
      </c>
      <c r="E1765" t="str">
        <f>_xll.BDP($B1765,"LEGAL_ENTITY_IDENTIFIER")</f>
        <v>549300SB3IBI34M00Z45</v>
      </c>
      <c r="F1765" t="s">
        <v>5066</v>
      </c>
      <c r="G1765" t="str">
        <f>custodian!D1765</f>
        <v>375916103</v>
      </c>
      <c r="H1765" t="str">
        <f>_xll.BDP($B1765,"ID_ISIN")</f>
        <v>CA3759161035</v>
      </c>
      <c r="I1765" s="1" t="s">
        <v>5065</v>
      </c>
      <c r="J1765" t="str">
        <f>_xll.BDP($B1765,"CNTRY_OF_DOMICILE")</f>
        <v>CA</v>
      </c>
      <c r="K1765" t="s">
        <v>98</v>
      </c>
      <c r="L1765" t="s">
        <v>99</v>
      </c>
      <c r="O1765" s="1"/>
      <c r="AQ1765" s="1"/>
      <c r="AR1765" s="1"/>
      <c r="AS1765" s="1"/>
    </row>
    <row r="1766" spans="1:45" x14ac:dyDescent="0.25">
      <c r="A1766" t="s">
        <v>5009</v>
      </c>
      <c r="B1766" t="s">
        <v>5067</v>
      </c>
      <c r="C1766" s="1" t="s">
        <v>5068</v>
      </c>
      <c r="D1766" t="s">
        <v>5069</v>
      </c>
      <c r="E1766" t="str">
        <f>_xll.BDP($B1766,"LEGAL_ENTITY_IDENTIFIER")</f>
        <v>529900891XBE6RV8JR07</v>
      </c>
      <c r="F1766" t="s">
        <v>5069</v>
      </c>
      <c r="G1766" t="str">
        <f>custodian!D1766</f>
        <v>135086106</v>
      </c>
      <c r="H1766" t="str">
        <f>_xll.BDP($B1766,"ID_ISIN")</f>
        <v>CA1350861060</v>
      </c>
      <c r="I1766" s="1" t="s">
        <v>5068</v>
      </c>
      <c r="J1766" t="str">
        <f>_xll.BDP($B1766,"CNTRY_OF_DOMICILE")</f>
        <v>CA</v>
      </c>
      <c r="K1766" t="s">
        <v>98</v>
      </c>
      <c r="L1766" t="s">
        <v>99</v>
      </c>
      <c r="O1766" s="1"/>
      <c r="AQ1766" s="1"/>
      <c r="AR1766" s="1"/>
      <c r="AS1766" s="1"/>
    </row>
    <row r="1767" spans="1:45" x14ac:dyDescent="0.25">
      <c r="A1767" t="s">
        <v>5009</v>
      </c>
      <c r="B1767" t="s">
        <v>5070</v>
      </c>
      <c r="C1767" s="1" t="s">
        <v>5071</v>
      </c>
      <c r="D1767" t="s">
        <v>5072</v>
      </c>
      <c r="E1767" t="str">
        <f>_xll.BDP($B1767,"LEGAL_ENTITY_IDENTIFIER")</f>
        <v>#N/A N/A</v>
      </c>
      <c r="F1767" t="s">
        <v>5072</v>
      </c>
      <c r="G1767" t="str">
        <f>custodian!D1767</f>
        <v>479167108</v>
      </c>
      <c r="H1767" t="str">
        <f>_xll.BDP($B1767,"ID_ISIN")</f>
        <v>US4791671088</v>
      </c>
      <c r="I1767" s="1" t="s">
        <v>5071</v>
      </c>
      <c r="J1767" t="str">
        <f>_xll.BDP($B1767,"CNTRY_OF_DOMICILE")</f>
        <v>US</v>
      </c>
      <c r="K1767" t="s">
        <v>98</v>
      </c>
      <c r="L1767" t="s">
        <v>99</v>
      </c>
      <c r="O1767" s="1"/>
      <c r="AQ1767" s="1"/>
      <c r="AR1767" s="1"/>
      <c r="AS1767" s="1"/>
    </row>
    <row r="1768" spans="1:45" x14ac:dyDescent="0.25">
      <c r="A1768" t="s">
        <v>5009</v>
      </c>
      <c r="B1768" t="s">
        <v>5073</v>
      </c>
      <c r="C1768" s="1" t="s">
        <v>5074</v>
      </c>
      <c r="D1768" t="s">
        <v>5075</v>
      </c>
      <c r="E1768" t="str">
        <f>_xll.BDP($B1768,"LEGAL_ENTITY_IDENTIFIER")</f>
        <v>549300M0CPXV65RFF271</v>
      </c>
      <c r="F1768" t="s">
        <v>5075</v>
      </c>
      <c r="G1768" t="str">
        <f>custodian!D1768</f>
        <v>50050N103</v>
      </c>
      <c r="H1768" t="str">
        <f>_xll.BDP($B1768,"ID_ISIN")</f>
        <v>US50050N1037</v>
      </c>
      <c r="I1768" s="1" t="s">
        <v>5074</v>
      </c>
      <c r="J1768" t="str">
        <f>_xll.BDP($B1768,"CNTRY_OF_DOMICILE")</f>
        <v>US</v>
      </c>
      <c r="K1768" t="s">
        <v>98</v>
      </c>
      <c r="L1768" t="s">
        <v>99</v>
      </c>
      <c r="O1768" s="1"/>
      <c r="AQ1768" s="1"/>
      <c r="AR1768" s="1"/>
      <c r="AS1768" s="1"/>
    </row>
    <row r="1769" spans="1:45" x14ac:dyDescent="0.25">
      <c r="A1769" t="s">
        <v>5009</v>
      </c>
      <c r="B1769" t="s">
        <v>5076</v>
      </c>
      <c r="C1769" s="1" t="s">
        <v>5077</v>
      </c>
      <c r="D1769" t="s">
        <v>5078</v>
      </c>
      <c r="E1769" t="str">
        <f>_xll.BDP($B1769,"LEGAL_ENTITY_IDENTIFIER")</f>
        <v>MB0UERO0RDFKU8258G77</v>
      </c>
      <c r="F1769" t="s">
        <v>5078</v>
      </c>
      <c r="G1769" t="str">
        <f>custodian!D1769</f>
        <v>52736R102</v>
      </c>
      <c r="H1769" t="str">
        <f>_xll.BDP($B1769,"ID_ISIN")</f>
        <v>US52736R1023</v>
      </c>
      <c r="I1769" s="1" t="s">
        <v>5077</v>
      </c>
      <c r="J1769" t="str">
        <f>_xll.BDP($B1769,"CNTRY_OF_DOMICILE")</f>
        <v>US</v>
      </c>
      <c r="K1769" t="s">
        <v>98</v>
      </c>
      <c r="L1769" t="s">
        <v>99</v>
      </c>
      <c r="O1769" s="1"/>
      <c r="AQ1769" s="1"/>
      <c r="AR1769" s="1"/>
      <c r="AS1769" s="1"/>
    </row>
    <row r="1770" spans="1:45" x14ac:dyDescent="0.25">
      <c r="A1770" t="s">
        <v>5009</v>
      </c>
      <c r="B1770" t="s">
        <v>5079</v>
      </c>
      <c r="C1770" s="1" t="s">
        <v>5080</v>
      </c>
      <c r="D1770" t="s">
        <v>5081</v>
      </c>
      <c r="E1770" t="str">
        <f>_xll.BDP($B1770,"LEGAL_ENTITY_IDENTIFIER")</f>
        <v>549300D9GZ4BMLDW5T40</v>
      </c>
      <c r="F1770" t="s">
        <v>5081</v>
      </c>
      <c r="G1770" t="str">
        <f>custodian!D1770</f>
        <v>550021109</v>
      </c>
      <c r="H1770" t="str">
        <f>_xll.BDP($B1770,"ID_ISIN")</f>
        <v>US5500211090</v>
      </c>
      <c r="I1770" s="1" t="s">
        <v>5080</v>
      </c>
      <c r="J1770" t="str">
        <f>_xll.BDP($B1770,"CNTRY_OF_DOMICILE")</f>
        <v>CA</v>
      </c>
      <c r="K1770" t="s">
        <v>98</v>
      </c>
      <c r="L1770" t="s">
        <v>99</v>
      </c>
      <c r="O1770" s="1"/>
      <c r="AQ1770" s="1"/>
      <c r="AR1770" s="1"/>
      <c r="AS1770" s="1"/>
    </row>
    <row r="1771" spans="1:45" x14ac:dyDescent="0.25">
      <c r="A1771" t="s">
        <v>5009</v>
      </c>
      <c r="B1771" t="s">
        <v>5082</v>
      </c>
      <c r="C1771" s="1" t="s">
        <v>5083</v>
      </c>
      <c r="D1771" t="s">
        <v>5084</v>
      </c>
      <c r="E1771" t="str">
        <f>_xll.BDP($B1771,"LEGAL_ENTITY_IDENTIFIER")</f>
        <v>787RXPR0UX0O0XUXPZ81</v>
      </c>
      <c r="F1771" t="s">
        <v>5084</v>
      </c>
      <c r="G1771" t="str">
        <f>custodian!D1771</f>
        <v>654106103</v>
      </c>
      <c r="H1771" t="str">
        <f>_xll.BDP($B1771,"ID_ISIN")</f>
        <v>US6541061031</v>
      </c>
      <c r="I1771" s="1" t="s">
        <v>5083</v>
      </c>
      <c r="J1771" t="str">
        <f>_xll.BDP($B1771,"CNTRY_OF_DOMICILE")</f>
        <v>US</v>
      </c>
      <c r="K1771" t="s">
        <v>98</v>
      </c>
      <c r="L1771" t="s">
        <v>99</v>
      </c>
      <c r="O1771" s="1"/>
      <c r="AQ1771" s="1"/>
      <c r="AR1771" s="1"/>
      <c r="AS1771" s="1"/>
    </row>
    <row r="1772" spans="1:45" x14ac:dyDescent="0.25">
      <c r="A1772" t="s">
        <v>5009</v>
      </c>
      <c r="B1772" t="s">
        <v>5085</v>
      </c>
      <c r="C1772" s="1" t="s">
        <v>5086</v>
      </c>
      <c r="D1772" t="s">
        <v>5087</v>
      </c>
      <c r="E1772" t="str">
        <f>_xll.BDP($B1772,"LEGAL_ENTITY_IDENTIFIER")</f>
        <v>506700FB3467B9W95526</v>
      </c>
      <c r="F1772" t="s">
        <v>5087</v>
      </c>
      <c r="G1772" t="str">
        <f>custodian!D1772</f>
        <v>H5919C104</v>
      </c>
      <c r="H1772" t="str">
        <f>_xll.BDP($B1772,"ID_ISIN")</f>
        <v>CH1134540470</v>
      </c>
      <c r="I1772" s="1" t="s">
        <v>5086</v>
      </c>
      <c r="J1772" t="str">
        <f>_xll.BDP($B1772,"CNTRY_OF_DOMICILE")</f>
        <v>CH</v>
      </c>
      <c r="K1772" t="s">
        <v>98</v>
      </c>
      <c r="L1772" t="s">
        <v>99</v>
      </c>
      <c r="O1772" s="1"/>
      <c r="AQ1772" s="1"/>
      <c r="AR1772" s="1"/>
      <c r="AS1772" s="1"/>
    </row>
    <row r="1773" spans="1:45" x14ac:dyDescent="0.25">
      <c r="A1773" t="s">
        <v>5009</v>
      </c>
      <c r="B1773" t="s">
        <v>5088</v>
      </c>
      <c r="C1773" s="1" t="s">
        <v>5089</v>
      </c>
      <c r="D1773" t="s">
        <v>5090</v>
      </c>
      <c r="E1773" t="str">
        <f>_xll.BDP($B1773,"LEGAL_ENTITY_IDENTIFIER")</f>
        <v>IDZ20O0XD3GS4UOI2L88</v>
      </c>
      <c r="F1773" t="s">
        <v>5090</v>
      </c>
      <c r="G1773" t="str">
        <f>custodian!D1773</f>
        <v>691497309</v>
      </c>
      <c r="H1773" t="str">
        <f>_xll.BDP($B1773,"ID_ISIN")</f>
        <v>US6914973093</v>
      </c>
      <c r="I1773" s="1" t="s">
        <v>5089</v>
      </c>
      <c r="J1773" t="str">
        <f>_xll.BDP($B1773,"CNTRY_OF_DOMICILE")</f>
        <v>US</v>
      </c>
      <c r="K1773" t="s">
        <v>98</v>
      </c>
      <c r="L1773" t="s">
        <v>99</v>
      </c>
      <c r="O1773" s="1"/>
      <c r="AQ1773" s="1"/>
      <c r="AR1773" s="1"/>
      <c r="AS1773" s="1"/>
    </row>
    <row r="1774" spans="1:45" x14ac:dyDescent="0.25">
      <c r="A1774" t="s">
        <v>5009</v>
      </c>
      <c r="B1774" t="s">
        <v>5091</v>
      </c>
      <c r="C1774" s="1" t="s">
        <v>5092</v>
      </c>
      <c r="D1774" t="s">
        <v>5093</v>
      </c>
      <c r="E1774" t="str">
        <f>_xll.BDP($B1774,"LEGAL_ENTITY_IDENTIFIER")</f>
        <v>123WALMHY1GZXG2YDL90</v>
      </c>
      <c r="F1774" t="s">
        <v>5093</v>
      </c>
      <c r="G1774" t="str">
        <f>custodian!D1774</f>
        <v>693656100</v>
      </c>
      <c r="H1774" t="str">
        <f>_xll.BDP($B1774,"ID_ISIN")</f>
        <v>US6936561009</v>
      </c>
      <c r="I1774" s="1" t="s">
        <v>5092</v>
      </c>
      <c r="J1774" t="str">
        <f>_xll.BDP($B1774,"CNTRY_OF_DOMICILE")</f>
        <v>US</v>
      </c>
      <c r="K1774" t="s">
        <v>98</v>
      </c>
      <c r="L1774" t="s">
        <v>99</v>
      </c>
      <c r="O1774" s="1"/>
      <c r="AQ1774" s="1"/>
      <c r="AR1774" s="1"/>
      <c r="AS1774" s="1"/>
    </row>
    <row r="1775" spans="1:45" x14ac:dyDescent="0.25">
      <c r="A1775" t="s">
        <v>5009</v>
      </c>
      <c r="B1775" t="s">
        <v>5094</v>
      </c>
      <c r="C1775" s="1" t="s">
        <v>5095</v>
      </c>
      <c r="D1775" t="s">
        <v>5096</v>
      </c>
      <c r="E1775" t="str">
        <f>_xll.BDP($B1775,"LEGAL_ENTITY_IDENTIFIER")</f>
        <v>549300RIVY5EX8RCON76</v>
      </c>
      <c r="F1775" t="s">
        <v>5096</v>
      </c>
      <c r="G1775" t="str">
        <f>custodian!D1775</f>
        <v>N3167Y103</v>
      </c>
      <c r="H1775" t="str">
        <f>_xll.BDP($B1775,"ID_ISIN")</f>
        <v>NL0011585146</v>
      </c>
      <c r="I1775" s="1" t="s">
        <v>5095</v>
      </c>
      <c r="J1775" t="str">
        <f>_xll.BDP($B1775,"CNTRY_OF_DOMICILE")</f>
        <v>IT</v>
      </c>
      <c r="K1775" t="s">
        <v>98</v>
      </c>
      <c r="L1775" t="s">
        <v>99</v>
      </c>
      <c r="O1775" s="1"/>
      <c r="AQ1775" s="1"/>
      <c r="AR1775" s="1"/>
      <c r="AS1775" s="1"/>
    </row>
    <row r="1776" spans="1:45" x14ac:dyDescent="0.25">
      <c r="A1776" t="s">
        <v>5009</v>
      </c>
      <c r="B1776" t="s">
        <v>5097</v>
      </c>
      <c r="C1776" s="1" t="s">
        <v>5098</v>
      </c>
      <c r="D1776" t="s">
        <v>5099</v>
      </c>
      <c r="E1776" t="str">
        <f>_xll.BDP($B1776,"LEGAL_ENTITY_IDENTIFIER")</f>
        <v>5299004HQ6GCTW838N96</v>
      </c>
      <c r="F1776" t="s">
        <v>5099</v>
      </c>
      <c r="G1776" t="str">
        <f>custodian!D1776</f>
        <v>774515100</v>
      </c>
      <c r="H1776" t="str">
        <f>_xll.BDP($B1776,"ID_ISIN")</f>
        <v>US7745151008</v>
      </c>
      <c r="I1776" s="1" t="s">
        <v>5098</v>
      </c>
      <c r="J1776" t="str">
        <f>_xll.BDP($B1776,"CNTRY_OF_DOMICILE")</f>
        <v>US</v>
      </c>
      <c r="K1776" t="s">
        <v>98</v>
      </c>
      <c r="L1776" t="s">
        <v>99</v>
      </c>
      <c r="O1776" s="1"/>
      <c r="AQ1776" s="1"/>
      <c r="AR1776" s="1"/>
      <c r="AS1776" s="1"/>
    </row>
    <row r="1777" spans="1:45" x14ac:dyDescent="0.25">
      <c r="A1777" t="s">
        <v>5009</v>
      </c>
      <c r="B1777" t="s">
        <v>5100</v>
      </c>
      <c r="C1777" s="1" t="s">
        <v>5101</v>
      </c>
      <c r="D1777" t="s">
        <v>5102</v>
      </c>
      <c r="E1777" t="str">
        <f>_xll.BDP($B1777,"LEGAL_ENTITY_IDENTIFIER")</f>
        <v>549300O00VUGT4H1PE90</v>
      </c>
      <c r="F1777" t="s">
        <v>5102</v>
      </c>
      <c r="G1777" t="str">
        <f>custodian!D1777</f>
        <v>88339P101</v>
      </c>
      <c r="H1777" t="str">
        <f>_xll.BDP($B1777,"ID_ISIN")</f>
        <v>US88339P1012</v>
      </c>
      <c r="I1777" s="1" t="s">
        <v>5101</v>
      </c>
      <c r="J1777" t="str">
        <f>_xll.BDP($B1777,"CNTRY_OF_DOMICILE")</f>
        <v>US</v>
      </c>
      <c r="K1777" t="s">
        <v>98</v>
      </c>
      <c r="L1777" t="s">
        <v>99</v>
      </c>
      <c r="O1777" s="1"/>
      <c r="AQ1777" s="1"/>
      <c r="AR1777" s="1"/>
      <c r="AS1777" s="1"/>
    </row>
    <row r="1778" spans="1:45" x14ac:dyDescent="0.25">
      <c r="A1778" t="s">
        <v>5009</v>
      </c>
      <c r="B1778" t="s">
        <v>5103</v>
      </c>
      <c r="C1778" s="1" t="s">
        <v>5104</v>
      </c>
      <c r="D1778" t="s">
        <v>5104</v>
      </c>
      <c r="E1778" t="str">
        <f>_xll.BDP($B1778,"LEGAL_ENTITY_IDENTIFIER")</f>
        <v>5493008MTS3OGGMHGK69</v>
      </c>
      <c r="F1778" t="s">
        <v>5104</v>
      </c>
      <c r="G1778" t="str">
        <f>custodian!D1778</f>
        <v>74967X103</v>
      </c>
      <c r="H1778" t="str">
        <f>_xll.BDP($B1778,"ID_ISIN")</f>
        <v>US74967X1037</v>
      </c>
      <c r="I1778" s="1" t="s">
        <v>5104</v>
      </c>
      <c r="J1778" t="str">
        <f>_xll.BDP($B1778,"CNTRY_OF_DOMICILE")</f>
        <v>US</v>
      </c>
      <c r="K1778" t="s">
        <v>98</v>
      </c>
      <c r="L1778" t="s">
        <v>99</v>
      </c>
      <c r="O1778" s="1"/>
      <c r="AQ1778" s="1"/>
      <c r="AR1778" s="1"/>
      <c r="AS1778" s="1"/>
    </row>
    <row r="1779" spans="1:45" x14ac:dyDescent="0.25">
      <c r="A1779" t="s">
        <v>5009</v>
      </c>
      <c r="B1779" t="s">
        <v>4539</v>
      </c>
      <c r="C1779" s="1" t="s">
        <v>4540</v>
      </c>
      <c r="D1779" t="s">
        <v>4541</v>
      </c>
      <c r="E1779" t="str">
        <f>_xll.BDP($B1779,"LEGAL_ENTITY_IDENTIFIER")</f>
        <v>HO1QNWM0IXBZ0QSMMO20</v>
      </c>
      <c r="F1779" t="s">
        <v>4541</v>
      </c>
      <c r="G1779" t="str">
        <f>custodian!D1779</f>
        <v>751212101</v>
      </c>
      <c r="H1779" t="str">
        <f>_xll.BDP($B1779,"ID_ISIN")</f>
        <v>US7512121010</v>
      </c>
      <c r="I1779" s="1" t="s">
        <v>4540</v>
      </c>
      <c r="J1779" t="str">
        <f>_xll.BDP($B1779,"CNTRY_OF_DOMICILE")</f>
        <v>US</v>
      </c>
      <c r="K1779" t="s">
        <v>98</v>
      </c>
      <c r="L1779" t="s">
        <v>99</v>
      </c>
      <c r="O1779" s="1"/>
      <c r="AQ1779" s="1"/>
      <c r="AR1779" s="1"/>
      <c r="AS1779" s="1"/>
    </row>
    <row r="1780" spans="1:45" x14ac:dyDescent="0.25">
      <c r="A1780" t="s">
        <v>5009</v>
      </c>
      <c r="B1780" t="s">
        <v>5105</v>
      </c>
      <c r="C1780" s="1" t="s">
        <v>5106</v>
      </c>
      <c r="D1780" t="s">
        <v>5107</v>
      </c>
      <c r="E1780" t="str">
        <f>_xll.BDP($B1780,"LEGAL_ENTITY_IDENTIFIER")</f>
        <v>#N/A N/A</v>
      </c>
      <c r="F1780" t="s">
        <v>5107</v>
      </c>
      <c r="G1780" t="str">
        <f>custodian!D1780</f>
        <v>76156B107</v>
      </c>
      <c r="H1780" t="str">
        <f>_xll.BDP($B1780,"ID_ISIN")</f>
        <v>US76156B1070</v>
      </c>
      <c r="I1780" s="1" t="s">
        <v>5106</v>
      </c>
      <c r="J1780" t="str">
        <f>_xll.BDP($B1780,"CNTRY_OF_DOMICILE")</f>
        <v>US</v>
      </c>
      <c r="K1780" t="s">
        <v>98</v>
      </c>
      <c r="L1780" t="s">
        <v>99</v>
      </c>
      <c r="O1780" s="1"/>
      <c r="AQ1780" s="1"/>
      <c r="AR1780" s="1"/>
      <c r="AS1780" s="1"/>
    </row>
    <row r="1781" spans="1:45" x14ac:dyDescent="0.25">
      <c r="A1781" t="s">
        <v>5009</v>
      </c>
      <c r="B1781" t="s">
        <v>5108</v>
      </c>
      <c r="C1781" s="1" t="s">
        <v>5109</v>
      </c>
      <c r="D1781" t="s">
        <v>5110</v>
      </c>
      <c r="E1781" t="str">
        <f>_xll.BDP($B1781,"LEGAL_ENTITY_IDENTIFIER")</f>
        <v>549300TNHOVBOJZIYE72</v>
      </c>
      <c r="F1781" t="s">
        <v>5110</v>
      </c>
      <c r="G1781" t="str">
        <f>custodian!D1781</f>
        <v>860897107</v>
      </c>
      <c r="H1781" t="str">
        <f>_xll.BDP($B1781,"ID_ISIN")</f>
        <v>US8608971078</v>
      </c>
      <c r="I1781" s="1" t="s">
        <v>5109</v>
      </c>
      <c r="J1781" t="str">
        <f>_xll.BDP($B1781,"CNTRY_OF_DOMICILE")</f>
        <v>US</v>
      </c>
      <c r="K1781" t="s">
        <v>98</v>
      </c>
      <c r="L1781" t="s">
        <v>99</v>
      </c>
      <c r="O1781" s="1"/>
      <c r="AQ1781" s="1"/>
      <c r="AR1781" s="1"/>
      <c r="AS1781" s="1"/>
    </row>
    <row r="1782" spans="1:45" x14ac:dyDescent="0.25">
      <c r="A1782" t="s">
        <v>5009</v>
      </c>
      <c r="B1782" t="s">
        <v>5111</v>
      </c>
      <c r="C1782" s="1" t="s">
        <v>5112</v>
      </c>
      <c r="D1782" t="s">
        <v>5113</v>
      </c>
      <c r="E1782" t="str">
        <f>_xll.BDP($B1782,"LEGAL_ENTITY_IDENTIFIER")</f>
        <v>549300Z9GZ7GYJWSGF43</v>
      </c>
      <c r="F1782" t="s">
        <v>5113</v>
      </c>
      <c r="G1782" t="str">
        <f>custodian!D1782</f>
        <v>556269108</v>
      </c>
      <c r="H1782" t="str">
        <f>_xll.BDP($B1782,"ID_ISIN")</f>
        <v>US5562691080</v>
      </c>
      <c r="I1782" s="1" t="s">
        <v>5112</v>
      </c>
      <c r="J1782" t="str">
        <f>_xll.BDP($B1782,"CNTRY_OF_DOMICILE")</f>
        <v>US</v>
      </c>
      <c r="K1782" t="s">
        <v>98</v>
      </c>
      <c r="L1782" t="s">
        <v>99</v>
      </c>
      <c r="O1782" s="1"/>
      <c r="AQ1782" s="1"/>
      <c r="AR1782" s="1"/>
      <c r="AS1782" s="1"/>
    </row>
    <row r="1783" spans="1:45" x14ac:dyDescent="0.25">
      <c r="A1783" t="s">
        <v>5009</v>
      </c>
      <c r="B1783" t="s">
        <v>5114</v>
      </c>
      <c r="C1783" s="1" t="s">
        <v>5115</v>
      </c>
      <c r="D1783" t="s">
        <v>5116</v>
      </c>
      <c r="E1783" t="str">
        <f>_xll.BDP($B1783,"LEGAL_ENTITY_IDENTIFIER")</f>
        <v>549300JKGKTKX3L3XK25</v>
      </c>
      <c r="F1783" t="s">
        <v>5116</v>
      </c>
      <c r="G1783" t="str">
        <f>custodian!D1783</f>
        <v>88556E102</v>
      </c>
      <c r="H1783" t="str">
        <f>_xll.BDP($B1783,"ID_ISIN")</f>
        <v>US88556E1029</v>
      </c>
      <c r="I1783" s="1" t="s">
        <v>5115</v>
      </c>
      <c r="J1783" t="str">
        <f>_xll.BDP($B1783,"CNTRY_OF_DOMICILE")</f>
        <v>US</v>
      </c>
      <c r="K1783" t="s">
        <v>98</v>
      </c>
      <c r="L1783" t="s">
        <v>99</v>
      </c>
      <c r="O1783" s="1"/>
      <c r="AQ1783" s="1"/>
      <c r="AR1783" s="1"/>
      <c r="AS1783" s="1"/>
    </row>
    <row r="1784" spans="1:45" x14ac:dyDescent="0.25">
      <c r="A1784" t="s">
        <v>5009</v>
      </c>
      <c r="B1784" t="s">
        <v>4548</v>
      </c>
      <c r="C1784" s="1" t="s">
        <v>4549</v>
      </c>
      <c r="D1784" t="s">
        <v>4550</v>
      </c>
      <c r="E1784" t="str">
        <f>_xll.BDP($B1784,"LEGAL_ENTITY_IDENTIFIER")</f>
        <v>549300LJNVY5SW3VTN33</v>
      </c>
      <c r="F1784" t="s">
        <v>4550</v>
      </c>
      <c r="G1784" t="str">
        <f>custodian!D1784</f>
        <v>876030107</v>
      </c>
      <c r="H1784" t="str">
        <f>_xll.BDP($B1784,"ID_ISIN")</f>
        <v>US8760301072</v>
      </c>
      <c r="I1784" s="1" t="s">
        <v>4549</v>
      </c>
      <c r="J1784" t="str">
        <f>_xll.BDP($B1784,"CNTRY_OF_DOMICILE")</f>
        <v>US</v>
      </c>
      <c r="K1784" t="s">
        <v>98</v>
      </c>
      <c r="L1784" t="s">
        <v>99</v>
      </c>
      <c r="O1784" s="1"/>
      <c r="AQ1784" s="1"/>
      <c r="AR1784" s="1"/>
      <c r="AS1784" s="1"/>
    </row>
    <row r="1785" spans="1:45" x14ac:dyDescent="0.25">
      <c r="A1785" t="s">
        <v>5009</v>
      </c>
      <c r="B1785" t="s">
        <v>5117</v>
      </c>
      <c r="C1785" s="1" t="s">
        <v>5118</v>
      </c>
      <c r="D1785" t="s">
        <v>5119</v>
      </c>
      <c r="E1785" t="str">
        <f>_xll.BDP($B1785,"LEGAL_ENTITY_IDENTIFIER")</f>
        <v>549300D4549QKWETZ406</v>
      </c>
      <c r="F1785" t="s">
        <v>5119</v>
      </c>
      <c r="G1785" t="str">
        <f>custodian!D1785</f>
        <v>904311107</v>
      </c>
      <c r="H1785" t="str">
        <f>_xll.BDP($B1785,"ID_ISIN")</f>
        <v>US9043111072</v>
      </c>
      <c r="I1785" s="1" t="s">
        <v>5118</v>
      </c>
      <c r="J1785" t="str">
        <f>_xll.BDP($B1785,"CNTRY_OF_DOMICILE")</f>
        <v>US</v>
      </c>
      <c r="K1785" t="s">
        <v>98</v>
      </c>
      <c r="L1785" t="s">
        <v>99</v>
      </c>
      <c r="O1785" s="1"/>
      <c r="AQ1785" s="1"/>
      <c r="AR1785" s="1"/>
      <c r="AS1785" s="1"/>
    </row>
    <row r="1786" spans="1:45" x14ac:dyDescent="0.25">
      <c r="A1786" t="s">
        <v>5009</v>
      </c>
      <c r="B1786" t="s">
        <v>5120</v>
      </c>
      <c r="C1786" s="1" t="s">
        <v>5121</v>
      </c>
      <c r="D1786" t="s">
        <v>5122</v>
      </c>
      <c r="E1786" t="str">
        <f>_xll.BDP($B1786,"LEGAL_ENTITY_IDENTIFIER")</f>
        <v>549300N3DUFR5U6NRN38</v>
      </c>
      <c r="F1786" t="s">
        <v>5122</v>
      </c>
      <c r="G1786" t="str">
        <f>custodian!D1786</f>
        <v>917047102</v>
      </c>
      <c r="H1786" t="str">
        <f>_xll.BDP($B1786,"ID_ISIN")</f>
        <v>US9170471026</v>
      </c>
      <c r="I1786" s="1" t="s">
        <v>5121</v>
      </c>
      <c r="J1786" t="str">
        <f>_xll.BDP($B1786,"CNTRY_OF_DOMICILE")</f>
        <v>US</v>
      </c>
      <c r="K1786" t="s">
        <v>98</v>
      </c>
      <c r="L1786" t="s">
        <v>99</v>
      </c>
      <c r="O1786" s="1"/>
      <c r="AQ1786" s="1"/>
      <c r="AR1786" s="1"/>
      <c r="AS1786" s="1"/>
    </row>
    <row r="1787" spans="1:45" x14ac:dyDescent="0.25">
      <c r="A1787" t="s">
        <v>5009</v>
      </c>
      <c r="B1787" t="s">
        <v>5123</v>
      </c>
      <c r="C1787" s="1" t="s">
        <v>5124</v>
      </c>
      <c r="D1787" t="s">
        <v>5125</v>
      </c>
      <c r="E1787" t="str">
        <f>_xll.BDP($B1787,"LEGAL_ENTITY_IDENTIFIER")</f>
        <v>CWAJJ9DJ5Z7P057HV541</v>
      </c>
      <c r="F1787" t="s">
        <v>5125</v>
      </c>
      <c r="G1787" t="str">
        <f>custodian!D1787</f>
        <v>918204108</v>
      </c>
      <c r="H1787" t="str">
        <f>_xll.BDP($B1787,"ID_ISIN")</f>
        <v>US9182041080</v>
      </c>
      <c r="I1787" s="1" t="s">
        <v>5124</v>
      </c>
      <c r="J1787" t="str">
        <f>_xll.BDP($B1787,"CNTRY_OF_DOMICILE")</f>
        <v>US</v>
      </c>
      <c r="K1787" t="s">
        <v>98</v>
      </c>
      <c r="L1787" t="s">
        <v>99</v>
      </c>
      <c r="O1787" s="1"/>
      <c r="AQ1787" s="1"/>
      <c r="AR1787" s="1"/>
      <c r="AS1787" s="1"/>
    </row>
    <row r="1788" spans="1:45" x14ac:dyDescent="0.25">
      <c r="A1788" t="s">
        <v>5009</v>
      </c>
      <c r="B1788" t="s">
        <v>5126</v>
      </c>
      <c r="C1788" s="1" t="s">
        <v>5127</v>
      </c>
      <c r="D1788" t="s">
        <v>5128</v>
      </c>
      <c r="E1788" t="str">
        <f>_xll.BDP($B1788,"LEGAL_ENTITY_IDENTIFIER")</f>
        <v>5493006T3O70U3UWVF17</v>
      </c>
      <c r="F1788" t="s">
        <v>5128</v>
      </c>
      <c r="G1788" t="str">
        <f>custodian!D1788</f>
        <v>926400102</v>
      </c>
      <c r="H1788" t="str">
        <f>_xll.BDP($B1788,"ID_ISIN")</f>
        <v>US9264001028</v>
      </c>
      <c r="I1788" s="1" t="s">
        <v>5127</v>
      </c>
      <c r="J1788" t="str">
        <f>_xll.BDP($B1788,"CNTRY_OF_DOMICILE")</f>
        <v>US</v>
      </c>
      <c r="K1788" t="s">
        <v>98</v>
      </c>
      <c r="L1788" t="s">
        <v>99</v>
      </c>
      <c r="O1788" s="1"/>
      <c r="AQ1788" s="1"/>
      <c r="AR1788" s="1"/>
      <c r="AS1788" s="1"/>
    </row>
    <row r="1789" spans="1:45" x14ac:dyDescent="0.25">
      <c r="A1789" t="s">
        <v>5009</v>
      </c>
      <c r="B1789" t="s">
        <v>5129</v>
      </c>
      <c r="C1789" s="1" t="s">
        <v>5130</v>
      </c>
      <c r="D1789" t="s">
        <v>5131</v>
      </c>
      <c r="E1789" t="str">
        <f>_xll.BDP($B1789,"LEGAL_ENTITY_IDENTIFIER")</f>
        <v>#N/A N/A</v>
      </c>
      <c r="F1789" t="s">
        <v>5131</v>
      </c>
      <c r="G1789" t="str">
        <f>custodian!D1789</f>
        <v>93403J106</v>
      </c>
      <c r="H1789" t="str">
        <f>_xll.BDP($B1789,"ID_ISIN")</f>
        <v>US93403J1060</v>
      </c>
      <c r="I1789" s="1" t="s">
        <v>5130</v>
      </c>
      <c r="J1789" t="str">
        <f>_xll.BDP($B1789,"CNTRY_OF_DOMICILE")</f>
        <v>US</v>
      </c>
      <c r="K1789" t="s">
        <v>98</v>
      </c>
      <c r="L1789" t="s">
        <v>99</v>
      </c>
      <c r="O1789" s="1"/>
      <c r="AQ1789" s="1"/>
      <c r="AR1789" s="1"/>
      <c r="AS1789" s="1"/>
    </row>
    <row r="1790" spans="1:45" x14ac:dyDescent="0.25">
      <c r="A1790" t="s">
        <v>5009</v>
      </c>
      <c r="B1790" t="s">
        <v>5132</v>
      </c>
      <c r="C1790" s="1" t="s">
        <v>5133</v>
      </c>
      <c r="D1790" t="s">
        <v>5134</v>
      </c>
      <c r="E1790" t="str">
        <f>_xll.BDP($B1790,"LEGAL_ENTITY_IDENTIFIER")</f>
        <v>549300OVC7PK14LQ8D87</v>
      </c>
      <c r="F1790" t="s">
        <v>5134</v>
      </c>
      <c r="G1790" t="str">
        <f>custodian!D1790</f>
        <v>978097103</v>
      </c>
      <c r="H1790" t="str">
        <f>_xll.BDP($B1790,"ID_ISIN")</f>
        <v>US9780971035</v>
      </c>
      <c r="I1790" s="1" t="s">
        <v>5133</v>
      </c>
      <c r="J1790" t="str">
        <f>_xll.BDP($B1790,"CNTRY_OF_DOMICILE")</f>
        <v>US</v>
      </c>
      <c r="K1790" t="s">
        <v>98</v>
      </c>
      <c r="L1790" t="s">
        <v>99</v>
      </c>
      <c r="O1790" s="1"/>
      <c r="AQ1790" s="1"/>
      <c r="AR1790" s="1"/>
      <c r="AS1790" s="1"/>
    </row>
    <row r="1791" spans="1:45" x14ac:dyDescent="0.25">
      <c r="A1791" t="s">
        <v>5009</v>
      </c>
      <c r="B1791" t="s">
        <v>5135</v>
      </c>
      <c r="C1791" s="1" t="s">
        <v>5136</v>
      </c>
      <c r="D1791" t="s">
        <v>5137</v>
      </c>
      <c r="E1791" t="str">
        <f>_xll.BDP($B1791,"LEGAL_ENTITY_IDENTIFIER")</f>
        <v>549300DSQICIGNT5GO63</v>
      </c>
      <c r="F1791" t="s">
        <v>5137</v>
      </c>
      <c r="G1791" t="str">
        <f>custodian!D1791</f>
        <v>98585X104</v>
      </c>
      <c r="H1791" t="str">
        <f>_xll.BDP($B1791,"ID_ISIN")</f>
        <v>US98585X1046</v>
      </c>
      <c r="I1791" s="1" t="s">
        <v>5136</v>
      </c>
      <c r="J1791" t="str">
        <f>_xll.BDP($B1791,"CNTRY_OF_DOMICILE")</f>
        <v>US</v>
      </c>
      <c r="K1791" t="s">
        <v>98</v>
      </c>
      <c r="L1791" t="s">
        <v>99</v>
      </c>
      <c r="O1791" s="1"/>
      <c r="AQ1791" s="1"/>
      <c r="AR1791" s="1"/>
      <c r="AS1791" s="1"/>
    </row>
    <row r="1792" spans="1:45" x14ac:dyDescent="0.25">
      <c r="A1792" t="s">
        <v>5009</v>
      </c>
      <c r="B1792" t="s">
        <v>5138</v>
      </c>
      <c r="C1792" s="1" t="s">
        <v>5139</v>
      </c>
      <c r="D1792" t="s">
        <v>5140</v>
      </c>
      <c r="E1792" t="str">
        <f>_xll.BDP($B1792,"LEGAL_ENTITY_IDENTIFIER")</f>
        <v>8156003760472AA7E269</v>
      </c>
      <c r="F1792" t="s">
        <v>5140</v>
      </c>
      <c r="G1792" t="str">
        <f>custodian!D1792</f>
        <v>N30577105</v>
      </c>
      <c r="H1792" t="str">
        <f>_xll.BDP($B1792,"ID_ISIN")</f>
        <v>NL0015000PB5</v>
      </c>
      <c r="I1792" s="1" t="s">
        <v>5139</v>
      </c>
      <c r="J1792" t="str">
        <f>_xll.BDP($B1792,"CNTRY_OF_DOMICILE")</f>
        <v>IT</v>
      </c>
      <c r="K1792" t="s">
        <v>98</v>
      </c>
      <c r="L1792" t="s">
        <v>99</v>
      </c>
      <c r="O1792" s="1"/>
      <c r="AQ1792" s="1"/>
      <c r="AR1792" s="1"/>
      <c r="AS1792" s="1"/>
    </row>
    <row r="1793" spans="1:45" x14ac:dyDescent="0.25">
      <c r="A1793" t="s">
        <v>5009</v>
      </c>
      <c r="B1793" t="s">
        <v>5141</v>
      </c>
      <c r="C1793" s="1" t="s">
        <v>5142</v>
      </c>
      <c r="D1793" t="s">
        <v>5143</v>
      </c>
      <c r="E1793" t="str">
        <f>_xll.BDP($B1793,"LEGAL_ENTITY_IDENTIFIER")</f>
        <v>549300J0PDF58P6HZD25</v>
      </c>
      <c r="F1793" t="s">
        <v>5143</v>
      </c>
      <c r="G1793" t="str">
        <f>custodian!D1793</f>
        <v>989817101</v>
      </c>
      <c r="H1793" t="str">
        <f>_xll.BDP($B1793,"ID_ISIN")</f>
        <v>US9898171015</v>
      </c>
      <c r="I1793" s="1" t="s">
        <v>5142</v>
      </c>
      <c r="J1793" t="str">
        <f>_xll.BDP($B1793,"CNTRY_OF_DOMICILE")</f>
        <v>US</v>
      </c>
      <c r="K1793" t="s">
        <v>98</v>
      </c>
      <c r="L1793" t="s">
        <v>99</v>
      </c>
      <c r="O1793" s="1"/>
      <c r="AQ1793" s="1"/>
      <c r="AR1793" s="1"/>
      <c r="AS1793" s="1"/>
    </row>
    <row r="1794" spans="1:45" x14ac:dyDescent="0.25">
      <c r="A1794" t="s">
        <v>5009</v>
      </c>
      <c r="C1794" s="1" t="s">
        <v>52</v>
      </c>
      <c r="E1794" s="1"/>
      <c r="G1794" t="str">
        <f>custodian!D1794</f>
        <v>Cash&amp;Other</v>
      </c>
      <c r="H1794" s="1"/>
      <c r="I1794" s="1"/>
      <c r="O1794" s="1"/>
      <c r="AQ1794" s="1"/>
      <c r="AR1794" s="1"/>
      <c r="AS1794" s="1"/>
    </row>
    <row r="1795" spans="1:45" x14ac:dyDescent="0.25">
      <c r="A1795" t="s">
        <v>5144</v>
      </c>
      <c r="B1795" t="s">
        <v>5145</v>
      </c>
      <c r="C1795" s="1" t="s">
        <v>5146</v>
      </c>
      <c r="D1795" t="s">
        <v>56</v>
      </c>
      <c r="E1795" s="1" t="s">
        <v>56</v>
      </c>
      <c r="F1795" t="s">
        <v>5147</v>
      </c>
      <c r="G1795" t="str">
        <f>custodian!D1795</f>
        <v>46429B598-TRS-07/05/27-L-MREX</v>
      </c>
      <c r="H1795" s="1"/>
      <c r="I1795" s="1" t="s">
        <v>5146</v>
      </c>
      <c r="J1795" t="s">
        <v>58</v>
      </c>
      <c r="K1795" t="s">
        <v>59</v>
      </c>
      <c r="L1795" t="s">
        <v>60</v>
      </c>
      <c r="M1795" t="s">
        <v>61</v>
      </c>
      <c r="N1795" t="s">
        <v>87</v>
      </c>
      <c r="O1795" s="1" t="s">
        <v>88</v>
      </c>
      <c r="V1795" t="s">
        <v>64</v>
      </c>
      <c r="Y1795" t="s">
        <v>65</v>
      </c>
      <c r="Z1795" t="s">
        <v>4395</v>
      </c>
      <c r="AA1795" t="s">
        <v>5148</v>
      </c>
      <c r="AB1795" t="s">
        <v>68</v>
      </c>
      <c r="AD1795" t="s">
        <v>5148</v>
      </c>
      <c r="AE1795" t="s">
        <v>4405</v>
      </c>
      <c r="AF1795" t="s">
        <v>70</v>
      </c>
      <c r="AG1795" t="s">
        <v>5149</v>
      </c>
      <c r="AH1795" t="s">
        <v>72</v>
      </c>
      <c r="AI1795" t="s">
        <v>73</v>
      </c>
      <c r="AK1795" t="s">
        <v>5148</v>
      </c>
      <c r="AL1795" t="s">
        <v>68</v>
      </c>
      <c r="AM1795" t="s">
        <v>74</v>
      </c>
      <c r="AN1795" t="s">
        <v>75</v>
      </c>
      <c r="AO1795" t="str">
        <f>_xll.BDP($B1795,"ISSUER")</f>
        <v>iShares MSCI India ETF</v>
      </c>
      <c r="AP1795" t="str">
        <f>_xll.BDP($B1795,"NAME")</f>
        <v>ISHARES MSCI INDIA ETF</v>
      </c>
      <c r="AQ1795" s="1" t="s">
        <v>5150</v>
      </c>
      <c r="AR1795" t="str">
        <f>_xll.BDP($B1795,"ID_ISIN")</f>
        <v>US46429B5984</v>
      </c>
      <c r="AS1795" t="str">
        <f>_xll.BDP($B1795,"TICKER")</f>
        <v>INDA</v>
      </c>
    </row>
    <row r="1796" spans="1:45" x14ac:dyDescent="0.25">
      <c r="A1796" t="s">
        <v>5144</v>
      </c>
      <c r="B1796" t="s">
        <v>77</v>
      </c>
      <c r="C1796" s="1" t="s">
        <v>78</v>
      </c>
      <c r="D1796" t="s">
        <v>79</v>
      </c>
      <c r="E1796" t="str">
        <f>_xll.BDP($B1796,"LEGAL_ENTITY_IDENTIFIER")</f>
        <v>549300R5MYM6VZF1RM44</v>
      </c>
      <c r="F1796" t="s">
        <v>80</v>
      </c>
      <c r="G1796" t="str">
        <f>custodian!D1796</f>
        <v>31846V336</v>
      </c>
      <c r="H1796" t="str">
        <f>_xll.BDP($B1796,"ID_ISIN")</f>
        <v>US31846V3362</v>
      </c>
      <c r="I1796" s="1" t="s">
        <v>78</v>
      </c>
      <c r="J1796" t="str">
        <f>_xll.BDP($B1796,"CNTRY_OF_DOMICILE")</f>
        <v>US</v>
      </c>
      <c r="K1796" t="s">
        <v>81</v>
      </c>
      <c r="L1796" t="s">
        <v>82</v>
      </c>
      <c r="O1796" s="1"/>
      <c r="AQ1796" s="1"/>
      <c r="AR1796" s="1"/>
      <c r="AS1796" s="1"/>
    </row>
    <row r="1797" spans="1:45" x14ac:dyDescent="0.25">
      <c r="A1797" t="s">
        <v>5144</v>
      </c>
      <c r="C1797" s="1" t="s">
        <v>52</v>
      </c>
      <c r="E1797" s="1"/>
      <c r="G1797" t="str">
        <f>custodian!D1797</f>
        <v>Cash&amp;Other</v>
      </c>
      <c r="H1797" s="1"/>
      <c r="I1797" s="1"/>
      <c r="O1797" s="1"/>
      <c r="AQ1797" s="1"/>
      <c r="AR1797" s="1"/>
      <c r="AS1797" s="1"/>
    </row>
    <row r="1798" spans="1:45" x14ac:dyDescent="0.25">
      <c r="A1798" t="s">
        <v>5151</v>
      </c>
      <c r="B1798" t="s">
        <v>5152</v>
      </c>
      <c r="C1798" s="1" t="s">
        <v>5153</v>
      </c>
      <c r="D1798" t="s">
        <v>56</v>
      </c>
      <c r="E1798" s="1" t="s">
        <v>56</v>
      </c>
      <c r="F1798" t="s">
        <v>5154</v>
      </c>
      <c r="G1798" t="str">
        <f>custodian!D1798</f>
        <v>88262P102-TRS-12/01/27-L-CANT</v>
      </c>
      <c r="H1798" s="1"/>
      <c r="I1798" s="1" t="s">
        <v>5153</v>
      </c>
      <c r="J1798" t="s">
        <v>58</v>
      </c>
      <c r="K1798" t="s">
        <v>59</v>
      </c>
      <c r="L1798" t="s">
        <v>60</v>
      </c>
      <c r="M1798" t="s">
        <v>61</v>
      </c>
      <c r="N1798" t="s">
        <v>62</v>
      </c>
      <c r="O1798" s="1" t="s">
        <v>63</v>
      </c>
      <c r="V1798" t="s">
        <v>64</v>
      </c>
      <c r="Y1798" t="s">
        <v>65</v>
      </c>
      <c r="Z1798" t="s">
        <v>66</v>
      </c>
      <c r="AA1798" t="s">
        <v>5155</v>
      </c>
      <c r="AB1798" t="s">
        <v>68</v>
      </c>
      <c r="AD1798" t="s">
        <v>5155</v>
      </c>
      <c r="AE1798" t="s">
        <v>5156</v>
      </c>
      <c r="AF1798" t="s">
        <v>70</v>
      </c>
      <c r="AG1798" t="s">
        <v>5157</v>
      </c>
      <c r="AH1798" t="s">
        <v>72</v>
      </c>
      <c r="AI1798" t="s">
        <v>73</v>
      </c>
      <c r="AK1798" t="s">
        <v>5155</v>
      </c>
      <c r="AL1798" t="s">
        <v>68</v>
      </c>
      <c r="AM1798" t="s">
        <v>74</v>
      </c>
      <c r="AN1798" t="s">
        <v>75</v>
      </c>
      <c r="AO1798" t="str">
        <f>_xll.BDP($B1798,"ISSUER")</f>
        <v>Texas Pacific Land Corp</v>
      </c>
      <c r="AP1798" t="str">
        <f>_xll.BDP($B1798,"NAME")</f>
        <v>TEXAS PACIFIC LAND CORP</v>
      </c>
      <c r="AQ1798" s="1" t="s">
        <v>5158</v>
      </c>
      <c r="AR1798" t="str">
        <f>_xll.BDP($B1798,"ID_ISIN")</f>
        <v>US88262P1021</v>
      </c>
      <c r="AS1798" t="str">
        <f>_xll.BDP($B1798,"TICKER")</f>
        <v>TPL</v>
      </c>
    </row>
    <row r="1799" spans="1:45" x14ac:dyDescent="0.25">
      <c r="A1799" t="s">
        <v>5151</v>
      </c>
      <c r="B1799" t="s">
        <v>77</v>
      </c>
      <c r="C1799" s="1" t="s">
        <v>78</v>
      </c>
      <c r="D1799" t="s">
        <v>79</v>
      </c>
      <c r="E1799" t="str">
        <f>_xll.BDP($B1799,"LEGAL_ENTITY_IDENTIFIER")</f>
        <v>549300R5MYM6VZF1RM44</v>
      </c>
      <c r="F1799" t="s">
        <v>80</v>
      </c>
      <c r="G1799" t="str">
        <f>custodian!D1799</f>
        <v>31846V336</v>
      </c>
      <c r="H1799" t="str">
        <f>_xll.BDP($B1799,"ID_ISIN")</f>
        <v>US31846V3362</v>
      </c>
      <c r="I1799" s="1" t="s">
        <v>78</v>
      </c>
      <c r="J1799" t="str">
        <f>_xll.BDP($B1799,"CNTRY_OF_DOMICILE")</f>
        <v>US</v>
      </c>
      <c r="K1799" t="s">
        <v>81</v>
      </c>
      <c r="L1799" t="s">
        <v>82</v>
      </c>
      <c r="O1799" s="1"/>
      <c r="AQ1799" s="1"/>
      <c r="AR1799" s="1"/>
      <c r="AS1799" s="1"/>
    </row>
    <row r="1800" spans="1:45" x14ac:dyDescent="0.25">
      <c r="A1800" t="s">
        <v>5151</v>
      </c>
      <c r="C1800" s="1" t="s">
        <v>52</v>
      </c>
      <c r="E1800" s="1"/>
      <c r="G1800" t="str">
        <f>custodian!D1800</f>
        <v>Cash&amp;Other</v>
      </c>
      <c r="H1800" s="1"/>
      <c r="I1800" s="1"/>
      <c r="O1800" s="1"/>
      <c r="AQ1800" s="1"/>
      <c r="AR1800" s="1"/>
      <c r="AS1800" s="1"/>
    </row>
    <row r="1801" spans="1:45" x14ac:dyDescent="0.25">
      <c r="A1801" t="s">
        <v>5159</v>
      </c>
      <c r="B1801" t="s">
        <v>5160</v>
      </c>
      <c r="C1801" s="1" t="s">
        <v>5161</v>
      </c>
      <c r="D1801" t="s">
        <v>56</v>
      </c>
      <c r="E1801" s="1" t="s">
        <v>56</v>
      </c>
      <c r="F1801" t="s">
        <v>5162</v>
      </c>
      <c r="G1801" t="str">
        <f>custodian!D1801</f>
        <v>910873405-TRS-12/01/27-L-CANT</v>
      </c>
      <c r="H1801" s="1"/>
      <c r="I1801" s="1" t="s">
        <v>5161</v>
      </c>
      <c r="J1801" t="s">
        <v>58</v>
      </c>
      <c r="K1801" t="s">
        <v>59</v>
      </c>
      <c r="L1801" t="s">
        <v>60</v>
      </c>
      <c r="M1801" t="s">
        <v>61</v>
      </c>
      <c r="N1801" t="s">
        <v>62</v>
      </c>
      <c r="O1801" s="1" t="s">
        <v>63</v>
      </c>
      <c r="V1801" t="s">
        <v>64</v>
      </c>
      <c r="Y1801" t="s">
        <v>65</v>
      </c>
      <c r="Z1801" t="s">
        <v>66</v>
      </c>
      <c r="AA1801" t="s">
        <v>5163</v>
      </c>
      <c r="AB1801" t="s">
        <v>68</v>
      </c>
      <c r="AD1801" t="s">
        <v>5163</v>
      </c>
      <c r="AE1801" t="s">
        <v>5164</v>
      </c>
      <c r="AF1801" t="s">
        <v>70</v>
      </c>
      <c r="AG1801" t="s">
        <v>5165</v>
      </c>
      <c r="AH1801" t="s">
        <v>72</v>
      </c>
      <c r="AI1801" t="s">
        <v>73</v>
      </c>
      <c r="AK1801" t="s">
        <v>5163</v>
      </c>
      <c r="AL1801" t="s">
        <v>68</v>
      </c>
      <c r="AM1801" t="s">
        <v>74</v>
      </c>
      <c r="AN1801" t="s">
        <v>75</v>
      </c>
      <c r="AO1801" t="str">
        <f>_xll.BDP($B1801,"ISSUER")</f>
        <v>United Microelectronics Corp</v>
      </c>
      <c r="AP1801" t="str">
        <f>_xll.BDP($B1801,"NAME")</f>
        <v>UNITED MICROELECTRON-SP ADR</v>
      </c>
      <c r="AQ1801" s="1" t="s">
        <v>5166</v>
      </c>
      <c r="AR1801" t="str">
        <f>_xll.BDP($B1801,"ID_ISIN")</f>
        <v>US9108734057</v>
      </c>
      <c r="AS1801" t="str">
        <f>_xll.BDP($B1801,"TICKER")</f>
        <v>UMC</v>
      </c>
    </row>
    <row r="1802" spans="1:45" x14ac:dyDescent="0.25">
      <c r="A1802" t="s">
        <v>5159</v>
      </c>
      <c r="B1802" t="s">
        <v>77</v>
      </c>
      <c r="C1802" s="1" t="s">
        <v>78</v>
      </c>
      <c r="D1802" t="s">
        <v>79</v>
      </c>
      <c r="E1802" t="str">
        <f>_xll.BDP($B1802,"LEGAL_ENTITY_IDENTIFIER")</f>
        <v>549300R5MYM6VZF1RM44</v>
      </c>
      <c r="F1802" t="s">
        <v>80</v>
      </c>
      <c r="G1802" t="str">
        <f>custodian!D1802</f>
        <v>31846V336</v>
      </c>
      <c r="H1802" t="str">
        <f>_xll.BDP($B1802,"ID_ISIN")</f>
        <v>US31846V3362</v>
      </c>
      <c r="I1802" s="1" t="s">
        <v>78</v>
      </c>
      <c r="J1802" t="str">
        <f>_xll.BDP($B1802,"CNTRY_OF_DOMICILE")</f>
        <v>US</v>
      </c>
      <c r="K1802" t="s">
        <v>81</v>
      </c>
      <c r="L1802" t="s">
        <v>82</v>
      </c>
      <c r="O1802" s="1"/>
      <c r="AQ1802" s="1"/>
      <c r="AR1802" s="1"/>
      <c r="AS1802" s="1"/>
    </row>
    <row r="1803" spans="1:45" x14ac:dyDescent="0.25">
      <c r="A1803" t="s">
        <v>5159</v>
      </c>
      <c r="C1803" s="1" t="s">
        <v>52</v>
      </c>
      <c r="E1803" s="1"/>
      <c r="G1803" t="str">
        <f>custodian!D1803</f>
        <v>Cash&amp;Other</v>
      </c>
      <c r="H1803" s="1"/>
      <c r="I1803" s="1"/>
      <c r="O1803" s="1"/>
      <c r="AQ1803" s="1"/>
      <c r="AR1803" s="1"/>
      <c r="AS1803" s="1"/>
    </row>
    <row r="1804" spans="1:45" x14ac:dyDescent="0.25">
      <c r="A1804" t="s">
        <v>5167</v>
      </c>
      <c r="B1804" t="s">
        <v>5168</v>
      </c>
      <c r="C1804" s="1" t="s">
        <v>5169</v>
      </c>
      <c r="D1804" t="s">
        <v>56</v>
      </c>
      <c r="E1804" s="1" t="s">
        <v>56</v>
      </c>
      <c r="F1804" t="s">
        <v>5170</v>
      </c>
      <c r="G1804" t="str">
        <f>custodian!D1804</f>
        <v>922908769-TRS-07/07/27-L-CLST</v>
      </c>
      <c r="H1804" s="1"/>
      <c r="I1804" s="1" t="s">
        <v>5169</v>
      </c>
      <c r="J1804" t="s">
        <v>58</v>
      </c>
      <c r="K1804" t="s">
        <v>59</v>
      </c>
      <c r="L1804" t="s">
        <v>60</v>
      </c>
      <c r="M1804" t="s">
        <v>61</v>
      </c>
      <c r="N1804" t="s">
        <v>3372</v>
      </c>
      <c r="O1804" s="1" t="s">
        <v>3373</v>
      </c>
      <c r="V1804" t="s">
        <v>64</v>
      </c>
      <c r="Y1804" t="s">
        <v>65</v>
      </c>
      <c r="Z1804" t="s">
        <v>3374</v>
      </c>
      <c r="AA1804" t="s">
        <v>5171</v>
      </c>
      <c r="AB1804" t="s">
        <v>68</v>
      </c>
      <c r="AD1804" t="s">
        <v>5171</v>
      </c>
      <c r="AE1804" t="s">
        <v>4371</v>
      </c>
      <c r="AF1804" t="s">
        <v>70</v>
      </c>
      <c r="AG1804" t="s">
        <v>5172</v>
      </c>
      <c r="AH1804" t="s">
        <v>72</v>
      </c>
      <c r="AI1804" t="s">
        <v>73</v>
      </c>
      <c r="AK1804" t="s">
        <v>5171</v>
      </c>
      <c r="AL1804" t="s">
        <v>68</v>
      </c>
      <c r="AM1804" t="s">
        <v>74</v>
      </c>
      <c r="AN1804" t="s">
        <v>75</v>
      </c>
      <c r="AO1804" t="str">
        <f>_xll.BDP($B1804,"ISSUER")</f>
        <v>Vanguard Total Stock Market ET</v>
      </c>
      <c r="AP1804" t="str">
        <f>_xll.BDP($B1804,"NAME")</f>
        <v>VANGUARD TOTAL STOCK MKT ETF</v>
      </c>
      <c r="AQ1804" s="1" t="s">
        <v>5173</v>
      </c>
      <c r="AR1804" t="str">
        <f>_xll.BDP($B1804,"ID_ISIN")</f>
        <v>US9229087690</v>
      </c>
      <c r="AS1804" t="str">
        <f>_xll.BDP($B1804,"TICKER")</f>
        <v>VTI</v>
      </c>
    </row>
    <row r="1805" spans="1:45" x14ac:dyDescent="0.25">
      <c r="A1805" t="s">
        <v>5167</v>
      </c>
      <c r="B1805" t="s">
        <v>77</v>
      </c>
      <c r="C1805" s="1" t="s">
        <v>78</v>
      </c>
      <c r="D1805" t="s">
        <v>79</v>
      </c>
      <c r="E1805" t="str">
        <f>_xll.BDP($B1805,"LEGAL_ENTITY_IDENTIFIER")</f>
        <v>549300R5MYM6VZF1RM44</v>
      </c>
      <c r="F1805" t="s">
        <v>80</v>
      </c>
      <c r="G1805" t="str">
        <f>custodian!D1805</f>
        <v>31846V336</v>
      </c>
      <c r="H1805" t="str">
        <f>_xll.BDP($B1805,"ID_ISIN")</f>
        <v>US31846V3362</v>
      </c>
      <c r="I1805" s="1" t="s">
        <v>78</v>
      </c>
      <c r="J1805" t="str">
        <f>_xll.BDP($B1805,"CNTRY_OF_DOMICILE")</f>
        <v>US</v>
      </c>
      <c r="K1805" t="s">
        <v>81</v>
      </c>
      <c r="L1805" t="s">
        <v>82</v>
      </c>
      <c r="O1805" s="1"/>
      <c r="AQ1805" s="1"/>
      <c r="AR1805" s="1"/>
      <c r="AS1805" s="1"/>
    </row>
    <row r="1806" spans="1:45" x14ac:dyDescent="0.25">
      <c r="A1806" t="s">
        <v>5167</v>
      </c>
      <c r="C1806" s="1" t="s">
        <v>52</v>
      </c>
      <c r="E1806" s="1"/>
      <c r="G1806" t="str">
        <f>custodian!D1806</f>
        <v>Cash&amp;Other</v>
      </c>
      <c r="H1806" s="1"/>
      <c r="I1806" s="1"/>
      <c r="O1806" s="1"/>
      <c r="AQ1806" s="1"/>
      <c r="AR1806" s="1"/>
      <c r="AS1806" s="1"/>
    </row>
    <row r="1807" spans="1:45" x14ac:dyDescent="0.25">
      <c r="A1807" t="s">
        <v>5174</v>
      </c>
      <c r="B1807" t="s">
        <v>5175</v>
      </c>
      <c r="C1807" s="1" t="s">
        <v>5176</v>
      </c>
      <c r="D1807" t="s">
        <v>56</v>
      </c>
      <c r="E1807" s="1" t="s">
        <v>56</v>
      </c>
      <c r="F1807" t="s">
        <v>5177</v>
      </c>
      <c r="G1807" t="str">
        <f>custodian!D1807</f>
        <v>922908751-TRS-07/05/27-L-MREX</v>
      </c>
      <c r="H1807" s="1"/>
      <c r="I1807" s="1" t="s">
        <v>5176</v>
      </c>
      <c r="J1807" t="s">
        <v>58</v>
      </c>
      <c r="K1807" t="s">
        <v>59</v>
      </c>
      <c r="L1807" t="s">
        <v>60</v>
      </c>
      <c r="M1807" t="s">
        <v>61</v>
      </c>
      <c r="N1807" t="s">
        <v>87</v>
      </c>
      <c r="O1807" s="1" t="s">
        <v>88</v>
      </c>
      <c r="V1807" t="s">
        <v>64</v>
      </c>
      <c r="Y1807" t="s">
        <v>65</v>
      </c>
      <c r="Z1807" t="s">
        <v>4395</v>
      </c>
      <c r="AA1807" t="s">
        <v>5178</v>
      </c>
      <c r="AB1807" t="s">
        <v>68</v>
      </c>
      <c r="AD1807" t="s">
        <v>5178</v>
      </c>
      <c r="AE1807" t="s">
        <v>5179</v>
      </c>
      <c r="AF1807" t="s">
        <v>70</v>
      </c>
      <c r="AG1807" t="s">
        <v>5180</v>
      </c>
      <c r="AH1807" t="s">
        <v>72</v>
      </c>
      <c r="AI1807" t="s">
        <v>73</v>
      </c>
      <c r="AK1807" t="s">
        <v>5178</v>
      </c>
      <c r="AL1807" t="s">
        <v>68</v>
      </c>
      <c r="AM1807" t="s">
        <v>74</v>
      </c>
      <c r="AN1807" t="s">
        <v>75</v>
      </c>
      <c r="AO1807" t="str">
        <f>_xll.BDP($B1807,"ISSUER")</f>
        <v>Vanguard Small-Cap ETF</v>
      </c>
      <c r="AP1807" t="str">
        <f>_xll.BDP($B1807,"NAME")</f>
        <v>VANGUARD SMALL-CAP ETF</v>
      </c>
      <c r="AQ1807" s="1" t="s">
        <v>5181</v>
      </c>
      <c r="AR1807" t="str">
        <f>_xll.BDP($B1807,"ID_ISIN")</f>
        <v>US9229087518</v>
      </c>
      <c r="AS1807" t="str">
        <f>_xll.BDP($B1807,"TICKER")</f>
        <v>VB</v>
      </c>
    </row>
    <row r="1808" spans="1:45" x14ac:dyDescent="0.25">
      <c r="A1808" t="s">
        <v>5174</v>
      </c>
      <c r="B1808" t="s">
        <v>77</v>
      </c>
      <c r="C1808" s="1" t="s">
        <v>78</v>
      </c>
      <c r="D1808" t="s">
        <v>79</v>
      </c>
      <c r="E1808" t="str">
        <f>_xll.BDP($B1808,"LEGAL_ENTITY_IDENTIFIER")</f>
        <v>549300R5MYM6VZF1RM44</v>
      </c>
      <c r="F1808" t="s">
        <v>80</v>
      </c>
      <c r="G1808" t="str">
        <f>custodian!D1808</f>
        <v>31846V336</v>
      </c>
      <c r="H1808" t="str">
        <f>_xll.BDP($B1808,"ID_ISIN")</f>
        <v>US31846V3362</v>
      </c>
      <c r="I1808" s="1" t="s">
        <v>78</v>
      </c>
      <c r="J1808" t="str">
        <f>_xll.BDP($B1808,"CNTRY_OF_DOMICILE")</f>
        <v>US</v>
      </c>
      <c r="K1808" t="s">
        <v>81</v>
      </c>
      <c r="L1808" t="s">
        <v>82</v>
      </c>
      <c r="O1808" s="1"/>
      <c r="AQ1808" s="1"/>
      <c r="AR1808" s="1"/>
      <c r="AS1808" s="1"/>
    </row>
    <row r="1809" spans="1:45" x14ac:dyDescent="0.25">
      <c r="A1809" t="s">
        <v>5174</v>
      </c>
      <c r="C1809" s="1" t="s">
        <v>52</v>
      </c>
      <c r="E1809" s="1"/>
      <c r="G1809" t="str">
        <f>custodian!D1809</f>
        <v>Cash&amp;Other</v>
      </c>
      <c r="H1809" s="1"/>
      <c r="I1809" s="1"/>
      <c r="O1809" s="1"/>
      <c r="AQ1809" s="1"/>
      <c r="AR1809" s="1"/>
      <c r="AS1809" s="1"/>
    </row>
    <row r="1810" spans="1:45" x14ac:dyDescent="0.25">
      <c r="A1810" t="s">
        <v>5182</v>
      </c>
      <c r="B1810" t="s">
        <v>5183</v>
      </c>
      <c r="C1810" s="1" t="s">
        <v>5184</v>
      </c>
      <c r="D1810" t="s">
        <v>56</v>
      </c>
      <c r="E1810" s="1" t="s">
        <v>56</v>
      </c>
      <c r="F1810" t="s">
        <v>5185</v>
      </c>
      <c r="G1810" t="str">
        <f>custodian!D1810</f>
        <v>922908363-TRS-07/07/27-L-CLST</v>
      </c>
      <c r="H1810" s="1"/>
      <c r="I1810" s="1" t="s">
        <v>5184</v>
      </c>
      <c r="J1810" t="s">
        <v>58</v>
      </c>
      <c r="K1810" t="s">
        <v>59</v>
      </c>
      <c r="L1810" t="s">
        <v>60</v>
      </c>
      <c r="M1810" t="s">
        <v>61</v>
      </c>
      <c r="N1810" t="s">
        <v>3372</v>
      </c>
      <c r="O1810" s="1" t="s">
        <v>3373</v>
      </c>
      <c r="V1810" t="s">
        <v>64</v>
      </c>
      <c r="Y1810" t="s">
        <v>65</v>
      </c>
      <c r="Z1810" t="s">
        <v>3374</v>
      </c>
      <c r="AA1810" t="s">
        <v>5186</v>
      </c>
      <c r="AB1810" t="s">
        <v>68</v>
      </c>
      <c r="AD1810" t="s">
        <v>5186</v>
      </c>
      <c r="AE1810" t="s">
        <v>4397</v>
      </c>
      <c r="AF1810" t="s">
        <v>70</v>
      </c>
      <c r="AG1810" t="s">
        <v>5187</v>
      </c>
      <c r="AH1810" t="s">
        <v>72</v>
      </c>
      <c r="AI1810" t="s">
        <v>73</v>
      </c>
      <c r="AK1810" t="s">
        <v>5186</v>
      </c>
      <c r="AL1810" t="s">
        <v>68</v>
      </c>
      <c r="AM1810" t="s">
        <v>74</v>
      </c>
      <c r="AN1810" t="s">
        <v>75</v>
      </c>
      <c r="AO1810" t="str">
        <f>_xll.BDP($B1810,"ISSUER")</f>
        <v>Vanguard S&amp;P 500 ETF</v>
      </c>
      <c r="AP1810" t="str">
        <f>_xll.BDP($B1810,"NAME")</f>
        <v>VANGUARD S&amp;P 500 ETF</v>
      </c>
      <c r="AQ1810" s="1" t="s">
        <v>5188</v>
      </c>
      <c r="AR1810" t="str">
        <f>_xll.BDP($B1810,"ID_ISIN")</f>
        <v>US9229083632</v>
      </c>
      <c r="AS1810" t="str">
        <f>_xll.BDP($B1810,"TICKER")</f>
        <v>VOO</v>
      </c>
    </row>
    <row r="1811" spans="1:45" x14ac:dyDescent="0.25">
      <c r="A1811" t="s">
        <v>5182</v>
      </c>
      <c r="B1811" t="s">
        <v>77</v>
      </c>
      <c r="C1811" s="1" t="s">
        <v>78</v>
      </c>
      <c r="D1811" t="s">
        <v>79</v>
      </c>
      <c r="E1811" t="str">
        <f>_xll.BDP($B1811,"LEGAL_ENTITY_IDENTIFIER")</f>
        <v>549300R5MYM6VZF1RM44</v>
      </c>
      <c r="F1811" t="s">
        <v>80</v>
      </c>
      <c r="G1811" t="str">
        <f>custodian!D1811</f>
        <v>31846V336</v>
      </c>
      <c r="H1811" t="str">
        <f>_xll.BDP($B1811,"ID_ISIN")</f>
        <v>US31846V3362</v>
      </c>
      <c r="I1811" s="1" t="s">
        <v>78</v>
      </c>
      <c r="J1811" t="str">
        <f>_xll.BDP($B1811,"CNTRY_OF_DOMICILE")</f>
        <v>US</v>
      </c>
      <c r="K1811" t="s">
        <v>81</v>
      </c>
      <c r="L1811" t="s">
        <v>82</v>
      </c>
      <c r="O1811" s="1"/>
      <c r="AQ1811" s="1"/>
      <c r="AR1811" s="1"/>
      <c r="AS1811" s="1"/>
    </row>
    <row r="1812" spans="1:45" x14ac:dyDescent="0.25">
      <c r="A1812" t="s">
        <v>5182</v>
      </c>
      <c r="C1812" s="1" t="s">
        <v>52</v>
      </c>
      <c r="E1812" s="1"/>
      <c r="G1812" t="str">
        <f>custodian!D1812</f>
        <v>Cash&amp;Other</v>
      </c>
      <c r="H1812" s="1"/>
      <c r="I1812" s="1"/>
      <c r="O1812" s="1"/>
      <c r="AQ1812" s="1"/>
      <c r="AR1812" s="1"/>
      <c r="AS1812" s="1"/>
    </row>
    <row r="1813" spans="1:45" x14ac:dyDescent="0.25">
      <c r="A1813" t="s">
        <v>5189</v>
      </c>
      <c r="B1813" t="s">
        <v>5190</v>
      </c>
      <c r="C1813" s="1" t="s">
        <v>5191</v>
      </c>
      <c r="D1813" t="s">
        <v>5192</v>
      </c>
      <c r="E1813" t="str">
        <f>_xll.BDP($B1813,"LEGAL_ENTITY_IDENTIFIER")</f>
        <v>529900JBJ8D85CDPHQ69</v>
      </c>
      <c r="F1813" t="s">
        <v>5192</v>
      </c>
      <c r="G1813" t="str">
        <f>custodian!D1813</f>
        <v>02451V309</v>
      </c>
      <c r="H1813" t="str">
        <f>_xll.BDP($B1813,"ID_ISIN")</f>
        <v>US02451V3096</v>
      </c>
      <c r="I1813" s="1" t="s">
        <v>5191</v>
      </c>
      <c r="J1813" t="str">
        <f>_xll.BDP($B1813,"CNTRY_OF_DOMICILE")</f>
        <v>US</v>
      </c>
      <c r="K1813" t="s">
        <v>98</v>
      </c>
      <c r="L1813" t="s">
        <v>99</v>
      </c>
      <c r="O1813" s="1"/>
      <c r="AQ1813" s="1"/>
      <c r="AR1813" s="1"/>
      <c r="AS1813" s="1"/>
    </row>
    <row r="1814" spans="1:45" x14ac:dyDescent="0.25">
      <c r="A1814" t="s">
        <v>5189</v>
      </c>
      <c r="B1814" t="s">
        <v>5193</v>
      </c>
      <c r="C1814" s="1" t="s">
        <v>5194</v>
      </c>
      <c r="D1814" t="s">
        <v>5195</v>
      </c>
      <c r="E1814" t="str">
        <f>_xll.BDP($B1814,"LEGAL_ENTITY_IDENTIFIER")</f>
        <v>2NUNNB7D43COUIRE5295</v>
      </c>
      <c r="F1814" t="s">
        <v>5195</v>
      </c>
      <c r="G1814" t="str">
        <f>custodian!D1814</f>
        <v>00130H105</v>
      </c>
      <c r="H1814" t="str">
        <f>_xll.BDP($B1814,"ID_ISIN")</f>
        <v>US00130H1059</v>
      </c>
      <c r="I1814" s="1" t="s">
        <v>5194</v>
      </c>
      <c r="J1814" t="str">
        <f>_xll.BDP($B1814,"CNTRY_OF_DOMICILE")</f>
        <v>US</v>
      </c>
      <c r="K1814" t="s">
        <v>98</v>
      </c>
      <c r="L1814" t="s">
        <v>99</v>
      </c>
      <c r="O1814" s="1"/>
      <c r="AQ1814" s="1"/>
      <c r="AR1814" s="1"/>
      <c r="AS1814" s="1"/>
    </row>
    <row r="1815" spans="1:45" x14ac:dyDescent="0.25">
      <c r="A1815" t="s">
        <v>5189</v>
      </c>
      <c r="B1815" t="s">
        <v>5196</v>
      </c>
      <c r="C1815" s="1" t="s">
        <v>5197</v>
      </c>
      <c r="D1815" t="s">
        <v>5198</v>
      </c>
      <c r="E1815" t="str">
        <f>_xll.BDP($B1815,"LEGAL_ENTITY_IDENTIFIER")</f>
        <v>HDBLS2Q6GV1LSKQPBS54</v>
      </c>
      <c r="F1815" t="s">
        <v>5198</v>
      </c>
      <c r="G1815" t="str">
        <f>custodian!D1815</f>
        <v>012653101</v>
      </c>
      <c r="H1815" t="str">
        <f>_xll.BDP($B1815,"ID_ISIN")</f>
        <v>US0126531013</v>
      </c>
      <c r="I1815" s="1" t="s">
        <v>5197</v>
      </c>
      <c r="J1815" t="str">
        <f>_xll.BDP($B1815,"CNTRY_OF_DOMICILE")</f>
        <v>US</v>
      </c>
      <c r="K1815" t="s">
        <v>98</v>
      </c>
      <c r="L1815" t="s">
        <v>99</v>
      </c>
      <c r="O1815" s="1"/>
      <c r="AQ1815" s="1"/>
      <c r="AR1815" s="1"/>
      <c r="AS1815" s="1"/>
    </row>
    <row r="1816" spans="1:45" x14ac:dyDescent="0.25">
      <c r="A1816" t="s">
        <v>5189</v>
      </c>
      <c r="B1816" t="s">
        <v>554</v>
      </c>
      <c r="C1816" s="1" t="s">
        <v>555</v>
      </c>
      <c r="D1816" t="s">
        <v>556</v>
      </c>
      <c r="E1816" t="str">
        <f>_xll.BDP($B1816,"LEGAL_ENTITY_IDENTIFIER")</f>
        <v>#N/A N/A</v>
      </c>
      <c r="F1816" t="s">
        <v>556</v>
      </c>
      <c r="G1816" t="str">
        <f>custodian!D1816</f>
        <v>03214Q108</v>
      </c>
      <c r="H1816" t="str">
        <f>_xll.BDP($B1816,"ID_ISIN")</f>
        <v>US03214Q1085</v>
      </c>
      <c r="I1816" s="1" t="s">
        <v>555</v>
      </c>
      <c r="J1816" t="str">
        <f>_xll.BDP($B1816,"CNTRY_OF_DOMICILE")</f>
        <v>US</v>
      </c>
      <c r="K1816" t="s">
        <v>98</v>
      </c>
      <c r="L1816" t="s">
        <v>99</v>
      </c>
      <c r="O1816" s="1"/>
      <c r="AQ1816" s="1"/>
      <c r="AR1816" s="1"/>
      <c r="AS1816" s="1"/>
    </row>
    <row r="1817" spans="1:45" x14ac:dyDescent="0.25">
      <c r="A1817" t="s">
        <v>5189</v>
      </c>
      <c r="B1817" t="s">
        <v>4116</v>
      </c>
      <c r="C1817" s="1" t="s">
        <v>4117</v>
      </c>
      <c r="D1817" t="s">
        <v>4118</v>
      </c>
      <c r="E1817" t="str">
        <f>_xll.BDP($B1817,"LEGAL_ENTITY_IDENTIFIER")</f>
        <v>549300S9YT8Z8LOK4452</v>
      </c>
      <c r="F1817" t="s">
        <v>4118</v>
      </c>
      <c r="G1817" t="str">
        <f>custodian!D1817</f>
        <v>030111207</v>
      </c>
      <c r="H1817" t="str">
        <f>_xll.BDP($B1817,"ID_ISIN")</f>
        <v>US0301112076</v>
      </c>
      <c r="I1817" s="1" t="s">
        <v>4117</v>
      </c>
      <c r="J1817" t="str">
        <f>_xll.BDP($B1817,"CNTRY_OF_DOMICILE")</f>
        <v>US</v>
      </c>
      <c r="K1817" t="s">
        <v>98</v>
      </c>
      <c r="L1817" t="s">
        <v>99</v>
      </c>
      <c r="O1817" s="1"/>
      <c r="AQ1817" s="1"/>
      <c r="AR1817" s="1"/>
      <c r="AS1817" s="1"/>
    </row>
    <row r="1818" spans="1:45" x14ac:dyDescent="0.25">
      <c r="A1818" t="s">
        <v>5189</v>
      </c>
      <c r="B1818" t="s">
        <v>4119</v>
      </c>
      <c r="C1818" s="1" t="s">
        <v>4120</v>
      </c>
      <c r="D1818" t="s">
        <v>4121</v>
      </c>
      <c r="E1818" t="str">
        <f>_xll.BDP($B1818,"LEGAL_ENTITY_IDENTIFIER")</f>
        <v>52990002TI38AM4RPV48</v>
      </c>
      <c r="F1818" t="s">
        <v>4121</v>
      </c>
      <c r="G1818" t="str">
        <f>custodian!D1818</f>
        <v>047649108</v>
      </c>
      <c r="H1818" t="str">
        <f>_xll.BDP($B1818,"ID_ISIN")</f>
        <v>US0476491081</v>
      </c>
      <c r="I1818" s="1" t="s">
        <v>4120</v>
      </c>
      <c r="J1818" t="str">
        <f>_xll.BDP($B1818,"CNTRY_OF_DOMICILE")</f>
        <v>US</v>
      </c>
      <c r="K1818" t="s">
        <v>98</v>
      </c>
      <c r="L1818" t="s">
        <v>99</v>
      </c>
      <c r="O1818" s="1"/>
      <c r="AQ1818" s="1"/>
      <c r="AR1818" s="1"/>
      <c r="AS1818" s="1"/>
    </row>
    <row r="1819" spans="1:45" x14ac:dyDescent="0.25">
      <c r="A1819" t="s">
        <v>5189</v>
      </c>
      <c r="B1819" t="s">
        <v>250</v>
      </c>
      <c r="C1819" s="1" t="s">
        <v>251</v>
      </c>
      <c r="D1819" t="s">
        <v>252</v>
      </c>
      <c r="E1819" t="str">
        <f>_xll.BDP($B1819,"LEGAL_ENTITY_IDENTIFIER")</f>
        <v>549300XB5J9BFW5JXV97</v>
      </c>
      <c r="F1819" t="s">
        <v>252</v>
      </c>
      <c r="G1819" t="str">
        <f>custodian!D1819</f>
        <v>093712107</v>
      </c>
      <c r="H1819" t="str">
        <f>_xll.BDP($B1819,"ID_ISIN")</f>
        <v>US0937121079</v>
      </c>
      <c r="I1819" s="1" t="s">
        <v>251</v>
      </c>
      <c r="J1819" t="str">
        <f>_xll.BDP($B1819,"CNTRY_OF_DOMICILE")</f>
        <v>US</v>
      </c>
      <c r="K1819" t="s">
        <v>98</v>
      </c>
      <c r="L1819" t="s">
        <v>99</v>
      </c>
      <c r="O1819" s="1"/>
      <c r="AQ1819" s="1"/>
      <c r="AR1819" s="1"/>
      <c r="AS1819" s="1"/>
    </row>
    <row r="1820" spans="1:45" x14ac:dyDescent="0.25">
      <c r="A1820" t="s">
        <v>5189</v>
      </c>
      <c r="B1820" t="s">
        <v>5199</v>
      </c>
      <c r="C1820" s="1" t="s">
        <v>5200</v>
      </c>
      <c r="D1820" t="s">
        <v>5201</v>
      </c>
      <c r="E1820" t="str">
        <f>_xll.BDP($B1820,"LEGAL_ENTITY_IDENTIFIER")</f>
        <v>5493008U7KIGMI59Z314</v>
      </c>
      <c r="F1820" t="s">
        <v>5201</v>
      </c>
      <c r="G1820" t="str">
        <f>custodian!D1820</f>
        <v>29355A107</v>
      </c>
      <c r="H1820" t="str">
        <f>_xll.BDP($B1820,"ID_ISIN")</f>
        <v>US29355A1079</v>
      </c>
      <c r="I1820" s="1" t="s">
        <v>5200</v>
      </c>
      <c r="J1820" t="str">
        <f>_xll.BDP($B1820,"CNTRY_OF_DOMICILE")</f>
        <v>US</v>
      </c>
      <c r="K1820" t="s">
        <v>98</v>
      </c>
      <c r="L1820" t="s">
        <v>99</v>
      </c>
      <c r="O1820" s="1"/>
      <c r="AQ1820" s="1"/>
      <c r="AR1820" s="1"/>
      <c r="AS1820" s="1"/>
    </row>
    <row r="1821" spans="1:45" x14ac:dyDescent="0.25">
      <c r="A1821" t="s">
        <v>5189</v>
      </c>
      <c r="B1821" t="s">
        <v>5202</v>
      </c>
      <c r="C1821" s="1" t="s">
        <v>5203</v>
      </c>
      <c r="D1821" t="s">
        <v>5204</v>
      </c>
      <c r="E1821" t="str">
        <f>_xll.BDP($B1821,"LEGAL_ENTITY_IDENTIFIER")</f>
        <v>7ZS3DE5PN30BYUJFWP05</v>
      </c>
      <c r="F1821" t="s">
        <v>5204</v>
      </c>
      <c r="G1821" t="str">
        <f>custodian!D1821</f>
        <v>29275Y102</v>
      </c>
      <c r="H1821" t="str">
        <f>_xll.BDP($B1821,"ID_ISIN")</f>
        <v>US29275Y1029</v>
      </c>
      <c r="I1821" s="1" t="s">
        <v>5203</v>
      </c>
      <c r="J1821" t="str">
        <f>_xll.BDP($B1821,"CNTRY_OF_DOMICILE")</f>
        <v>US</v>
      </c>
      <c r="K1821" t="s">
        <v>98</v>
      </c>
      <c r="L1821" t="s">
        <v>99</v>
      </c>
      <c r="O1821" s="1"/>
      <c r="AQ1821" s="1"/>
      <c r="AR1821" s="1"/>
      <c r="AS1821" s="1"/>
    </row>
    <row r="1822" spans="1:45" x14ac:dyDescent="0.25">
      <c r="A1822" t="s">
        <v>5189</v>
      </c>
      <c r="B1822" t="s">
        <v>5205</v>
      </c>
      <c r="C1822" s="1" t="s">
        <v>5206</v>
      </c>
      <c r="D1822" t="s">
        <v>5207</v>
      </c>
      <c r="E1822" t="str">
        <f>_xll.BDP($B1822,"LEGAL_ENTITY_IDENTIFIER")</f>
        <v>549300EC7NZGWORHYJ53</v>
      </c>
      <c r="F1822" t="s">
        <v>5207</v>
      </c>
      <c r="G1822" t="str">
        <f>custodian!D1822</f>
        <v>293594107</v>
      </c>
      <c r="H1822" t="str">
        <f>_xll.BDP($B1822,"ID_ISIN")</f>
        <v>US2935941078</v>
      </c>
      <c r="I1822" s="1" t="s">
        <v>5206</v>
      </c>
      <c r="J1822" t="str">
        <f>_xll.BDP($B1822,"CNTRY_OF_DOMICILE")</f>
        <v>US</v>
      </c>
      <c r="K1822" t="s">
        <v>98</v>
      </c>
      <c r="L1822" t="s">
        <v>99</v>
      </c>
      <c r="O1822" s="1"/>
      <c r="AQ1822" s="1"/>
      <c r="AR1822" s="1"/>
      <c r="AS1822" s="1"/>
    </row>
    <row r="1823" spans="1:45" x14ac:dyDescent="0.25">
      <c r="A1823" t="s">
        <v>5189</v>
      </c>
      <c r="B1823" t="s">
        <v>5208</v>
      </c>
      <c r="C1823" s="1" t="s">
        <v>5209</v>
      </c>
      <c r="D1823" t="s">
        <v>5210</v>
      </c>
      <c r="E1823" t="str">
        <f>_xll.BDP($B1823,"LEGAL_ENTITY_IDENTIFIER")</f>
        <v>529900UCCJMLRGDXVT41</v>
      </c>
      <c r="F1823" t="s">
        <v>5210</v>
      </c>
      <c r="G1823" t="str">
        <f>custodian!D1823</f>
        <v>29415C101</v>
      </c>
      <c r="H1823" t="str">
        <f>_xll.BDP($B1823,"ID_ISIN")</f>
        <v>US29415C1018</v>
      </c>
      <c r="I1823" s="1" t="s">
        <v>5209</v>
      </c>
      <c r="J1823" t="str">
        <f>_xll.BDP($B1823,"CNTRY_OF_DOMICILE")</f>
        <v>US</v>
      </c>
      <c r="K1823" t="s">
        <v>98</v>
      </c>
      <c r="L1823" t="s">
        <v>99</v>
      </c>
      <c r="O1823" s="1"/>
      <c r="AQ1823" s="1"/>
      <c r="AR1823" s="1"/>
      <c r="AS1823" s="1"/>
    </row>
    <row r="1824" spans="1:45" x14ac:dyDescent="0.25">
      <c r="A1824" t="s">
        <v>5189</v>
      </c>
      <c r="B1824" t="s">
        <v>77</v>
      </c>
      <c r="C1824" s="1" t="s">
        <v>78</v>
      </c>
      <c r="D1824" t="s">
        <v>79</v>
      </c>
      <c r="E1824" t="str">
        <f>_xll.BDP($B1824,"LEGAL_ENTITY_IDENTIFIER")</f>
        <v>549300R5MYM6VZF1RM44</v>
      </c>
      <c r="F1824" t="s">
        <v>80</v>
      </c>
      <c r="G1824" t="str">
        <f>custodian!D1824</f>
        <v>31846V336</v>
      </c>
      <c r="H1824" t="str">
        <f>_xll.BDP($B1824,"ID_ISIN")</f>
        <v>US31846V3362</v>
      </c>
      <c r="I1824" s="1" t="s">
        <v>78</v>
      </c>
      <c r="J1824" t="str">
        <f>_xll.BDP($B1824,"CNTRY_OF_DOMICILE")</f>
        <v>US</v>
      </c>
      <c r="K1824" t="s">
        <v>81</v>
      </c>
      <c r="L1824" t="s">
        <v>82</v>
      </c>
      <c r="O1824" s="1"/>
      <c r="AQ1824" s="1"/>
      <c r="AR1824" s="1"/>
      <c r="AS1824" s="1"/>
    </row>
    <row r="1825" spans="1:45" x14ac:dyDescent="0.25">
      <c r="A1825" t="s">
        <v>5189</v>
      </c>
      <c r="B1825" t="s">
        <v>5211</v>
      </c>
      <c r="C1825" s="1" t="s">
        <v>5212</v>
      </c>
      <c r="D1825" t="s">
        <v>5213</v>
      </c>
      <c r="E1825" t="str">
        <f>_xll.BDP($B1825,"LEGAL_ENTITY_IDENTIFIER")</f>
        <v>25490043LHZ97BT5PP29</v>
      </c>
      <c r="F1825" t="s">
        <v>5213</v>
      </c>
      <c r="G1825" t="str">
        <f>custodian!D1825</f>
        <v>34379V103</v>
      </c>
      <c r="H1825" t="str">
        <f>_xll.BDP($B1825,"ID_ISIN")</f>
        <v>US34379V1035</v>
      </c>
      <c r="I1825" s="1" t="s">
        <v>5212</v>
      </c>
      <c r="J1825" t="str">
        <f>_xll.BDP($B1825,"CNTRY_OF_DOMICILE")</f>
        <v>US</v>
      </c>
      <c r="K1825" t="s">
        <v>98</v>
      </c>
      <c r="L1825" t="s">
        <v>99</v>
      </c>
      <c r="O1825" s="1"/>
      <c r="AQ1825" s="1"/>
      <c r="AR1825" s="1"/>
      <c r="AS1825" s="1"/>
    </row>
    <row r="1826" spans="1:45" x14ac:dyDescent="0.25">
      <c r="A1826" t="s">
        <v>5189</v>
      </c>
      <c r="B1826" t="s">
        <v>3674</v>
      </c>
      <c r="C1826" s="1" t="s">
        <v>3675</v>
      </c>
      <c r="D1826" t="s">
        <v>3676</v>
      </c>
      <c r="E1826" t="str">
        <f>_xll.BDP($B1826,"LEGAL_ENTITY_IDENTIFIER")</f>
        <v>529900S2H2AHJHSFFI84</v>
      </c>
      <c r="F1826" t="s">
        <v>3676</v>
      </c>
      <c r="G1826" t="str">
        <f>custodian!D1826</f>
        <v>368736104</v>
      </c>
      <c r="H1826" t="str">
        <f>_xll.BDP($B1826,"ID_ISIN")</f>
        <v>US3687361044</v>
      </c>
      <c r="I1826" s="1" t="s">
        <v>3675</v>
      </c>
      <c r="J1826" t="str">
        <f>_xll.BDP($B1826,"CNTRY_OF_DOMICILE")</f>
        <v>US</v>
      </c>
      <c r="K1826" t="s">
        <v>98</v>
      </c>
      <c r="L1826" t="s">
        <v>99</v>
      </c>
      <c r="O1826" s="1"/>
      <c r="AQ1826" s="1"/>
      <c r="AR1826" s="1"/>
      <c r="AS1826" s="1"/>
    </row>
    <row r="1827" spans="1:45" x14ac:dyDescent="0.25">
      <c r="A1827" t="s">
        <v>5189</v>
      </c>
      <c r="B1827" t="s">
        <v>5214</v>
      </c>
      <c r="C1827" s="1" t="s">
        <v>5215</v>
      </c>
      <c r="D1827" t="s">
        <v>5216</v>
      </c>
      <c r="E1827" t="str">
        <f>_xll.BDP($B1827,"LEGAL_ENTITY_IDENTIFIER")</f>
        <v>549300J4UX9OMHSTKS35</v>
      </c>
      <c r="F1827" t="s">
        <v>5216</v>
      </c>
      <c r="G1827" t="str">
        <f>custodian!D1827</f>
        <v>59516C106</v>
      </c>
      <c r="H1827" t="str">
        <f>_xll.BDP($B1827,"ID_ISIN")</f>
        <v>US59516C1062</v>
      </c>
      <c r="I1827" s="1" t="s">
        <v>5215</v>
      </c>
      <c r="J1827" t="str">
        <f>_xll.BDP($B1827,"CNTRY_OF_DOMICILE")</f>
        <v>US</v>
      </c>
      <c r="K1827" t="s">
        <v>98</v>
      </c>
      <c r="L1827" t="s">
        <v>99</v>
      </c>
      <c r="O1827" s="1"/>
      <c r="AQ1827" s="1"/>
      <c r="AR1827" s="1"/>
      <c r="AS1827" s="1"/>
    </row>
    <row r="1828" spans="1:45" x14ac:dyDescent="0.25">
      <c r="A1828" t="s">
        <v>5189</v>
      </c>
      <c r="B1828" t="s">
        <v>5217</v>
      </c>
      <c r="C1828" s="1" t="s">
        <v>5218</v>
      </c>
      <c r="D1828" t="s">
        <v>5219</v>
      </c>
      <c r="E1828" t="str">
        <f>_xll.BDP($B1828,"LEGAL_ENTITY_IDENTIFIER")</f>
        <v>254900VMTXIU80WPJR14</v>
      </c>
      <c r="F1828" t="s">
        <v>5219</v>
      </c>
      <c r="G1828" t="str">
        <f>custodian!D1828</f>
        <v>29280W109</v>
      </c>
      <c r="H1828" t="str">
        <f>_xll.BDP($B1828,"ID_ISIN")</f>
        <v>US29280W1099</v>
      </c>
      <c r="I1828" s="1" t="s">
        <v>5218</v>
      </c>
      <c r="J1828" t="str">
        <f>_xll.BDP($B1828,"CNTRY_OF_DOMICILE")</f>
        <v>US</v>
      </c>
      <c r="K1828" t="s">
        <v>98</v>
      </c>
      <c r="L1828" t="s">
        <v>99</v>
      </c>
      <c r="O1828" s="1"/>
      <c r="AQ1828" s="1"/>
      <c r="AR1828" s="1"/>
      <c r="AS1828" s="1"/>
    </row>
    <row r="1829" spans="1:45" x14ac:dyDescent="0.25">
      <c r="A1829" t="s">
        <v>5189</v>
      </c>
      <c r="B1829" t="s">
        <v>5220</v>
      </c>
      <c r="C1829" s="1" t="s">
        <v>5221</v>
      </c>
      <c r="D1829" t="s">
        <v>5222</v>
      </c>
      <c r="E1829" t="str">
        <f>_xll.BDP($B1829,"LEGAL_ENTITY_IDENTIFIER")</f>
        <v>54930007SJ77CI66U531</v>
      </c>
      <c r="F1829" t="s">
        <v>5222</v>
      </c>
      <c r="G1829" t="str">
        <f>custodian!D1829</f>
        <v>86771W105</v>
      </c>
      <c r="H1829" t="str">
        <f>_xll.BDP($B1829,"ID_ISIN")</f>
        <v>US86771W1053</v>
      </c>
      <c r="I1829" s="1" t="s">
        <v>5221</v>
      </c>
      <c r="J1829" t="str">
        <f>_xll.BDP($B1829,"CNTRY_OF_DOMICILE")</f>
        <v>US</v>
      </c>
      <c r="K1829" t="s">
        <v>98</v>
      </c>
      <c r="L1829" t="s">
        <v>99</v>
      </c>
      <c r="O1829" s="1"/>
      <c r="AQ1829" s="1"/>
      <c r="AR1829" s="1"/>
      <c r="AS1829" s="1"/>
    </row>
    <row r="1830" spans="1:45" x14ac:dyDescent="0.25">
      <c r="A1830" t="s">
        <v>5189</v>
      </c>
      <c r="B1830" t="s">
        <v>5223</v>
      </c>
      <c r="C1830" s="1" t="s">
        <v>5224</v>
      </c>
      <c r="D1830" t="s">
        <v>5225</v>
      </c>
      <c r="E1830" t="str">
        <f>_xll.BDP($B1830,"LEGAL_ENTITY_IDENTIFIER")</f>
        <v>5493000K6Y58XXPDF853</v>
      </c>
      <c r="F1830" t="s">
        <v>5225</v>
      </c>
      <c r="G1830" t="str">
        <f>custodian!D1830</f>
        <v>83417M104</v>
      </c>
      <c r="H1830" t="str">
        <f>_xll.BDP($B1830,"ID_ISIN")</f>
        <v>US83417M1045</v>
      </c>
      <c r="I1830" s="1" t="s">
        <v>5224</v>
      </c>
      <c r="J1830" t="str">
        <f>_xll.BDP($B1830,"CNTRY_OF_DOMICILE")</f>
        <v>IL</v>
      </c>
      <c r="K1830" t="s">
        <v>98</v>
      </c>
      <c r="L1830" t="s">
        <v>99</v>
      </c>
      <c r="O1830" s="1"/>
      <c r="AQ1830" s="1"/>
      <c r="AR1830" s="1"/>
      <c r="AS1830" s="1"/>
    </row>
    <row r="1831" spans="1:45" x14ac:dyDescent="0.25">
      <c r="A1831" t="s">
        <v>5189</v>
      </c>
      <c r="B1831" t="s">
        <v>5226</v>
      </c>
      <c r="C1831" s="1" t="s">
        <v>5227</v>
      </c>
      <c r="D1831" t="s">
        <v>5228</v>
      </c>
      <c r="E1831" t="str">
        <f>_xll.BDP($B1831,"LEGAL_ENTITY_IDENTIFIER")</f>
        <v>529900HSCKUBL8K4K759</v>
      </c>
      <c r="F1831" t="s">
        <v>5228</v>
      </c>
      <c r="G1831" t="str">
        <f>custodian!D1831</f>
        <v>78397Q109</v>
      </c>
      <c r="H1831" t="str">
        <f>_xll.BDP($B1831,"ID_ISIN")</f>
        <v>US78397Q1094</v>
      </c>
      <c r="I1831" s="1" t="s">
        <v>5227</v>
      </c>
      <c r="J1831" t="str">
        <f>_xll.BDP($B1831,"CNTRY_OF_DOMICILE")</f>
        <v>US</v>
      </c>
      <c r="K1831" t="s">
        <v>98</v>
      </c>
      <c r="L1831" t="s">
        <v>99</v>
      </c>
      <c r="O1831" s="1"/>
      <c r="AQ1831" s="1"/>
      <c r="AR1831" s="1"/>
      <c r="AS1831" s="1"/>
    </row>
    <row r="1832" spans="1:45" x14ac:dyDescent="0.25">
      <c r="A1832" t="s">
        <v>5189</v>
      </c>
      <c r="B1832" t="s">
        <v>5229</v>
      </c>
      <c r="C1832" s="1" t="s">
        <v>5230</v>
      </c>
      <c r="D1832" t="s">
        <v>5231</v>
      </c>
      <c r="E1832" t="str">
        <f>_xll.BDP($B1832,"LEGAL_ENTITY_IDENTIFIER")</f>
        <v>5299001ZPFRA2QBIQK79</v>
      </c>
      <c r="F1832" t="s">
        <v>5231</v>
      </c>
      <c r="G1832" t="str">
        <f>custodian!D1832</f>
        <v>83422N105</v>
      </c>
      <c r="H1832" t="str">
        <f>_xll.BDP($B1832,"ID_ISIN")</f>
        <v>US83422N1054</v>
      </c>
      <c r="I1832" s="1" t="s">
        <v>5230</v>
      </c>
      <c r="J1832" t="str">
        <f>_xll.BDP($B1832,"CNTRY_OF_DOMICILE")</f>
        <v>US</v>
      </c>
      <c r="K1832" t="s">
        <v>98</v>
      </c>
      <c r="L1832" t="s">
        <v>99</v>
      </c>
      <c r="O1832" s="1"/>
      <c r="AQ1832" s="1"/>
      <c r="AR1832" s="1"/>
      <c r="AS1832" s="1"/>
    </row>
    <row r="1833" spans="1:45" x14ac:dyDescent="0.25">
      <c r="A1833" t="s">
        <v>5189</v>
      </c>
      <c r="B1833" t="s">
        <v>5232</v>
      </c>
      <c r="C1833" s="1" t="s">
        <v>5233</v>
      </c>
      <c r="D1833" t="s">
        <v>5234</v>
      </c>
      <c r="E1833" t="str">
        <f>_xll.BDP($B1833,"LEGAL_ENTITY_IDENTIFIER")</f>
        <v>TJ88LXZZW5PWIN93ZC81</v>
      </c>
      <c r="F1833" t="s">
        <v>5235</v>
      </c>
      <c r="G1833" t="str">
        <f>custodian!D1833</f>
        <v>833635105</v>
      </c>
      <c r="H1833" t="str">
        <f>_xll.BDP($B1833,"ID_ISIN")</f>
        <v>US8336351056</v>
      </c>
      <c r="I1833" s="1" t="s">
        <v>5233</v>
      </c>
      <c r="J1833" t="str">
        <f>_xll.BDP($B1833,"CNTRY_OF_DOMICILE")</f>
        <v>CL</v>
      </c>
      <c r="K1833" t="s">
        <v>98</v>
      </c>
      <c r="L1833" t="s">
        <v>99</v>
      </c>
      <c r="O1833" s="1"/>
      <c r="AQ1833" s="1"/>
      <c r="AR1833" s="1"/>
      <c r="AS1833" s="1"/>
    </row>
    <row r="1834" spans="1:45" x14ac:dyDescent="0.25">
      <c r="A1834" t="s">
        <v>5189</v>
      </c>
      <c r="B1834" t="s">
        <v>5236</v>
      </c>
      <c r="C1834" s="1" t="s">
        <v>5237</v>
      </c>
      <c r="D1834" t="s">
        <v>5238</v>
      </c>
      <c r="E1834" t="str">
        <f>_xll.BDP($B1834,"LEGAL_ENTITY_IDENTIFIER")</f>
        <v>549300GVWIYFILN5V546</v>
      </c>
      <c r="F1834" t="s">
        <v>5238</v>
      </c>
      <c r="G1834" t="str">
        <f>custodian!D1834</f>
        <v>85859N300</v>
      </c>
      <c r="H1834" t="str">
        <f>_xll.BDP($B1834,"ID_ISIN")</f>
        <v>US85859N3008</v>
      </c>
      <c r="I1834" s="1" t="s">
        <v>5237</v>
      </c>
      <c r="J1834" t="str">
        <f>_xll.BDP($B1834,"CNTRY_OF_DOMICILE")</f>
        <v>US</v>
      </c>
      <c r="K1834" t="s">
        <v>98</v>
      </c>
      <c r="L1834" t="s">
        <v>99</v>
      </c>
      <c r="O1834" s="1"/>
      <c r="AQ1834" s="1"/>
      <c r="AR1834" s="1"/>
      <c r="AS1834" s="1"/>
    </row>
    <row r="1835" spans="1:45" x14ac:dyDescent="0.25">
      <c r="A1835" t="s">
        <v>5189</v>
      </c>
      <c r="B1835" t="s">
        <v>5239</v>
      </c>
      <c r="C1835" s="1" t="s">
        <v>5240</v>
      </c>
      <c r="D1835" t="s">
        <v>5241</v>
      </c>
      <c r="E1835" t="str">
        <f>_xll.BDP($B1835,"LEGAL_ENTITY_IDENTIFIER")</f>
        <v>529900H0645VFXNMJ693</v>
      </c>
      <c r="F1835" t="s">
        <v>5241</v>
      </c>
      <c r="G1835" t="str">
        <f>custodian!D1835</f>
        <v>35834F104</v>
      </c>
      <c r="H1835" t="str">
        <f>_xll.BDP($B1835,"ID_ISIN")</f>
        <v>US35834F1049</v>
      </c>
      <c r="I1835" s="1" t="s">
        <v>5240</v>
      </c>
      <c r="J1835" t="str">
        <f>_xll.BDP($B1835,"CNTRY_OF_DOMICILE")</f>
        <v>US</v>
      </c>
      <c r="K1835" t="s">
        <v>98</v>
      </c>
      <c r="L1835" t="s">
        <v>99</v>
      </c>
      <c r="O1835" s="1"/>
      <c r="AQ1835" s="1"/>
      <c r="AR1835" s="1"/>
      <c r="AS1835" s="1"/>
    </row>
    <row r="1836" spans="1:45" x14ac:dyDescent="0.25">
      <c r="A1836" t="s">
        <v>5189</v>
      </c>
      <c r="B1836" t="s">
        <v>753</v>
      </c>
      <c r="C1836" s="1" t="s">
        <v>754</v>
      </c>
      <c r="D1836" t="s">
        <v>755</v>
      </c>
      <c r="E1836" t="str">
        <f>_xll.BDP($B1836,"LEGAL_ENTITY_IDENTIFIER")</f>
        <v>54930043XZGB27CTOV49</v>
      </c>
      <c r="F1836" t="s">
        <v>755</v>
      </c>
      <c r="G1836" t="str">
        <f>custodian!D1836</f>
        <v>88160R101</v>
      </c>
      <c r="H1836" t="str">
        <f>_xll.BDP($B1836,"ID_ISIN")</f>
        <v>US88160R1014</v>
      </c>
      <c r="I1836" s="1" t="s">
        <v>754</v>
      </c>
      <c r="J1836" t="str">
        <f>_xll.BDP($B1836,"CNTRY_OF_DOMICILE")</f>
        <v>US</v>
      </c>
      <c r="K1836" t="s">
        <v>98</v>
      </c>
      <c r="L1836" t="s">
        <v>99</v>
      </c>
      <c r="O1836" s="1"/>
      <c r="AQ1836" s="1"/>
      <c r="AR1836" s="1"/>
      <c r="AS1836" s="1"/>
    </row>
    <row r="1837" spans="1:45" x14ac:dyDescent="0.25">
      <c r="A1837" t="s">
        <v>5189</v>
      </c>
      <c r="C1837" s="1" t="s">
        <v>52</v>
      </c>
      <c r="E1837" s="1"/>
      <c r="G1837" t="str">
        <f>custodian!D1837</f>
        <v>Cash&amp;Other</v>
      </c>
      <c r="H1837" s="1"/>
      <c r="I1837" s="1"/>
      <c r="O1837" s="1"/>
      <c r="AQ1837" s="1"/>
      <c r="AR1837" s="1"/>
      <c r="AS1837" s="1"/>
    </row>
    <row r="1838" spans="1:45" x14ac:dyDescent="0.25">
      <c r="A1838" t="s">
        <v>5242</v>
      </c>
      <c r="B1838" t="s">
        <v>5243</v>
      </c>
      <c r="C1838" s="1" t="s">
        <v>5244</v>
      </c>
      <c r="D1838" t="s">
        <v>56</v>
      </c>
      <c r="E1838" s="1" t="s">
        <v>56</v>
      </c>
      <c r="F1838" t="s">
        <v>5245</v>
      </c>
      <c r="G1838" t="str">
        <f>custodian!D1838</f>
        <v>500767306-TRS-12/01/27-L-CANT</v>
      </c>
      <c r="H1838" s="1"/>
      <c r="I1838" s="1" t="s">
        <v>5244</v>
      </c>
      <c r="J1838" t="s">
        <v>58</v>
      </c>
      <c r="K1838" t="s">
        <v>59</v>
      </c>
      <c r="L1838" t="s">
        <v>60</v>
      </c>
      <c r="M1838" t="s">
        <v>61</v>
      </c>
      <c r="N1838" t="s">
        <v>62</v>
      </c>
      <c r="O1838" s="1" t="s">
        <v>63</v>
      </c>
      <c r="V1838" t="s">
        <v>64</v>
      </c>
      <c r="Y1838" t="s">
        <v>65</v>
      </c>
      <c r="Z1838" t="s">
        <v>66</v>
      </c>
      <c r="AA1838" t="s">
        <v>5246</v>
      </c>
      <c r="AB1838" t="s">
        <v>68</v>
      </c>
      <c r="AD1838" t="s">
        <v>5246</v>
      </c>
      <c r="AE1838" t="s">
        <v>5247</v>
      </c>
      <c r="AF1838" t="s">
        <v>70</v>
      </c>
      <c r="AG1838" t="s">
        <v>5248</v>
      </c>
      <c r="AH1838" t="s">
        <v>72</v>
      </c>
      <c r="AI1838" t="s">
        <v>73</v>
      </c>
      <c r="AK1838" t="s">
        <v>5246</v>
      </c>
      <c r="AL1838" t="s">
        <v>68</v>
      </c>
      <c r="AM1838" t="s">
        <v>74</v>
      </c>
      <c r="AN1838" t="s">
        <v>75</v>
      </c>
      <c r="AO1838" t="str">
        <f>_xll.BDP($B1838,"ISSUER")</f>
        <v>KraneShares CSI China Internet</v>
      </c>
      <c r="AP1838" t="str">
        <f>_xll.BDP($B1838,"NAME")</f>
        <v>KRANESH CSI CHINA INTERNET</v>
      </c>
      <c r="AQ1838" s="1" t="s">
        <v>5249</v>
      </c>
      <c r="AR1838" t="str">
        <f>_xll.BDP($B1838,"ID_ISIN")</f>
        <v>US5007673065</v>
      </c>
      <c r="AS1838" t="str">
        <f>_xll.BDP($B1838,"TICKER")</f>
        <v>KWEB</v>
      </c>
    </row>
    <row r="1839" spans="1:45" x14ac:dyDescent="0.25">
      <c r="A1839" t="s">
        <v>5242</v>
      </c>
      <c r="B1839" t="s">
        <v>77</v>
      </c>
      <c r="C1839" s="1" t="s">
        <v>78</v>
      </c>
      <c r="D1839" t="s">
        <v>79</v>
      </c>
      <c r="E1839" t="str">
        <f>_xll.BDP($B1839,"LEGAL_ENTITY_IDENTIFIER")</f>
        <v>549300R5MYM6VZF1RM44</v>
      </c>
      <c r="F1839" t="s">
        <v>80</v>
      </c>
      <c r="G1839" t="str">
        <f>custodian!D1839</f>
        <v>31846V336</v>
      </c>
      <c r="H1839" t="str">
        <f>_xll.BDP($B1839,"ID_ISIN")</f>
        <v>US31846V3362</v>
      </c>
      <c r="I1839" s="1" t="s">
        <v>78</v>
      </c>
      <c r="J1839" t="str">
        <f>_xll.BDP($B1839,"CNTRY_OF_DOMICILE")</f>
        <v>US</v>
      </c>
      <c r="K1839" t="s">
        <v>81</v>
      </c>
      <c r="L1839" t="s">
        <v>82</v>
      </c>
      <c r="O1839" s="1"/>
      <c r="AQ1839" s="1"/>
      <c r="AR1839" s="1"/>
      <c r="AS1839" s="1"/>
    </row>
    <row r="1840" spans="1:45" x14ac:dyDescent="0.25">
      <c r="A1840" t="s">
        <v>5242</v>
      </c>
      <c r="C1840" s="1" t="s">
        <v>52</v>
      </c>
      <c r="E1840" s="1"/>
      <c r="G1840" t="str">
        <f>custodian!D1840</f>
        <v>Cash&amp;Other</v>
      </c>
      <c r="H1840" s="1"/>
      <c r="I1840" s="1"/>
      <c r="O1840" s="1"/>
      <c r="AQ1840" s="1"/>
      <c r="AR1840" s="1"/>
      <c r="AS1840" s="1"/>
    </row>
    <row r="1841" spans="1:45" x14ac:dyDescent="0.25">
      <c r="A1841" t="s">
        <v>5250</v>
      </c>
      <c r="B1841" t="s">
        <v>95</v>
      </c>
      <c r="C1841" s="1" t="s">
        <v>96</v>
      </c>
      <c r="D1841" t="s">
        <v>97</v>
      </c>
      <c r="E1841" t="str">
        <f>_xll.BDP($B1841,"LEGAL_ENTITY_IDENTIFIER")</f>
        <v>IWUQB36BXD6OWD6X4T14</v>
      </c>
      <c r="F1841" t="s">
        <v>97</v>
      </c>
      <c r="G1841" t="str">
        <f>custodian!D1841</f>
        <v>02376R102</v>
      </c>
      <c r="H1841" t="str">
        <f>_xll.BDP($B1841,"ID_ISIN")</f>
        <v>US02376R1023</v>
      </c>
      <c r="I1841" s="1" t="s">
        <v>96</v>
      </c>
      <c r="J1841" t="str">
        <f>_xll.BDP($B1841,"CNTRY_OF_DOMICILE")</f>
        <v>US</v>
      </c>
      <c r="K1841" t="s">
        <v>98</v>
      </c>
      <c r="L1841" t="s">
        <v>99</v>
      </c>
      <c r="O1841" s="1"/>
      <c r="AQ1841" s="1"/>
      <c r="AR1841" s="1"/>
      <c r="AS1841" s="1"/>
    </row>
    <row r="1842" spans="1:45" x14ac:dyDescent="0.25">
      <c r="A1842" t="s">
        <v>5250</v>
      </c>
      <c r="B1842" t="s">
        <v>220</v>
      </c>
      <c r="C1842" s="1" t="s">
        <v>221</v>
      </c>
      <c r="D1842" t="s">
        <v>222</v>
      </c>
      <c r="E1842" t="str">
        <f>_xll.BDP($B1842,"LEGAL_ENTITY_IDENTIFIER")</f>
        <v>549300HMUDNO0RY56D37</v>
      </c>
      <c r="F1842" t="s">
        <v>222</v>
      </c>
      <c r="G1842" t="str">
        <f>custodian!D1842</f>
        <v>009066101</v>
      </c>
      <c r="H1842" t="str">
        <f>_xll.BDP($B1842,"ID_ISIN")</f>
        <v>US0090661010</v>
      </c>
      <c r="I1842" s="1" t="s">
        <v>221</v>
      </c>
      <c r="J1842" t="str">
        <f>_xll.BDP($B1842,"CNTRY_OF_DOMICILE")</f>
        <v>US</v>
      </c>
      <c r="K1842" t="s">
        <v>98</v>
      </c>
      <c r="L1842" t="s">
        <v>99</v>
      </c>
      <c r="O1842" s="1"/>
      <c r="AQ1842" s="1"/>
      <c r="AR1842" s="1"/>
      <c r="AS1842" s="1"/>
    </row>
    <row r="1843" spans="1:45" x14ac:dyDescent="0.25">
      <c r="A1843" t="s">
        <v>5250</v>
      </c>
      <c r="B1843" t="s">
        <v>106</v>
      </c>
      <c r="C1843" s="1" t="s">
        <v>107</v>
      </c>
      <c r="D1843" t="s">
        <v>108</v>
      </c>
      <c r="E1843" t="str">
        <f>_xll.BDP($B1843,"LEGAL_ENTITY_IDENTIFIER")</f>
        <v>549300JM9OZXOHWL2K18</v>
      </c>
      <c r="F1843" t="s">
        <v>108</v>
      </c>
      <c r="G1843" t="str">
        <f>custodian!D1843</f>
        <v>01748X102</v>
      </c>
      <c r="H1843" t="str">
        <f>_xll.BDP($B1843,"ID_ISIN")</f>
        <v>US01748X1028</v>
      </c>
      <c r="I1843" s="1" t="s">
        <v>107</v>
      </c>
      <c r="J1843" t="str">
        <f>_xll.BDP($B1843,"CNTRY_OF_DOMICILE")</f>
        <v>US</v>
      </c>
      <c r="K1843" t="s">
        <v>98</v>
      </c>
      <c r="L1843" t="s">
        <v>99</v>
      </c>
      <c r="O1843" s="1"/>
      <c r="AQ1843" s="1"/>
      <c r="AR1843" s="1"/>
      <c r="AS1843" s="1"/>
    </row>
    <row r="1844" spans="1:45" x14ac:dyDescent="0.25">
      <c r="A1844" t="s">
        <v>5250</v>
      </c>
      <c r="B1844" t="s">
        <v>109</v>
      </c>
      <c r="C1844" s="1" t="s">
        <v>110</v>
      </c>
      <c r="D1844" t="s">
        <v>111</v>
      </c>
      <c r="E1844" t="str">
        <f>_xll.BDP($B1844,"LEGAL_ENTITY_IDENTIFIER")</f>
        <v>529900G48RT4KWLC6C27</v>
      </c>
      <c r="F1844" t="s">
        <v>111</v>
      </c>
      <c r="G1844" t="str">
        <f>custodian!D1844</f>
        <v>011659109</v>
      </c>
      <c r="H1844" t="str">
        <f>_xll.BDP($B1844,"ID_ISIN")</f>
        <v>US0116591092</v>
      </c>
      <c r="I1844" s="1" t="s">
        <v>110</v>
      </c>
      <c r="J1844" t="str">
        <f>_xll.BDP($B1844,"CNTRY_OF_DOMICILE")</f>
        <v>US</v>
      </c>
      <c r="K1844" t="s">
        <v>98</v>
      </c>
      <c r="L1844" t="s">
        <v>99</v>
      </c>
      <c r="O1844" s="1"/>
      <c r="AQ1844" s="1"/>
      <c r="AR1844" s="1"/>
      <c r="AS1844" s="1"/>
    </row>
    <row r="1845" spans="1:45" x14ac:dyDescent="0.25">
      <c r="A1845" t="s">
        <v>5250</v>
      </c>
      <c r="B1845" t="s">
        <v>112</v>
      </c>
      <c r="C1845" s="1" t="s">
        <v>113</v>
      </c>
      <c r="D1845" t="s">
        <v>114</v>
      </c>
      <c r="E1845" t="str">
        <f>_xll.BDP($B1845,"LEGAL_ENTITY_IDENTIFIER")</f>
        <v>5299001W7JIDXCUOUC82</v>
      </c>
      <c r="F1845" t="s">
        <v>115</v>
      </c>
      <c r="G1845" t="str">
        <f>custodian!D1845</f>
        <v>40051E202</v>
      </c>
      <c r="H1845" t="str">
        <f>_xll.BDP($B1845,"ID_ISIN")</f>
        <v>US40051E2028</v>
      </c>
      <c r="I1845" s="1" t="s">
        <v>113</v>
      </c>
      <c r="J1845" t="str">
        <f>_xll.BDP($B1845,"CNTRY_OF_DOMICILE")</f>
        <v>MX</v>
      </c>
      <c r="K1845" t="s">
        <v>98</v>
      </c>
      <c r="L1845" t="s">
        <v>99</v>
      </c>
      <c r="O1845" s="1"/>
      <c r="AQ1845" s="1"/>
      <c r="AR1845" s="1"/>
      <c r="AS1845" s="1"/>
    </row>
    <row r="1846" spans="1:45" x14ac:dyDescent="0.25">
      <c r="A1846" t="s">
        <v>5250</v>
      </c>
      <c r="B1846" t="s">
        <v>4424</v>
      </c>
      <c r="C1846" s="1" t="s">
        <v>4425</v>
      </c>
      <c r="D1846" t="s">
        <v>4426</v>
      </c>
      <c r="E1846" t="str">
        <f>_xll.BDP($B1846,"LEGAL_ENTITY_IDENTIFIER")</f>
        <v>R4PP93JZOLY261QX3811</v>
      </c>
      <c r="F1846" t="s">
        <v>4426</v>
      </c>
      <c r="G1846" t="str">
        <f>custodian!D1846</f>
        <v>025816109</v>
      </c>
      <c r="H1846" t="str">
        <f>_xll.BDP($B1846,"ID_ISIN")</f>
        <v>US0258161092</v>
      </c>
      <c r="I1846" s="1" t="s">
        <v>4425</v>
      </c>
      <c r="J1846" t="str">
        <f>_xll.BDP($B1846,"CNTRY_OF_DOMICILE")</f>
        <v>US</v>
      </c>
      <c r="K1846" t="s">
        <v>98</v>
      </c>
      <c r="L1846" t="s">
        <v>99</v>
      </c>
      <c r="O1846" s="1"/>
      <c r="AQ1846" s="1"/>
      <c r="AR1846" s="1"/>
      <c r="AS1846" s="1"/>
    </row>
    <row r="1847" spans="1:45" x14ac:dyDescent="0.25">
      <c r="A1847" t="s">
        <v>5250</v>
      </c>
      <c r="B1847" t="s">
        <v>5251</v>
      </c>
      <c r="C1847" s="1" t="s">
        <v>5252</v>
      </c>
      <c r="D1847" t="s">
        <v>5253</v>
      </c>
      <c r="E1847" t="str">
        <f>_xll.BDP($B1847,"LEGAL_ENTITY_IDENTIFIER")</f>
        <v>FXM8FAOHMYDIPD38UZ17</v>
      </c>
      <c r="F1847" t="s">
        <v>5253</v>
      </c>
      <c r="G1847" t="str">
        <f>custodian!D1847</f>
        <v>09857L108</v>
      </c>
      <c r="H1847" t="str">
        <f>_xll.BDP($B1847,"ID_ISIN")</f>
        <v>US09857L1089</v>
      </c>
      <c r="I1847" s="1" t="s">
        <v>5252</v>
      </c>
      <c r="J1847" t="str">
        <f>_xll.BDP($B1847,"CNTRY_OF_DOMICILE")</f>
        <v>US</v>
      </c>
      <c r="K1847" t="s">
        <v>98</v>
      </c>
      <c r="L1847" t="s">
        <v>99</v>
      </c>
      <c r="O1847" s="1"/>
      <c r="AQ1847" s="1"/>
      <c r="AR1847" s="1"/>
      <c r="AS1847" s="1"/>
    </row>
    <row r="1848" spans="1:45" x14ac:dyDescent="0.25">
      <c r="A1848" t="s">
        <v>5250</v>
      </c>
      <c r="B1848" t="s">
        <v>5254</v>
      </c>
      <c r="C1848" s="1" t="s">
        <v>5255</v>
      </c>
      <c r="D1848" t="s">
        <v>5256</v>
      </c>
      <c r="E1848" t="str">
        <f>_xll.BDP($B1848,"LEGAL_ENTITY_IDENTIFIER")</f>
        <v>529900E95812SYWMCE44</v>
      </c>
      <c r="F1848" t="s">
        <v>5256</v>
      </c>
      <c r="G1848" t="str">
        <f>custodian!D1848</f>
        <v>053774105</v>
      </c>
      <c r="H1848" t="str">
        <f>_xll.BDP($B1848,"ID_ISIN")</f>
        <v>US0537741052</v>
      </c>
      <c r="I1848" s="1" t="s">
        <v>5255</v>
      </c>
      <c r="J1848" t="str">
        <f>_xll.BDP($B1848,"CNTRY_OF_DOMICILE")</f>
        <v>US</v>
      </c>
      <c r="K1848" t="s">
        <v>98</v>
      </c>
      <c r="L1848" t="s">
        <v>99</v>
      </c>
      <c r="O1848" s="1"/>
      <c r="AQ1848" s="1"/>
      <c r="AR1848" s="1"/>
      <c r="AS1848" s="1"/>
    </row>
    <row r="1849" spans="1:45" x14ac:dyDescent="0.25">
      <c r="A1849" t="s">
        <v>5250</v>
      </c>
      <c r="B1849" t="s">
        <v>4673</v>
      </c>
      <c r="C1849" s="1" t="s">
        <v>4674</v>
      </c>
      <c r="D1849" t="s">
        <v>4675</v>
      </c>
      <c r="E1849" t="str">
        <f>_xll.BDP($B1849,"LEGAL_ENTITY_IDENTIFIER")</f>
        <v>F1OF2ZSX47CR0BCWA982</v>
      </c>
      <c r="F1849" t="s">
        <v>4675</v>
      </c>
      <c r="G1849" t="str">
        <f>custodian!D1849</f>
        <v>G2004J103</v>
      </c>
      <c r="H1849" t="str">
        <f>_xll.BDP($B1849,"ID_ISIN")</f>
        <v>BMG2004J1036</v>
      </c>
      <c r="I1849" s="1" t="s">
        <v>4674</v>
      </c>
      <c r="J1849" t="str">
        <f>_xll.BDP($B1849,"CNTRY_OF_DOMICILE")</f>
        <v>US</v>
      </c>
      <c r="K1849" t="s">
        <v>98</v>
      </c>
      <c r="L1849" t="s">
        <v>99</v>
      </c>
      <c r="O1849" s="1"/>
      <c r="AQ1849" s="1"/>
      <c r="AR1849" s="1"/>
      <c r="AS1849" s="1"/>
    </row>
    <row r="1850" spans="1:45" x14ac:dyDescent="0.25">
      <c r="A1850" t="s">
        <v>5250</v>
      </c>
      <c r="B1850" t="s">
        <v>5257</v>
      </c>
      <c r="C1850" s="1" t="s">
        <v>5258</v>
      </c>
      <c r="D1850" t="s">
        <v>5259</v>
      </c>
      <c r="E1850" t="str">
        <f>_xll.BDP($B1850,"LEGAL_ENTITY_IDENTIFIER")</f>
        <v>5493003CYRY5RFGTIR97</v>
      </c>
      <c r="F1850" t="s">
        <v>5260</v>
      </c>
      <c r="G1850" t="str">
        <f>custodian!D1850</f>
        <v>169905106</v>
      </c>
      <c r="H1850" t="str">
        <f>_xll.BDP($B1850,"ID_ISIN")</f>
        <v>US1699051066</v>
      </c>
      <c r="I1850" s="1" t="s">
        <v>5258</v>
      </c>
      <c r="J1850" t="str">
        <f>_xll.BDP($B1850,"CNTRY_OF_DOMICILE")</f>
        <v>US</v>
      </c>
      <c r="K1850" t="s">
        <v>98</v>
      </c>
      <c r="L1850" t="s">
        <v>99</v>
      </c>
      <c r="O1850" s="1"/>
      <c r="AQ1850" s="1"/>
      <c r="AR1850" s="1"/>
      <c r="AS1850" s="1"/>
    </row>
    <row r="1851" spans="1:45" x14ac:dyDescent="0.25">
      <c r="A1851" t="s">
        <v>5250</v>
      </c>
      <c r="B1851" t="s">
        <v>125</v>
      </c>
      <c r="C1851" s="1" t="s">
        <v>126</v>
      </c>
      <c r="D1851" t="s">
        <v>127</v>
      </c>
      <c r="E1851" t="str">
        <f>_xll.BDP($B1851,"LEGAL_ENTITY_IDENTIFIER")</f>
        <v>529900BB9UQJV6QQHA59</v>
      </c>
      <c r="F1851" t="s">
        <v>127</v>
      </c>
      <c r="G1851" t="str">
        <f>custodian!D1851</f>
        <v>P31076105</v>
      </c>
      <c r="H1851" t="str">
        <f>_xll.BDP($B1851,"ID_ISIN")</f>
        <v>PAP310761054</v>
      </c>
      <c r="I1851" s="1" t="s">
        <v>126</v>
      </c>
      <c r="J1851" t="str">
        <f>_xll.BDP($B1851,"CNTRY_OF_DOMICILE")</f>
        <v>PA</v>
      </c>
      <c r="K1851" t="s">
        <v>98</v>
      </c>
      <c r="L1851" t="s">
        <v>99</v>
      </c>
      <c r="O1851" s="1"/>
      <c r="AQ1851" s="1"/>
      <c r="AR1851" s="1"/>
      <c r="AS1851" s="1"/>
    </row>
    <row r="1852" spans="1:45" x14ac:dyDescent="0.25">
      <c r="A1852" t="s">
        <v>5250</v>
      </c>
      <c r="B1852" t="s">
        <v>4591</v>
      </c>
      <c r="C1852" s="1" t="s">
        <v>4592</v>
      </c>
      <c r="D1852" t="s">
        <v>4593</v>
      </c>
      <c r="E1852" t="str">
        <f>_xll.BDP($B1852,"LEGAL_ENTITY_IDENTIFIER")</f>
        <v>549300FA4CTCW903Y781</v>
      </c>
      <c r="F1852" t="s">
        <v>4593</v>
      </c>
      <c r="G1852" t="str">
        <f>custodian!D1852</f>
        <v>12769G100</v>
      </c>
      <c r="H1852" t="str">
        <f>_xll.BDP($B1852,"ID_ISIN")</f>
        <v>US12769G1004</v>
      </c>
      <c r="I1852" s="1" t="s">
        <v>4592</v>
      </c>
      <c r="J1852" t="str">
        <f>_xll.BDP($B1852,"CNTRY_OF_DOMICILE")</f>
        <v>US</v>
      </c>
      <c r="K1852" t="s">
        <v>98</v>
      </c>
      <c r="L1852" t="s">
        <v>99</v>
      </c>
      <c r="O1852" s="1"/>
      <c r="AQ1852" s="1"/>
      <c r="AR1852" s="1"/>
      <c r="AS1852" s="1"/>
    </row>
    <row r="1853" spans="1:45" x14ac:dyDescent="0.25">
      <c r="A1853" t="s">
        <v>5250</v>
      </c>
      <c r="B1853" t="s">
        <v>131</v>
      </c>
      <c r="C1853" s="1" t="s">
        <v>132</v>
      </c>
      <c r="D1853" t="s">
        <v>133</v>
      </c>
      <c r="E1853" t="str">
        <f>_xll.BDP($B1853,"LEGAL_ENTITY_IDENTIFIER")</f>
        <v>Q2CCMS6R0AS67HJMBN42</v>
      </c>
      <c r="F1853" t="s">
        <v>133</v>
      </c>
      <c r="G1853" t="str">
        <f>custodian!D1853</f>
        <v>247361702</v>
      </c>
      <c r="H1853" t="str">
        <f>_xll.BDP($B1853,"ID_ISIN")</f>
        <v>US2473617023</v>
      </c>
      <c r="I1853" s="1" t="s">
        <v>132</v>
      </c>
      <c r="J1853" t="str">
        <f>_xll.BDP($B1853,"CNTRY_OF_DOMICILE")</f>
        <v>US</v>
      </c>
      <c r="K1853" t="s">
        <v>98</v>
      </c>
      <c r="L1853" t="s">
        <v>99</v>
      </c>
      <c r="O1853" s="1"/>
      <c r="AQ1853" s="1"/>
      <c r="AR1853" s="1"/>
      <c r="AS1853" s="1"/>
    </row>
    <row r="1854" spans="1:45" x14ac:dyDescent="0.25">
      <c r="A1854" t="s">
        <v>5250</v>
      </c>
      <c r="B1854" t="s">
        <v>4779</v>
      </c>
      <c r="C1854" s="1" t="s">
        <v>4780</v>
      </c>
      <c r="D1854" t="s">
        <v>4781</v>
      </c>
      <c r="E1854" t="str">
        <f>_xll.BDP($B1854,"LEGAL_ENTITY_IDENTIFIER")</f>
        <v>549300GZKULIZ0WOW665</v>
      </c>
      <c r="F1854" t="s">
        <v>4781</v>
      </c>
      <c r="G1854" t="str">
        <f>custodian!D1854</f>
        <v>254687106</v>
      </c>
      <c r="H1854" t="str">
        <f>_xll.BDP($B1854,"ID_ISIN")</f>
        <v>US2546871060</v>
      </c>
      <c r="I1854" s="1" t="s">
        <v>4780</v>
      </c>
      <c r="J1854" t="str">
        <f>_xll.BDP($B1854,"CNTRY_OF_DOMICILE")</f>
        <v>US</v>
      </c>
      <c r="K1854" t="s">
        <v>98</v>
      </c>
      <c r="L1854" t="s">
        <v>99</v>
      </c>
      <c r="O1854" s="1"/>
      <c r="AQ1854" s="1"/>
      <c r="AR1854" s="1"/>
      <c r="AS1854" s="1"/>
    </row>
    <row r="1855" spans="1:45" x14ac:dyDescent="0.25">
      <c r="A1855" t="s">
        <v>5250</v>
      </c>
      <c r="B1855" t="s">
        <v>5261</v>
      </c>
      <c r="C1855" s="1" t="s">
        <v>5262</v>
      </c>
      <c r="D1855" t="s">
        <v>5263</v>
      </c>
      <c r="E1855" t="str">
        <f>_xll.BDP($B1855,"LEGAL_ENTITY_IDENTIFIER")</f>
        <v>529900KKD4BPVBUAQ734</v>
      </c>
      <c r="F1855" t="s">
        <v>5263</v>
      </c>
      <c r="G1855" t="str">
        <f>custodian!D1855</f>
        <v>252784301</v>
      </c>
      <c r="H1855" t="str">
        <f>_xll.BDP($B1855,"ID_ISIN")</f>
        <v>US2527843013</v>
      </c>
      <c r="I1855" s="1" t="s">
        <v>5262</v>
      </c>
      <c r="J1855" t="str">
        <f>_xll.BDP($B1855,"CNTRY_OF_DOMICILE")</f>
        <v>US</v>
      </c>
      <c r="K1855" t="s">
        <v>98</v>
      </c>
      <c r="L1855" t="s">
        <v>99</v>
      </c>
      <c r="O1855" s="1"/>
      <c r="AQ1855" s="1"/>
      <c r="AR1855" s="1"/>
      <c r="AS1855" s="1"/>
    </row>
    <row r="1856" spans="1:45" x14ac:dyDescent="0.25">
      <c r="A1856" t="s">
        <v>5250</v>
      </c>
      <c r="B1856" t="s">
        <v>4697</v>
      </c>
      <c r="C1856" s="1" t="s">
        <v>4698</v>
      </c>
      <c r="D1856" t="s">
        <v>4699</v>
      </c>
      <c r="E1856" t="str">
        <f>_xll.BDP($B1856,"LEGAL_ENTITY_IDENTIFIER")</f>
        <v>2549009GW3Z3DQCB8H87</v>
      </c>
      <c r="F1856" t="s">
        <v>4699</v>
      </c>
      <c r="G1856" t="str">
        <f>custodian!D1856</f>
        <v>30212P303</v>
      </c>
      <c r="H1856" t="str">
        <f>_xll.BDP($B1856,"ID_ISIN")</f>
        <v>US30212P3038</v>
      </c>
      <c r="I1856" s="1" t="s">
        <v>4698</v>
      </c>
      <c r="J1856" t="str">
        <f>_xll.BDP($B1856,"CNTRY_OF_DOMICILE")</f>
        <v>US</v>
      </c>
      <c r="K1856" t="s">
        <v>98</v>
      </c>
      <c r="L1856" t="s">
        <v>99</v>
      </c>
      <c r="O1856" s="1"/>
      <c r="AQ1856" s="1"/>
      <c r="AR1856" s="1"/>
      <c r="AS1856" s="1"/>
    </row>
    <row r="1857" spans="1:45" x14ac:dyDescent="0.25">
      <c r="A1857" t="s">
        <v>5250</v>
      </c>
      <c r="B1857" t="s">
        <v>77</v>
      </c>
      <c r="C1857" s="1" t="s">
        <v>78</v>
      </c>
      <c r="D1857" t="s">
        <v>79</v>
      </c>
      <c r="E1857" t="str">
        <f>_xll.BDP($B1857,"LEGAL_ENTITY_IDENTIFIER")</f>
        <v>549300R5MYM6VZF1RM44</v>
      </c>
      <c r="F1857" t="s">
        <v>80</v>
      </c>
      <c r="G1857" t="str">
        <f>custodian!D1857</f>
        <v>31846V336</v>
      </c>
      <c r="H1857" t="str">
        <f>_xll.BDP($B1857,"ID_ISIN")</f>
        <v>US31846V3362</v>
      </c>
      <c r="I1857" s="1" t="s">
        <v>78</v>
      </c>
      <c r="J1857" t="str">
        <f>_xll.BDP($B1857,"CNTRY_OF_DOMICILE")</f>
        <v>US</v>
      </c>
      <c r="K1857" t="s">
        <v>81</v>
      </c>
      <c r="L1857" t="s">
        <v>82</v>
      </c>
      <c r="O1857" s="1"/>
      <c r="AQ1857" s="1"/>
      <c r="AR1857" s="1"/>
      <c r="AS1857" s="1"/>
    </row>
    <row r="1858" spans="1:45" x14ac:dyDescent="0.25">
      <c r="A1858" t="s">
        <v>5250</v>
      </c>
      <c r="B1858" t="s">
        <v>4233</v>
      </c>
      <c r="C1858" s="1" t="s">
        <v>4234</v>
      </c>
      <c r="D1858" t="s">
        <v>4235</v>
      </c>
      <c r="E1858" t="str">
        <f>_xll.BDP($B1858,"LEGAL_ENTITY_IDENTIFIER")</f>
        <v>54930055DSV7NNY4VY66</v>
      </c>
      <c r="F1858" t="s">
        <v>4235</v>
      </c>
      <c r="G1858" t="str">
        <f>custodian!D1858</f>
        <v>302492103</v>
      </c>
      <c r="H1858" t="str">
        <f>_xll.BDP($B1858,"ID_ISIN")</f>
        <v>US3024921039</v>
      </c>
      <c r="I1858" s="1" t="s">
        <v>4234</v>
      </c>
      <c r="J1858" t="str">
        <f>_xll.BDP($B1858,"CNTRY_OF_DOMICILE")</f>
        <v>US</v>
      </c>
      <c r="K1858" t="s">
        <v>98</v>
      </c>
      <c r="L1858" t="s">
        <v>99</v>
      </c>
      <c r="O1858" s="1"/>
      <c r="AQ1858" s="1"/>
      <c r="AR1858" s="1"/>
      <c r="AS1858" s="1"/>
    </row>
    <row r="1859" spans="1:45" x14ac:dyDescent="0.25">
      <c r="A1859" t="s">
        <v>5250</v>
      </c>
      <c r="B1859" t="s">
        <v>4236</v>
      </c>
      <c r="C1859" s="1" t="s">
        <v>4237</v>
      </c>
      <c r="D1859" t="s">
        <v>4238</v>
      </c>
      <c r="E1859" t="str">
        <f>_xll.BDP($B1859,"LEGAL_ENTITY_IDENTIFIER")</f>
        <v>#N/A N/A</v>
      </c>
      <c r="F1859" t="s">
        <v>4238</v>
      </c>
      <c r="G1859" t="str">
        <f>custodian!D1859</f>
        <v>82452J109</v>
      </c>
      <c r="H1859" t="str">
        <f>_xll.BDP($B1859,"ID_ISIN")</f>
        <v>US82452J1097</v>
      </c>
      <c r="I1859" s="1" t="s">
        <v>4237</v>
      </c>
      <c r="J1859" t="str">
        <f>_xll.BDP($B1859,"CNTRY_OF_DOMICILE")</f>
        <v>US</v>
      </c>
      <c r="K1859" t="s">
        <v>98</v>
      </c>
      <c r="L1859" t="s">
        <v>99</v>
      </c>
      <c r="O1859" s="1"/>
      <c r="AQ1859" s="1"/>
      <c r="AR1859" s="1"/>
      <c r="AS1859" s="1"/>
    </row>
    <row r="1860" spans="1:45" x14ac:dyDescent="0.25">
      <c r="A1860" t="s">
        <v>5250</v>
      </c>
      <c r="B1860" t="s">
        <v>5264</v>
      </c>
      <c r="C1860" s="1" t="s">
        <v>5265</v>
      </c>
      <c r="D1860" t="s">
        <v>5266</v>
      </c>
      <c r="E1860" t="str">
        <f>_xll.BDP($B1860,"LEGAL_ENTITY_IDENTIFIER")</f>
        <v>529900AS2CYWYFHRS781</v>
      </c>
      <c r="F1860" t="s">
        <v>5266</v>
      </c>
      <c r="G1860" t="str">
        <f>custodian!D1860</f>
        <v>83001C108</v>
      </c>
      <c r="H1860" t="str">
        <f>_xll.BDP($B1860,"ID_ISIN")</f>
        <v>US83001C1080</v>
      </c>
      <c r="I1860" s="1" t="s">
        <v>5265</v>
      </c>
      <c r="J1860" t="str">
        <f>_xll.BDP($B1860,"CNTRY_OF_DOMICILE")</f>
        <v>US</v>
      </c>
      <c r="K1860" t="s">
        <v>98</v>
      </c>
      <c r="L1860" t="s">
        <v>99</v>
      </c>
      <c r="O1860" s="1"/>
      <c r="AQ1860" s="1"/>
      <c r="AR1860" s="1"/>
      <c r="AS1860" s="1"/>
    </row>
    <row r="1861" spans="1:45" x14ac:dyDescent="0.25">
      <c r="A1861" t="s">
        <v>5250</v>
      </c>
      <c r="B1861" t="s">
        <v>5267</v>
      </c>
      <c r="C1861" s="1" t="s">
        <v>5268</v>
      </c>
      <c r="D1861" t="s">
        <v>5269</v>
      </c>
      <c r="E1861" t="str">
        <f>_xll.BDP($B1861,"LEGAL_ENTITY_IDENTIFIER")</f>
        <v>#N/A N/A</v>
      </c>
      <c r="F1861" t="s">
        <v>5269</v>
      </c>
      <c r="G1861" t="str">
        <f>custodian!D1861</f>
        <v>37890B100</v>
      </c>
      <c r="H1861" t="str">
        <f>_xll.BDP($B1861,"ID_ISIN")</f>
        <v>US37890B1008</v>
      </c>
      <c r="I1861" s="1" t="s">
        <v>5268</v>
      </c>
      <c r="J1861" t="str">
        <f>_xll.BDP($B1861,"CNTRY_OF_DOMICILE")</f>
        <v>US</v>
      </c>
      <c r="K1861" t="s">
        <v>98</v>
      </c>
      <c r="L1861" t="s">
        <v>99</v>
      </c>
      <c r="O1861" s="1"/>
      <c r="AQ1861" s="1"/>
      <c r="AR1861" s="1"/>
      <c r="AS1861" s="1"/>
    </row>
    <row r="1862" spans="1:45" x14ac:dyDescent="0.25">
      <c r="A1862" t="s">
        <v>5250</v>
      </c>
      <c r="B1862" t="s">
        <v>5270</v>
      </c>
      <c r="C1862" s="1" t="s">
        <v>5271</v>
      </c>
      <c r="D1862" t="s">
        <v>5272</v>
      </c>
      <c r="E1862" t="str">
        <f>_xll.BDP($B1862,"LEGAL_ENTITY_IDENTIFIER")</f>
        <v>T27JQIMTYSH41TCD5186</v>
      </c>
      <c r="F1862" t="s">
        <v>5272</v>
      </c>
      <c r="G1862" t="str">
        <f>custodian!D1862</f>
        <v>448579102</v>
      </c>
      <c r="H1862" t="str">
        <f>_xll.BDP($B1862,"ID_ISIN")</f>
        <v>US4485791028</v>
      </c>
      <c r="I1862" s="1" t="s">
        <v>5271</v>
      </c>
      <c r="J1862" t="str">
        <f>_xll.BDP($B1862,"CNTRY_OF_DOMICILE")</f>
        <v>US</v>
      </c>
      <c r="K1862" t="s">
        <v>98</v>
      </c>
      <c r="L1862" t="s">
        <v>99</v>
      </c>
      <c r="O1862" s="1"/>
      <c r="AQ1862" s="1"/>
      <c r="AR1862" s="1"/>
      <c r="AS1862" s="1"/>
    </row>
    <row r="1863" spans="1:45" x14ac:dyDescent="0.25">
      <c r="A1863" t="s">
        <v>5250</v>
      </c>
      <c r="B1863" t="s">
        <v>5273</v>
      </c>
      <c r="C1863" s="1" t="s">
        <v>5274</v>
      </c>
      <c r="D1863" t="s">
        <v>5275</v>
      </c>
      <c r="E1863" t="str">
        <f>_xll.BDP($B1863,"LEGAL_ENTITY_IDENTIFIER")</f>
        <v>549300O9K6MFD8D07574</v>
      </c>
      <c r="F1863" t="s">
        <v>5275</v>
      </c>
      <c r="G1863" t="str">
        <f>custodian!D1863</f>
        <v>43283X105</v>
      </c>
      <c r="H1863" t="str">
        <f>_xll.BDP($B1863,"ID_ISIN")</f>
        <v>US43283X1054</v>
      </c>
      <c r="I1863" s="1" t="s">
        <v>5274</v>
      </c>
      <c r="J1863" t="str">
        <f>_xll.BDP($B1863,"CNTRY_OF_DOMICILE")</f>
        <v>US</v>
      </c>
      <c r="K1863" t="s">
        <v>98</v>
      </c>
      <c r="L1863" t="s">
        <v>99</v>
      </c>
      <c r="O1863" s="1"/>
      <c r="AQ1863" s="1"/>
      <c r="AR1863" s="1"/>
      <c r="AS1863" s="1"/>
    </row>
    <row r="1864" spans="1:45" x14ac:dyDescent="0.25">
      <c r="A1864" t="s">
        <v>5250</v>
      </c>
      <c r="B1864" t="s">
        <v>4706</v>
      </c>
      <c r="C1864" s="1" t="s">
        <v>4707</v>
      </c>
      <c r="D1864" t="s">
        <v>4708</v>
      </c>
      <c r="E1864" t="str">
        <f>_xll.BDP($B1864,"LEGAL_ENTITY_IDENTIFIER")</f>
        <v>549300HVGPK36ICB0B89</v>
      </c>
      <c r="F1864" t="s">
        <v>4708</v>
      </c>
      <c r="G1864" t="str">
        <f>custodian!D1864</f>
        <v>43300A203</v>
      </c>
      <c r="H1864" t="str">
        <f>_xll.BDP($B1864,"ID_ISIN")</f>
        <v>US43300A2033</v>
      </c>
      <c r="I1864" s="1" t="s">
        <v>4707</v>
      </c>
      <c r="J1864" t="str">
        <f>_xll.BDP($B1864,"CNTRY_OF_DOMICILE")</f>
        <v>US</v>
      </c>
      <c r="K1864" t="s">
        <v>98</v>
      </c>
      <c r="L1864" t="s">
        <v>99</v>
      </c>
      <c r="O1864" s="1"/>
      <c r="AQ1864" s="1"/>
      <c r="AR1864" s="1"/>
      <c r="AS1864" s="1"/>
    </row>
    <row r="1865" spans="1:45" x14ac:dyDescent="0.25">
      <c r="A1865" t="s">
        <v>5250</v>
      </c>
      <c r="B1865" t="s">
        <v>5276</v>
      </c>
      <c r="C1865" s="1" t="s">
        <v>5277</v>
      </c>
      <c r="D1865" t="s">
        <v>5278</v>
      </c>
      <c r="E1865" t="str">
        <f>_xll.BDP($B1865,"LEGAL_ENTITY_IDENTIFIER")</f>
        <v>N6EL63S0K3PB1YFTDI24</v>
      </c>
      <c r="F1865" t="s">
        <v>5278</v>
      </c>
      <c r="G1865" t="str">
        <f>custodian!D1865</f>
        <v>44107P104</v>
      </c>
      <c r="H1865" t="str">
        <f>_xll.BDP($B1865,"ID_ISIN")</f>
        <v>US44107P1049</v>
      </c>
      <c r="I1865" s="1" t="s">
        <v>5277</v>
      </c>
      <c r="J1865" t="str">
        <f>_xll.BDP($B1865,"CNTRY_OF_DOMICILE")</f>
        <v>US</v>
      </c>
      <c r="K1865" t="s">
        <v>98</v>
      </c>
      <c r="L1865" t="s">
        <v>99</v>
      </c>
      <c r="O1865" s="1"/>
      <c r="AQ1865" s="1"/>
      <c r="AR1865" s="1"/>
      <c r="AS1865" s="1"/>
    </row>
    <row r="1866" spans="1:45" x14ac:dyDescent="0.25">
      <c r="A1866" t="s">
        <v>5250</v>
      </c>
      <c r="B1866" t="s">
        <v>5279</v>
      </c>
      <c r="C1866" s="1" t="s">
        <v>5280</v>
      </c>
      <c r="D1866" t="s">
        <v>5281</v>
      </c>
      <c r="E1866" t="str">
        <f>_xll.BDP($B1866,"LEGAL_ENTITY_IDENTIFIER")</f>
        <v>549300Y5ML31FVN83730</v>
      </c>
      <c r="F1866" t="s">
        <v>5281</v>
      </c>
      <c r="G1866" t="str">
        <f>custodian!D1866</f>
        <v>44332N106</v>
      </c>
      <c r="H1866" t="str">
        <f>_xll.BDP($B1866,"ID_ISIN")</f>
        <v>US44332N1063</v>
      </c>
      <c r="I1866" s="1" t="s">
        <v>5280</v>
      </c>
      <c r="J1866" t="str">
        <f>_xll.BDP($B1866,"CNTRY_OF_DOMICILE")</f>
        <v>CN</v>
      </c>
      <c r="K1866" t="s">
        <v>98</v>
      </c>
      <c r="L1866" t="s">
        <v>99</v>
      </c>
      <c r="O1866" s="1"/>
      <c r="AQ1866" s="1"/>
      <c r="AR1866" s="1"/>
      <c r="AS1866" s="1"/>
    </row>
    <row r="1867" spans="1:45" x14ac:dyDescent="0.25">
      <c r="A1867" t="s">
        <v>5250</v>
      </c>
      <c r="B1867" t="s">
        <v>5282</v>
      </c>
      <c r="C1867" s="1" t="s">
        <v>5283</v>
      </c>
      <c r="D1867" t="s">
        <v>5284</v>
      </c>
      <c r="E1867" t="str">
        <f>_xll.BDP($B1867,"LEGAL_ENTITY_IDENTIFIER")</f>
        <v>549300NBK3K85MH1EX16</v>
      </c>
      <c r="F1867" t="s">
        <v>5284</v>
      </c>
      <c r="G1867" t="str">
        <f>custodian!D1867</f>
        <v>42806J700</v>
      </c>
      <c r="H1867" t="str">
        <f>_xll.BDP($B1867,"ID_ISIN")</f>
        <v>US42806J7000</v>
      </c>
      <c r="I1867" s="1" t="s">
        <v>5283</v>
      </c>
      <c r="J1867" t="str">
        <f>_xll.BDP($B1867,"CNTRY_OF_DOMICILE")</f>
        <v>US</v>
      </c>
      <c r="K1867" t="s">
        <v>98</v>
      </c>
      <c r="L1867" t="s">
        <v>99</v>
      </c>
      <c r="O1867" s="1"/>
      <c r="AQ1867" s="1"/>
      <c r="AR1867" s="1"/>
      <c r="AS1867" s="1"/>
    </row>
    <row r="1868" spans="1:45" x14ac:dyDescent="0.25">
      <c r="A1868" t="s">
        <v>5250</v>
      </c>
      <c r="B1868" t="s">
        <v>5285</v>
      </c>
      <c r="C1868" s="1" t="s">
        <v>5286</v>
      </c>
      <c r="D1868" t="s">
        <v>5287</v>
      </c>
      <c r="E1868" t="str">
        <f>_xll.BDP($B1868,"LEGAL_ENTITY_IDENTIFIER")</f>
        <v>2138007ZFQYRUSLU3J98</v>
      </c>
      <c r="F1868" t="s">
        <v>5288</v>
      </c>
      <c r="G1868" t="str">
        <f>custodian!D1868</f>
        <v>45857P806</v>
      </c>
      <c r="H1868" t="str">
        <f>_xll.BDP($B1868,"ID_ISIN")</f>
        <v>US45857P8068</v>
      </c>
      <c r="I1868" s="1" t="s">
        <v>5286</v>
      </c>
      <c r="J1868" t="str">
        <f>_xll.BDP($B1868,"CNTRY_OF_DOMICILE")</f>
        <v>GB</v>
      </c>
      <c r="K1868" t="s">
        <v>98</v>
      </c>
      <c r="L1868" t="s">
        <v>99</v>
      </c>
      <c r="O1868" s="1"/>
      <c r="AQ1868" s="1"/>
      <c r="AR1868" s="1"/>
      <c r="AS1868" s="1"/>
    </row>
    <row r="1869" spans="1:45" x14ac:dyDescent="0.25">
      <c r="A1869" t="s">
        <v>5250</v>
      </c>
      <c r="B1869" t="s">
        <v>164</v>
      </c>
      <c r="C1869" s="1" t="s">
        <v>165</v>
      </c>
      <c r="D1869" t="s">
        <v>166</v>
      </c>
      <c r="E1869" t="str">
        <f>_xll.BDP($B1869,"LEGAL_ENTITY_IDENTIFIER")</f>
        <v>54930070J9H97ZO93T57</v>
      </c>
      <c r="F1869" t="s">
        <v>166</v>
      </c>
      <c r="G1869" t="str">
        <f>custodian!D1869</f>
        <v>477143101</v>
      </c>
      <c r="H1869" t="str">
        <f>_xll.BDP($B1869,"ID_ISIN")</f>
        <v>US4771431016</v>
      </c>
      <c r="I1869" s="1" t="s">
        <v>165</v>
      </c>
      <c r="J1869" t="str">
        <f>_xll.BDP($B1869,"CNTRY_OF_DOMICILE")</f>
        <v>US</v>
      </c>
      <c r="K1869" t="s">
        <v>98</v>
      </c>
      <c r="L1869" t="s">
        <v>99</v>
      </c>
      <c r="O1869" s="1"/>
      <c r="AQ1869" s="1"/>
      <c r="AR1869" s="1"/>
      <c r="AS1869" s="1"/>
    </row>
    <row r="1870" spans="1:45" x14ac:dyDescent="0.25">
      <c r="A1870" t="s">
        <v>5250</v>
      </c>
      <c r="B1870" t="s">
        <v>5289</v>
      </c>
      <c r="C1870" s="1" t="s">
        <v>5290</v>
      </c>
      <c r="D1870" t="s">
        <v>5291</v>
      </c>
      <c r="E1870" t="str">
        <f>_xll.BDP($B1870,"LEGAL_ENTITY_IDENTIFIER")</f>
        <v>549300GSPW24GZE6R597</v>
      </c>
      <c r="F1870" t="s">
        <v>5292</v>
      </c>
      <c r="G1870" t="str">
        <f>custodian!D1870</f>
        <v>535219109</v>
      </c>
      <c r="H1870" t="str">
        <f>_xll.BDP($B1870,"ID_ISIN")</f>
        <v>US5352191093</v>
      </c>
      <c r="I1870" s="1" t="s">
        <v>5290</v>
      </c>
      <c r="J1870" t="str">
        <f>_xll.BDP($B1870,"CNTRY_OF_DOMICILE")</f>
        <v>US</v>
      </c>
      <c r="K1870" t="s">
        <v>98</v>
      </c>
      <c r="L1870" t="s">
        <v>99</v>
      </c>
      <c r="O1870" s="1"/>
      <c r="AQ1870" s="1"/>
      <c r="AR1870" s="1"/>
      <c r="AS1870" s="1"/>
    </row>
    <row r="1871" spans="1:45" x14ac:dyDescent="0.25">
      <c r="A1871" t="s">
        <v>5250</v>
      </c>
      <c r="B1871" t="s">
        <v>176</v>
      </c>
      <c r="C1871" s="1" t="s">
        <v>177</v>
      </c>
      <c r="D1871" t="s">
        <v>178</v>
      </c>
      <c r="E1871" t="str">
        <f>_xll.BDP($B1871,"LEGAL_ENTITY_IDENTIFIER")</f>
        <v>UDTZ87G0STFETI6HGH41</v>
      </c>
      <c r="F1871" t="s">
        <v>178</v>
      </c>
      <c r="G1871" t="str">
        <f>custodian!D1871</f>
        <v>844741108</v>
      </c>
      <c r="H1871" t="str">
        <f>_xll.BDP($B1871,"ID_ISIN")</f>
        <v>US8447411088</v>
      </c>
      <c r="I1871" s="1" t="s">
        <v>177</v>
      </c>
      <c r="J1871" t="str">
        <f>_xll.BDP($B1871,"CNTRY_OF_DOMICILE")</f>
        <v>US</v>
      </c>
      <c r="K1871" t="s">
        <v>98</v>
      </c>
      <c r="L1871" t="s">
        <v>99</v>
      </c>
      <c r="O1871" s="1"/>
      <c r="AQ1871" s="1"/>
      <c r="AR1871" s="1"/>
      <c r="AS1871" s="1"/>
    </row>
    <row r="1872" spans="1:45" x14ac:dyDescent="0.25">
      <c r="A1872" t="s">
        <v>5250</v>
      </c>
      <c r="B1872" t="s">
        <v>4612</v>
      </c>
      <c r="C1872" s="1" t="s">
        <v>4613</v>
      </c>
      <c r="D1872" t="s">
        <v>4614</v>
      </c>
      <c r="E1872" t="str">
        <f>_xll.BDP($B1872,"LEGAL_ENTITY_IDENTIFIER")</f>
        <v>549300DUOO1KXOHPM605</v>
      </c>
      <c r="F1872" t="s">
        <v>4614</v>
      </c>
      <c r="G1872" t="str">
        <f>custodian!D1872</f>
        <v>517834107</v>
      </c>
      <c r="H1872" t="str">
        <f>_xll.BDP($B1872,"ID_ISIN")</f>
        <v>US5178341070</v>
      </c>
      <c r="I1872" s="1" t="s">
        <v>4613</v>
      </c>
      <c r="J1872" t="str">
        <f>_xll.BDP($B1872,"CNTRY_OF_DOMICILE")</f>
        <v>US</v>
      </c>
      <c r="K1872" t="s">
        <v>98</v>
      </c>
      <c r="L1872" t="s">
        <v>99</v>
      </c>
      <c r="O1872" s="1"/>
      <c r="AQ1872" s="1"/>
      <c r="AR1872" s="1"/>
      <c r="AS1872" s="1"/>
    </row>
    <row r="1873" spans="1:45" x14ac:dyDescent="0.25">
      <c r="A1873" t="s">
        <v>5250</v>
      </c>
      <c r="B1873" t="s">
        <v>5293</v>
      </c>
      <c r="C1873" s="1" t="s">
        <v>5294</v>
      </c>
      <c r="D1873" t="s">
        <v>5295</v>
      </c>
      <c r="E1873" t="str">
        <f>_xll.BDP($B1873,"LEGAL_ENTITY_IDENTIFIER")</f>
        <v>549300H7I5VN334XVZ52</v>
      </c>
      <c r="F1873" t="s">
        <v>5295</v>
      </c>
      <c r="G1873" t="str">
        <f>custodian!D1873</f>
        <v>55087P104</v>
      </c>
      <c r="H1873" t="str">
        <f>_xll.BDP($B1873,"ID_ISIN")</f>
        <v>US55087P1049</v>
      </c>
      <c r="I1873" s="1" t="s">
        <v>5294</v>
      </c>
      <c r="J1873" t="str">
        <f>_xll.BDP($B1873,"CNTRY_OF_DOMICILE")</f>
        <v>US</v>
      </c>
      <c r="K1873" t="s">
        <v>98</v>
      </c>
      <c r="L1873" t="s">
        <v>99</v>
      </c>
      <c r="O1873" s="1"/>
      <c r="AQ1873" s="1"/>
      <c r="AR1873" s="1"/>
      <c r="AS1873" s="1"/>
    </row>
    <row r="1874" spans="1:45" x14ac:dyDescent="0.25">
      <c r="A1874" t="s">
        <v>5250</v>
      </c>
      <c r="B1874" t="s">
        <v>4718</v>
      </c>
      <c r="C1874" s="1" t="s">
        <v>4719</v>
      </c>
      <c r="D1874" t="s">
        <v>4720</v>
      </c>
      <c r="E1874" t="str">
        <f>_xll.BDP($B1874,"LEGAL_ENTITY_IDENTIFIER")</f>
        <v>5493007B9BM9ZXJINO78</v>
      </c>
      <c r="F1874" t="s">
        <v>4720</v>
      </c>
      <c r="G1874" t="str">
        <f>custodian!D1874</f>
        <v>538034109</v>
      </c>
      <c r="H1874" t="str">
        <f>_xll.BDP($B1874,"ID_ISIN")</f>
        <v>US5380341090</v>
      </c>
      <c r="I1874" s="1" t="s">
        <v>4719</v>
      </c>
      <c r="J1874" t="str">
        <f>_xll.BDP($B1874,"CNTRY_OF_DOMICILE")</f>
        <v>US</v>
      </c>
      <c r="K1874" t="s">
        <v>98</v>
      </c>
      <c r="L1874" t="s">
        <v>99</v>
      </c>
      <c r="O1874" s="1"/>
      <c r="AQ1874" s="1"/>
      <c r="AR1874" s="1"/>
      <c r="AS1874" s="1"/>
    </row>
    <row r="1875" spans="1:45" x14ac:dyDescent="0.25">
      <c r="A1875" t="s">
        <v>5250</v>
      </c>
      <c r="B1875" t="s">
        <v>4721</v>
      </c>
      <c r="C1875" s="1" t="s">
        <v>4722</v>
      </c>
      <c r="D1875" t="s">
        <v>4723</v>
      </c>
      <c r="E1875" t="str">
        <f>_xll.BDP($B1875,"LEGAL_ENTITY_IDENTIFIER")</f>
        <v>225YDZ14ZO8E1TXUSU86</v>
      </c>
      <c r="F1875" t="s">
        <v>4723</v>
      </c>
      <c r="G1875" t="str">
        <f>custodian!D1875</f>
        <v>571903202</v>
      </c>
      <c r="H1875" t="str">
        <f>_xll.BDP($B1875,"ID_ISIN")</f>
        <v>US5719032022</v>
      </c>
      <c r="I1875" s="1" t="s">
        <v>4722</v>
      </c>
      <c r="J1875" t="str">
        <f>_xll.BDP($B1875,"CNTRY_OF_DOMICILE")</f>
        <v>US</v>
      </c>
      <c r="K1875" t="s">
        <v>98</v>
      </c>
      <c r="L1875" t="s">
        <v>99</v>
      </c>
      <c r="O1875" s="1"/>
      <c r="AQ1875" s="1"/>
      <c r="AR1875" s="1"/>
      <c r="AS1875" s="1"/>
    </row>
    <row r="1876" spans="1:45" x14ac:dyDescent="0.25">
      <c r="A1876" t="s">
        <v>5250</v>
      </c>
      <c r="B1876" t="s">
        <v>4618</v>
      </c>
      <c r="C1876" s="1" t="s">
        <v>4619</v>
      </c>
      <c r="D1876" t="s">
        <v>4620</v>
      </c>
      <c r="E1876" t="str">
        <f>_xll.BDP($B1876,"LEGAL_ENTITY_IDENTIFIER")</f>
        <v>54930066VBP7DZEGGJ87</v>
      </c>
      <c r="F1876" t="s">
        <v>4620</v>
      </c>
      <c r="G1876" t="str">
        <f>custodian!D1876</f>
        <v>552953101</v>
      </c>
      <c r="H1876" t="str">
        <f>_xll.BDP($B1876,"ID_ISIN")</f>
        <v>US5529531015</v>
      </c>
      <c r="I1876" s="1" t="s">
        <v>4619</v>
      </c>
      <c r="J1876" t="str">
        <f>_xll.BDP($B1876,"CNTRY_OF_DOMICILE")</f>
        <v>US</v>
      </c>
      <c r="K1876" t="s">
        <v>98</v>
      </c>
      <c r="L1876" t="s">
        <v>99</v>
      </c>
      <c r="O1876" s="1"/>
      <c r="AQ1876" s="1"/>
      <c r="AR1876" s="1"/>
      <c r="AS1876" s="1"/>
    </row>
    <row r="1877" spans="1:45" x14ac:dyDescent="0.25">
      <c r="A1877" t="s">
        <v>5250</v>
      </c>
      <c r="B1877" t="s">
        <v>5296</v>
      </c>
      <c r="C1877" s="1" t="s">
        <v>5297</v>
      </c>
      <c r="D1877" t="s">
        <v>5298</v>
      </c>
      <c r="E1877" t="str">
        <f>_xll.BDP($B1877,"LEGAL_ENTITY_IDENTIFIER")</f>
        <v>529900DNT8HNJ7RYUO60</v>
      </c>
      <c r="F1877" t="s">
        <v>5298</v>
      </c>
      <c r="G1877" t="str">
        <f>custodian!D1877</f>
        <v>V5633W109</v>
      </c>
      <c r="H1877" t="str">
        <f>_xll.BDP($B1877,"ID_ISIN")</f>
        <v>MU0295S00016</v>
      </c>
      <c r="I1877" s="1" t="s">
        <v>5297</v>
      </c>
      <c r="J1877" t="str">
        <f>_xll.BDP($B1877,"CNTRY_OF_DOMICILE")</f>
        <v>IN</v>
      </c>
      <c r="K1877" t="s">
        <v>98</v>
      </c>
      <c r="L1877" t="s">
        <v>99</v>
      </c>
      <c r="O1877" s="1"/>
      <c r="AQ1877" s="1"/>
      <c r="AR1877" s="1"/>
      <c r="AS1877" s="1"/>
    </row>
    <row r="1878" spans="1:45" x14ac:dyDescent="0.25">
      <c r="A1878" t="s">
        <v>5250</v>
      </c>
      <c r="B1878" t="s">
        <v>5299</v>
      </c>
      <c r="C1878" s="1" t="s">
        <v>5300</v>
      </c>
      <c r="D1878" t="s">
        <v>5301</v>
      </c>
      <c r="E1878" t="str">
        <f>_xll.BDP($B1878,"LEGAL_ENTITY_IDENTIFIER")</f>
        <v>529900PSZHRNU9HKH870</v>
      </c>
      <c r="F1878" t="s">
        <v>5301</v>
      </c>
      <c r="G1878" t="str">
        <f>custodian!D1878</f>
        <v>91879Q109</v>
      </c>
      <c r="H1878" t="str">
        <f>_xll.BDP($B1878,"ID_ISIN")</f>
        <v>US91879Q1094</v>
      </c>
      <c r="I1878" s="1" t="s">
        <v>5300</v>
      </c>
      <c r="J1878" t="str">
        <f>_xll.BDP($B1878,"CNTRY_OF_DOMICILE")</f>
        <v>US</v>
      </c>
      <c r="K1878" t="s">
        <v>98</v>
      </c>
      <c r="L1878" t="s">
        <v>99</v>
      </c>
      <c r="O1878" s="1"/>
      <c r="AQ1878" s="1"/>
      <c r="AR1878" s="1"/>
      <c r="AS1878" s="1"/>
    </row>
    <row r="1879" spans="1:45" x14ac:dyDescent="0.25">
      <c r="A1879" t="s">
        <v>5250</v>
      </c>
      <c r="B1879" t="s">
        <v>5302</v>
      </c>
      <c r="C1879" s="1" t="s">
        <v>5303</v>
      </c>
      <c r="D1879" t="s">
        <v>5304</v>
      </c>
      <c r="E1879" t="str">
        <f>_xll.BDP($B1879,"LEGAL_ENTITY_IDENTIFIER")</f>
        <v>254900RHRK35UPHTGY05</v>
      </c>
      <c r="F1879" t="s">
        <v>5304</v>
      </c>
      <c r="G1879" t="str">
        <f>custodian!D1879</f>
        <v>639193101</v>
      </c>
      <c r="H1879" t="str">
        <f>_xll.BDP($B1879,"ID_ISIN")</f>
        <v>US6391931010</v>
      </c>
      <c r="I1879" s="1" t="s">
        <v>5303</v>
      </c>
      <c r="J1879" t="str">
        <f>_xll.BDP($B1879,"CNTRY_OF_DOMICILE")</f>
        <v>US</v>
      </c>
      <c r="K1879" t="s">
        <v>98</v>
      </c>
      <c r="L1879" t="s">
        <v>99</v>
      </c>
      <c r="O1879" s="1"/>
      <c r="AQ1879" s="1"/>
      <c r="AR1879" s="1"/>
      <c r="AS1879" s="1"/>
    </row>
    <row r="1880" spans="1:45" x14ac:dyDescent="0.25">
      <c r="A1880" t="s">
        <v>5250</v>
      </c>
      <c r="B1880" t="s">
        <v>5305</v>
      </c>
      <c r="C1880" s="1" t="s">
        <v>5306</v>
      </c>
      <c r="D1880" t="s">
        <v>5307</v>
      </c>
      <c r="E1880" t="str">
        <f>_xll.BDP($B1880,"LEGAL_ENTITY_IDENTIFIER")</f>
        <v>#N/A N/A</v>
      </c>
      <c r="F1880" t="s">
        <v>5308</v>
      </c>
      <c r="G1880" t="str">
        <f>custodian!D1880</f>
        <v>G66721104</v>
      </c>
      <c r="H1880" t="str">
        <f>_xll.BDP($B1880,"ID_ISIN")</f>
        <v>BMG667211046</v>
      </c>
      <c r="I1880" s="1" t="s">
        <v>5306</v>
      </c>
      <c r="J1880" t="str">
        <f>_xll.BDP($B1880,"CNTRY_OF_DOMICILE")</f>
        <v>US</v>
      </c>
      <c r="K1880" t="s">
        <v>98</v>
      </c>
      <c r="L1880" t="s">
        <v>99</v>
      </c>
      <c r="O1880" s="1"/>
      <c r="AQ1880" s="1"/>
      <c r="AR1880" s="1"/>
      <c r="AS1880" s="1"/>
    </row>
    <row r="1881" spans="1:45" x14ac:dyDescent="0.25">
      <c r="A1881" t="s">
        <v>5250</v>
      </c>
      <c r="B1881" t="s">
        <v>185</v>
      </c>
      <c r="C1881" s="1" t="s">
        <v>186</v>
      </c>
      <c r="D1881" t="s">
        <v>187</v>
      </c>
      <c r="E1881" t="str">
        <f>_xll.BDP($B1881,"LEGAL_ENTITY_IDENTIFIER")</f>
        <v>4469000001BZ368XFI90</v>
      </c>
      <c r="F1881" t="s">
        <v>188</v>
      </c>
      <c r="G1881" t="str">
        <f>custodian!D1881</f>
        <v>400506101</v>
      </c>
      <c r="H1881" t="str">
        <f>_xll.BDP($B1881,"ID_ISIN")</f>
        <v>US4005061019</v>
      </c>
      <c r="I1881" s="1" t="s">
        <v>186</v>
      </c>
      <c r="J1881" t="str">
        <f>_xll.BDP($B1881,"CNTRY_OF_DOMICILE")</f>
        <v>MX</v>
      </c>
      <c r="K1881" t="s">
        <v>98</v>
      </c>
      <c r="L1881" t="s">
        <v>99</v>
      </c>
      <c r="O1881" s="1"/>
      <c r="AQ1881" s="1"/>
      <c r="AR1881" s="1"/>
      <c r="AS1881" s="1"/>
    </row>
    <row r="1882" spans="1:45" x14ac:dyDescent="0.25">
      <c r="A1882" t="s">
        <v>5250</v>
      </c>
      <c r="B1882" t="s">
        <v>5309</v>
      </c>
      <c r="C1882" s="1" t="s">
        <v>5310</v>
      </c>
      <c r="D1882" t="s">
        <v>5311</v>
      </c>
      <c r="E1882" t="str">
        <f>_xll.BDP($B1882,"LEGAL_ENTITY_IDENTIFIER")</f>
        <v>5493004Q1NNH6JXCSI52</v>
      </c>
      <c r="F1882" t="s">
        <v>5311</v>
      </c>
      <c r="G1882" t="str">
        <f>custodian!D1882</f>
        <v>70509V100</v>
      </c>
      <c r="H1882" t="str">
        <f>_xll.BDP($B1882,"ID_ISIN")</f>
        <v>US70509V1008</v>
      </c>
      <c r="I1882" s="1" t="s">
        <v>5310</v>
      </c>
      <c r="J1882" t="str">
        <f>_xll.BDP($B1882,"CNTRY_OF_DOMICILE")</f>
        <v>US</v>
      </c>
      <c r="K1882" t="s">
        <v>98</v>
      </c>
      <c r="L1882" t="s">
        <v>99</v>
      </c>
      <c r="O1882" s="1"/>
      <c r="AQ1882" s="1"/>
      <c r="AR1882" s="1"/>
      <c r="AS1882" s="1"/>
    </row>
    <row r="1883" spans="1:45" x14ac:dyDescent="0.25">
      <c r="A1883" t="s">
        <v>5250</v>
      </c>
      <c r="B1883" t="s">
        <v>5312</v>
      </c>
      <c r="C1883" s="1" t="s">
        <v>5313</v>
      </c>
      <c r="D1883" t="s">
        <v>5314</v>
      </c>
      <c r="E1883" t="str">
        <f>_xll.BDP($B1883,"LEGAL_ENTITY_IDENTIFIER")</f>
        <v>5493005UZ5TQN0H6HS73</v>
      </c>
      <c r="F1883" t="s">
        <v>5314</v>
      </c>
      <c r="G1883" t="str">
        <f>custodian!D1883</f>
        <v>700517105</v>
      </c>
      <c r="H1883" t="str">
        <f>_xll.BDP($B1883,"ID_ISIN")</f>
        <v>US7005171050</v>
      </c>
      <c r="I1883" s="1" t="s">
        <v>5313</v>
      </c>
      <c r="J1883" t="str">
        <f>_xll.BDP($B1883,"CNTRY_OF_DOMICILE")</f>
        <v>US</v>
      </c>
      <c r="K1883" t="s">
        <v>98</v>
      </c>
      <c r="L1883" t="s">
        <v>99</v>
      </c>
      <c r="O1883" s="1"/>
      <c r="AQ1883" s="1"/>
      <c r="AR1883" s="1"/>
      <c r="AS1883" s="1"/>
    </row>
    <row r="1884" spans="1:45" x14ac:dyDescent="0.25">
      <c r="A1884" t="s">
        <v>5250</v>
      </c>
      <c r="B1884" t="s">
        <v>5315</v>
      </c>
      <c r="C1884" s="1" t="s">
        <v>5316</v>
      </c>
      <c r="D1884" t="s">
        <v>5317</v>
      </c>
      <c r="E1884" t="str">
        <f>_xll.BDP($B1884,"LEGAL_ENTITY_IDENTIFIER")</f>
        <v>529900G0H4NV3IIK3269</v>
      </c>
      <c r="F1884" t="s">
        <v>5317</v>
      </c>
      <c r="G1884" t="str">
        <f>custodian!D1884</f>
        <v>81282V100</v>
      </c>
      <c r="H1884" t="str">
        <f>_xll.BDP($B1884,"ID_ISIN")</f>
        <v>US81282V1008</v>
      </c>
      <c r="I1884" s="1" t="s">
        <v>5316</v>
      </c>
      <c r="J1884" t="str">
        <f>_xll.BDP($B1884,"CNTRY_OF_DOMICILE")</f>
        <v>US</v>
      </c>
      <c r="K1884" t="s">
        <v>98</v>
      </c>
      <c r="L1884" t="s">
        <v>99</v>
      </c>
      <c r="O1884" s="1"/>
      <c r="AQ1884" s="1"/>
      <c r="AR1884" s="1"/>
      <c r="AS1884" s="1"/>
    </row>
    <row r="1885" spans="1:45" x14ac:dyDescent="0.25">
      <c r="A1885" t="s">
        <v>5250</v>
      </c>
      <c r="B1885" t="s">
        <v>4733</v>
      </c>
      <c r="C1885" s="1" t="s">
        <v>4734</v>
      </c>
      <c r="D1885" t="s">
        <v>4735</v>
      </c>
      <c r="E1885" t="str">
        <f>_xll.BDP($B1885,"LEGAL_ENTITY_IDENTIFIER")</f>
        <v>K2NEH8QNVW44JIWK7Z55</v>
      </c>
      <c r="F1885" t="s">
        <v>4735</v>
      </c>
      <c r="G1885" t="str">
        <f>custodian!D1885</f>
        <v>V7780T103</v>
      </c>
      <c r="H1885" t="str">
        <f>_xll.BDP($B1885,"ID_ISIN")</f>
        <v>LR0008862868</v>
      </c>
      <c r="I1885" s="1" t="s">
        <v>4734</v>
      </c>
      <c r="J1885" t="str">
        <f>_xll.BDP($B1885,"CNTRY_OF_DOMICILE")</f>
        <v>US</v>
      </c>
      <c r="K1885" t="s">
        <v>98</v>
      </c>
      <c r="L1885" t="s">
        <v>99</v>
      </c>
      <c r="O1885" s="1"/>
      <c r="AQ1885" s="1"/>
      <c r="AR1885" s="1"/>
      <c r="AS1885" s="1"/>
    </row>
    <row r="1886" spans="1:45" x14ac:dyDescent="0.25">
      <c r="A1886" t="s">
        <v>5250</v>
      </c>
      <c r="B1886" t="s">
        <v>5318</v>
      </c>
      <c r="C1886" s="1" t="s">
        <v>5319</v>
      </c>
      <c r="D1886" t="s">
        <v>5320</v>
      </c>
      <c r="E1886" t="str">
        <f>_xll.BDP($B1886,"LEGAL_ENTITY_IDENTIFIER")</f>
        <v>529900GCCWW9SRMPJR11</v>
      </c>
      <c r="F1886" t="s">
        <v>5321</v>
      </c>
      <c r="G1886" t="str">
        <f>custodian!D1886</f>
        <v>78377T107</v>
      </c>
      <c r="H1886" t="str">
        <f>_xll.BDP($B1886,"ID_ISIN")</f>
        <v>US78377T1079</v>
      </c>
      <c r="I1886" s="1" t="s">
        <v>5319</v>
      </c>
      <c r="J1886" t="str">
        <f>_xll.BDP($B1886,"CNTRY_OF_DOMICILE")</f>
        <v>US</v>
      </c>
      <c r="K1886" t="s">
        <v>98</v>
      </c>
      <c r="L1886" t="s">
        <v>99</v>
      </c>
      <c r="O1886" s="1"/>
      <c r="AQ1886" s="1"/>
      <c r="AR1886" s="1"/>
      <c r="AS1886" s="1"/>
    </row>
    <row r="1887" spans="1:45" x14ac:dyDescent="0.25">
      <c r="A1887" t="s">
        <v>5250</v>
      </c>
      <c r="B1887" t="s">
        <v>5322</v>
      </c>
      <c r="C1887" s="1" t="s">
        <v>5323</v>
      </c>
      <c r="D1887" t="s">
        <v>5324</v>
      </c>
      <c r="E1887" t="str">
        <f>_xll.BDP($B1887,"LEGAL_ENTITY_IDENTIFIER")</f>
        <v>#N/A N/A</v>
      </c>
      <c r="F1887" t="s">
        <v>5324</v>
      </c>
      <c r="G1887" t="str">
        <f>custodian!D1887</f>
        <v>74965L101</v>
      </c>
      <c r="H1887" t="str">
        <f>_xll.BDP($B1887,"ID_ISIN")</f>
        <v>US74965L1017</v>
      </c>
      <c r="I1887" s="1" t="s">
        <v>5323</v>
      </c>
      <c r="J1887" t="str">
        <f>_xll.BDP($B1887,"CNTRY_OF_DOMICILE")</f>
        <v>US</v>
      </c>
      <c r="K1887" t="s">
        <v>98</v>
      </c>
      <c r="L1887" t="s">
        <v>99</v>
      </c>
      <c r="O1887" s="1"/>
      <c r="AQ1887" s="1"/>
      <c r="AR1887" s="1"/>
      <c r="AS1887" s="1"/>
    </row>
    <row r="1888" spans="1:45" x14ac:dyDescent="0.25">
      <c r="A1888" t="s">
        <v>5250</v>
      </c>
      <c r="B1888" t="s">
        <v>192</v>
      </c>
      <c r="C1888" s="1" t="s">
        <v>193</v>
      </c>
      <c r="D1888" t="s">
        <v>194</v>
      </c>
      <c r="E1888" t="str">
        <f>_xll.BDP($B1888,"LEGAL_ENTITY_IDENTIFIER")</f>
        <v>635400BR2ROC1FVEBQ56</v>
      </c>
      <c r="F1888" t="s">
        <v>194</v>
      </c>
      <c r="G1888" t="str">
        <f>custodian!D1888</f>
        <v>783513203</v>
      </c>
      <c r="H1888" t="str">
        <f>_xll.BDP($B1888,"ID_ISIN")</f>
        <v>US7835132033</v>
      </c>
      <c r="I1888" s="1" t="s">
        <v>193</v>
      </c>
      <c r="J1888" t="str">
        <f>_xll.BDP($B1888,"CNTRY_OF_DOMICILE")</f>
        <v>IE</v>
      </c>
      <c r="K1888" t="s">
        <v>98</v>
      </c>
      <c r="L1888" t="s">
        <v>99</v>
      </c>
      <c r="O1888" s="1"/>
      <c r="AQ1888" s="1"/>
      <c r="AR1888" s="1"/>
      <c r="AS1888" s="1"/>
    </row>
    <row r="1889" spans="1:45" x14ac:dyDescent="0.25">
      <c r="A1889" t="s">
        <v>5250</v>
      </c>
      <c r="B1889" t="s">
        <v>195</v>
      </c>
      <c r="C1889" s="1" t="s">
        <v>196</v>
      </c>
      <c r="D1889" t="s">
        <v>197</v>
      </c>
      <c r="E1889" t="str">
        <f>_xll.BDP($B1889,"LEGAL_ENTITY_IDENTIFIER")</f>
        <v>529900UYS2KGS6Z42P09</v>
      </c>
      <c r="F1889" t="s">
        <v>197</v>
      </c>
      <c r="G1889" t="str">
        <f>custodian!D1889</f>
        <v>830879102</v>
      </c>
      <c r="H1889" t="str">
        <f>_xll.BDP($B1889,"ID_ISIN")</f>
        <v>US8308791024</v>
      </c>
      <c r="I1889" s="1" t="s">
        <v>196</v>
      </c>
      <c r="J1889" t="str">
        <f>_xll.BDP($B1889,"CNTRY_OF_DOMICILE")</f>
        <v>US</v>
      </c>
      <c r="K1889" t="s">
        <v>98</v>
      </c>
      <c r="L1889" t="s">
        <v>99</v>
      </c>
      <c r="O1889" s="1"/>
      <c r="AQ1889" s="1"/>
      <c r="AR1889" s="1"/>
      <c r="AS1889" s="1"/>
    </row>
    <row r="1890" spans="1:45" x14ac:dyDescent="0.25">
      <c r="A1890" t="s">
        <v>5250</v>
      </c>
      <c r="B1890" t="s">
        <v>5325</v>
      </c>
      <c r="C1890" s="1" t="s">
        <v>5326</v>
      </c>
      <c r="D1890" t="s">
        <v>5327</v>
      </c>
      <c r="E1890" t="str">
        <f>_xll.BDP($B1890,"LEGAL_ENTITY_IDENTIFIER")</f>
        <v>2549004RMYDSRQL4KW41</v>
      </c>
      <c r="F1890" t="s">
        <v>5327</v>
      </c>
      <c r="G1890" t="str">
        <f>custodian!D1890</f>
        <v>89677Q107</v>
      </c>
      <c r="H1890" t="str">
        <f>_xll.BDP($B1890,"ID_ISIN")</f>
        <v>US89677Q1076</v>
      </c>
      <c r="I1890" s="1" t="s">
        <v>5326</v>
      </c>
      <c r="J1890" t="str">
        <f>_xll.BDP($B1890,"CNTRY_OF_DOMICILE")</f>
        <v>SG</v>
      </c>
      <c r="K1890" t="s">
        <v>98</v>
      </c>
      <c r="L1890" t="s">
        <v>99</v>
      </c>
      <c r="O1890" s="1"/>
      <c r="AQ1890" s="1"/>
      <c r="AR1890" s="1"/>
      <c r="AS1890" s="1"/>
    </row>
    <row r="1891" spans="1:45" x14ac:dyDescent="0.25">
      <c r="A1891" t="s">
        <v>5250</v>
      </c>
      <c r="B1891" t="s">
        <v>5328</v>
      </c>
      <c r="C1891" s="1" t="s">
        <v>5329</v>
      </c>
      <c r="D1891" t="s">
        <v>5330</v>
      </c>
      <c r="E1891" t="str">
        <f>_xll.BDP($B1891,"LEGAL_ENTITY_IDENTIFIER")</f>
        <v>T4VNTWMFQ7JQB65L7T35</v>
      </c>
      <c r="F1891" t="s">
        <v>5330</v>
      </c>
      <c r="G1891" t="str">
        <f>custodian!D1891</f>
        <v>894164102</v>
      </c>
      <c r="H1891" t="str">
        <f>_xll.BDP($B1891,"ID_ISIN")</f>
        <v>US8941641024</v>
      </c>
      <c r="I1891" s="1" t="s">
        <v>5329</v>
      </c>
      <c r="J1891" t="str">
        <f>_xll.BDP($B1891,"CNTRY_OF_DOMICILE")</f>
        <v>US</v>
      </c>
      <c r="K1891" t="s">
        <v>98</v>
      </c>
      <c r="L1891" t="s">
        <v>99</v>
      </c>
      <c r="O1891" s="1"/>
      <c r="AQ1891" s="1"/>
      <c r="AR1891" s="1"/>
      <c r="AS1891" s="1"/>
    </row>
    <row r="1892" spans="1:45" x14ac:dyDescent="0.25">
      <c r="A1892" t="s">
        <v>5250</v>
      </c>
      <c r="B1892" t="s">
        <v>5331</v>
      </c>
      <c r="C1892" s="1" t="s">
        <v>5332</v>
      </c>
      <c r="D1892" t="s">
        <v>5333</v>
      </c>
      <c r="E1892" t="str">
        <f>_xll.BDP($B1892,"LEGAL_ENTITY_IDENTIFIER")</f>
        <v>549300XVG45PT5BART17</v>
      </c>
      <c r="F1892" t="s">
        <v>5333</v>
      </c>
      <c r="G1892" t="str">
        <f>custodian!D1892</f>
        <v>896945201</v>
      </c>
      <c r="H1892" t="str">
        <f>_xll.BDP($B1892,"ID_ISIN")</f>
        <v>US8969452015</v>
      </c>
      <c r="I1892" s="1" t="s">
        <v>5332</v>
      </c>
      <c r="J1892" t="str">
        <f>_xll.BDP($B1892,"CNTRY_OF_DOMICILE")</f>
        <v>US</v>
      </c>
      <c r="K1892" t="s">
        <v>98</v>
      </c>
      <c r="L1892" t="s">
        <v>99</v>
      </c>
      <c r="O1892" s="1"/>
      <c r="AQ1892" s="1"/>
      <c r="AR1892" s="1"/>
      <c r="AS1892" s="1"/>
    </row>
    <row r="1893" spans="1:45" x14ac:dyDescent="0.25">
      <c r="A1893" t="s">
        <v>5250</v>
      </c>
      <c r="B1893" t="s">
        <v>204</v>
      </c>
      <c r="C1893" s="1" t="s">
        <v>205</v>
      </c>
      <c r="D1893" t="s">
        <v>206</v>
      </c>
      <c r="E1893" t="str">
        <f>_xll.BDP($B1893,"LEGAL_ENTITY_IDENTIFIER")</f>
        <v>98450079DA0B78DD6764</v>
      </c>
      <c r="F1893" t="s">
        <v>206</v>
      </c>
      <c r="G1893" t="str">
        <f>custodian!D1893</f>
        <v>910047109</v>
      </c>
      <c r="H1893" t="str">
        <f>_xll.BDP($B1893,"ID_ISIN")</f>
        <v>US9100471096</v>
      </c>
      <c r="I1893" s="1" t="s">
        <v>205</v>
      </c>
      <c r="J1893" t="str">
        <f>_xll.BDP($B1893,"CNTRY_OF_DOMICILE")</f>
        <v>US</v>
      </c>
      <c r="K1893" t="s">
        <v>98</v>
      </c>
      <c r="L1893" t="s">
        <v>99</v>
      </c>
      <c r="O1893" s="1"/>
      <c r="AQ1893" s="1"/>
      <c r="AR1893" s="1"/>
      <c r="AS1893" s="1"/>
    </row>
    <row r="1894" spans="1:45" x14ac:dyDescent="0.25">
      <c r="A1894" t="s">
        <v>5250</v>
      </c>
      <c r="B1894" t="s">
        <v>365</v>
      </c>
      <c r="C1894" s="1" t="s">
        <v>366</v>
      </c>
      <c r="D1894" t="s">
        <v>367</v>
      </c>
      <c r="E1894" t="str">
        <f>_xll.BDP($B1894,"LEGAL_ENTITY_IDENTIFIER")</f>
        <v>549300B2FTG34FILDR98</v>
      </c>
      <c r="F1894" t="s">
        <v>367</v>
      </c>
      <c r="G1894" t="str">
        <f>custodian!D1894</f>
        <v>90353T100</v>
      </c>
      <c r="H1894" t="str">
        <f>_xll.BDP($B1894,"ID_ISIN")</f>
        <v>US90353T1007</v>
      </c>
      <c r="I1894" s="1" t="s">
        <v>366</v>
      </c>
      <c r="J1894" t="str">
        <f>_xll.BDP($B1894,"CNTRY_OF_DOMICILE")</f>
        <v>US</v>
      </c>
      <c r="K1894" t="s">
        <v>98</v>
      </c>
      <c r="L1894" t="s">
        <v>99</v>
      </c>
      <c r="O1894" s="1"/>
      <c r="AQ1894" s="1"/>
      <c r="AR1894" s="1"/>
      <c r="AS1894" s="1"/>
    </row>
    <row r="1895" spans="1:45" x14ac:dyDescent="0.25">
      <c r="A1895" t="s">
        <v>5250</v>
      </c>
      <c r="B1895" t="s">
        <v>5334</v>
      </c>
      <c r="C1895" s="1" t="s">
        <v>5335</v>
      </c>
      <c r="D1895" t="s">
        <v>5336</v>
      </c>
      <c r="E1895" t="str">
        <f>_xll.BDP($B1895,"LEGAL_ENTITY_IDENTIFIER")</f>
        <v>549300WA6BT5H4F7IO94</v>
      </c>
      <c r="F1895" t="s">
        <v>5337</v>
      </c>
      <c r="G1895" t="str">
        <f>custodian!D1895</f>
        <v>57164Y107</v>
      </c>
      <c r="H1895" t="str">
        <f>_xll.BDP($B1895,"ID_ISIN")</f>
        <v>US57164Y1073</v>
      </c>
      <c r="I1895" s="1" t="s">
        <v>5335</v>
      </c>
      <c r="J1895" t="str">
        <f>_xll.BDP($B1895,"CNTRY_OF_DOMICILE")</f>
        <v>US</v>
      </c>
      <c r="K1895" t="s">
        <v>98</v>
      </c>
      <c r="L1895" t="s">
        <v>99</v>
      </c>
      <c r="O1895" s="1"/>
      <c r="AQ1895" s="1"/>
      <c r="AR1895" s="1"/>
      <c r="AS1895" s="1"/>
    </row>
    <row r="1896" spans="1:45" x14ac:dyDescent="0.25">
      <c r="A1896" t="s">
        <v>5250</v>
      </c>
      <c r="B1896" t="s">
        <v>5338</v>
      </c>
      <c r="C1896" s="1" t="s">
        <v>5339</v>
      </c>
      <c r="D1896" t="s">
        <v>5340</v>
      </c>
      <c r="E1896" t="str">
        <f>_xll.BDP($B1896,"LEGAL_ENTITY_IDENTIFIER")</f>
        <v>52990032GOPN7BVQMN13</v>
      </c>
      <c r="F1896" t="s">
        <v>5340</v>
      </c>
      <c r="G1896" t="str">
        <f>custodian!D1896</f>
        <v>G93A5A101</v>
      </c>
      <c r="H1896" t="str">
        <f>_xll.BDP($B1896,"ID_ISIN")</f>
        <v>BMG93A5A1010</v>
      </c>
      <c r="I1896" s="1" t="s">
        <v>5339</v>
      </c>
      <c r="J1896" t="str">
        <f>_xll.BDP($B1896,"CNTRY_OF_DOMICILE")</f>
        <v>BM</v>
      </c>
      <c r="K1896" t="s">
        <v>98</v>
      </c>
      <c r="L1896" t="s">
        <v>99</v>
      </c>
      <c r="O1896" s="1"/>
      <c r="AQ1896" s="1"/>
      <c r="AR1896" s="1"/>
      <c r="AS1896" s="1"/>
    </row>
    <row r="1897" spans="1:45" x14ac:dyDescent="0.25">
      <c r="A1897" t="s">
        <v>5250</v>
      </c>
      <c r="B1897" t="s">
        <v>5341</v>
      </c>
      <c r="C1897" s="1" t="s">
        <v>5342</v>
      </c>
      <c r="D1897" t="s">
        <v>5343</v>
      </c>
      <c r="E1897" t="str">
        <f>_xll.BDP($B1897,"LEGAL_ENTITY_IDENTIFIER")</f>
        <v>549300G8NLCMP9Z44X52</v>
      </c>
      <c r="F1897" t="s">
        <v>5344</v>
      </c>
      <c r="G1897" t="str">
        <f>custodian!D1897</f>
        <v>21240E105</v>
      </c>
      <c r="H1897" t="str">
        <f>_xll.BDP($B1897,"ID_ISIN")</f>
        <v>US21240E1055</v>
      </c>
      <c r="I1897" s="1" t="s">
        <v>5342</v>
      </c>
      <c r="J1897" t="str">
        <f>_xll.BDP($B1897,"CNTRY_OF_DOMICILE")</f>
        <v>MX</v>
      </c>
      <c r="K1897" t="s">
        <v>98</v>
      </c>
      <c r="L1897" t="s">
        <v>99</v>
      </c>
      <c r="O1897" s="1"/>
      <c r="AQ1897" s="1"/>
      <c r="AR1897" s="1"/>
      <c r="AS1897" s="1"/>
    </row>
    <row r="1898" spans="1:45" x14ac:dyDescent="0.25">
      <c r="A1898" t="s">
        <v>5250</v>
      </c>
      <c r="B1898" t="s">
        <v>5345</v>
      </c>
      <c r="C1898" s="1" t="s">
        <v>5346</v>
      </c>
      <c r="D1898" t="s">
        <v>5347</v>
      </c>
      <c r="E1898" t="str">
        <f>_xll.BDP($B1898,"LEGAL_ENTITY_IDENTIFIER")</f>
        <v>549300FE3MQ4RVXXC673</v>
      </c>
      <c r="F1898" t="s">
        <v>5347</v>
      </c>
      <c r="G1898" t="str">
        <f>custodian!D1898</f>
        <v>98311A105</v>
      </c>
      <c r="H1898" t="str">
        <f>_xll.BDP($B1898,"ID_ISIN")</f>
        <v>US98311A1051</v>
      </c>
      <c r="I1898" s="1" t="s">
        <v>5346</v>
      </c>
      <c r="J1898" t="str">
        <f>_xll.BDP($B1898,"CNTRY_OF_DOMICILE")</f>
        <v>US</v>
      </c>
      <c r="K1898" t="s">
        <v>98</v>
      </c>
      <c r="L1898" t="s">
        <v>99</v>
      </c>
      <c r="O1898" s="1"/>
      <c r="AQ1898" s="1"/>
      <c r="AR1898" s="1"/>
      <c r="AS1898" s="1"/>
    </row>
    <row r="1899" spans="1:45" x14ac:dyDescent="0.25">
      <c r="A1899" t="s">
        <v>5250</v>
      </c>
      <c r="C1899" s="1" t="s">
        <v>52</v>
      </c>
      <c r="E1899" s="1"/>
      <c r="G1899" t="str">
        <f>custodian!D1899</f>
        <v>Cash&amp;Other</v>
      </c>
      <c r="H1899" s="1"/>
      <c r="I1899" s="1"/>
      <c r="O1899" s="1"/>
      <c r="AQ1899" s="1"/>
      <c r="AR1899" s="1"/>
      <c r="AS1899" s="1"/>
    </row>
    <row r="1900" spans="1:45" x14ac:dyDescent="0.25">
      <c r="A1900" t="s">
        <v>5348</v>
      </c>
      <c r="B1900" t="s">
        <v>5349</v>
      </c>
      <c r="C1900" s="1" t="s">
        <v>5350</v>
      </c>
      <c r="D1900" t="s">
        <v>5351</v>
      </c>
      <c r="E1900" t="str">
        <f>_xll.BDP($B1900,"LEGAL_ENTITY_IDENTIFIER")</f>
        <v>2549009FJIBLW40CU216</v>
      </c>
      <c r="F1900" t="s">
        <v>5351</v>
      </c>
      <c r="G1900" t="str">
        <f>custodian!D1900</f>
        <v>023939101</v>
      </c>
      <c r="H1900" t="str">
        <f>_xll.BDP($B1900,"ID_ISIN")</f>
        <v>US0239391016</v>
      </c>
      <c r="I1900" s="1" t="s">
        <v>5350</v>
      </c>
      <c r="J1900" t="str">
        <f>_xll.BDP($B1900,"CNTRY_OF_DOMICILE")</f>
        <v>US</v>
      </c>
      <c r="K1900" t="s">
        <v>98</v>
      </c>
      <c r="L1900" t="s">
        <v>99</v>
      </c>
      <c r="O1900" s="1"/>
      <c r="AQ1900" s="1"/>
      <c r="AR1900" s="1"/>
      <c r="AS1900" s="1"/>
    </row>
    <row r="1901" spans="1:45" x14ac:dyDescent="0.25">
      <c r="A1901" t="s">
        <v>5348</v>
      </c>
      <c r="B1901" t="s">
        <v>116</v>
      </c>
      <c r="C1901" s="1" t="s">
        <v>117</v>
      </c>
      <c r="D1901" t="s">
        <v>118</v>
      </c>
      <c r="E1901" t="str">
        <f>_xll.BDP($B1901,"LEGAL_ENTITY_IDENTIFIER")</f>
        <v>ZW1LRE7C3H17O2ZN9B45</v>
      </c>
      <c r="F1901" t="s">
        <v>118</v>
      </c>
      <c r="G1901" t="str">
        <f>custodian!D1901</f>
        <v>01741R102</v>
      </c>
      <c r="H1901" t="str">
        <f>_xll.BDP($B1901,"ID_ISIN")</f>
        <v>US01741R1023</v>
      </c>
      <c r="I1901" s="1" t="s">
        <v>117</v>
      </c>
      <c r="J1901" t="str">
        <f>_xll.BDP($B1901,"CNTRY_OF_DOMICILE")</f>
        <v>US</v>
      </c>
      <c r="K1901" t="s">
        <v>98</v>
      </c>
      <c r="L1901" t="s">
        <v>99</v>
      </c>
      <c r="O1901" s="1"/>
      <c r="AQ1901" s="1"/>
      <c r="AR1901" s="1"/>
      <c r="AS1901" s="1"/>
    </row>
    <row r="1902" spans="1:45" x14ac:dyDescent="0.25">
      <c r="A1902" t="s">
        <v>5348</v>
      </c>
      <c r="B1902" t="s">
        <v>557</v>
      </c>
      <c r="C1902" s="1" t="s">
        <v>558</v>
      </c>
      <c r="D1902" t="s">
        <v>559</v>
      </c>
      <c r="E1902" t="str">
        <f>_xll.BDP($B1902,"LEGAL_ENTITY_IDENTIFIER")</f>
        <v>529900PGHVI29YLZ6221</v>
      </c>
      <c r="F1902" t="s">
        <v>559</v>
      </c>
      <c r="G1902" t="str">
        <f>custodian!D1902</f>
        <v>008073108</v>
      </c>
      <c r="H1902" t="str">
        <f>_xll.BDP($B1902,"ID_ISIN")</f>
        <v>US0080731088</v>
      </c>
      <c r="I1902" s="1" t="s">
        <v>558</v>
      </c>
      <c r="J1902" t="str">
        <f>_xll.BDP($B1902,"CNTRY_OF_DOMICILE")</f>
        <v>US</v>
      </c>
      <c r="K1902" t="s">
        <v>98</v>
      </c>
      <c r="L1902" t="s">
        <v>99</v>
      </c>
      <c r="O1902" s="1"/>
      <c r="AQ1902" s="1"/>
      <c r="AR1902" s="1"/>
      <c r="AS1902" s="1"/>
    </row>
    <row r="1903" spans="1:45" x14ac:dyDescent="0.25">
      <c r="A1903" t="s">
        <v>5348</v>
      </c>
      <c r="B1903" t="s">
        <v>3487</v>
      </c>
      <c r="C1903" s="1" t="s">
        <v>3488</v>
      </c>
      <c r="D1903" t="s">
        <v>3489</v>
      </c>
      <c r="E1903" t="str">
        <f>_xll.BDP($B1903,"LEGAL_ENTITY_IDENTIFIER")</f>
        <v>529900JPV47PIUWMA015</v>
      </c>
      <c r="F1903" t="s">
        <v>3490</v>
      </c>
      <c r="G1903" t="str">
        <f>custodian!D1903</f>
        <v>099502106</v>
      </c>
      <c r="H1903" t="str">
        <f>_xll.BDP($B1903,"ID_ISIN")</f>
        <v>US0995021062</v>
      </c>
      <c r="I1903" s="1" t="s">
        <v>3488</v>
      </c>
      <c r="J1903" t="str">
        <f>_xll.BDP($B1903,"CNTRY_OF_DOMICILE")</f>
        <v>US</v>
      </c>
      <c r="K1903" t="s">
        <v>98</v>
      </c>
      <c r="L1903" t="s">
        <v>99</v>
      </c>
      <c r="O1903" s="1"/>
      <c r="AQ1903" s="1"/>
      <c r="AR1903" s="1"/>
      <c r="AS1903" s="1"/>
    </row>
    <row r="1904" spans="1:45" x14ac:dyDescent="0.25">
      <c r="A1904" t="s">
        <v>5348</v>
      </c>
      <c r="B1904" t="s">
        <v>3647</v>
      </c>
      <c r="C1904" s="1" t="s">
        <v>3648</v>
      </c>
      <c r="D1904" t="s">
        <v>3649</v>
      </c>
      <c r="E1904" t="str">
        <f>_xll.BDP($B1904,"LEGAL_ENTITY_IDENTIFIER")</f>
        <v>#N/A N/A</v>
      </c>
      <c r="F1904" t="s">
        <v>3649</v>
      </c>
      <c r="G1904" t="str">
        <f>custodian!D1904</f>
        <v>05722G100</v>
      </c>
      <c r="H1904" t="str">
        <f>_xll.BDP($B1904,"ID_ISIN")</f>
        <v>US05722G1004</v>
      </c>
      <c r="I1904" s="1" t="s">
        <v>3648</v>
      </c>
      <c r="J1904" t="str">
        <f>_xll.BDP($B1904,"CNTRY_OF_DOMICILE")</f>
        <v>US</v>
      </c>
      <c r="K1904" t="s">
        <v>98</v>
      </c>
      <c r="L1904" t="s">
        <v>99</v>
      </c>
      <c r="O1904" s="1"/>
      <c r="AQ1904" s="1"/>
      <c r="AR1904" s="1"/>
      <c r="AS1904" s="1"/>
    </row>
    <row r="1905" spans="1:45" x14ac:dyDescent="0.25">
      <c r="A1905" t="s">
        <v>5348</v>
      </c>
      <c r="B1905" t="s">
        <v>3107</v>
      </c>
      <c r="C1905" s="1" t="s">
        <v>3108</v>
      </c>
      <c r="D1905" t="s">
        <v>3109</v>
      </c>
      <c r="E1905" t="str">
        <f>_xll.BDP($B1905,"LEGAL_ENTITY_IDENTIFIER")</f>
        <v>549300NP85N265KWMS58</v>
      </c>
      <c r="F1905" t="s">
        <v>3109</v>
      </c>
      <c r="G1905" t="str">
        <f>custodian!D1905</f>
        <v>05605H100</v>
      </c>
      <c r="H1905" t="str">
        <f>_xll.BDP($B1905,"ID_ISIN")</f>
        <v>US05605H1005</v>
      </c>
      <c r="I1905" s="1" t="s">
        <v>3108</v>
      </c>
      <c r="J1905" t="str">
        <f>_xll.BDP($B1905,"CNTRY_OF_DOMICILE")</f>
        <v>US</v>
      </c>
      <c r="K1905" t="s">
        <v>98</v>
      </c>
      <c r="L1905" t="s">
        <v>99</v>
      </c>
      <c r="O1905" s="1"/>
      <c r="AQ1905" s="1"/>
      <c r="AR1905" s="1"/>
      <c r="AS1905" s="1"/>
    </row>
    <row r="1906" spans="1:45" x14ac:dyDescent="0.25">
      <c r="A1906" t="s">
        <v>5348</v>
      </c>
      <c r="B1906" t="s">
        <v>3494</v>
      </c>
      <c r="C1906" s="1" t="s">
        <v>3495</v>
      </c>
      <c r="D1906" t="s">
        <v>3496</v>
      </c>
      <c r="E1906" t="str">
        <f>_xll.BDP($B1906,"LEGAL_ENTITY_IDENTIFIER")</f>
        <v>SYRPI2D1O9WRTS2WX210</v>
      </c>
      <c r="F1906" t="s">
        <v>3496</v>
      </c>
      <c r="G1906" t="str">
        <f>custodian!D1906</f>
        <v>127190304</v>
      </c>
      <c r="H1906" t="str">
        <f>_xll.BDP($B1906,"ID_ISIN")</f>
        <v>US1271903049</v>
      </c>
      <c r="I1906" s="1" t="s">
        <v>3495</v>
      </c>
      <c r="J1906" t="str">
        <f>_xll.BDP($B1906,"CNTRY_OF_DOMICILE")</f>
        <v>US</v>
      </c>
      <c r="K1906" t="s">
        <v>98</v>
      </c>
      <c r="L1906" t="s">
        <v>99</v>
      </c>
      <c r="O1906" s="1"/>
      <c r="AQ1906" s="1"/>
      <c r="AR1906" s="1"/>
      <c r="AS1906" s="1"/>
    </row>
    <row r="1907" spans="1:45" x14ac:dyDescent="0.25">
      <c r="A1907" t="s">
        <v>5348</v>
      </c>
      <c r="B1907" t="s">
        <v>5352</v>
      </c>
      <c r="C1907" s="1" t="s">
        <v>5353</v>
      </c>
      <c r="D1907" t="s">
        <v>5354</v>
      </c>
      <c r="E1907" t="str">
        <f>_xll.BDP($B1907,"LEGAL_ENTITY_IDENTIFIER")</f>
        <v>2549006IKQEWJ8M7CB97</v>
      </c>
      <c r="F1907" t="s">
        <v>5354</v>
      </c>
      <c r="G1907" t="str">
        <f>custodian!D1907</f>
        <v>12763L105</v>
      </c>
      <c r="H1907" t="str">
        <f>_xll.BDP($B1907,"ID_ISIN")</f>
        <v>US12763L1052</v>
      </c>
      <c r="I1907" s="1" t="s">
        <v>5353</v>
      </c>
      <c r="J1907" t="str">
        <f>_xll.BDP($B1907,"CNTRY_OF_DOMICILE")</f>
        <v>US</v>
      </c>
      <c r="K1907" t="s">
        <v>98</v>
      </c>
      <c r="L1907" t="s">
        <v>99</v>
      </c>
      <c r="O1907" s="1"/>
      <c r="AQ1907" s="1"/>
      <c r="AR1907" s="1"/>
      <c r="AS1907" s="1"/>
    </row>
    <row r="1908" spans="1:45" x14ac:dyDescent="0.25">
      <c r="A1908" t="s">
        <v>5348</v>
      </c>
      <c r="B1908" t="s">
        <v>5355</v>
      </c>
      <c r="C1908" s="1" t="s">
        <v>5356</v>
      </c>
      <c r="D1908" t="s">
        <v>5357</v>
      </c>
      <c r="E1908" t="str">
        <f>_xll.BDP($B1908,"LEGAL_ENTITY_IDENTIFIER")</f>
        <v>WPTL2Z3FIYTHSP5V2253</v>
      </c>
      <c r="F1908" t="s">
        <v>5357</v>
      </c>
      <c r="G1908" t="str">
        <f>custodian!D1908</f>
        <v>20825C104</v>
      </c>
      <c r="H1908" t="str">
        <f>_xll.BDP($B1908,"ID_ISIN")</f>
        <v>US20825C1045</v>
      </c>
      <c r="I1908" s="1" t="s">
        <v>5356</v>
      </c>
      <c r="J1908" t="str">
        <f>_xll.BDP($B1908,"CNTRY_OF_DOMICILE")</f>
        <v>US</v>
      </c>
      <c r="K1908" t="s">
        <v>98</v>
      </c>
      <c r="L1908" t="s">
        <v>99</v>
      </c>
      <c r="O1908" s="1"/>
      <c r="AQ1908" s="1"/>
      <c r="AR1908" s="1"/>
      <c r="AS1908" s="1"/>
    </row>
    <row r="1909" spans="1:45" x14ac:dyDescent="0.25">
      <c r="A1909" t="s">
        <v>5348</v>
      </c>
      <c r="B1909" t="s">
        <v>4688</v>
      </c>
      <c r="C1909" s="1" t="s">
        <v>4689</v>
      </c>
      <c r="D1909" t="s">
        <v>4690</v>
      </c>
      <c r="E1909" t="str">
        <f>_xll.BDP($B1909,"LEGAL_ENTITY_IDENTIFIER")</f>
        <v>#N/A N/A</v>
      </c>
      <c r="F1909" t="s">
        <v>4690</v>
      </c>
      <c r="G1909" t="str">
        <f>custodian!D1909</f>
        <v>166764100</v>
      </c>
      <c r="H1909" t="str">
        <f>_xll.BDP($B1909,"ID_ISIN")</f>
        <v>US1667641005</v>
      </c>
      <c r="I1909" s="1" t="s">
        <v>4689</v>
      </c>
      <c r="J1909" t="str">
        <f>_xll.BDP($B1909,"CNTRY_OF_DOMICILE")</f>
        <v>US</v>
      </c>
      <c r="K1909" t="s">
        <v>98</v>
      </c>
      <c r="L1909" t="s">
        <v>99</v>
      </c>
      <c r="O1909" s="1"/>
      <c r="AQ1909" s="1"/>
      <c r="AR1909" s="1"/>
      <c r="AS1909" s="1"/>
    </row>
    <row r="1910" spans="1:45" x14ac:dyDescent="0.25">
      <c r="A1910" t="s">
        <v>5348</v>
      </c>
      <c r="B1910" t="s">
        <v>5358</v>
      </c>
      <c r="C1910" s="1" t="s">
        <v>5359</v>
      </c>
      <c r="D1910" t="s">
        <v>5360</v>
      </c>
      <c r="E1910" t="str">
        <f>_xll.BDP($B1910,"LEGAL_ENTITY_IDENTIFIER")</f>
        <v>549300HMMEWVG3PPQU18</v>
      </c>
      <c r="F1910" t="s">
        <v>5360</v>
      </c>
      <c r="G1910" t="str">
        <f>custodian!D1910</f>
        <v>52661A108</v>
      </c>
      <c r="H1910" t="str">
        <f>_xll.BDP($B1910,"ID_ISIN")</f>
        <v>US52661A1088</v>
      </c>
      <c r="I1910" s="1" t="s">
        <v>5359</v>
      </c>
      <c r="J1910" t="str">
        <f>_xll.BDP($B1910,"CNTRY_OF_DOMICILE")</f>
        <v>US</v>
      </c>
      <c r="K1910" t="s">
        <v>98</v>
      </c>
      <c r="L1910" t="s">
        <v>99</v>
      </c>
      <c r="O1910" s="1"/>
      <c r="AQ1910" s="1"/>
      <c r="AR1910" s="1"/>
      <c r="AS1910" s="1"/>
    </row>
    <row r="1911" spans="1:45" x14ac:dyDescent="0.25">
      <c r="A1911" t="s">
        <v>5348</v>
      </c>
      <c r="B1911" t="s">
        <v>5361</v>
      </c>
      <c r="C1911" s="1" t="s">
        <v>5362</v>
      </c>
      <c r="D1911" t="s">
        <v>5363</v>
      </c>
      <c r="E1911" t="str">
        <f>_xll.BDP($B1911,"LEGAL_ENTITY_IDENTIFIER")</f>
        <v>54930042348RKR3ZPN35</v>
      </c>
      <c r="F1911" t="s">
        <v>5363</v>
      </c>
      <c r="G1911" t="str">
        <f>custodian!D1911</f>
        <v>25179M103</v>
      </c>
      <c r="H1911" t="str">
        <f>_xll.BDP($B1911,"ID_ISIN")</f>
        <v>US25179M1036</v>
      </c>
      <c r="I1911" s="1" t="s">
        <v>5362</v>
      </c>
      <c r="J1911" t="str">
        <f>_xll.BDP($B1911,"CNTRY_OF_DOMICILE")</f>
        <v>US</v>
      </c>
      <c r="K1911" t="s">
        <v>98</v>
      </c>
      <c r="L1911" t="s">
        <v>99</v>
      </c>
      <c r="O1911" s="1"/>
      <c r="AQ1911" s="1"/>
      <c r="AR1911" s="1"/>
      <c r="AS1911" s="1"/>
    </row>
    <row r="1912" spans="1:45" x14ac:dyDescent="0.25">
      <c r="A1912" t="s">
        <v>5348</v>
      </c>
      <c r="B1912" t="s">
        <v>5364</v>
      </c>
      <c r="C1912" s="1" t="s">
        <v>5365</v>
      </c>
      <c r="D1912" t="s">
        <v>5366</v>
      </c>
      <c r="E1912" t="str">
        <f>_xll.BDP($B1912,"LEGAL_ENTITY_IDENTIFIER")</f>
        <v>XWTZDRYZPBUHIQBKDB46</v>
      </c>
      <c r="F1912" t="s">
        <v>5366</v>
      </c>
      <c r="G1912" t="str">
        <f>custodian!D1912</f>
        <v>26875P101</v>
      </c>
      <c r="H1912" t="str">
        <f>_xll.BDP($B1912,"ID_ISIN")</f>
        <v>US26875P1012</v>
      </c>
      <c r="I1912" s="1" t="s">
        <v>5365</v>
      </c>
      <c r="J1912" t="str">
        <f>_xll.BDP($B1912,"CNTRY_OF_DOMICILE")</f>
        <v>US</v>
      </c>
      <c r="K1912" t="s">
        <v>98</v>
      </c>
      <c r="L1912" t="s">
        <v>99</v>
      </c>
      <c r="O1912" s="1"/>
      <c r="AQ1912" s="1"/>
      <c r="AR1912" s="1"/>
      <c r="AS1912" s="1"/>
    </row>
    <row r="1913" spans="1:45" x14ac:dyDescent="0.25">
      <c r="A1913" t="s">
        <v>5348</v>
      </c>
      <c r="B1913" t="s">
        <v>5367</v>
      </c>
      <c r="C1913" s="1" t="s">
        <v>5368</v>
      </c>
      <c r="D1913" t="s">
        <v>5369</v>
      </c>
      <c r="E1913" t="str">
        <f>_xll.BDP($B1913,"LEGAL_ENTITY_IDENTIFIER")</f>
        <v>4NT01YGM4X7ZX86ISY52</v>
      </c>
      <c r="F1913" t="s">
        <v>5369</v>
      </c>
      <c r="G1913" t="str">
        <f>custodian!D1913</f>
        <v>26884L109</v>
      </c>
      <c r="H1913" t="str">
        <f>_xll.BDP($B1913,"ID_ISIN")</f>
        <v>US26884L1098</v>
      </c>
      <c r="I1913" s="1" t="s">
        <v>5368</v>
      </c>
      <c r="J1913" t="str">
        <f>_xll.BDP($B1913,"CNTRY_OF_DOMICILE")</f>
        <v>US</v>
      </c>
      <c r="K1913" t="s">
        <v>98</v>
      </c>
      <c r="L1913" t="s">
        <v>99</v>
      </c>
      <c r="O1913" s="1"/>
      <c r="AQ1913" s="1"/>
      <c r="AR1913" s="1"/>
      <c r="AS1913" s="1"/>
    </row>
    <row r="1914" spans="1:45" x14ac:dyDescent="0.25">
      <c r="A1914" t="s">
        <v>5348</v>
      </c>
      <c r="B1914" t="s">
        <v>5370</v>
      </c>
      <c r="C1914" s="1" t="s">
        <v>5371</v>
      </c>
      <c r="D1914" t="s">
        <v>5372</v>
      </c>
      <c r="E1914" t="str">
        <f>_xll.BDP($B1914,"LEGAL_ENTITY_IDENTIFIER")</f>
        <v>549300R22LSX6OHWEN64</v>
      </c>
      <c r="F1914" t="s">
        <v>5372</v>
      </c>
      <c r="G1914" t="str">
        <f>custodian!D1914</f>
        <v>25278X109</v>
      </c>
      <c r="H1914" t="str">
        <f>_xll.BDP($B1914,"ID_ISIN")</f>
        <v>US25278X1090</v>
      </c>
      <c r="I1914" s="1" t="s">
        <v>5371</v>
      </c>
      <c r="J1914" t="str">
        <f>_xll.BDP($B1914,"CNTRY_OF_DOMICILE")</f>
        <v>US</v>
      </c>
      <c r="K1914" t="s">
        <v>98</v>
      </c>
      <c r="L1914" t="s">
        <v>99</v>
      </c>
      <c r="O1914" s="1"/>
      <c r="AQ1914" s="1"/>
      <c r="AR1914" s="1"/>
      <c r="AS1914" s="1"/>
    </row>
    <row r="1915" spans="1:45" x14ac:dyDescent="0.25">
      <c r="A1915" t="s">
        <v>5348</v>
      </c>
      <c r="B1915" t="s">
        <v>77</v>
      </c>
      <c r="C1915" s="1" t="s">
        <v>78</v>
      </c>
      <c r="D1915" t="s">
        <v>79</v>
      </c>
      <c r="E1915" t="str">
        <f>_xll.BDP($B1915,"LEGAL_ENTITY_IDENTIFIER")</f>
        <v>549300R5MYM6VZF1RM44</v>
      </c>
      <c r="F1915" t="s">
        <v>80</v>
      </c>
      <c r="G1915" t="str">
        <f>custodian!D1915</f>
        <v>31846V336</v>
      </c>
      <c r="H1915" t="str">
        <f>_xll.BDP($B1915,"ID_ISIN")</f>
        <v>US31846V3362</v>
      </c>
      <c r="I1915" s="1" t="s">
        <v>78</v>
      </c>
      <c r="J1915" t="str">
        <f>_xll.BDP($B1915,"CNTRY_OF_DOMICILE")</f>
        <v>US</v>
      </c>
      <c r="K1915" t="s">
        <v>81</v>
      </c>
      <c r="L1915" t="s">
        <v>82</v>
      </c>
      <c r="O1915" s="1"/>
      <c r="AQ1915" s="1"/>
      <c r="AR1915" s="1"/>
      <c r="AS1915" s="1"/>
    </row>
    <row r="1916" spans="1:45" x14ac:dyDescent="0.25">
      <c r="A1916" t="s">
        <v>5348</v>
      </c>
      <c r="B1916" t="s">
        <v>149</v>
      </c>
      <c r="C1916" s="1" t="s">
        <v>150</v>
      </c>
      <c r="D1916" t="s">
        <v>151</v>
      </c>
      <c r="E1916" t="str">
        <f>_xll.BDP($B1916,"LEGAL_ENTITY_IDENTIFIER")</f>
        <v>9C1X8XOOTYY2FNYTVH06</v>
      </c>
      <c r="F1916" t="s">
        <v>151</v>
      </c>
      <c r="G1916" t="str">
        <f>custodian!D1916</f>
        <v>369550108</v>
      </c>
      <c r="H1916" t="str">
        <f>_xll.BDP($B1916,"ID_ISIN")</f>
        <v>US3695501086</v>
      </c>
      <c r="I1916" s="1" t="s">
        <v>150</v>
      </c>
      <c r="J1916" t="str">
        <f>_xll.BDP($B1916,"CNTRY_OF_DOMICILE")</f>
        <v>US</v>
      </c>
      <c r="K1916" t="s">
        <v>98</v>
      </c>
      <c r="L1916" t="s">
        <v>99</v>
      </c>
      <c r="O1916" s="1"/>
      <c r="AQ1916" s="1"/>
      <c r="AR1916" s="1"/>
      <c r="AS1916" s="1"/>
    </row>
    <row r="1917" spans="1:45" x14ac:dyDescent="0.25">
      <c r="A1917" t="s">
        <v>5348</v>
      </c>
      <c r="B1917" t="s">
        <v>5373</v>
      </c>
      <c r="C1917" s="1" t="s">
        <v>5374</v>
      </c>
      <c r="D1917" t="s">
        <v>5375</v>
      </c>
      <c r="E1917" t="str">
        <f>_xll.BDP($B1917,"LEGAL_ENTITY_IDENTIFIER")</f>
        <v>ENYF8GB5SMQZ25S06U51</v>
      </c>
      <c r="F1917" t="s">
        <v>5375</v>
      </c>
      <c r="G1917" t="str">
        <f>custodian!D1917</f>
        <v>406216101</v>
      </c>
      <c r="H1917" t="str">
        <f>_xll.BDP($B1917,"ID_ISIN")</f>
        <v>US4062161017</v>
      </c>
      <c r="I1917" s="1" t="s">
        <v>5374</v>
      </c>
      <c r="J1917" t="str">
        <f>_xll.BDP($B1917,"CNTRY_OF_DOMICILE")</f>
        <v>US</v>
      </c>
      <c r="K1917" t="s">
        <v>98</v>
      </c>
      <c r="L1917" t="s">
        <v>99</v>
      </c>
      <c r="O1917" s="1"/>
      <c r="AQ1917" s="1"/>
      <c r="AR1917" s="1"/>
      <c r="AS1917" s="1"/>
    </row>
    <row r="1918" spans="1:45" x14ac:dyDescent="0.25">
      <c r="A1918" t="s">
        <v>5348</v>
      </c>
      <c r="B1918" t="s">
        <v>5376</v>
      </c>
      <c r="C1918" s="1" t="s">
        <v>5377</v>
      </c>
      <c r="D1918" t="s">
        <v>5378</v>
      </c>
      <c r="E1918" t="str">
        <f>_xll.BDP($B1918,"LEGAL_ENTITY_IDENTIFIER")</f>
        <v>5TZLZ6WJTBVJ0QWBG121</v>
      </c>
      <c r="F1918" t="s">
        <v>5379</v>
      </c>
      <c r="G1918" t="str">
        <f>custodian!D1918</f>
        <v>446413106</v>
      </c>
      <c r="H1918" t="str">
        <f>_xll.BDP($B1918,"ID_ISIN")</f>
        <v>US4464131063</v>
      </c>
      <c r="I1918" s="1" t="s">
        <v>5377</v>
      </c>
      <c r="J1918" t="str">
        <f>_xll.BDP($B1918,"CNTRY_OF_DOMICILE")</f>
        <v>US</v>
      </c>
      <c r="K1918" t="s">
        <v>98</v>
      </c>
      <c r="L1918" t="s">
        <v>99</v>
      </c>
      <c r="O1918" s="1"/>
      <c r="AQ1918" s="1"/>
      <c r="AR1918" s="1"/>
      <c r="AS1918" s="1"/>
    </row>
    <row r="1919" spans="1:45" x14ac:dyDescent="0.25">
      <c r="A1919" t="s">
        <v>5348</v>
      </c>
      <c r="B1919" t="s">
        <v>5380</v>
      </c>
      <c r="C1919" s="1" t="s">
        <v>5381</v>
      </c>
      <c r="D1919" t="s">
        <v>5382</v>
      </c>
      <c r="E1919" t="str">
        <f>_xll.BDP($B1919,"LEGAL_ENTITY_IDENTIFIER")</f>
        <v>254900NAOGHJ88RZ4C73</v>
      </c>
      <c r="F1919" t="s">
        <v>5382</v>
      </c>
      <c r="G1919" t="str">
        <f>custodian!D1919</f>
        <v>423452101</v>
      </c>
      <c r="H1919" t="str">
        <f>_xll.BDP($B1919,"ID_ISIN")</f>
        <v>US4234521015</v>
      </c>
      <c r="I1919" s="1" t="s">
        <v>5381</v>
      </c>
      <c r="J1919" t="str">
        <f>_xll.BDP($B1919,"CNTRY_OF_DOMICILE")</f>
        <v>US</v>
      </c>
      <c r="K1919" t="s">
        <v>98</v>
      </c>
      <c r="L1919" t="s">
        <v>99</v>
      </c>
      <c r="O1919" s="1"/>
      <c r="AQ1919" s="1"/>
      <c r="AR1919" s="1"/>
      <c r="AS1919" s="1"/>
    </row>
    <row r="1920" spans="1:45" x14ac:dyDescent="0.25">
      <c r="A1920" t="s">
        <v>5348</v>
      </c>
      <c r="B1920" t="s">
        <v>158</v>
      </c>
      <c r="C1920" s="1" t="s">
        <v>159</v>
      </c>
      <c r="D1920" t="s">
        <v>160</v>
      </c>
      <c r="E1920" t="str">
        <f>_xll.BDP($B1920,"LEGAL_ENTITY_IDENTIFIER")</f>
        <v>549300HO5WFZUT5N2T22</v>
      </c>
      <c r="F1920" t="s">
        <v>160</v>
      </c>
      <c r="G1920" t="str">
        <f>custodian!D1920</f>
        <v>443201108</v>
      </c>
      <c r="H1920" t="str">
        <f>_xll.BDP($B1920,"ID_ISIN")</f>
        <v>US4432011082</v>
      </c>
      <c r="I1920" s="1" t="s">
        <v>159</v>
      </c>
      <c r="J1920" t="str">
        <f>_xll.BDP($B1920,"CNTRY_OF_DOMICILE")</f>
        <v>US</v>
      </c>
      <c r="K1920" t="s">
        <v>98</v>
      </c>
      <c r="L1920" t="s">
        <v>99</v>
      </c>
      <c r="O1920" s="1"/>
      <c r="AQ1920" s="1"/>
      <c r="AR1920" s="1"/>
      <c r="AS1920" s="1"/>
    </row>
    <row r="1921" spans="1:45" x14ac:dyDescent="0.25">
      <c r="A1921" t="s">
        <v>5348</v>
      </c>
      <c r="B1921" t="s">
        <v>161</v>
      </c>
      <c r="C1921" s="1" t="s">
        <v>162</v>
      </c>
      <c r="D1921" t="s">
        <v>163</v>
      </c>
      <c r="E1921" t="str">
        <f>_xll.BDP($B1921,"LEGAL_ENTITY_IDENTIFIER")</f>
        <v>S6Q7LW43WUBUHXY2QP69</v>
      </c>
      <c r="F1921" t="s">
        <v>163</v>
      </c>
      <c r="G1921" t="str">
        <f>custodian!D1921</f>
        <v>428291108</v>
      </c>
      <c r="H1921" t="str">
        <f>_xll.BDP($B1921,"ID_ISIN")</f>
        <v>US4282911084</v>
      </c>
      <c r="I1921" s="1" t="s">
        <v>162</v>
      </c>
      <c r="J1921" t="str">
        <f>_xll.BDP($B1921,"CNTRY_OF_DOMICILE")</f>
        <v>US</v>
      </c>
      <c r="K1921" t="s">
        <v>98</v>
      </c>
      <c r="L1921" t="s">
        <v>99</v>
      </c>
      <c r="O1921" s="1"/>
      <c r="AQ1921" s="1"/>
      <c r="AR1921" s="1"/>
      <c r="AS1921" s="1"/>
    </row>
    <row r="1922" spans="1:45" x14ac:dyDescent="0.25">
      <c r="A1922" t="s">
        <v>5348</v>
      </c>
      <c r="B1922" t="s">
        <v>3683</v>
      </c>
      <c r="C1922" s="1" t="s">
        <v>3684</v>
      </c>
      <c r="D1922" t="s">
        <v>3685</v>
      </c>
      <c r="E1922" t="str">
        <f>_xll.BDP($B1922,"LEGAL_ENTITY_IDENTIFIER")</f>
        <v>549300WR7IX8XE0TBO16</v>
      </c>
      <c r="F1922" t="s">
        <v>3685</v>
      </c>
      <c r="G1922" t="str">
        <f>custodian!D1922</f>
        <v>49456B101</v>
      </c>
      <c r="H1922" t="str">
        <f>_xll.BDP($B1922,"ID_ISIN")</f>
        <v>US49456B1017</v>
      </c>
      <c r="I1922" s="1" t="s">
        <v>3684</v>
      </c>
      <c r="J1922" t="str">
        <f>_xll.BDP($B1922,"CNTRY_OF_DOMICILE")</f>
        <v>US</v>
      </c>
      <c r="K1922" t="s">
        <v>98</v>
      </c>
      <c r="L1922" t="s">
        <v>99</v>
      </c>
      <c r="O1922" s="1"/>
      <c r="AQ1922" s="1"/>
      <c r="AR1922" s="1"/>
      <c r="AS1922" s="1"/>
    </row>
    <row r="1923" spans="1:45" x14ac:dyDescent="0.25">
      <c r="A1923" t="s">
        <v>5348</v>
      </c>
      <c r="B1923" t="s">
        <v>5383</v>
      </c>
      <c r="C1923" s="1" t="s">
        <v>5384</v>
      </c>
      <c r="D1923" t="s">
        <v>5385</v>
      </c>
      <c r="E1923" t="str">
        <f>_xll.BDP($B1923,"LEGAL_ENTITY_IDENTIFIER")</f>
        <v>529900O0VTB7GNU1Z532</v>
      </c>
      <c r="F1923" t="s">
        <v>5385</v>
      </c>
      <c r="G1923" t="str">
        <f>custodian!D1923</f>
        <v>485924104</v>
      </c>
      <c r="H1923" t="str">
        <f>_xll.BDP($B1923,"ID_ISIN")</f>
        <v>US4859241048</v>
      </c>
      <c r="I1923" s="1" t="s">
        <v>5384</v>
      </c>
      <c r="J1923" t="str">
        <f>_xll.BDP($B1923,"CNTRY_OF_DOMICILE")</f>
        <v>US</v>
      </c>
      <c r="K1923" t="s">
        <v>98</v>
      </c>
      <c r="L1923" t="s">
        <v>99</v>
      </c>
      <c r="O1923" s="1"/>
      <c r="AQ1923" s="1"/>
      <c r="AR1923" s="1"/>
      <c r="AS1923" s="1"/>
    </row>
    <row r="1924" spans="1:45" x14ac:dyDescent="0.25">
      <c r="A1924" t="s">
        <v>5348</v>
      </c>
      <c r="B1924" t="s">
        <v>575</v>
      </c>
      <c r="C1924" s="1" t="s">
        <v>576</v>
      </c>
      <c r="D1924" t="s">
        <v>577</v>
      </c>
      <c r="E1924" t="str">
        <f>_xll.BDP($B1924,"LEGAL_ENTITY_IDENTIFIER")</f>
        <v>5493000EKBN0UY1F3F88</v>
      </c>
      <c r="F1924" t="s">
        <v>578</v>
      </c>
      <c r="G1924" t="str">
        <f>custodian!D1924</f>
        <v>50077B207</v>
      </c>
      <c r="H1924" t="str">
        <f>_xll.BDP($B1924,"ID_ISIN")</f>
        <v>US50077B2079</v>
      </c>
      <c r="I1924" s="1" t="s">
        <v>576</v>
      </c>
      <c r="J1924" t="str">
        <f>_xll.BDP($B1924,"CNTRY_OF_DOMICILE")</f>
        <v>US</v>
      </c>
      <c r="K1924" t="s">
        <v>98</v>
      </c>
      <c r="L1924" t="s">
        <v>99</v>
      </c>
      <c r="O1924" s="1"/>
      <c r="AQ1924" s="1"/>
      <c r="AR1924" s="1"/>
      <c r="AS1924" s="1"/>
    </row>
    <row r="1925" spans="1:45" x14ac:dyDescent="0.25">
      <c r="A1925" t="s">
        <v>5348</v>
      </c>
      <c r="B1925" t="s">
        <v>5386</v>
      </c>
      <c r="C1925" s="1" t="s">
        <v>5387</v>
      </c>
      <c r="D1925" t="s">
        <v>5388</v>
      </c>
      <c r="E1925" t="str">
        <f>_xll.BDP($B1925,"LEGAL_ENTITY_IDENTIFIER")</f>
        <v>254900PKFJW6RILDCM60</v>
      </c>
      <c r="F1925" t="s">
        <v>5388</v>
      </c>
      <c r="G1925" t="str">
        <f>custodian!D1925</f>
        <v>53115L104</v>
      </c>
      <c r="H1925" t="str">
        <f>_xll.BDP($B1925,"ID_ISIN")</f>
        <v>US53115L1044</v>
      </c>
      <c r="I1925" s="1" t="s">
        <v>5387</v>
      </c>
      <c r="J1925" t="str">
        <f>_xll.BDP($B1925,"CNTRY_OF_DOMICILE")</f>
        <v>US</v>
      </c>
      <c r="K1925" t="s">
        <v>98</v>
      </c>
      <c r="L1925" t="s">
        <v>99</v>
      </c>
      <c r="O1925" s="1"/>
      <c r="AQ1925" s="1"/>
      <c r="AR1925" s="1"/>
      <c r="AS1925" s="1"/>
    </row>
    <row r="1926" spans="1:45" x14ac:dyDescent="0.25">
      <c r="A1926" t="s">
        <v>5348</v>
      </c>
      <c r="B1926" t="s">
        <v>3518</v>
      </c>
      <c r="C1926" s="1" t="s">
        <v>3519</v>
      </c>
      <c r="D1926" t="s">
        <v>3520</v>
      </c>
      <c r="E1926" t="str">
        <f>_xll.BDP($B1926,"LEGAL_ENTITY_IDENTIFIER")</f>
        <v>549300IUTGTP6EJP8124</v>
      </c>
      <c r="F1926" t="s">
        <v>3520</v>
      </c>
      <c r="G1926" t="str">
        <f>custodian!D1926</f>
        <v>525327102</v>
      </c>
      <c r="H1926" t="str">
        <f>_xll.BDP($B1926,"ID_ISIN")</f>
        <v>US5253271028</v>
      </c>
      <c r="I1926" s="1" t="s">
        <v>3519</v>
      </c>
      <c r="J1926" t="str">
        <f>_xll.BDP($B1926,"CNTRY_OF_DOMICILE")</f>
        <v>US</v>
      </c>
      <c r="K1926" t="s">
        <v>98</v>
      </c>
      <c r="L1926" t="s">
        <v>99</v>
      </c>
      <c r="O1926" s="1"/>
      <c r="AQ1926" s="1"/>
      <c r="AR1926" s="1"/>
      <c r="AS1926" s="1"/>
    </row>
    <row r="1927" spans="1:45" x14ac:dyDescent="0.25">
      <c r="A1927" t="s">
        <v>5348</v>
      </c>
      <c r="B1927" t="s">
        <v>170</v>
      </c>
      <c r="C1927" s="1" t="s">
        <v>171</v>
      </c>
      <c r="D1927" t="s">
        <v>172</v>
      </c>
      <c r="E1927" t="str">
        <f>_xll.BDP($B1927,"LEGAL_ENTITY_IDENTIFIER")</f>
        <v>DPRBOZP0K5RM2YE8UU08</v>
      </c>
      <c r="F1927" t="s">
        <v>172</v>
      </c>
      <c r="G1927" t="str">
        <f>custodian!D1927</f>
        <v>539830109</v>
      </c>
      <c r="H1927" t="str">
        <f>_xll.BDP($B1927,"ID_ISIN")</f>
        <v>US5398301094</v>
      </c>
      <c r="I1927" s="1" t="s">
        <v>171</v>
      </c>
      <c r="J1927" t="str">
        <f>_xll.BDP($B1927,"CNTRY_OF_DOMICILE")</f>
        <v>US</v>
      </c>
      <c r="K1927" t="s">
        <v>98</v>
      </c>
      <c r="L1927" t="s">
        <v>99</v>
      </c>
      <c r="O1927" s="1"/>
      <c r="AQ1927" s="1"/>
      <c r="AR1927" s="1"/>
      <c r="AS1927" s="1"/>
    </row>
    <row r="1928" spans="1:45" x14ac:dyDescent="0.25">
      <c r="A1928" t="s">
        <v>5348</v>
      </c>
      <c r="B1928" t="s">
        <v>3686</v>
      </c>
      <c r="C1928" s="1" t="s">
        <v>3687</v>
      </c>
      <c r="D1928" t="s">
        <v>3688</v>
      </c>
      <c r="E1928" t="str">
        <f>_xll.BDP($B1928,"LEGAL_ENTITY_IDENTIFIER")</f>
        <v>MIHC87W9WTYSYZWV1J40</v>
      </c>
      <c r="F1928" t="s">
        <v>3688</v>
      </c>
      <c r="G1928" t="str">
        <f>custodian!D1928</f>
        <v>16411R208</v>
      </c>
      <c r="H1928" t="str">
        <f>_xll.BDP($B1928,"ID_ISIN")</f>
        <v>US16411R2085</v>
      </c>
      <c r="I1928" s="1" t="s">
        <v>3687</v>
      </c>
      <c r="J1928" t="str">
        <f>_xll.BDP($B1928,"CNTRY_OF_DOMICILE")</f>
        <v>US</v>
      </c>
      <c r="K1928" t="s">
        <v>98</v>
      </c>
      <c r="L1928" t="s">
        <v>99</v>
      </c>
      <c r="O1928" s="1"/>
      <c r="AQ1928" s="1"/>
      <c r="AR1928" s="1"/>
      <c r="AS1928" s="1"/>
    </row>
    <row r="1929" spans="1:45" x14ac:dyDescent="0.25">
      <c r="A1929" t="s">
        <v>5348</v>
      </c>
      <c r="B1929" t="s">
        <v>173</v>
      </c>
      <c r="C1929" s="1" t="s">
        <v>174</v>
      </c>
      <c r="D1929" t="s">
        <v>175</v>
      </c>
      <c r="E1929" t="str">
        <f>_xll.BDP($B1929,"LEGAL_ENTITY_IDENTIFIER")</f>
        <v>#N/A N/A</v>
      </c>
      <c r="F1929" t="s">
        <v>175</v>
      </c>
      <c r="G1929" t="str">
        <f>custodian!D1929</f>
        <v>53947R105</v>
      </c>
      <c r="H1929" t="str">
        <f>_xll.BDP($B1929,"ID_ISIN")</f>
        <v>US53947R1059</v>
      </c>
      <c r="I1929" s="1" t="s">
        <v>174</v>
      </c>
      <c r="J1929" t="str">
        <f>_xll.BDP($B1929,"CNTRY_OF_DOMICILE")</f>
        <v>US</v>
      </c>
      <c r="K1929" t="s">
        <v>98</v>
      </c>
      <c r="L1929" t="s">
        <v>99</v>
      </c>
      <c r="O1929" s="1"/>
      <c r="AQ1929" s="1"/>
      <c r="AR1929" s="1"/>
      <c r="AS1929" s="1"/>
    </row>
    <row r="1930" spans="1:45" x14ac:dyDescent="0.25">
      <c r="A1930" t="s">
        <v>5348</v>
      </c>
      <c r="B1930" t="s">
        <v>179</v>
      </c>
      <c r="C1930" s="1" t="s">
        <v>180</v>
      </c>
      <c r="D1930" t="s">
        <v>181</v>
      </c>
      <c r="E1930" t="str">
        <f>_xll.BDP($B1930,"LEGAL_ENTITY_IDENTIFIER")</f>
        <v>549300WM2I4U7OBAHG07</v>
      </c>
      <c r="F1930" t="s">
        <v>181</v>
      </c>
      <c r="G1930" t="str">
        <f>custodian!D1930</f>
        <v>615394202</v>
      </c>
      <c r="H1930" t="str">
        <f>_xll.BDP($B1930,"ID_ISIN")</f>
        <v>US6153942023</v>
      </c>
      <c r="I1930" s="1" t="s">
        <v>180</v>
      </c>
      <c r="J1930" t="str">
        <f>_xll.BDP($B1930,"CNTRY_OF_DOMICILE")</f>
        <v>US</v>
      </c>
      <c r="K1930" t="s">
        <v>98</v>
      </c>
      <c r="L1930" t="s">
        <v>99</v>
      </c>
      <c r="O1930" s="1"/>
      <c r="AQ1930" s="1"/>
      <c r="AR1930" s="1"/>
      <c r="AS1930" s="1"/>
    </row>
    <row r="1931" spans="1:45" x14ac:dyDescent="0.25">
      <c r="A1931" t="s">
        <v>5348</v>
      </c>
      <c r="B1931" t="s">
        <v>5389</v>
      </c>
      <c r="C1931" s="1" t="s">
        <v>5390</v>
      </c>
      <c r="D1931" t="s">
        <v>5391</v>
      </c>
      <c r="E1931" t="str">
        <f>_xll.BDP($B1931,"LEGAL_ENTITY_IDENTIFIER")</f>
        <v>3BNYRYQHD39K4LCKQF12</v>
      </c>
      <c r="F1931" t="s">
        <v>5391</v>
      </c>
      <c r="G1931" t="str">
        <f>custodian!D1931</f>
        <v>56585A102</v>
      </c>
      <c r="H1931" t="str">
        <f>_xll.BDP($B1931,"ID_ISIN")</f>
        <v>US56585A1025</v>
      </c>
      <c r="I1931" s="1" t="s">
        <v>5390</v>
      </c>
      <c r="J1931" t="str">
        <f>_xll.BDP($B1931,"CNTRY_OF_DOMICILE")</f>
        <v>US</v>
      </c>
      <c r="K1931" t="s">
        <v>98</v>
      </c>
      <c r="L1931" t="s">
        <v>99</v>
      </c>
      <c r="O1931" s="1"/>
      <c r="AQ1931" s="1"/>
      <c r="AR1931" s="1"/>
      <c r="AS1931" s="1"/>
    </row>
    <row r="1932" spans="1:45" x14ac:dyDescent="0.25">
      <c r="A1932" t="s">
        <v>5348</v>
      </c>
      <c r="B1932" t="s">
        <v>3140</v>
      </c>
      <c r="C1932" s="1" t="s">
        <v>3141</v>
      </c>
      <c r="D1932" t="s">
        <v>3142</v>
      </c>
      <c r="E1932" t="str">
        <f>_xll.BDP($B1932,"LEGAL_ENTITY_IDENTIFIER")</f>
        <v>549300P3B84SGK7HH679</v>
      </c>
      <c r="F1932" t="s">
        <v>3142</v>
      </c>
      <c r="G1932" t="str">
        <f>custodian!D1932</f>
        <v>589378108</v>
      </c>
      <c r="H1932" t="str">
        <f>_xll.BDP($B1932,"ID_ISIN")</f>
        <v>US5893781089</v>
      </c>
      <c r="I1932" s="1" t="s">
        <v>3141</v>
      </c>
      <c r="J1932" t="str">
        <f>_xll.BDP($B1932,"CNTRY_OF_DOMICILE")</f>
        <v>US</v>
      </c>
      <c r="K1932" t="s">
        <v>98</v>
      </c>
      <c r="L1932" t="s">
        <v>99</v>
      </c>
      <c r="O1932" s="1"/>
      <c r="AQ1932" s="1"/>
      <c r="AR1932" s="1"/>
      <c r="AS1932" s="1"/>
    </row>
    <row r="1933" spans="1:45" x14ac:dyDescent="0.25">
      <c r="A1933" t="s">
        <v>5348</v>
      </c>
      <c r="B1933" t="s">
        <v>5392</v>
      </c>
      <c r="C1933" s="1" t="s">
        <v>5393</v>
      </c>
      <c r="D1933" t="s">
        <v>5394</v>
      </c>
      <c r="E1933" t="str">
        <f>_xll.BDP($B1933,"LEGAL_ENTITY_IDENTIFIER")</f>
        <v>549300CI3Q2UUK5R4G79</v>
      </c>
      <c r="F1933" t="s">
        <v>5394</v>
      </c>
      <c r="G1933" t="str">
        <f>custodian!D1933</f>
        <v>576485205</v>
      </c>
      <c r="H1933" t="str">
        <f>_xll.BDP($B1933,"ID_ISIN")</f>
        <v>US5764852050</v>
      </c>
      <c r="I1933" s="1" t="s">
        <v>5393</v>
      </c>
      <c r="J1933" t="str">
        <f>_xll.BDP($B1933,"CNTRY_OF_DOMICILE")</f>
        <v>US</v>
      </c>
      <c r="K1933" t="s">
        <v>98</v>
      </c>
      <c r="L1933" t="s">
        <v>99</v>
      </c>
      <c r="O1933" s="1"/>
      <c r="AQ1933" s="1"/>
      <c r="AR1933" s="1"/>
      <c r="AS1933" s="1"/>
    </row>
    <row r="1934" spans="1:45" x14ac:dyDescent="0.25">
      <c r="A1934" t="s">
        <v>5348</v>
      </c>
      <c r="B1934" t="s">
        <v>5395</v>
      </c>
      <c r="C1934" s="1" t="s">
        <v>5396</v>
      </c>
      <c r="D1934" t="s">
        <v>5397</v>
      </c>
      <c r="E1934" t="str">
        <f>_xll.BDP($B1934,"LEGAL_ENTITY_IDENTIFIER")</f>
        <v>#N/A N/A</v>
      </c>
      <c r="F1934" t="s">
        <v>5397</v>
      </c>
      <c r="G1934" t="str">
        <f>custodian!D1934</f>
        <v>637215104</v>
      </c>
      <c r="H1934" t="str">
        <f>_xll.BDP($B1934,"ID_ISIN")</f>
        <v>US6372151042</v>
      </c>
      <c r="I1934" s="1" t="s">
        <v>5396</v>
      </c>
      <c r="J1934" t="str">
        <f>_xll.BDP($B1934,"CNTRY_OF_DOMICILE")</f>
        <v>US</v>
      </c>
      <c r="K1934" t="s">
        <v>98</v>
      </c>
      <c r="L1934" t="s">
        <v>99</v>
      </c>
      <c r="O1934" s="1"/>
      <c r="AQ1934" s="1"/>
      <c r="AR1934" s="1"/>
      <c r="AS1934" s="1"/>
    </row>
    <row r="1935" spans="1:45" x14ac:dyDescent="0.25">
      <c r="A1935" t="s">
        <v>5348</v>
      </c>
      <c r="B1935" t="s">
        <v>3695</v>
      </c>
      <c r="C1935" s="1" t="s">
        <v>3696</v>
      </c>
      <c r="D1935" t="s">
        <v>3697</v>
      </c>
      <c r="E1935" t="str">
        <f>_xll.BDP($B1935,"LEGAL_ENTITY_IDENTIFIER")</f>
        <v>2T3D6M0JSY48PSZI1Q41</v>
      </c>
      <c r="F1935" t="s">
        <v>3697</v>
      </c>
      <c r="G1935" t="str">
        <f>custodian!D1935</f>
        <v>682680103</v>
      </c>
      <c r="H1935" t="str">
        <f>_xll.BDP($B1935,"ID_ISIN")</f>
        <v>US6826801036</v>
      </c>
      <c r="I1935" s="1" t="s">
        <v>3696</v>
      </c>
      <c r="J1935" t="str">
        <f>_xll.BDP($B1935,"CNTRY_OF_DOMICILE")</f>
        <v>US</v>
      </c>
      <c r="K1935" t="s">
        <v>98</v>
      </c>
      <c r="L1935" t="s">
        <v>99</v>
      </c>
      <c r="O1935" s="1"/>
      <c r="AQ1935" s="1"/>
      <c r="AR1935" s="1"/>
      <c r="AS1935" s="1"/>
    </row>
    <row r="1936" spans="1:45" x14ac:dyDescent="0.25">
      <c r="A1936" t="s">
        <v>5348</v>
      </c>
      <c r="B1936" t="s">
        <v>5398</v>
      </c>
      <c r="C1936" s="1" t="s">
        <v>5399</v>
      </c>
      <c r="D1936" t="s">
        <v>5400</v>
      </c>
      <c r="E1936" t="str">
        <f>_xll.BDP($B1936,"LEGAL_ENTITY_IDENTIFIER")</f>
        <v>549300GKK294V7W57P06</v>
      </c>
      <c r="F1936" t="s">
        <v>5400</v>
      </c>
      <c r="G1936" t="str">
        <f>custodian!D1936</f>
        <v>680665205</v>
      </c>
      <c r="H1936" t="str">
        <f>_xll.BDP($B1936,"ID_ISIN")</f>
        <v>US6806652052</v>
      </c>
      <c r="I1936" s="1" t="s">
        <v>5399</v>
      </c>
      <c r="J1936" t="str">
        <f>_xll.BDP($B1936,"CNTRY_OF_DOMICILE")</f>
        <v>US</v>
      </c>
      <c r="K1936" t="s">
        <v>98</v>
      </c>
      <c r="L1936" t="s">
        <v>99</v>
      </c>
      <c r="O1936" s="1"/>
      <c r="AQ1936" s="1"/>
      <c r="AR1936" s="1"/>
      <c r="AS1936" s="1"/>
    </row>
    <row r="1937" spans="1:45" x14ac:dyDescent="0.25">
      <c r="A1937" t="s">
        <v>5348</v>
      </c>
      <c r="B1937" t="s">
        <v>582</v>
      </c>
      <c r="C1937" s="1" t="s">
        <v>583</v>
      </c>
      <c r="D1937" t="s">
        <v>584</v>
      </c>
      <c r="E1937" t="str">
        <f>_xll.BDP($B1937,"LEGAL_ENTITY_IDENTIFIER")</f>
        <v>549300JWLHDUB82V8607</v>
      </c>
      <c r="F1937" t="s">
        <v>584</v>
      </c>
      <c r="G1937" t="str">
        <f>custodian!D1937</f>
        <v>68236H204</v>
      </c>
      <c r="H1937" t="str">
        <f>_xll.BDP($B1937,"ID_ISIN")</f>
        <v>US68236H2040</v>
      </c>
      <c r="I1937" s="1" t="s">
        <v>583</v>
      </c>
      <c r="J1937" t="str">
        <f>_xll.BDP($B1937,"CNTRY_OF_DOMICILE")</f>
        <v>US</v>
      </c>
      <c r="K1937" t="s">
        <v>98</v>
      </c>
      <c r="L1937" t="s">
        <v>99</v>
      </c>
      <c r="O1937" s="1"/>
      <c r="AQ1937" s="1"/>
      <c r="AR1937" s="1"/>
      <c r="AS1937" s="1"/>
    </row>
    <row r="1938" spans="1:45" x14ac:dyDescent="0.25">
      <c r="A1938" t="s">
        <v>5348</v>
      </c>
      <c r="B1938" t="s">
        <v>5401</v>
      </c>
      <c r="C1938" s="1" t="s">
        <v>5402</v>
      </c>
      <c r="D1938" t="s">
        <v>5403</v>
      </c>
      <c r="E1938" t="str">
        <f>_xll.BDP($B1938,"LEGAL_ENTITY_IDENTIFIER")</f>
        <v>IM7X0T3ECJW4C1T7ON55</v>
      </c>
      <c r="F1938" t="s">
        <v>5403</v>
      </c>
      <c r="G1938" t="str">
        <f>custodian!D1938</f>
        <v>674599105</v>
      </c>
      <c r="H1938" t="str">
        <f>_xll.BDP($B1938,"ID_ISIN")</f>
        <v>US6745991058</v>
      </c>
      <c r="I1938" s="1" t="s">
        <v>5402</v>
      </c>
      <c r="J1938" t="str">
        <f>_xll.BDP($B1938,"CNTRY_OF_DOMICILE")</f>
        <v>US</v>
      </c>
      <c r="K1938" t="s">
        <v>98</v>
      </c>
      <c r="L1938" t="s">
        <v>99</v>
      </c>
      <c r="O1938" s="1"/>
      <c r="AQ1938" s="1"/>
      <c r="AR1938" s="1"/>
      <c r="AS1938" s="1"/>
    </row>
    <row r="1939" spans="1:45" x14ac:dyDescent="0.25">
      <c r="A1939" t="s">
        <v>5348</v>
      </c>
      <c r="B1939" t="s">
        <v>3536</v>
      </c>
      <c r="C1939" s="1" t="s">
        <v>3537</v>
      </c>
      <c r="D1939" t="s">
        <v>3538</v>
      </c>
      <c r="E1939" t="str">
        <f>_xll.BDP($B1939,"LEGAL_ENTITY_IDENTIFIER")</f>
        <v>549300UVN46B3BBDHO85</v>
      </c>
      <c r="F1939" t="s">
        <v>3538</v>
      </c>
      <c r="G1939" t="str">
        <f>custodian!D1939</f>
        <v>69608A108</v>
      </c>
      <c r="H1939" t="str">
        <f>_xll.BDP($B1939,"ID_ISIN")</f>
        <v>US69608A1088</v>
      </c>
      <c r="I1939" s="1" t="s">
        <v>3537</v>
      </c>
      <c r="J1939" t="str">
        <f>_xll.BDP($B1939,"CNTRY_OF_DOMICILE")</f>
        <v>US</v>
      </c>
      <c r="K1939" t="s">
        <v>98</v>
      </c>
      <c r="L1939" t="s">
        <v>99</v>
      </c>
      <c r="O1939" s="1"/>
      <c r="AQ1939" s="1"/>
      <c r="AR1939" s="1"/>
      <c r="AS1939" s="1"/>
    </row>
    <row r="1940" spans="1:45" x14ac:dyDescent="0.25">
      <c r="A1940" t="s">
        <v>5348</v>
      </c>
      <c r="B1940" t="s">
        <v>5404</v>
      </c>
      <c r="C1940" s="1" t="s">
        <v>5405</v>
      </c>
      <c r="D1940" t="s">
        <v>5406</v>
      </c>
      <c r="E1940" t="str">
        <f>_xll.BDP($B1940,"LEGAL_ENTITY_IDENTIFIER")</f>
        <v>#N/A N/A</v>
      </c>
      <c r="F1940" t="s">
        <v>5406</v>
      </c>
      <c r="G1940" t="str">
        <f>custodian!D1940</f>
        <v>71424F105</v>
      </c>
      <c r="H1940" t="str">
        <f>_xll.BDP($B1940,"ID_ISIN")</f>
        <v>US71424F1057</v>
      </c>
      <c r="I1940" s="1" t="s">
        <v>5405</v>
      </c>
      <c r="J1940" t="str">
        <f>_xll.BDP($B1940,"CNTRY_OF_DOMICILE")</f>
        <v>US</v>
      </c>
      <c r="K1940" t="s">
        <v>98</v>
      </c>
      <c r="L1940" t="s">
        <v>99</v>
      </c>
      <c r="O1940" s="1"/>
      <c r="AQ1940" s="1"/>
      <c r="AR1940" s="1"/>
      <c r="AS1940" s="1"/>
    </row>
    <row r="1941" spans="1:45" x14ac:dyDescent="0.25">
      <c r="A1941" t="s">
        <v>5348</v>
      </c>
      <c r="B1941" t="s">
        <v>5407</v>
      </c>
      <c r="C1941" s="1" t="s">
        <v>5408</v>
      </c>
      <c r="D1941" t="s">
        <v>5409</v>
      </c>
      <c r="E1941" t="str">
        <f>_xll.BDP($B1941,"LEGAL_ENTITY_IDENTIFIER")</f>
        <v>5493005JBO5YSIGK1814</v>
      </c>
      <c r="F1941" t="s">
        <v>5409</v>
      </c>
      <c r="G1941" t="str">
        <f>custodian!D1941</f>
        <v>718546104</v>
      </c>
      <c r="H1941" t="str">
        <f>_xll.BDP($B1941,"ID_ISIN")</f>
        <v>US7185461040</v>
      </c>
      <c r="I1941" s="1" t="s">
        <v>5408</v>
      </c>
      <c r="J1941" t="str">
        <f>_xll.BDP($B1941,"CNTRY_OF_DOMICILE")</f>
        <v>US</v>
      </c>
      <c r="K1941" t="s">
        <v>98</v>
      </c>
      <c r="L1941" t="s">
        <v>99</v>
      </c>
      <c r="O1941" s="1"/>
      <c r="AQ1941" s="1"/>
      <c r="AR1941" s="1"/>
      <c r="AS1941" s="1"/>
    </row>
    <row r="1942" spans="1:45" x14ac:dyDescent="0.25">
      <c r="A1942" t="s">
        <v>5348</v>
      </c>
      <c r="B1942" t="s">
        <v>5410</v>
      </c>
      <c r="C1942" s="1" t="s">
        <v>5411</v>
      </c>
      <c r="D1942" t="s">
        <v>5412</v>
      </c>
      <c r="E1942" t="str">
        <f>_xll.BDP($B1942,"LEGAL_ENTITY_IDENTIFIER")</f>
        <v>254900XGFBKIXD6G0697</v>
      </c>
      <c r="F1942" t="s">
        <v>5412</v>
      </c>
      <c r="G1942" t="str">
        <f>custodian!D1942</f>
        <v>703481101</v>
      </c>
      <c r="H1942" t="str">
        <f>_xll.BDP($B1942,"ID_ISIN")</f>
        <v>US7034811015</v>
      </c>
      <c r="I1942" s="1" t="s">
        <v>5411</v>
      </c>
      <c r="J1942" t="str">
        <f>_xll.BDP($B1942,"CNTRY_OF_DOMICILE")</f>
        <v>US</v>
      </c>
      <c r="K1942" t="s">
        <v>98</v>
      </c>
      <c r="L1942" t="s">
        <v>99</v>
      </c>
      <c r="O1942" s="1"/>
      <c r="AQ1942" s="1"/>
      <c r="AR1942" s="1"/>
      <c r="AS1942" s="1"/>
    </row>
    <row r="1943" spans="1:45" x14ac:dyDescent="0.25">
      <c r="A1943" t="s">
        <v>5348</v>
      </c>
      <c r="B1943" t="s">
        <v>588</v>
      </c>
      <c r="C1943" s="1" t="s">
        <v>589</v>
      </c>
      <c r="D1943" t="s">
        <v>590</v>
      </c>
      <c r="E1943" t="str">
        <f>_xll.BDP($B1943,"LEGAL_ENTITY_IDENTIFIER")</f>
        <v>5493005OGSQW28V2PY05</v>
      </c>
      <c r="F1943" t="s">
        <v>590</v>
      </c>
      <c r="G1943" t="str">
        <f>custodian!D1943</f>
        <v>75644T100</v>
      </c>
      <c r="H1943" t="str">
        <f>_xll.BDP($B1943,"ID_ISIN")</f>
        <v>US75644T1007</v>
      </c>
      <c r="I1943" s="1" t="s">
        <v>589</v>
      </c>
      <c r="J1943" t="str">
        <f>_xll.BDP($B1943,"CNTRY_OF_DOMICILE")</f>
        <v>PR</v>
      </c>
      <c r="K1943" t="s">
        <v>98</v>
      </c>
      <c r="L1943" t="s">
        <v>99</v>
      </c>
      <c r="O1943" s="1"/>
      <c r="AQ1943" s="1"/>
      <c r="AR1943" s="1"/>
      <c r="AS1943" s="1"/>
    </row>
    <row r="1944" spans="1:45" x14ac:dyDescent="0.25">
      <c r="A1944" t="s">
        <v>5348</v>
      </c>
      <c r="B1944" t="s">
        <v>3153</v>
      </c>
      <c r="C1944" s="1" t="s">
        <v>3154</v>
      </c>
      <c r="D1944" t="s">
        <v>3155</v>
      </c>
      <c r="E1944" t="str">
        <f>_xll.BDP($B1944,"LEGAL_ENTITY_IDENTIFIER")</f>
        <v>254900LNRW7906KUMM93</v>
      </c>
      <c r="F1944" t="s">
        <v>3155</v>
      </c>
      <c r="G1944" t="str">
        <f>custodian!D1944</f>
        <v>773121108</v>
      </c>
      <c r="H1944" t="str">
        <f>_xll.BDP($B1944,"ID_ISIN")</f>
        <v>US7731211089</v>
      </c>
      <c r="I1944" s="1" t="s">
        <v>3154</v>
      </c>
      <c r="J1944" t="str">
        <f>_xll.BDP($B1944,"CNTRY_OF_DOMICILE")</f>
        <v>US</v>
      </c>
      <c r="K1944" t="s">
        <v>98</v>
      </c>
      <c r="L1944" t="s">
        <v>99</v>
      </c>
      <c r="O1944" s="1"/>
      <c r="AQ1944" s="1"/>
      <c r="AR1944" s="1"/>
      <c r="AS1944" s="1"/>
    </row>
    <row r="1945" spans="1:45" x14ac:dyDescent="0.25">
      <c r="A1945" t="s">
        <v>5348</v>
      </c>
      <c r="B1945" t="s">
        <v>189</v>
      </c>
      <c r="C1945" s="1" t="s">
        <v>190</v>
      </c>
      <c r="D1945" t="s">
        <v>191</v>
      </c>
      <c r="E1945" t="str">
        <f>_xll.BDP($B1945,"LEGAL_ENTITY_IDENTIFIER")</f>
        <v>I07WOS4YJ0N7YRFE7309</v>
      </c>
      <c r="F1945" t="s">
        <v>191</v>
      </c>
      <c r="G1945" t="str">
        <f>custodian!D1945</f>
        <v>75513E101</v>
      </c>
      <c r="H1945" t="str">
        <f>_xll.BDP($B1945,"ID_ISIN")</f>
        <v>US75513E1010</v>
      </c>
      <c r="I1945" s="1" t="s">
        <v>190</v>
      </c>
      <c r="J1945" t="str">
        <f>_xll.BDP($B1945,"CNTRY_OF_DOMICILE")</f>
        <v>US</v>
      </c>
      <c r="K1945" t="s">
        <v>98</v>
      </c>
      <c r="L1945" t="s">
        <v>99</v>
      </c>
      <c r="O1945" s="1"/>
      <c r="AQ1945" s="1"/>
      <c r="AR1945" s="1"/>
      <c r="AS1945" s="1"/>
    </row>
    <row r="1946" spans="1:45" x14ac:dyDescent="0.25">
      <c r="A1946" t="s">
        <v>5348</v>
      </c>
      <c r="B1946" t="s">
        <v>5413</v>
      </c>
      <c r="C1946" s="1" t="s">
        <v>5414</v>
      </c>
      <c r="D1946" t="s">
        <v>1416</v>
      </c>
      <c r="E1946" t="str">
        <f>_xll.BDP($B1946,"LEGAL_ENTITY_IDENTIFIER")</f>
        <v>549300LZPNZIXQGZPZ48</v>
      </c>
      <c r="F1946" t="s">
        <v>5415</v>
      </c>
      <c r="G1946" t="str">
        <f>custodian!D1946</f>
        <v>808625107</v>
      </c>
      <c r="H1946" t="str">
        <f>_xll.BDP($B1946,"ID_ISIN")</f>
        <v>US8086251076</v>
      </c>
      <c r="I1946" s="1" t="s">
        <v>5414</v>
      </c>
      <c r="J1946" t="str">
        <f>_xll.BDP($B1946,"CNTRY_OF_DOMICILE")</f>
        <v>US</v>
      </c>
      <c r="K1946" t="s">
        <v>98</v>
      </c>
      <c r="L1946" t="s">
        <v>99</v>
      </c>
      <c r="O1946" s="1"/>
      <c r="AQ1946" s="1"/>
      <c r="AR1946" s="1"/>
      <c r="AS1946" s="1"/>
    </row>
    <row r="1947" spans="1:45" x14ac:dyDescent="0.25">
      <c r="A1947" t="s">
        <v>5348</v>
      </c>
      <c r="B1947" t="s">
        <v>5416</v>
      </c>
      <c r="C1947" s="1" t="s">
        <v>5417</v>
      </c>
      <c r="D1947" t="s">
        <v>5418</v>
      </c>
      <c r="E1947" t="str">
        <f>_xll.BDP($B1947,"LEGAL_ENTITY_IDENTIFIER")</f>
        <v>213800ZUA17OK3QLGM62</v>
      </c>
      <c r="F1947" t="s">
        <v>5418</v>
      </c>
      <c r="G1947" t="str">
        <f>custodian!D1947</f>
        <v>806857108</v>
      </c>
      <c r="H1947" t="str">
        <f>_xll.BDP($B1947,"ID_ISIN")</f>
        <v>AN8068571086</v>
      </c>
      <c r="I1947" s="1" t="s">
        <v>5417</v>
      </c>
      <c r="J1947" t="str">
        <f>_xll.BDP($B1947,"CNTRY_OF_DOMICILE")</f>
        <v>US</v>
      </c>
      <c r="K1947" t="s">
        <v>98</v>
      </c>
      <c r="L1947" t="s">
        <v>99</v>
      </c>
      <c r="O1947" s="1"/>
      <c r="AQ1947" s="1"/>
      <c r="AR1947" s="1"/>
      <c r="AS1947" s="1"/>
    </row>
    <row r="1948" spans="1:45" x14ac:dyDescent="0.25">
      <c r="A1948" t="s">
        <v>5348</v>
      </c>
      <c r="B1948" t="s">
        <v>5419</v>
      </c>
      <c r="C1948" s="1" t="s">
        <v>5420</v>
      </c>
      <c r="D1948" t="s">
        <v>5421</v>
      </c>
      <c r="E1948" t="str">
        <f>_xll.BDP($B1948,"LEGAL_ENTITY_IDENTIFIER")</f>
        <v>5493004PFHUPOR1PWN79</v>
      </c>
      <c r="F1948" t="s">
        <v>5421</v>
      </c>
      <c r="G1948" t="str">
        <f>custodian!D1948</f>
        <v>831754106</v>
      </c>
      <c r="H1948" t="str">
        <f>_xll.BDP($B1948,"ID_ISIN")</f>
        <v>US8317541063</v>
      </c>
      <c r="I1948" s="1" t="s">
        <v>5420</v>
      </c>
      <c r="J1948" t="str">
        <f>_xll.BDP($B1948,"CNTRY_OF_DOMICILE")</f>
        <v>US</v>
      </c>
      <c r="K1948" t="s">
        <v>98</v>
      </c>
      <c r="L1948" t="s">
        <v>99</v>
      </c>
      <c r="O1948" s="1"/>
      <c r="AQ1948" s="1"/>
      <c r="AR1948" s="1"/>
      <c r="AS1948" s="1"/>
    </row>
    <row r="1949" spans="1:45" x14ac:dyDescent="0.25">
      <c r="A1949" t="s">
        <v>5348</v>
      </c>
      <c r="B1949" t="s">
        <v>198</v>
      </c>
      <c r="C1949" s="1" t="s">
        <v>199</v>
      </c>
      <c r="D1949" t="s">
        <v>200</v>
      </c>
      <c r="E1949" t="str">
        <f>_xll.BDP($B1949,"LEGAL_ENTITY_IDENTIFIER")</f>
        <v>#N/A N/A</v>
      </c>
      <c r="F1949" t="s">
        <v>200</v>
      </c>
      <c r="G1949" t="str">
        <f>custodian!D1949</f>
        <v>893641100</v>
      </c>
      <c r="H1949" t="str">
        <f>_xll.BDP($B1949,"ID_ISIN")</f>
        <v>US8936411003</v>
      </c>
      <c r="I1949" s="1" t="s">
        <v>199</v>
      </c>
      <c r="J1949" t="str">
        <f>_xll.BDP($B1949,"CNTRY_OF_DOMICILE")</f>
        <v>US</v>
      </c>
      <c r="K1949" t="s">
        <v>98</v>
      </c>
      <c r="L1949" t="s">
        <v>99</v>
      </c>
      <c r="O1949" s="1"/>
      <c r="AQ1949" s="1"/>
      <c r="AR1949" s="1"/>
      <c r="AS1949" s="1"/>
    </row>
    <row r="1950" spans="1:45" x14ac:dyDescent="0.25">
      <c r="A1950" t="s">
        <v>5348</v>
      </c>
      <c r="B1950" t="s">
        <v>5422</v>
      </c>
      <c r="C1950" s="1" t="s">
        <v>5423</v>
      </c>
      <c r="D1950" t="s">
        <v>5424</v>
      </c>
      <c r="E1950" t="str">
        <f>_xll.BDP($B1950,"LEGAL_ENTITY_IDENTIFIER")</f>
        <v>5493003QENHHS261UR94</v>
      </c>
      <c r="F1950" t="s">
        <v>5424</v>
      </c>
      <c r="G1950" t="str">
        <f>custodian!D1950</f>
        <v>87612G101</v>
      </c>
      <c r="H1950" t="str">
        <f>_xll.BDP($B1950,"ID_ISIN")</f>
        <v>US87612G1013</v>
      </c>
      <c r="I1950" s="1" t="s">
        <v>5423</v>
      </c>
      <c r="J1950" t="str">
        <f>_xll.BDP($B1950,"CNTRY_OF_DOMICILE")</f>
        <v>US</v>
      </c>
      <c r="K1950" t="s">
        <v>98</v>
      </c>
      <c r="L1950" t="s">
        <v>99</v>
      </c>
      <c r="O1950" s="1"/>
      <c r="AQ1950" s="1"/>
      <c r="AR1950" s="1"/>
      <c r="AS1950" s="1"/>
    </row>
    <row r="1951" spans="1:45" x14ac:dyDescent="0.25">
      <c r="A1951" t="s">
        <v>5348</v>
      </c>
      <c r="B1951" t="s">
        <v>5425</v>
      </c>
      <c r="C1951" s="1" t="s">
        <v>5426</v>
      </c>
      <c r="D1951" t="s">
        <v>5427</v>
      </c>
      <c r="E1951" t="str">
        <f>_xll.BDP($B1951,"LEGAL_ENTITY_IDENTIFIER")</f>
        <v>2549007XC91CAB3E0N98</v>
      </c>
      <c r="F1951" t="s">
        <v>5427</v>
      </c>
      <c r="G1951" t="str">
        <f>custodian!D1951</f>
        <v>92333F101</v>
      </c>
      <c r="H1951" t="str">
        <f>_xll.BDP($B1951,"ID_ISIN")</f>
        <v>US92333F1012</v>
      </c>
      <c r="I1951" s="1" t="s">
        <v>5426</v>
      </c>
      <c r="J1951" t="str">
        <f>_xll.BDP($B1951,"CNTRY_OF_DOMICILE")</f>
        <v>US</v>
      </c>
      <c r="K1951" t="s">
        <v>98</v>
      </c>
      <c r="L1951" t="s">
        <v>99</v>
      </c>
      <c r="O1951" s="1"/>
      <c r="AQ1951" s="1"/>
      <c r="AR1951" s="1"/>
      <c r="AS1951" s="1"/>
    </row>
    <row r="1952" spans="1:45" x14ac:dyDescent="0.25">
      <c r="A1952" t="s">
        <v>5348</v>
      </c>
      <c r="B1952" t="s">
        <v>5428</v>
      </c>
      <c r="C1952" s="1" t="s">
        <v>5429</v>
      </c>
      <c r="D1952" t="s">
        <v>5430</v>
      </c>
      <c r="E1952" t="str">
        <f>_xll.BDP($B1952,"LEGAL_ENTITY_IDENTIFIER")</f>
        <v>549300XTO5VR8SKV1V74</v>
      </c>
      <c r="F1952" t="s">
        <v>5430</v>
      </c>
      <c r="G1952" t="str">
        <f>custodian!D1952</f>
        <v>91913Y100</v>
      </c>
      <c r="H1952" t="str">
        <f>_xll.BDP($B1952,"ID_ISIN")</f>
        <v>US91913Y1001</v>
      </c>
      <c r="I1952" s="1" t="s">
        <v>5429</v>
      </c>
      <c r="J1952" t="str">
        <f>_xll.BDP($B1952,"CNTRY_OF_DOMICILE")</f>
        <v>US</v>
      </c>
      <c r="K1952" t="s">
        <v>98</v>
      </c>
      <c r="L1952" t="s">
        <v>99</v>
      </c>
      <c r="O1952" s="1"/>
      <c r="AQ1952" s="1"/>
      <c r="AR1952" s="1"/>
      <c r="AS1952" s="1"/>
    </row>
    <row r="1953" spans="1:45" x14ac:dyDescent="0.25">
      <c r="A1953" t="s">
        <v>5348</v>
      </c>
      <c r="B1953" t="s">
        <v>5431</v>
      </c>
      <c r="C1953" s="1" t="s">
        <v>5432</v>
      </c>
      <c r="D1953" t="s">
        <v>5433</v>
      </c>
      <c r="E1953" t="str">
        <f>_xll.BDP($B1953,"LEGAL_ENTITY_IDENTIFIER")</f>
        <v>#N/A N/A</v>
      </c>
      <c r="F1953" t="s">
        <v>5433</v>
      </c>
      <c r="G1953" t="str">
        <f>custodian!D1953</f>
        <v>92242T101</v>
      </c>
      <c r="H1953" t="str">
        <f>_xll.BDP($B1953,"ID_ISIN")</f>
        <v>US92242T1016</v>
      </c>
      <c r="I1953" s="1" t="s">
        <v>5432</v>
      </c>
      <c r="J1953" t="str">
        <f>_xll.BDP($B1953,"CNTRY_OF_DOMICILE")</f>
        <v>US</v>
      </c>
      <c r="K1953" t="s">
        <v>98</v>
      </c>
      <c r="L1953" t="s">
        <v>99</v>
      </c>
      <c r="O1953" s="1"/>
      <c r="AQ1953" s="1"/>
      <c r="AR1953" s="1"/>
      <c r="AS1953" s="1"/>
    </row>
    <row r="1954" spans="1:45" x14ac:dyDescent="0.25">
      <c r="A1954" t="s">
        <v>5348</v>
      </c>
      <c r="B1954" t="s">
        <v>5434</v>
      </c>
      <c r="C1954" s="1" t="s">
        <v>5435</v>
      </c>
      <c r="D1954" t="s">
        <v>5436</v>
      </c>
      <c r="E1954" t="str">
        <f>_xll.BDP($B1954,"LEGAL_ENTITY_IDENTIFIER")</f>
        <v>529900LPBDSCQDJKHQ39</v>
      </c>
      <c r="F1954" t="s">
        <v>5436</v>
      </c>
      <c r="G1954" t="str">
        <f>custodian!D1954</f>
        <v>G48833118</v>
      </c>
      <c r="H1954" t="str">
        <f>_xll.BDP($B1954,"ID_ISIN")</f>
        <v>IE00BLNN3691</v>
      </c>
      <c r="I1954" s="1" t="s">
        <v>5435</v>
      </c>
      <c r="J1954" t="str">
        <f>_xll.BDP($B1954,"CNTRY_OF_DOMICILE")</f>
        <v>US</v>
      </c>
      <c r="K1954" t="s">
        <v>98</v>
      </c>
      <c r="L1954" t="s">
        <v>99</v>
      </c>
      <c r="O1954" s="1"/>
      <c r="AQ1954" s="1"/>
      <c r="AR1954" s="1"/>
      <c r="AS1954" s="1"/>
    </row>
    <row r="1955" spans="1:45" x14ac:dyDescent="0.25">
      <c r="A1955" t="s">
        <v>5348</v>
      </c>
      <c r="B1955" t="s">
        <v>5437</v>
      </c>
      <c r="C1955" s="1" t="s">
        <v>5438</v>
      </c>
      <c r="D1955" t="s">
        <v>5439</v>
      </c>
      <c r="E1955" t="str">
        <f>_xll.BDP($B1955,"LEGAL_ENTITY_IDENTIFIER")</f>
        <v>D71FAKCBLFS2O0RBPG08</v>
      </c>
      <c r="F1955" t="s">
        <v>5439</v>
      </c>
      <c r="G1955" t="str">
        <f>custodian!D1955</f>
        <v>969457100</v>
      </c>
      <c r="H1955" t="str">
        <f>_xll.BDP($B1955,"ID_ISIN")</f>
        <v>US9694571004</v>
      </c>
      <c r="I1955" s="1" t="s">
        <v>5438</v>
      </c>
      <c r="J1955" t="str">
        <f>_xll.BDP($B1955,"CNTRY_OF_DOMICILE")</f>
        <v>US</v>
      </c>
      <c r="K1955" t="s">
        <v>98</v>
      </c>
      <c r="L1955" t="s">
        <v>99</v>
      </c>
      <c r="O1955" s="1"/>
      <c r="AQ1955" s="1"/>
      <c r="AR1955" s="1"/>
      <c r="AS1955" s="1"/>
    </row>
    <row r="1956" spans="1:45" x14ac:dyDescent="0.25">
      <c r="A1956" t="s">
        <v>5348</v>
      </c>
      <c r="B1956" t="s">
        <v>5440</v>
      </c>
      <c r="C1956" s="1" t="s">
        <v>5441</v>
      </c>
      <c r="D1956" t="s">
        <v>5442</v>
      </c>
      <c r="E1956" t="str">
        <f>_xll.BDP($B1956,"LEGAL_ENTITY_IDENTIFIER")</f>
        <v>J3WHBG0MTS7O8ZVMDC91</v>
      </c>
      <c r="F1956" t="s">
        <v>5442</v>
      </c>
      <c r="G1956" t="str">
        <f>custodian!D1956</f>
        <v>30231G102</v>
      </c>
      <c r="H1956" t="str">
        <f>_xll.BDP($B1956,"ID_ISIN")</f>
        <v>US30231G1022</v>
      </c>
      <c r="I1956" s="1" t="s">
        <v>5441</v>
      </c>
      <c r="J1956" t="str">
        <f>_xll.BDP($B1956,"CNTRY_OF_DOMICILE")</f>
        <v>US</v>
      </c>
      <c r="K1956" t="s">
        <v>98</v>
      </c>
      <c r="L1956" t="s">
        <v>99</v>
      </c>
      <c r="O1956" s="1"/>
      <c r="AQ1956" s="1"/>
      <c r="AR1956" s="1"/>
      <c r="AS1956" s="1"/>
    </row>
    <row r="1957" spans="1:45" x14ac:dyDescent="0.25">
      <c r="A1957" t="s">
        <v>5348</v>
      </c>
      <c r="C1957" s="1" t="s">
        <v>52</v>
      </c>
      <c r="E1957" s="1"/>
      <c r="G1957" t="str">
        <f>custodian!D1957</f>
        <v>Cash&amp;Other</v>
      </c>
      <c r="H1957" s="1"/>
      <c r="I1957" s="1"/>
      <c r="O1957" s="1"/>
      <c r="AQ1957" s="1"/>
      <c r="AR1957" s="1"/>
      <c r="AS1957" s="1"/>
    </row>
    <row r="1958" spans="1:45" x14ac:dyDescent="0.25">
      <c r="A1958" t="s">
        <v>5443</v>
      </c>
      <c r="B1958" t="s">
        <v>5444</v>
      </c>
      <c r="C1958" s="1" t="s">
        <v>5445</v>
      </c>
      <c r="D1958" t="s">
        <v>56</v>
      </c>
      <c r="E1958" s="1" t="s">
        <v>56</v>
      </c>
      <c r="F1958" t="s">
        <v>5446</v>
      </c>
      <c r="G1958" t="str">
        <f>custodian!D1958</f>
        <v>922042742-TRS-07/07/27-L-CLST</v>
      </c>
      <c r="H1958" s="1"/>
      <c r="I1958" s="1" t="s">
        <v>5445</v>
      </c>
      <c r="J1958" t="s">
        <v>58</v>
      </c>
      <c r="K1958" t="s">
        <v>59</v>
      </c>
      <c r="L1958" t="s">
        <v>60</v>
      </c>
      <c r="M1958" t="s">
        <v>61</v>
      </c>
      <c r="N1958" t="s">
        <v>3372</v>
      </c>
      <c r="O1958" s="1" t="s">
        <v>3373</v>
      </c>
      <c r="V1958" t="s">
        <v>64</v>
      </c>
      <c r="Y1958" t="s">
        <v>65</v>
      </c>
      <c r="Z1958" t="s">
        <v>3374</v>
      </c>
      <c r="AA1958" t="s">
        <v>5447</v>
      </c>
      <c r="AB1958" t="s">
        <v>68</v>
      </c>
      <c r="AD1958" t="s">
        <v>5447</v>
      </c>
      <c r="AE1958" t="s">
        <v>5448</v>
      </c>
      <c r="AF1958" t="s">
        <v>70</v>
      </c>
      <c r="AG1958" t="s">
        <v>5449</v>
      </c>
      <c r="AH1958" t="s">
        <v>72</v>
      </c>
      <c r="AI1958" t="s">
        <v>73</v>
      </c>
      <c r="AK1958" t="s">
        <v>5447</v>
      </c>
      <c r="AL1958" t="s">
        <v>68</v>
      </c>
      <c r="AM1958" t="s">
        <v>74</v>
      </c>
      <c r="AN1958" t="s">
        <v>75</v>
      </c>
      <c r="AO1958" t="str">
        <f>_xll.BDP($B1958,"ISSUER")</f>
        <v>Vanguard Total World Stock ETF</v>
      </c>
      <c r="AP1958" t="str">
        <f>_xll.BDP($B1958,"NAME")</f>
        <v>VANGUARD TOT WORLD STK ETF</v>
      </c>
      <c r="AQ1958" s="1" t="s">
        <v>5450</v>
      </c>
      <c r="AR1958" t="str">
        <f>_xll.BDP($B1958,"ID_ISIN")</f>
        <v>US9220427424</v>
      </c>
      <c r="AS1958" t="str">
        <f>_xll.BDP($B1958,"TICKER")</f>
        <v>VT</v>
      </c>
    </row>
    <row r="1959" spans="1:45" x14ac:dyDescent="0.25">
      <c r="A1959" t="s">
        <v>5443</v>
      </c>
      <c r="B1959" t="s">
        <v>77</v>
      </c>
      <c r="C1959" s="1" t="s">
        <v>78</v>
      </c>
      <c r="D1959" t="s">
        <v>79</v>
      </c>
      <c r="E1959" t="str">
        <f>_xll.BDP($B1959,"LEGAL_ENTITY_IDENTIFIER")</f>
        <v>549300R5MYM6VZF1RM44</v>
      </c>
      <c r="F1959" t="s">
        <v>80</v>
      </c>
      <c r="G1959" t="str">
        <f>custodian!D1959</f>
        <v>31846V336</v>
      </c>
      <c r="H1959" t="str">
        <f>_xll.BDP($B1959,"ID_ISIN")</f>
        <v>US31846V3362</v>
      </c>
      <c r="I1959" s="1" t="s">
        <v>78</v>
      </c>
      <c r="J1959" t="str">
        <f>_xll.BDP($B1959,"CNTRY_OF_DOMICILE")</f>
        <v>US</v>
      </c>
      <c r="K1959" t="s">
        <v>81</v>
      </c>
      <c r="L1959" t="s">
        <v>82</v>
      </c>
      <c r="O1959" s="1"/>
      <c r="AQ1959" s="1"/>
      <c r="AR1959" s="1"/>
      <c r="AS1959" s="1"/>
    </row>
    <row r="1960" spans="1:45" x14ac:dyDescent="0.25">
      <c r="A1960" t="s">
        <v>5443</v>
      </c>
      <c r="C1960" s="1" t="s">
        <v>52</v>
      </c>
      <c r="E1960" s="1"/>
      <c r="G1960" t="str">
        <f>custodian!D1960</f>
        <v>Cash&amp;Other</v>
      </c>
      <c r="H1960" s="1"/>
      <c r="I1960" s="1"/>
      <c r="O1960" s="1"/>
      <c r="AQ1960" s="1"/>
      <c r="AR1960" s="1"/>
      <c r="AS1960" s="1"/>
    </row>
    <row r="1961" spans="1:45" x14ac:dyDescent="0.25">
      <c r="A1961" t="s">
        <v>5451</v>
      </c>
      <c r="B1961" t="s">
        <v>5452</v>
      </c>
      <c r="C1961" s="1" t="s">
        <v>5453</v>
      </c>
      <c r="D1961" t="s">
        <v>5454</v>
      </c>
      <c r="E1961" t="str">
        <f>_xll.BDP($B1961,"LEGAL_ENTITY_IDENTIFIER")</f>
        <v>OC1LZNN2LF5WTJ5RIL89</v>
      </c>
      <c r="F1961" t="s">
        <v>5454</v>
      </c>
      <c r="G1961" t="str">
        <f>custodian!D1961</f>
        <v>00971T101</v>
      </c>
      <c r="H1961" t="str">
        <f>_xll.BDP($B1961,"ID_ISIN")</f>
        <v>US00971T1016</v>
      </c>
      <c r="I1961" s="1" t="s">
        <v>5453</v>
      </c>
      <c r="J1961" t="str">
        <f>_xll.BDP($B1961,"CNTRY_OF_DOMICILE")</f>
        <v>US</v>
      </c>
      <c r="K1961" t="s">
        <v>98</v>
      </c>
      <c r="L1961" t="s">
        <v>99</v>
      </c>
      <c r="O1961" s="1"/>
      <c r="AQ1961" s="1"/>
      <c r="AR1961" s="1"/>
      <c r="AS1961" s="1"/>
    </row>
    <row r="1962" spans="1:45" x14ac:dyDescent="0.25">
      <c r="A1962" t="s">
        <v>5451</v>
      </c>
      <c r="B1962" t="s">
        <v>2717</v>
      </c>
      <c r="C1962" s="1" t="s">
        <v>2718</v>
      </c>
      <c r="D1962" t="s">
        <v>2719</v>
      </c>
      <c r="E1962" t="str">
        <f>_xll.BDP($B1962,"LEGAL_ENTITY_IDENTIFIER")</f>
        <v>254900G93Z1SN49J9J68</v>
      </c>
      <c r="F1962" t="s">
        <v>2719</v>
      </c>
      <c r="G1962" t="str">
        <f>custodian!D1962</f>
        <v>G0567U127</v>
      </c>
      <c r="H1962" t="str">
        <f>_xll.BDP($B1962,"ID_ISIN")</f>
        <v>KYG0567U1278</v>
      </c>
      <c r="I1962" s="1" t="s">
        <v>2718</v>
      </c>
      <c r="J1962" t="str">
        <f>_xll.BDP($B1962,"CNTRY_OF_DOMICILE")</f>
        <v>GB</v>
      </c>
      <c r="K1962" t="s">
        <v>98</v>
      </c>
      <c r="L1962" t="s">
        <v>99</v>
      </c>
      <c r="O1962" s="1"/>
      <c r="AQ1962" s="1"/>
      <c r="AR1962" s="1"/>
      <c r="AS1962" s="1"/>
    </row>
    <row r="1963" spans="1:45" x14ac:dyDescent="0.25">
      <c r="A1963" t="s">
        <v>5451</v>
      </c>
      <c r="B1963" t="s">
        <v>5455</v>
      </c>
      <c r="C1963" s="1" t="s">
        <v>5456</v>
      </c>
      <c r="D1963" t="s">
        <v>5457</v>
      </c>
      <c r="E1963" t="str">
        <f>_xll.BDP($B1963,"LEGAL_ENTITY_IDENTIFIER")</f>
        <v>549300UQD4IWUML81Q35</v>
      </c>
      <c r="F1963" t="s">
        <v>5457</v>
      </c>
      <c r="G1963" t="str">
        <f>custodian!D1963</f>
        <v>002121101</v>
      </c>
      <c r="H1963" t="str">
        <f>_xll.BDP($B1963,"ID_ISIN")</f>
        <v>US0021211018</v>
      </c>
      <c r="I1963" s="1" t="s">
        <v>5456</v>
      </c>
      <c r="J1963" t="str">
        <f>_xll.BDP($B1963,"CNTRY_OF_DOMICILE")</f>
        <v>US</v>
      </c>
      <c r="K1963" t="s">
        <v>98</v>
      </c>
      <c r="L1963" t="s">
        <v>99</v>
      </c>
      <c r="O1963" s="1"/>
      <c r="AQ1963" s="1"/>
      <c r="AR1963" s="1"/>
      <c r="AS1963" s="1"/>
    </row>
    <row r="1964" spans="1:45" x14ac:dyDescent="0.25">
      <c r="A1964" t="s">
        <v>5451</v>
      </c>
      <c r="B1964" t="s">
        <v>3494</v>
      </c>
      <c r="C1964" s="1" t="s">
        <v>3495</v>
      </c>
      <c r="D1964" t="s">
        <v>3496</v>
      </c>
      <c r="E1964" t="str">
        <f>_xll.BDP($B1964,"LEGAL_ENTITY_IDENTIFIER")</f>
        <v>SYRPI2D1O9WRTS2WX210</v>
      </c>
      <c r="F1964" t="s">
        <v>3496</v>
      </c>
      <c r="G1964" t="str">
        <f>custodian!D1964</f>
        <v>127190304</v>
      </c>
      <c r="H1964" t="str">
        <f>_xll.BDP($B1964,"ID_ISIN")</f>
        <v>US1271903049</v>
      </c>
      <c r="I1964" s="1" t="s">
        <v>3495</v>
      </c>
      <c r="J1964" t="str">
        <f>_xll.BDP($B1964,"CNTRY_OF_DOMICILE")</f>
        <v>US</v>
      </c>
      <c r="K1964" t="s">
        <v>98</v>
      </c>
      <c r="L1964" t="s">
        <v>99</v>
      </c>
      <c r="O1964" s="1"/>
      <c r="AQ1964" s="1"/>
      <c r="AR1964" s="1"/>
      <c r="AS1964" s="1"/>
    </row>
    <row r="1965" spans="1:45" x14ac:dyDescent="0.25">
      <c r="A1965" t="s">
        <v>5451</v>
      </c>
      <c r="B1965" t="s">
        <v>5458</v>
      </c>
      <c r="C1965" s="1" t="s">
        <v>5459</v>
      </c>
      <c r="D1965" t="s">
        <v>5460</v>
      </c>
      <c r="E1965" t="str">
        <f>_xll.BDP($B1965,"LEGAL_ENTITY_IDENTIFIER")</f>
        <v>2549003ZVBH73EPNS513</v>
      </c>
      <c r="F1965" t="s">
        <v>5461</v>
      </c>
      <c r="G1965" t="str">
        <f>custodian!D1965</f>
        <v>M22465104</v>
      </c>
      <c r="H1965" t="str">
        <f>_xll.BDP($B1965,"ID_ISIN")</f>
        <v>IL0010824113</v>
      </c>
      <c r="I1965" s="1" t="s">
        <v>5459</v>
      </c>
      <c r="J1965" t="str">
        <f>_xll.BDP($B1965,"CNTRY_OF_DOMICILE")</f>
        <v>IL</v>
      </c>
      <c r="K1965" t="s">
        <v>98</v>
      </c>
      <c r="L1965" t="s">
        <v>99</v>
      </c>
      <c r="O1965" s="1"/>
      <c r="AQ1965" s="1"/>
      <c r="AR1965" s="1"/>
      <c r="AS1965" s="1"/>
    </row>
    <row r="1966" spans="1:45" x14ac:dyDescent="0.25">
      <c r="A1966" t="s">
        <v>5451</v>
      </c>
      <c r="B1966" t="s">
        <v>3579</v>
      </c>
      <c r="C1966" s="1" t="s">
        <v>3580</v>
      </c>
      <c r="D1966" t="s">
        <v>3581</v>
      </c>
      <c r="E1966" t="str">
        <f>_xll.BDP($B1966,"LEGAL_ENTITY_IDENTIFIER")</f>
        <v>549300YBY08K9KM4HX32</v>
      </c>
      <c r="F1966" t="s">
        <v>3581</v>
      </c>
      <c r="G1966" t="str">
        <f>custodian!D1966</f>
        <v>22788C105</v>
      </c>
      <c r="H1966" t="str">
        <f>_xll.BDP($B1966,"ID_ISIN")</f>
        <v>US22788C1053</v>
      </c>
      <c r="I1966" s="1" t="s">
        <v>3580</v>
      </c>
      <c r="J1966" t="str">
        <f>_xll.BDP($B1966,"CNTRY_OF_DOMICILE")</f>
        <v>US</v>
      </c>
      <c r="K1966" t="s">
        <v>98</v>
      </c>
      <c r="L1966" t="s">
        <v>99</v>
      </c>
      <c r="O1966" s="1"/>
      <c r="AQ1966" s="1"/>
      <c r="AR1966" s="1"/>
      <c r="AS1966" s="1"/>
    </row>
    <row r="1967" spans="1:45" x14ac:dyDescent="0.25">
      <c r="A1967" t="s">
        <v>5451</v>
      </c>
      <c r="B1967" t="s">
        <v>3503</v>
      </c>
      <c r="C1967" s="1" t="s">
        <v>3504</v>
      </c>
      <c r="D1967" t="s">
        <v>3505</v>
      </c>
      <c r="E1967" t="str">
        <f>_xll.BDP($B1967,"LEGAL_ENTITY_IDENTIFIER")</f>
        <v>549300F6JNO0KRPO1K63</v>
      </c>
      <c r="F1967" t="s">
        <v>3505</v>
      </c>
      <c r="G1967" t="str">
        <f>custodian!D1967</f>
        <v>23804L103</v>
      </c>
      <c r="H1967" t="str">
        <f>_xll.BDP($B1967,"ID_ISIN")</f>
        <v>US23804L1035</v>
      </c>
      <c r="I1967" s="1" t="s">
        <v>3504</v>
      </c>
      <c r="J1967" t="str">
        <f>_xll.BDP($B1967,"CNTRY_OF_DOMICILE")</f>
        <v>US</v>
      </c>
      <c r="K1967" t="s">
        <v>98</v>
      </c>
      <c r="L1967" t="s">
        <v>99</v>
      </c>
      <c r="O1967" s="1"/>
      <c r="AQ1967" s="1"/>
      <c r="AR1967" s="1"/>
      <c r="AS1967" s="1"/>
    </row>
    <row r="1968" spans="1:45" x14ac:dyDescent="0.25">
      <c r="A1968" t="s">
        <v>5451</v>
      </c>
      <c r="B1968" t="s">
        <v>3512</v>
      </c>
      <c r="C1968" s="1" t="s">
        <v>3513</v>
      </c>
      <c r="D1968" t="s">
        <v>3514</v>
      </c>
      <c r="E1968" t="str">
        <f>_xll.BDP($B1968,"LEGAL_ENTITY_IDENTIFIER")</f>
        <v>2549003I48WHHH937I59</v>
      </c>
      <c r="F1968" t="s">
        <v>3514</v>
      </c>
      <c r="G1968" t="str">
        <f>custodian!D1968</f>
        <v>N14506104</v>
      </c>
      <c r="H1968" t="str">
        <f>_xll.BDP($B1968,"ID_ISIN")</f>
        <v>NL0013056914</v>
      </c>
      <c r="I1968" s="1" t="s">
        <v>3513</v>
      </c>
      <c r="J1968" t="str">
        <f>_xll.BDP($B1968,"CNTRY_OF_DOMICILE")</f>
        <v>US</v>
      </c>
      <c r="K1968" t="s">
        <v>98</v>
      </c>
      <c r="L1968" t="s">
        <v>99</v>
      </c>
      <c r="O1968" s="1"/>
      <c r="AQ1968" s="1"/>
      <c r="AR1968" s="1"/>
      <c r="AS1968" s="1"/>
    </row>
    <row r="1969" spans="1:45" x14ac:dyDescent="0.25">
      <c r="A1969" t="s">
        <v>5451</v>
      </c>
      <c r="B1969" t="s">
        <v>5462</v>
      </c>
      <c r="C1969" s="1" t="s">
        <v>5463</v>
      </c>
      <c r="D1969" t="s">
        <v>5464</v>
      </c>
      <c r="E1969" t="str">
        <f>_xll.BDP($B1969,"LEGAL_ENTITY_IDENTIFIER")</f>
        <v>54930015FPK9KT966303</v>
      </c>
      <c r="F1969" t="s">
        <v>5464</v>
      </c>
      <c r="G1969" t="str">
        <f>custodian!D1969</f>
        <v>315616102</v>
      </c>
      <c r="H1969" t="str">
        <f>_xll.BDP($B1969,"ID_ISIN")</f>
        <v>US3156161024</v>
      </c>
      <c r="I1969" s="1" t="s">
        <v>5463</v>
      </c>
      <c r="J1969" t="str">
        <f>_xll.BDP($B1969,"CNTRY_OF_DOMICILE")</f>
        <v>US</v>
      </c>
      <c r="K1969" t="s">
        <v>98</v>
      </c>
      <c r="L1969" t="s">
        <v>99</v>
      </c>
      <c r="O1969" s="1"/>
      <c r="AQ1969" s="1"/>
      <c r="AR1969" s="1"/>
      <c r="AS1969" s="1"/>
    </row>
    <row r="1970" spans="1:45" x14ac:dyDescent="0.25">
      <c r="A1970" t="s">
        <v>5451</v>
      </c>
      <c r="B1970" t="s">
        <v>77</v>
      </c>
      <c r="C1970" s="1" t="s">
        <v>78</v>
      </c>
      <c r="D1970" t="s">
        <v>79</v>
      </c>
      <c r="E1970" t="str">
        <f>_xll.BDP($B1970,"LEGAL_ENTITY_IDENTIFIER")</f>
        <v>549300R5MYM6VZF1RM44</v>
      </c>
      <c r="F1970" t="s">
        <v>80</v>
      </c>
      <c r="G1970" t="str">
        <f>custodian!D1970</f>
        <v>31846V336</v>
      </c>
      <c r="H1970" t="str">
        <f>_xll.BDP($B1970,"ID_ISIN")</f>
        <v>US31846V3362</v>
      </c>
      <c r="I1970" s="1" t="s">
        <v>78</v>
      </c>
      <c r="J1970" t="str">
        <f>_xll.BDP($B1970,"CNTRY_OF_DOMICILE")</f>
        <v>US</v>
      </c>
      <c r="K1970" t="s">
        <v>81</v>
      </c>
      <c r="L1970" t="s">
        <v>82</v>
      </c>
      <c r="O1970" s="1"/>
      <c r="AQ1970" s="1"/>
      <c r="AR1970" s="1"/>
      <c r="AS1970" s="1"/>
    </row>
    <row r="1971" spans="1:45" x14ac:dyDescent="0.25">
      <c r="A1971" t="s">
        <v>5451</v>
      </c>
      <c r="B1971" t="s">
        <v>277</v>
      </c>
      <c r="C1971" s="1" t="s">
        <v>278</v>
      </c>
      <c r="D1971" t="s">
        <v>279</v>
      </c>
      <c r="E1971" t="str">
        <f>_xll.BDP($B1971,"LEGAL_ENTITY_IDENTIFIER")</f>
        <v>549300O0QJWDBAS0QX03</v>
      </c>
      <c r="F1971" t="s">
        <v>279</v>
      </c>
      <c r="G1971" t="str">
        <f>custodian!D1971</f>
        <v>34959E109</v>
      </c>
      <c r="H1971" t="str">
        <f>_xll.BDP($B1971,"ID_ISIN")</f>
        <v>US34959E1091</v>
      </c>
      <c r="I1971" s="1" t="s">
        <v>278</v>
      </c>
      <c r="J1971" t="str">
        <f>_xll.BDP($B1971,"CNTRY_OF_DOMICILE")</f>
        <v>US</v>
      </c>
      <c r="K1971" t="s">
        <v>98</v>
      </c>
      <c r="L1971" t="s">
        <v>99</v>
      </c>
      <c r="O1971" s="1"/>
      <c r="AQ1971" s="1"/>
      <c r="AR1971" s="1"/>
      <c r="AS1971" s="1"/>
    </row>
    <row r="1972" spans="1:45" x14ac:dyDescent="0.25">
      <c r="A1972" t="s">
        <v>5451</v>
      </c>
      <c r="B1972" t="s">
        <v>5465</v>
      </c>
      <c r="C1972" s="1" t="s">
        <v>5466</v>
      </c>
      <c r="D1972" t="s">
        <v>5467</v>
      </c>
      <c r="E1972" t="str">
        <f>_xll.BDP($B1972,"LEGAL_ENTITY_IDENTIFIER")</f>
        <v>YF6ZV0M6AU4FY94MK914</v>
      </c>
      <c r="F1972" t="s">
        <v>5467</v>
      </c>
      <c r="G1972" t="str">
        <f>custodian!D1972</f>
        <v>668771108</v>
      </c>
      <c r="H1972" t="str">
        <f>_xll.BDP($B1972,"ID_ISIN")</f>
        <v>US6687711084</v>
      </c>
      <c r="I1972" s="1" t="s">
        <v>5466</v>
      </c>
      <c r="J1972" t="str">
        <f>_xll.BDP($B1972,"CNTRY_OF_DOMICILE")</f>
        <v>US</v>
      </c>
      <c r="K1972" t="s">
        <v>98</v>
      </c>
      <c r="L1972" t="s">
        <v>99</v>
      </c>
      <c r="O1972" s="1"/>
      <c r="AQ1972" s="1"/>
      <c r="AR1972" s="1"/>
      <c r="AS1972" s="1"/>
    </row>
    <row r="1973" spans="1:45" x14ac:dyDescent="0.25">
      <c r="A1973" t="s">
        <v>5451</v>
      </c>
      <c r="B1973" t="s">
        <v>313</v>
      </c>
      <c r="C1973" s="1" t="s">
        <v>314</v>
      </c>
      <c r="D1973" t="s">
        <v>315</v>
      </c>
      <c r="E1973" t="str">
        <f>_xll.BDP($B1973,"LEGAL_ENTITY_IDENTIFIER")</f>
        <v>5493007DY18BGNLDWU14</v>
      </c>
      <c r="F1973" t="s">
        <v>315</v>
      </c>
      <c r="G1973" t="str">
        <f>custodian!D1973</f>
        <v>18915M107</v>
      </c>
      <c r="H1973" t="str">
        <f>_xll.BDP($B1973,"ID_ISIN")</f>
        <v>US18915M1071</v>
      </c>
      <c r="I1973" s="1" t="s">
        <v>314</v>
      </c>
      <c r="J1973" t="str">
        <f>_xll.BDP($B1973,"CNTRY_OF_DOMICILE")</f>
        <v>US</v>
      </c>
      <c r="K1973" t="s">
        <v>98</v>
      </c>
      <c r="L1973" t="s">
        <v>99</v>
      </c>
      <c r="O1973" s="1"/>
      <c r="AQ1973" s="1"/>
      <c r="AR1973" s="1"/>
      <c r="AS1973" s="1"/>
    </row>
    <row r="1974" spans="1:45" x14ac:dyDescent="0.25">
      <c r="A1974" t="s">
        <v>5451</v>
      </c>
      <c r="B1974" t="s">
        <v>5468</v>
      </c>
      <c r="C1974" s="1" t="s">
        <v>5469</v>
      </c>
      <c r="D1974" t="s">
        <v>5470</v>
      </c>
      <c r="E1974" t="str">
        <f>_xll.BDP($B1974,"LEGAL_ENTITY_IDENTIFIER")</f>
        <v>254900CS525VJG6KO570</v>
      </c>
      <c r="F1974" t="s">
        <v>5470</v>
      </c>
      <c r="G1974" t="str">
        <f>custodian!D1974</f>
        <v>64119N608</v>
      </c>
      <c r="H1974" t="str">
        <f>_xll.BDP($B1974,"ID_ISIN")</f>
        <v>US64119N6085</v>
      </c>
      <c r="I1974" s="1" t="s">
        <v>5469</v>
      </c>
      <c r="J1974" t="str">
        <f>_xll.BDP($B1974,"CNTRY_OF_DOMICILE")</f>
        <v>US</v>
      </c>
      <c r="K1974" t="s">
        <v>98</v>
      </c>
      <c r="L1974" t="s">
        <v>99</v>
      </c>
      <c r="O1974" s="1"/>
      <c r="AQ1974" s="1"/>
      <c r="AR1974" s="1"/>
      <c r="AS1974" s="1"/>
    </row>
    <row r="1975" spans="1:45" x14ac:dyDescent="0.25">
      <c r="A1975" t="s">
        <v>5451</v>
      </c>
      <c r="B1975" t="s">
        <v>325</v>
      </c>
      <c r="C1975" s="1" t="s">
        <v>326</v>
      </c>
      <c r="D1975" t="s">
        <v>327</v>
      </c>
      <c r="E1975" t="str">
        <f>_xll.BDP($B1975,"LEGAL_ENTITY_IDENTIFIER")</f>
        <v>549300N8J06I8MRHU620</v>
      </c>
      <c r="F1975" t="s">
        <v>327</v>
      </c>
      <c r="G1975" t="str">
        <f>custodian!D1975</f>
        <v>679295105</v>
      </c>
      <c r="H1975" t="str">
        <f>_xll.BDP($B1975,"ID_ISIN")</f>
        <v>US6792951054</v>
      </c>
      <c r="I1975" s="1" t="s">
        <v>326</v>
      </c>
      <c r="J1975" t="str">
        <f>_xll.BDP($B1975,"CNTRY_OF_DOMICILE")</f>
        <v>US</v>
      </c>
      <c r="K1975" t="s">
        <v>98</v>
      </c>
      <c r="L1975" t="s">
        <v>99</v>
      </c>
      <c r="O1975" s="1"/>
      <c r="AQ1975" s="1"/>
      <c r="AR1975" s="1"/>
      <c r="AS1975" s="1"/>
    </row>
    <row r="1976" spans="1:45" x14ac:dyDescent="0.25">
      <c r="A1976" t="s">
        <v>5451</v>
      </c>
      <c r="B1976" t="s">
        <v>4285</v>
      </c>
      <c r="C1976" s="1" t="s">
        <v>4286</v>
      </c>
      <c r="D1976" t="s">
        <v>4287</v>
      </c>
      <c r="E1976" t="str">
        <f>_xll.BDP($B1976,"LEGAL_ENTITY_IDENTIFIER")</f>
        <v>984500E502E6DC354D26</v>
      </c>
      <c r="F1976" t="s">
        <v>4287</v>
      </c>
      <c r="G1976" t="str">
        <f>custodian!D1976</f>
        <v>68287N100</v>
      </c>
      <c r="H1976" t="str">
        <f>_xll.BDP($B1976,"ID_ISIN")</f>
        <v>US68287N1000</v>
      </c>
      <c r="I1976" s="1" t="s">
        <v>4286</v>
      </c>
      <c r="J1976" t="str">
        <f>_xll.BDP($B1976,"CNTRY_OF_DOMICILE")</f>
        <v>US</v>
      </c>
      <c r="K1976" t="s">
        <v>98</v>
      </c>
      <c r="L1976" t="s">
        <v>99</v>
      </c>
      <c r="O1976" s="1"/>
      <c r="AQ1976" s="1"/>
      <c r="AR1976" s="1"/>
      <c r="AS1976" s="1"/>
    </row>
    <row r="1977" spans="1:45" x14ac:dyDescent="0.25">
      <c r="A1977" t="s">
        <v>5451</v>
      </c>
      <c r="B1977" t="s">
        <v>328</v>
      </c>
      <c r="C1977" s="1" t="s">
        <v>329</v>
      </c>
      <c r="D1977" t="s">
        <v>330</v>
      </c>
      <c r="E1977" t="str">
        <f>_xll.BDP($B1977,"LEGAL_ENTITY_IDENTIFIER")</f>
        <v>549300QXR2YVZV231H43</v>
      </c>
      <c r="F1977" t="s">
        <v>330</v>
      </c>
      <c r="G1977" t="str">
        <f>custodian!D1977</f>
        <v>697435105</v>
      </c>
      <c r="H1977" t="str">
        <f>_xll.BDP($B1977,"ID_ISIN")</f>
        <v>US6974351057</v>
      </c>
      <c r="I1977" s="1" t="s">
        <v>329</v>
      </c>
      <c r="J1977" t="str">
        <f>_xll.BDP($B1977,"CNTRY_OF_DOMICILE")</f>
        <v>US</v>
      </c>
      <c r="K1977" t="s">
        <v>98</v>
      </c>
      <c r="L1977" t="s">
        <v>99</v>
      </c>
      <c r="O1977" s="1"/>
      <c r="AQ1977" s="1"/>
      <c r="AR1977" s="1"/>
      <c r="AS1977" s="1"/>
    </row>
    <row r="1978" spans="1:45" x14ac:dyDescent="0.25">
      <c r="A1978" t="s">
        <v>5451</v>
      </c>
      <c r="B1978" t="s">
        <v>5471</v>
      </c>
      <c r="C1978" s="1" t="s">
        <v>5472</v>
      </c>
      <c r="D1978" t="s">
        <v>5473</v>
      </c>
      <c r="E1978" t="str">
        <f>_xll.BDP($B1978,"LEGAL_ENTITY_IDENTIFIER")</f>
        <v>549300EMBXYOW9W1XA17</v>
      </c>
      <c r="F1978" t="s">
        <v>5473</v>
      </c>
      <c r="G1978" t="str">
        <f>custodian!D1978</f>
        <v>74758T303</v>
      </c>
      <c r="H1978" t="str">
        <f>_xll.BDP($B1978,"ID_ISIN")</f>
        <v>US74758T3032</v>
      </c>
      <c r="I1978" s="1" t="s">
        <v>5472</v>
      </c>
      <c r="J1978" t="str">
        <f>_xll.BDP($B1978,"CNTRY_OF_DOMICILE")</f>
        <v>US</v>
      </c>
      <c r="K1978" t="s">
        <v>98</v>
      </c>
      <c r="L1978" t="s">
        <v>99</v>
      </c>
      <c r="O1978" s="1"/>
      <c r="AQ1978" s="1"/>
      <c r="AR1978" s="1"/>
      <c r="AS1978" s="1"/>
    </row>
    <row r="1979" spans="1:45" x14ac:dyDescent="0.25">
      <c r="A1979" t="s">
        <v>5451</v>
      </c>
      <c r="B1979" t="s">
        <v>5474</v>
      </c>
      <c r="C1979" s="1" t="s">
        <v>5475</v>
      </c>
      <c r="D1979" t="s">
        <v>5476</v>
      </c>
      <c r="E1979" t="str">
        <f>_xll.BDP($B1979,"LEGAL_ENTITY_IDENTIFIER")</f>
        <v>254900TRGK2WTBYMYU27</v>
      </c>
      <c r="F1979" t="s">
        <v>5476</v>
      </c>
      <c r="G1979" t="str">
        <f>custodian!D1979</f>
        <v>781154109</v>
      </c>
      <c r="H1979" t="str">
        <f>_xll.BDP($B1979,"ID_ISIN")</f>
        <v>US7811541090</v>
      </c>
      <c r="I1979" s="1" t="s">
        <v>5475</v>
      </c>
      <c r="J1979" t="str">
        <f>_xll.BDP($B1979,"CNTRY_OF_DOMICILE")</f>
        <v>US</v>
      </c>
      <c r="K1979" t="s">
        <v>98</v>
      </c>
      <c r="L1979" t="s">
        <v>99</v>
      </c>
      <c r="O1979" s="1"/>
      <c r="AQ1979" s="1"/>
      <c r="AR1979" s="1"/>
      <c r="AS1979" s="1"/>
    </row>
    <row r="1980" spans="1:45" x14ac:dyDescent="0.25">
      <c r="A1980" t="s">
        <v>5451</v>
      </c>
      <c r="B1980" t="s">
        <v>5477</v>
      </c>
      <c r="C1980" s="1" t="s">
        <v>5478</v>
      </c>
      <c r="D1980" t="s">
        <v>5479</v>
      </c>
      <c r="E1980" t="str">
        <f>_xll.BDP($B1980,"LEGAL_ENTITY_IDENTIFIER")</f>
        <v>254900LYRZOTBQ99ZG59</v>
      </c>
      <c r="F1980" t="s">
        <v>5479</v>
      </c>
      <c r="G1980" t="str">
        <f>custodian!D1980</f>
        <v>M81873107</v>
      </c>
      <c r="H1980" t="str">
        <f>_xll.BDP($B1980,"ID_ISIN")</f>
        <v>IL0010834765</v>
      </c>
      <c r="I1980" s="1" t="s">
        <v>5478</v>
      </c>
      <c r="J1980" t="str">
        <f>_xll.BDP($B1980,"CNTRY_OF_DOMICILE")</f>
        <v>IL</v>
      </c>
      <c r="K1980" t="s">
        <v>98</v>
      </c>
      <c r="L1980" t="s">
        <v>99</v>
      </c>
      <c r="O1980" s="1"/>
      <c r="AQ1980" s="1"/>
      <c r="AR1980" s="1"/>
      <c r="AS1980" s="1"/>
    </row>
    <row r="1981" spans="1:45" x14ac:dyDescent="0.25">
      <c r="A1981" t="s">
        <v>5451</v>
      </c>
      <c r="B1981" t="s">
        <v>5480</v>
      </c>
      <c r="C1981" s="1" t="s">
        <v>5481</v>
      </c>
      <c r="D1981" t="s">
        <v>5482</v>
      </c>
      <c r="E1981" t="str">
        <f>_xll.BDP($B1981,"LEGAL_ENTITY_IDENTIFIER")</f>
        <v>549300GNVG5D60KEYN14</v>
      </c>
      <c r="F1981" t="s">
        <v>5482</v>
      </c>
      <c r="G1981" t="str">
        <f>custodian!D1981</f>
        <v>753422104</v>
      </c>
      <c r="H1981" t="str">
        <f>_xll.BDP($B1981,"ID_ISIN")</f>
        <v>US7534221046</v>
      </c>
      <c r="I1981" s="1" t="s">
        <v>5481</v>
      </c>
      <c r="J1981" t="str">
        <f>_xll.BDP($B1981,"CNTRY_OF_DOMICILE")</f>
        <v>US</v>
      </c>
      <c r="K1981" t="s">
        <v>98</v>
      </c>
      <c r="L1981" t="s">
        <v>99</v>
      </c>
      <c r="O1981" s="1"/>
      <c r="AQ1981" s="1"/>
      <c r="AR1981" s="1"/>
      <c r="AS1981" s="1"/>
    </row>
    <row r="1982" spans="1:45" x14ac:dyDescent="0.25">
      <c r="A1982" t="s">
        <v>5451</v>
      </c>
      <c r="B1982" t="s">
        <v>3542</v>
      </c>
      <c r="C1982" s="1" t="s">
        <v>3543</v>
      </c>
      <c r="D1982" t="s">
        <v>3544</v>
      </c>
      <c r="E1982" t="str">
        <f>_xll.BDP($B1982,"LEGAL_ENTITY_IDENTIFIER")</f>
        <v>529900IRT8OM8CEOPC03</v>
      </c>
      <c r="F1982" t="s">
        <v>3544</v>
      </c>
      <c r="G1982" t="str">
        <f>custodian!D1982</f>
        <v>78781J109</v>
      </c>
      <c r="H1982" t="str">
        <f>_xll.BDP($B1982,"ID_ISIN")</f>
        <v>US78781J1097</v>
      </c>
      <c r="I1982" s="1" t="s">
        <v>3543</v>
      </c>
      <c r="J1982" t="str">
        <f>_xll.BDP($B1982,"CNTRY_OF_DOMICILE")</f>
        <v>US</v>
      </c>
      <c r="K1982" t="s">
        <v>98</v>
      </c>
      <c r="L1982" t="s">
        <v>99</v>
      </c>
      <c r="O1982" s="1"/>
      <c r="AQ1982" s="1"/>
      <c r="AR1982" s="1"/>
      <c r="AS1982" s="1"/>
    </row>
    <row r="1983" spans="1:45" x14ac:dyDescent="0.25">
      <c r="A1983" t="s">
        <v>5451</v>
      </c>
      <c r="B1983" t="s">
        <v>5483</v>
      </c>
      <c r="C1983" s="1" t="s">
        <v>5484</v>
      </c>
      <c r="D1983" t="s">
        <v>5485</v>
      </c>
      <c r="E1983" t="str">
        <f>_xll.BDP($B1983,"LEGAL_ENTITY_IDENTIFIER")</f>
        <v>5493004S5OMPESF0EF83</v>
      </c>
      <c r="F1983" t="s">
        <v>5485</v>
      </c>
      <c r="G1983" t="str">
        <f>custodian!D1983</f>
        <v>88025T102</v>
      </c>
      <c r="H1983" t="str">
        <f>_xll.BDP($B1983,"ID_ISIN")</f>
        <v>US88025T1025</v>
      </c>
      <c r="I1983" s="1" t="s">
        <v>5484</v>
      </c>
      <c r="J1983" t="str">
        <f>_xll.BDP($B1983,"CNTRY_OF_DOMICILE")</f>
        <v>US</v>
      </c>
      <c r="K1983" t="s">
        <v>98</v>
      </c>
      <c r="L1983" t="s">
        <v>99</v>
      </c>
      <c r="O1983" s="1"/>
      <c r="AQ1983" s="1"/>
      <c r="AR1983" s="1"/>
      <c r="AS1983" s="1"/>
    </row>
    <row r="1984" spans="1:45" x14ac:dyDescent="0.25">
      <c r="A1984" t="s">
        <v>5451</v>
      </c>
      <c r="B1984" t="s">
        <v>5486</v>
      </c>
      <c r="C1984" s="1" t="s">
        <v>5487</v>
      </c>
      <c r="D1984" t="s">
        <v>5488</v>
      </c>
      <c r="E1984" t="str">
        <f>_xll.BDP($B1984,"LEGAL_ENTITY_IDENTIFIER")</f>
        <v>#N/A N/A</v>
      </c>
      <c r="F1984" t="s">
        <v>5488</v>
      </c>
      <c r="G1984" t="str">
        <f>custodian!D1984</f>
        <v>87969B101</v>
      </c>
      <c r="H1984" t="str">
        <f>_xll.BDP($B1984,"ID_ISIN")</f>
        <v>US87969B1017</v>
      </c>
      <c r="I1984" s="1" t="s">
        <v>5487</v>
      </c>
      <c r="J1984" t="str">
        <f>_xll.BDP($B1984,"CNTRY_OF_DOMICILE")</f>
        <v>US</v>
      </c>
      <c r="K1984" t="s">
        <v>98</v>
      </c>
      <c r="L1984" t="s">
        <v>99</v>
      </c>
      <c r="O1984" s="1"/>
      <c r="AQ1984" s="1"/>
      <c r="AR1984" s="1"/>
      <c r="AS1984" s="1"/>
    </row>
    <row r="1985" spans="1:45" x14ac:dyDescent="0.25">
      <c r="A1985" t="s">
        <v>5451</v>
      </c>
      <c r="B1985" t="s">
        <v>3548</v>
      </c>
      <c r="C1985" s="1" t="s">
        <v>3549</v>
      </c>
      <c r="D1985" t="s">
        <v>3550</v>
      </c>
      <c r="E1985" t="str">
        <f>_xll.BDP($B1985,"LEGAL_ENTITY_IDENTIFIER")</f>
        <v>549300SHIVNRRH7STS26</v>
      </c>
      <c r="F1985" t="s">
        <v>3550</v>
      </c>
      <c r="G1985" t="str">
        <f>custodian!D1985</f>
        <v>922280102</v>
      </c>
      <c r="H1985" t="str">
        <f>_xll.BDP($B1985,"ID_ISIN")</f>
        <v>US9222801022</v>
      </c>
      <c r="I1985" s="1" t="s">
        <v>3549</v>
      </c>
      <c r="J1985" t="str">
        <f>_xll.BDP($B1985,"CNTRY_OF_DOMICILE")</f>
        <v>US</v>
      </c>
      <c r="K1985" t="s">
        <v>98</v>
      </c>
      <c r="L1985" t="s">
        <v>99</v>
      </c>
      <c r="O1985" s="1"/>
      <c r="AQ1985" s="1"/>
      <c r="AR1985" s="1"/>
      <c r="AS1985" s="1"/>
    </row>
    <row r="1986" spans="1:45" x14ac:dyDescent="0.25">
      <c r="A1986" t="s">
        <v>5451</v>
      </c>
      <c r="B1986" t="s">
        <v>392</v>
      </c>
      <c r="C1986" s="1" t="s">
        <v>393</v>
      </c>
      <c r="D1986" t="s">
        <v>394</v>
      </c>
      <c r="E1986" t="str">
        <f>_xll.BDP($B1986,"LEGAL_ENTITY_IDENTIFIER")</f>
        <v>529900MZ0RTK1BWRNF46</v>
      </c>
      <c r="F1986" t="s">
        <v>394</v>
      </c>
      <c r="G1986" t="str">
        <f>custodian!D1986</f>
        <v>98980G102</v>
      </c>
      <c r="H1986" t="str">
        <f>_xll.BDP($B1986,"ID_ISIN")</f>
        <v>US98980G1022</v>
      </c>
      <c r="I1986" s="1" t="s">
        <v>393</v>
      </c>
      <c r="J1986" t="str">
        <f>_xll.BDP($B1986,"CNTRY_OF_DOMICILE")</f>
        <v>US</v>
      </c>
      <c r="K1986" t="s">
        <v>98</v>
      </c>
      <c r="L1986" t="s">
        <v>99</v>
      </c>
      <c r="O1986" s="1"/>
      <c r="AQ1986" s="1"/>
      <c r="AR1986" s="1"/>
      <c r="AS1986" s="1"/>
    </row>
    <row r="1987" spans="1:45" x14ac:dyDescent="0.25">
      <c r="A1987" t="s">
        <v>5451</v>
      </c>
      <c r="C1987" s="1" t="s">
        <v>52</v>
      </c>
      <c r="E1987" s="1"/>
      <c r="G1987" t="str">
        <f>custodian!D1987</f>
        <v>Cash&amp;Other</v>
      </c>
      <c r="H1987" s="1"/>
      <c r="I1987" s="1"/>
      <c r="O1987" s="1"/>
      <c r="AQ1987" s="1"/>
      <c r="AR1987" s="1"/>
      <c r="AS1987" s="1"/>
    </row>
    <row r="1988" spans="1:45" x14ac:dyDescent="0.25">
      <c r="A1988" t="s">
        <v>5489</v>
      </c>
      <c r="B1988" t="s">
        <v>5490</v>
      </c>
      <c r="C1988" s="1" t="s">
        <v>5491</v>
      </c>
      <c r="D1988" t="s">
        <v>56</v>
      </c>
      <c r="E1988" s="1" t="s">
        <v>56</v>
      </c>
      <c r="F1988" t="s">
        <v>5492</v>
      </c>
      <c r="G1988" t="str">
        <f>custodian!D1988</f>
        <v>500767363-TRS-07/05/27-L-MREX</v>
      </c>
      <c r="H1988" s="1"/>
      <c r="I1988" s="1" t="s">
        <v>5491</v>
      </c>
      <c r="J1988" t="s">
        <v>58</v>
      </c>
      <c r="K1988" t="s">
        <v>59</v>
      </c>
      <c r="L1988" t="s">
        <v>60</v>
      </c>
      <c r="M1988" t="s">
        <v>61</v>
      </c>
      <c r="N1988" t="s">
        <v>87</v>
      </c>
      <c r="O1988" s="1" t="s">
        <v>88</v>
      </c>
      <c r="V1988" t="s">
        <v>64</v>
      </c>
      <c r="Y1988" t="s">
        <v>65</v>
      </c>
      <c r="Z1988" t="s">
        <v>4395</v>
      </c>
      <c r="AA1988" t="s">
        <v>5493</v>
      </c>
      <c r="AB1988" t="s">
        <v>68</v>
      </c>
      <c r="AD1988" t="s">
        <v>5493</v>
      </c>
      <c r="AE1988" t="s">
        <v>5494</v>
      </c>
      <c r="AF1988" t="s">
        <v>70</v>
      </c>
      <c r="AG1988" t="s">
        <v>5495</v>
      </c>
      <c r="AH1988" t="s">
        <v>72</v>
      </c>
      <c r="AI1988" t="s">
        <v>73</v>
      </c>
      <c r="AK1988" t="s">
        <v>5493</v>
      </c>
      <c r="AL1988" t="s">
        <v>68</v>
      </c>
      <c r="AM1988" t="s">
        <v>74</v>
      </c>
      <c r="AN1988" t="s">
        <v>75</v>
      </c>
      <c r="AO1988" t="str">
        <f>_xll.BDP($B1988,"ISSUER")</f>
        <v>KraneShares Public-Private AI</v>
      </c>
      <c r="AP1988" t="str">
        <f>_xll.BDP($B1988,"NAME")</f>
        <v>KRANESHARES PUBLIC-PRIVATE A</v>
      </c>
      <c r="AQ1988" s="1" t="s">
        <v>5496</v>
      </c>
      <c r="AR1988" t="str">
        <f>_xll.BDP($B1988,"ID_ISIN")</f>
        <v>US5007673636</v>
      </c>
      <c r="AS1988" t="str">
        <f>_xll.BDP($B1988,"TICKER")</f>
        <v>AGIX</v>
      </c>
    </row>
    <row r="1989" spans="1:45" x14ac:dyDescent="0.25">
      <c r="A1989" t="s">
        <v>5489</v>
      </c>
      <c r="B1989" t="s">
        <v>77</v>
      </c>
      <c r="C1989" s="1" t="s">
        <v>78</v>
      </c>
      <c r="D1989" t="s">
        <v>79</v>
      </c>
      <c r="E1989" t="str">
        <f>_xll.BDP($B1989,"LEGAL_ENTITY_IDENTIFIER")</f>
        <v>549300R5MYM6VZF1RM44</v>
      </c>
      <c r="F1989" t="s">
        <v>80</v>
      </c>
      <c r="G1989" t="str">
        <f>custodian!D1989</f>
        <v>31846V336</v>
      </c>
      <c r="H1989" t="str">
        <f>_xll.BDP($B1989,"ID_ISIN")</f>
        <v>US31846V3362</v>
      </c>
      <c r="I1989" s="1" t="s">
        <v>78</v>
      </c>
      <c r="J1989" t="str">
        <f>_xll.BDP($B1989,"CNTRY_OF_DOMICILE")</f>
        <v>US</v>
      </c>
      <c r="K1989" t="s">
        <v>81</v>
      </c>
      <c r="L1989" t="s">
        <v>82</v>
      </c>
      <c r="O1989" s="1"/>
      <c r="AQ1989" s="1"/>
      <c r="AR1989" s="1"/>
      <c r="AS1989" s="1"/>
    </row>
    <row r="1990" spans="1:45" x14ac:dyDescent="0.25">
      <c r="A1990" t="s">
        <v>5489</v>
      </c>
      <c r="C1990" s="1" t="s">
        <v>52</v>
      </c>
      <c r="E1990" s="1"/>
      <c r="G1990" t="str">
        <f>custodian!D1990</f>
        <v>Cash&amp;Other</v>
      </c>
      <c r="H1990" s="1"/>
      <c r="I1990" s="1"/>
      <c r="O1990" s="1"/>
      <c r="AQ1990" s="1"/>
      <c r="AR1990" s="1"/>
      <c r="AS1990" s="1"/>
    </row>
    <row r="1991" spans="1:45" x14ac:dyDescent="0.25">
      <c r="A1991" t="s">
        <v>5497</v>
      </c>
      <c r="B1991" t="s">
        <v>5498</v>
      </c>
      <c r="C1991" s="1" t="s">
        <v>5499</v>
      </c>
      <c r="D1991" t="s">
        <v>56</v>
      </c>
      <c r="E1991" s="1" t="s">
        <v>56</v>
      </c>
      <c r="F1991" t="s">
        <v>5500</v>
      </c>
      <c r="G1991" t="str">
        <f>custodian!D1991</f>
        <v>78464A870-TRS-12/01/27-L-CANT</v>
      </c>
      <c r="H1991" s="1"/>
      <c r="I1991" s="1" t="s">
        <v>5499</v>
      </c>
      <c r="J1991" t="s">
        <v>58</v>
      </c>
      <c r="K1991" t="s">
        <v>59</v>
      </c>
      <c r="L1991" t="s">
        <v>60</v>
      </c>
      <c r="M1991" t="s">
        <v>61</v>
      </c>
      <c r="N1991" t="s">
        <v>62</v>
      </c>
      <c r="O1991" s="1" t="s">
        <v>63</v>
      </c>
      <c r="V1991" t="s">
        <v>64</v>
      </c>
      <c r="Y1991" t="s">
        <v>65</v>
      </c>
      <c r="Z1991" t="s">
        <v>66</v>
      </c>
      <c r="AA1991" t="s">
        <v>5501</v>
      </c>
      <c r="AB1991" t="s">
        <v>68</v>
      </c>
      <c r="AD1991" t="s">
        <v>5501</v>
      </c>
      <c r="AE1991" t="s">
        <v>5502</v>
      </c>
      <c r="AF1991" t="s">
        <v>70</v>
      </c>
      <c r="AG1991" t="s">
        <v>5503</v>
      </c>
      <c r="AH1991" t="s">
        <v>72</v>
      </c>
      <c r="AI1991" t="s">
        <v>73</v>
      </c>
      <c r="AK1991" t="s">
        <v>5501</v>
      </c>
      <c r="AL1991" t="s">
        <v>68</v>
      </c>
      <c r="AM1991" t="s">
        <v>74</v>
      </c>
      <c r="AN1991" t="s">
        <v>75</v>
      </c>
      <c r="AO1991" t="str">
        <f>_xll.BDP($B1991,"ISSUER")</f>
        <v>State Street SPDR S&amp;P Biotech</v>
      </c>
      <c r="AP1991" t="str">
        <f>_xll.BDP($B1991,"NAME")</f>
        <v>SS SPDR S&amp;P BIOTECH ETF</v>
      </c>
      <c r="AQ1991" s="1" t="s">
        <v>5504</v>
      </c>
      <c r="AR1991" t="str">
        <f>_xll.BDP($B1991,"ID_ISIN")</f>
        <v>US78464A8707</v>
      </c>
      <c r="AS1991" t="str">
        <f>_xll.BDP($B1991,"TICKER")</f>
        <v>XBI</v>
      </c>
    </row>
    <row r="1992" spans="1:45" x14ac:dyDescent="0.25">
      <c r="A1992" t="s">
        <v>5497</v>
      </c>
      <c r="B1992" t="s">
        <v>77</v>
      </c>
      <c r="C1992" s="1" t="s">
        <v>78</v>
      </c>
      <c r="D1992" t="s">
        <v>79</v>
      </c>
      <c r="E1992" t="str">
        <f>_xll.BDP($B1992,"LEGAL_ENTITY_IDENTIFIER")</f>
        <v>549300R5MYM6VZF1RM44</v>
      </c>
      <c r="F1992" t="s">
        <v>80</v>
      </c>
      <c r="G1992" t="str">
        <f>custodian!D1992</f>
        <v>31846V336</v>
      </c>
      <c r="H1992" t="str">
        <f>_xll.BDP($B1992,"ID_ISIN")</f>
        <v>US31846V3362</v>
      </c>
      <c r="I1992" s="1" t="s">
        <v>78</v>
      </c>
      <c r="J1992" t="str">
        <f>_xll.BDP($B1992,"CNTRY_OF_DOMICILE")</f>
        <v>US</v>
      </c>
      <c r="K1992" t="s">
        <v>81</v>
      </c>
      <c r="L1992" t="s">
        <v>82</v>
      </c>
      <c r="O1992" s="1"/>
      <c r="AQ1992" s="1"/>
      <c r="AR1992" s="1"/>
      <c r="AS1992" s="1"/>
    </row>
    <row r="1993" spans="1:45" x14ac:dyDescent="0.25">
      <c r="A1993" t="s">
        <v>5497</v>
      </c>
      <c r="C1993" s="1" t="s">
        <v>52</v>
      </c>
      <c r="E1993" s="1"/>
      <c r="G1993" t="str">
        <f>custodian!D1993</f>
        <v>Cash&amp;Other</v>
      </c>
      <c r="H1993" s="1"/>
      <c r="I1993" s="1"/>
      <c r="O1993" s="1"/>
      <c r="AQ1993" s="1"/>
      <c r="AR1993" s="1"/>
      <c r="AS1993" s="1"/>
    </row>
    <row r="1994" spans="1:45" x14ac:dyDescent="0.25">
      <c r="A1994" t="s">
        <v>5505</v>
      </c>
      <c r="B1994" t="s">
        <v>5506</v>
      </c>
      <c r="C1994" s="1" t="s">
        <v>5507</v>
      </c>
      <c r="D1994" t="s">
        <v>56</v>
      </c>
      <c r="E1994" s="1" t="s">
        <v>56</v>
      </c>
      <c r="F1994" t="s">
        <v>5508</v>
      </c>
      <c r="G1994" t="str">
        <f>custodian!D1994</f>
        <v>46090F100-TRS-07/05/27-L-MREX</v>
      </c>
      <c r="H1994" s="1"/>
      <c r="I1994" s="1" t="s">
        <v>5507</v>
      </c>
      <c r="J1994" t="s">
        <v>58</v>
      </c>
      <c r="K1994" t="s">
        <v>59</v>
      </c>
      <c r="L1994" t="s">
        <v>60</v>
      </c>
      <c r="M1994" t="s">
        <v>61</v>
      </c>
      <c r="N1994" t="s">
        <v>87</v>
      </c>
      <c r="O1994" s="1" t="s">
        <v>88</v>
      </c>
      <c r="V1994" t="s">
        <v>64</v>
      </c>
      <c r="Y1994" t="s">
        <v>65</v>
      </c>
      <c r="Z1994" t="s">
        <v>4395</v>
      </c>
      <c r="AA1994" t="s">
        <v>5509</v>
      </c>
      <c r="AB1994" t="s">
        <v>68</v>
      </c>
      <c r="AD1994" t="s">
        <v>5509</v>
      </c>
      <c r="AE1994" t="s">
        <v>5510</v>
      </c>
      <c r="AF1994" t="s">
        <v>70</v>
      </c>
      <c r="AG1994" t="s">
        <v>5511</v>
      </c>
      <c r="AH1994" t="s">
        <v>72</v>
      </c>
      <c r="AI1994" t="s">
        <v>73</v>
      </c>
      <c r="AK1994" t="s">
        <v>5509</v>
      </c>
      <c r="AL1994" t="s">
        <v>68</v>
      </c>
      <c r="AM1994" t="s">
        <v>74</v>
      </c>
      <c r="AN1994" t="s">
        <v>75</v>
      </c>
      <c r="AO1994" t="str">
        <f>_xll.BDP($B1994,"ISSUER")</f>
        <v>Invesco Optimum Yield Diversif</v>
      </c>
      <c r="AP1994" t="str">
        <f>_xll.BDP($B1994,"NAME")</f>
        <v>INVESCO OPTIMUM YIELD DIVERS</v>
      </c>
      <c r="AQ1994" s="1" t="s">
        <v>5512</v>
      </c>
      <c r="AR1994" t="str">
        <f>_xll.BDP($B1994,"ID_ISIN")</f>
        <v>US46090F1003</v>
      </c>
      <c r="AS1994" t="str">
        <f>_xll.BDP($B1994,"TICKER")</f>
        <v>PDBC</v>
      </c>
    </row>
    <row r="1995" spans="1:45" x14ac:dyDescent="0.25">
      <c r="A1995" t="s">
        <v>5505</v>
      </c>
      <c r="B1995" t="s">
        <v>77</v>
      </c>
      <c r="C1995" s="1" t="s">
        <v>78</v>
      </c>
      <c r="D1995" t="s">
        <v>79</v>
      </c>
      <c r="E1995" t="str">
        <f>_xll.BDP($B1995,"LEGAL_ENTITY_IDENTIFIER")</f>
        <v>549300R5MYM6VZF1RM44</v>
      </c>
      <c r="F1995" t="s">
        <v>80</v>
      </c>
      <c r="G1995" t="str">
        <f>custodian!D1995</f>
        <v>31846V336</v>
      </c>
      <c r="H1995" t="str">
        <f>_xll.BDP($B1995,"ID_ISIN")</f>
        <v>US31846V3362</v>
      </c>
      <c r="I1995" s="1" t="s">
        <v>78</v>
      </c>
      <c r="J1995" t="str">
        <f>_xll.BDP($B1995,"CNTRY_OF_DOMICILE")</f>
        <v>US</v>
      </c>
      <c r="K1995" t="s">
        <v>81</v>
      </c>
      <c r="L1995" t="s">
        <v>82</v>
      </c>
      <c r="O1995" s="1"/>
      <c r="AQ1995" s="1"/>
      <c r="AR1995" s="1"/>
      <c r="AS1995" s="1"/>
    </row>
    <row r="1996" spans="1:45" x14ac:dyDescent="0.25">
      <c r="A1996" t="s">
        <v>5505</v>
      </c>
      <c r="C1996" s="1" t="s">
        <v>52</v>
      </c>
      <c r="E1996" s="1"/>
      <c r="G1996" t="str">
        <f>custodian!D1996</f>
        <v>Cash&amp;Other</v>
      </c>
      <c r="H1996" s="1"/>
      <c r="I1996" s="1"/>
      <c r="O1996" s="1"/>
      <c r="AQ1996" s="1"/>
      <c r="AR1996" s="1"/>
      <c r="AS1996" s="1"/>
    </row>
    <row r="1997" spans="1:45" x14ac:dyDescent="0.25">
      <c r="A1997" t="s">
        <v>5513</v>
      </c>
      <c r="B1997" t="s">
        <v>5514</v>
      </c>
      <c r="C1997" s="1" t="s">
        <v>5515</v>
      </c>
      <c r="D1997" t="s">
        <v>56</v>
      </c>
      <c r="E1997" s="1" t="s">
        <v>56</v>
      </c>
      <c r="F1997" t="s">
        <v>5516</v>
      </c>
      <c r="G1997" t="str">
        <f>custodian!D1997</f>
        <v>922042874-TRS-07/05/27-L-MREX</v>
      </c>
      <c r="H1997" s="1"/>
      <c r="I1997" s="1" t="s">
        <v>5515</v>
      </c>
      <c r="J1997" t="s">
        <v>58</v>
      </c>
      <c r="K1997" t="s">
        <v>59</v>
      </c>
      <c r="L1997" t="s">
        <v>60</v>
      </c>
      <c r="M1997" t="s">
        <v>61</v>
      </c>
      <c r="N1997" t="s">
        <v>87</v>
      </c>
      <c r="O1997" s="1" t="s">
        <v>88</v>
      </c>
      <c r="V1997" t="s">
        <v>64</v>
      </c>
      <c r="Y1997" t="s">
        <v>65</v>
      </c>
      <c r="Z1997" t="s">
        <v>4395</v>
      </c>
      <c r="AA1997" t="s">
        <v>5517</v>
      </c>
      <c r="AB1997" t="s">
        <v>68</v>
      </c>
      <c r="AD1997" t="s">
        <v>5517</v>
      </c>
      <c r="AE1997" t="s">
        <v>5518</v>
      </c>
      <c r="AF1997" t="s">
        <v>70</v>
      </c>
      <c r="AG1997" t="s">
        <v>5519</v>
      </c>
      <c r="AH1997" t="s">
        <v>72</v>
      </c>
      <c r="AI1997" t="s">
        <v>73</v>
      </c>
      <c r="AK1997" t="s">
        <v>5517</v>
      </c>
      <c r="AL1997" t="s">
        <v>68</v>
      </c>
      <c r="AM1997" t="s">
        <v>74</v>
      </c>
      <c r="AN1997" t="s">
        <v>75</v>
      </c>
      <c r="AO1997" t="str">
        <f>_xll.BDP($B1997,"ISSUER")</f>
        <v>Vanguard FTSE Europe ETF</v>
      </c>
      <c r="AP1997" t="str">
        <f>_xll.BDP($B1997,"NAME")</f>
        <v>VANGUARD FTSE EUROPE ETF</v>
      </c>
      <c r="AQ1997" s="1" t="s">
        <v>5520</v>
      </c>
      <c r="AR1997" t="str">
        <f>_xll.BDP($B1997,"ID_ISIN")</f>
        <v>US9220428745</v>
      </c>
      <c r="AS1997" t="str">
        <f>_xll.BDP($B1997,"TICKER")</f>
        <v>VGK</v>
      </c>
    </row>
    <row r="1998" spans="1:45" x14ac:dyDescent="0.25">
      <c r="A1998" t="s">
        <v>5513</v>
      </c>
      <c r="B1998" t="s">
        <v>77</v>
      </c>
      <c r="C1998" s="1" t="s">
        <v>78</v>
      </c>
      <c r="D1998" t="s">
        <v>79</v>
      </c>
      <c r="E1998" t="str">
        <f>_xll.BDP($B1998,"LEGAL_ENTITY_IDENTIFIER")</f>
        <v>549300R5MYM6VZF1RM44</v>
      </c>
      <c r="F1998" t="s">
        <v>80</v>
      </c>
      <c r="G1998" t="str">
        <f>custodian!D1998</f>
        <v>31846V336</v>
      </c>
      <c r="H1998" t="str">
        <f>_xll.BDP($B1998,"ID_ISIN")</f>
        <v>US31846V3362</v>
      </c>
      <c r="I1998" s="1" t="s">
        <v>78</v>
      </c>
      <c r="J1998" t="str">
        <f>_xll.BDP($B1998,"CNTRY_OF_DOMICILE")</f>
        <v>US</v>
      </c>
      <c r="K1998" t="s">
        <v>81</v>
      </c>
      <c r="L1998" t="s">
        <v>82</v>
      </c>
      <c r="O1998" s="1"/>
      <c r="AQ1998" s="1"/>
      <c r="AR1998" s="1"/>
      <c r="AS1998" s="1"/>
    </row>
    <row r="1999" spans="1:45" x14ac:dyDescent="0.25">
      <c r="A1999" t="s">
        <v>5513</v>
      </c>
      <c r="C1999" s="1" t="s">
        <v>52</v>
      </c>
      <c r="E1999" s="1"/>
      <c r="G1999" t="str">
        <f>custodian!D1999</f>
        <v>Cash&amp;Other</v>
      </c>
      <c r="H1999" s="1"/>
      <c r="I1999" s="1"/>
      <c r="O1999" s="1"/>
      <c r="AQ1999" s="1"/>
      <c r="AR1999" s="1"/>
      <c r="AS1999" s="1"/>
    </row>
    <row r="2000" spans="1:45" x14ac:dyDescent="0.25">
      <c r="A2000" t="s">
        <v>5521</v>
      </c>
      <c r="B2000" t="s">
        <v>5522</v>
      </c>
      <c r="C2000" s="1" t="s">
        <v>5523</v>
      </c>
      <c r="D2000" t="s">
        <v>56</v>
      </c>
      <c r="E2000" s="1" t="s">
        <v>56</v>
      </c>
      <c r="F2000" t="s">
        <v>5524</v>
      </c>
      <c r="G2000" t="str">
        <f>custodian!D2000</f>
        <v>81369Y860-TRS-07/05/27-L-MREX</v>
      </c>
      <c r="H2000" s="1"/>
      <c r="I2000" s="1" t="s">
        <v>5523</v>
      </c>
      <c r="J2000" t="s">
        <v>58</v>
      </c>
      <c r="K2000" t="s">
        <v>59</v>
      </c>
      <c r="L2000" t="s">
        <v>60</v>
      </c>
      <c r="M2000" t="s">
        <v>61</v>
      </c>
      <c r="N2000" t="s">
        <v>87</v>
      </c>
      <c r="O2000" s="1" t="s">
        <v>88</v>
      </c>
      <c r="V2000" t="s">
        <v>64</v>
      </c>
      <c r="Y2000" t="s">
        <v>65</v>
      </c>
      <c r="Z2000" t="s">
        <v>4395</v>
      </c>
      <c r="AA2000" t="s">
        <v>5525</v>
      </c>
      <c r="AB2000" t="s">
        <v>68</v>
      </c>
      <c r="AD2000" t="s">
        <v>5525</v>
      </c>
      <c r="AE2000" t="s">
        <v>5526</v>
      </c>
      <c r="AF2000" t="s">
        <v>70</v>
      </c>
      <c r="AG2000" t="s">
        <v>5527</v>
      </c>
      <c r="AH2000" t="s">
        <v>72</v>
      </c>
      <c r="AI2000" t="s">
        <v>73</v>
      </c>
      <c r="AK2000" t="s">
        <v>5525</v>
      </c>
      <c r="AL2000" t="s">
        <v>68</v>
      </c>
      <c r="AM2000" t="s">
        <v>74</v>
      </c>
      <c r="AN2000" t="s">
        <v>75</v>
      </c>
      <c r="AO2000" t="str">
        <f>_xll.BDP($B2000,"ISSUER")</f>
        <v>State Street Real Estate Selec</v>
      </c>
      <c r="AP2000" t="str">
        <f>_xll.BDP($B2000,"NAME")</f>
        <v>SS REAL ESTATE SELECT SECTOR</v>
      </c>
      <c r="AQ2000" s="1" t="s">
        <v>5528</v>
      </c>
      <c r="AR2000" t="str">
        <f>_xll.BDP($B2000,"ID_ISIN")</f>
        <v>US81369Y8600</v>
      </c>
      <c r="AS2000" t="str">
        <f>_xll.BDP($B2000,"TICKER")</f>
        <v>XLRE</v>
      </c>
    </row>
    <row r="2001" spans="1:45" x14ac:dyDescent="0.25">
      <c r="A2001" t="s">
        <v>5521</v>
      </c>
      <c r="B2001" t="s">
        <v>77</v>
      </c>
      <c r="C2001" s="1" t="s">
        <v>78</v>
      </c>
      <c r="D2001" t="s">
        <v>79</v>
      </c>
      <c r="E2001" t="str">
        <f>_xll.BDP($B2001,"LEGAL_ENTITY_IDENTIFIER")</f>
        <v>549300R5MYM6VZF1RM44</v>
      </c>
      <c r="F2001" t="s">
        <v>80</v>
      </c>
      <c r="G2001" t="str">
        <f>custodian!D2001</f>
        <v>31846V336</v>
      </c>
      <c r="H2001" t="str">
        <f>_xll.BDP($B2001,"ID_ISIN")</f>
        <v>US31846V3362</v>
      </c>
      <c r="I2001" s="1" t="s">
        <v>78</v>
      </c>
      <c r="J2001" t="str">
        <f>_xll.BDP($B2001,"CNTRY_OF_DOMICILE")</f>
        <v>US</v>
      </c>
      <c r="K2001" t="s">
        <v>81</v>
      </c>
      <c r="L2001" t="s">
        <v>82</v>
      </c>
      <c r="O2001" s="1"/>
      <c r="AQ2001" s="1"/>
      <c r="AR2001" s="1"/>
      <c r="AS2001" s="1"/>
    </row>
    <row r="2002" spans="1:45" x14ac:dyDescent="0.25">
      <c r="A2002" t="s">
        <v>5521</v>
      </c>
      <c r="C2002" s="1" t="s">
        <v>52</v>
      </c>
      <c r="E2002" s="1"/>
      <c r="G2002" t="str">
        <f>custodian!D2002</f>
        <v>Cash&amp;Other</v>
      </c>
      <c r="H2002" s="1"/>
      <c r="I2002" s="1"/>
      <c r="O2002" s="1"/>
      <c r="AQ2002" s="1"/>
      <c r="AR2002" s="1"/>
      <c r="AS2002" s="1"/>
    </row>
    <row r="2003" spans="1:45" x14ac:dyDescent="0.25">
      <c r="A2003" t="s">
        <v>5529</v>
      </c>
      <c r="B2003" t="s">
        <v>5530</v>
      </c>
      <c r="C2003" s="1" t="s">
        <v>5531</v>
      </c>
      <c r="D2003" t="s">
        <v>56</v>
      </c>
      <c r="E2003" s="1" t="s">
        <v>56</v>
      </c>
      <c r="F2003" t="s">
        <v>5532</v>
      </c>
      <c r="G2003" t="str">
        <f>custodian!D2003</f>
        <v>464288869-TRS-07/05/27-L-MREX</v>
      </c>
      <c r="H2003" s="1"/>
      <c r="I2003" s="1" t="s">
        <v>5531</v>
      </c>
      <c r="J2003" t="s">
        <v>58</v>
      </c>
      <c r="K2003" t="s">
        <v>59</v>
      </c>
      <c r="L2003" t="s">
        <v>60</v>
      </c>
      <c r="M2003" t="s">
        <v>61</v>
      </c>
      <c r="N2003" t="s">
        <v>87</v>
      </c>
      <c r="O2003" s="1" t="s">
        <v>88</v>
      </c>
      <c r="V2003" t="s">
        <v>64</v>
      </c>
      <c r="Y2003" t="s">
        <v>65</v>
      </c>
      <c r="Z2003" t="s">
        <v>4395</v>
      </c>
      <c r="AA2003" t="s">
        <v>5533</v>
      </c>
      <c r="AB2003" t="s">
        <v>68</v>
      </c>
      <c r="AD2003" t="s">
        <v>5533</v>
      </c>
      <c r="AE2003" t="s">
        <v>5534</v>
      </c>
      <c r="AF2003" t="s">
        <v>70</v>
      </c>
      <c r="AG2003" t="s">
        <v>5535</v>
      </c>
      <c r="AH2003" t="s">
        <v>72</v>
      </c>
      <c r="AI2003" t="s">
        <v>73</v>
      </c>
      <c r="AK2003" t="s">
        <v>5533</v>
      </c>
      <c r="AL2003" t="s">
        <v>68</v>
      </c>
      <c r="AM2003" t="s">
        <v>74</v>
      </c>
      <c r="AN2003" t="s">
        <v>75</v>
      </c>
      <c r="AO2003" t="str">
        <f>_xll.BDP($B2003,"ISSUER")</f>
        <v>iShares Micro-Cap ETF</v>
      </c>
      <c r="AP2003" t="str">
        <f>_xll.BDP($B2003,"NAME")</f>
        <v>ISHARES MICRO-CAP ETF</v>
      </c>
      <c r="AQ2003" s="1" t="s">
        <v>5536</v>
      </c>
      <c r="AR2003" t="str">
        <f>_xll.BDP($B2003,"ID_ISIN")</f>
        <v>US4642888691</v>
      </c>
      <c r="AS2003" t="str">
        <f>_xll.BDP($B2003,"TICKER")</f>
        <v>IWC</v>
      </c>
    </row>
    <row r="2004" spans="1:45" x14ac:dyDescent="0.25">
      <c r="A2004" t="s">
        <v>5529</v>
      </c>
      <c r="B2004" t="s">
        <v>77</v>
      </c>
      <c r="C2004" s="1" t="s">
        <v>78</v>
      </c>
      <c r="D2004" t="s">
        <v>79</v>
      </c>
      <c r="E2004" t="str">
        <f>_xll.BDP($B2004,"LEGAL_ENTITY_IDENTIFIER")</f>
        <v>549300R5MYM6VZF1RM44</v>
      </c>
      <c r="F2004" t="s">
        <v>80</v>
      </c>
      <c r="G2004" t="str">
        <f>custodian!D2004</f>
        <v>31846V336</v>
      </c>
      <c r="H2004" t="str">
        <f>_xll.BDP($B2004,"ID_ISIN")</f>
        <v>US31846V3362</v>
      </c>
      <c r="I2004" s="1" t="s">
        <v>78</v>
      </c>
      <c r="J2004" t="str">
        <f>_xll.BDP($B2004,"CNTRY_OF_DOMICILE")</f>
        <v>US</v>
      </c>
      <c r="K2004" t="s">
        <v>81</v>
      </c>
      <c r="L2004" t="s">
        <v>82</v>
      </c>
      <c r="O2004" s="1"/>
      <c r="AQ2004" s="1"/>
      <c r="AR2004" s="1"/>
      <c r="AS2004" s="1"/>
    </row>
    <row r="2005" spans="1:45" x14ac:dyDescent="0.25">
      <c r="A2005" t="s">
        <v>5529</v>
      </c>
      <c r="C2005" s="1" t="s">
        <v>52</v>
      </c>
      <c r="E2005" s="1"/>
      <c r="G2005" t="str">
        <f>custodian!D2005</f>
        <v>Cash&amp;Other</v>
      </c>
      <c r="H2005" s="1"/>
      <c r="I2005" s="1"/>
      <c r="O2005" s="1"/>
      <c r="AQ2005" s="1"/>
      <c r="AR2005" s="1"/>
      <c r="AS2005" s="1"/>
    </row>
    <row r="2006" spans="1:45" x14ac:dyDescent="0.25">
      <c r="A2006" t="s">
        <v>5537</v>
      </c>
      <c r="B2006" t="s">
        <v>5538</v>
      </c>
      <c r="C2006" s="1" t="s">
        <v>5539</v>
      </c>
      <c r="D2006" t="s">
        <v>56</v>
      </c>
      <c r="E2006" s="1" t="s">
        <v>56</v>
      </c>
      <c r="F2006" t="s">
        <v>5540</v>
      </c>
      <c r="G2006" t="str">
        <f>custodian!D2006</f>
        <v>78464A698-TRS-12/01/27-L-CANT</v>
      </c>
      <c r="H2006" s="1"/>
      <c r="I2006" s="1" t="s">
        <v>5539</v>
      </c>
      <c r="J2006" t="s">
        <v>58</v>
      </c>
      <c r="K2006" t="s">
        <v>59</v>
      </c>
      <c r="L2006" t="s">
        <v>60</v>
      </c>
      <c r="M2006" t="s">
        <v>61</v>
      </c>
      <c r="N2006" t="s">
        <v>62</v>
      </c>
      <c r="O2006" s="1" t="s">
        <v>63</v>
      </c>
      <c r="V2006" t="s">
        <v>64</v>
      </c>
      <c r="Y2006" t="s">
        <v>65</v>
      </c>
      <c r="Z2006" t="s">
        <v>66</v>
      </c>
      <c r="AA2006" t="s">
        <v>5541</v>
      </c>
      <c r="AB2006" t="s">
        <v>68</v>
      </c>
      <c r="AD2006" t="s">
        <v>5541</v>
      </c>
      <c r="AE2006" t="s">
        <v>5542</v>
      </c>
      <c r="AF2006" t="s">
        <v>70</v>
      </c>
      <c r="AG2006" t="s">
        <v>5543</v>
      </c>
      <c r="AH2006" t="s">
        <v>72</v>
      </c>
      <c r="AI2006" t="s">
        <v>73</v>
      </c>
      <c r="AK2006" t="s">
        <v>5541</v>
      </c>
      <c r="AL2006" t="s">
        <v>68</v>
      </c>
      <c r="AM2006" t="s">
        <v>74</v>
      </c>
      <c r="AN2006" t="s">
        <v>75</v>
      </c>
      <c r="AO2006" t="str">
        <f>_xll.BDP($B2006,"ISSUER")</f>
        <v>State Street SPDR S&amp;P Regional</v>
      </c>
      <c r="AP2006" t="str">
        <f>_xll.BDP($B2006,"NAME")</f>
        <v>SS SPDR S&amp;P REGIONAL BANK</v>
      </c>
      <c r="AQ2006" s="1" t="s">
        <v>5544</v>
      </c>
      <c r="AR2006" t="str">
        <f>_xll.BDP($B2006,"ID_ISIN")</f>
        <v>US78464A6982</v>
      </c>
      <c r="AS2006" t="str">
        <f>_xll.BDP($B2006,"TICKER")</f>
        <v>KRE</v>
      </c>
    </row>
    <row r="2007" spans="1:45" x14ac:dyDescent="0.25">
      <c r="A2007" t="s">
        <v>5537</v>
      </c>
      <c r="B2007" t="s">
        <v>77</v>
      </c>
      <c r="C2007" s="1" t="s">
        <v>78</v>
      </c>
      <c r="D2007" t="s">
        <v>79</v>
      </c>
      <c r="E2007" t="str">
        <f>_xll.BDP($B2007,"LEGAL_ENTITY_IDENTIFIER")</f>
        <v>549300R5MYM6VZF1RM44</v>
      </c>
      <c r="F2007" t="s">
        <v>80</v>
      </c>
      <c r="G2007" t="str">
        <f>custodian!D2007</f>
        <v>31846V336</v>
      </c>
      <c r="H2007" t="str">
        <f>_xll.BDP($B2007,"ID_ISIN")</f>
        <v>US31846V3362</v>
      </c>
      <c r="I2007" s="1" t="s">
        <v>78</v>
      </c>
      <c r="J2007" t="str">
        <f>_xll.BDP($B2007,"CNTRY_OF_DOMICILE")</f>
        <v>US</v>
      </c>
      <c r="K2007" t="s">
        <v>81</v>
      </c>
      <c r="L2007" t="s">
        <v>82</v>
      </c>
      <c r="O2007" s="1"/>
      <c r="AQ2007" s="1"/>
      <c r="AR2007" s="1"/>
      <c r="AS2007" s="1"/>
    </row>
    <row r="2008" spans="1:45" x14ac:dyDescent="0.25">
      <c r="A2008" t="s">
        <v>5537</v>
      </c>
      <c r="C2008" s="1" t="s">
        <v>52</v>
      </c>
      <c r="E2008" s="1"/>
      <c r="G2008" t="str">
        <f>custodian!D2008</f>
        <v>Cash&amp;Other</v>
      </c>
      <c r="H2008" s="1"/>
      <c r="I2008" s="1"/>
      <c r="O2008" s="1"/>
      <c r="AQ2008" s="1"/>
      <c r="AR2008" s="1"/>
      <c r="AS2008" s="1"/>
    </row>
    <row r="2009" spans="1:45" x14ac:dyDescent="0.25">
      <c r="A2009" t="s">
        <v>5545</v>
      </c>
      <c r="B2009" t="s">
        <v>5546</v>
      </c>
      <c r="C2009" s="1" t="s">
        <v>5547</v>
      </c>
      <c r="D2009" t="s">
        <v>56</v>
      </c>
      <c r="E2009" s="1" t="s">
        <v>56</v>
      </c>
      <c r="F2009" t="s">
        <v>5548</v>
      </c>
      <c r="G2009" t="str">
        <f>custodian!D2009</f>
        <v>81369Y100-TRS-12/01/27-L-CANT</v>
      </c>
      <c r="H2009" s="1"/>
      <c r="I2009" s="1" t="s">
        <v>5547</v>
      </c>
      <c r="J2009" t="s">
        <v>58</v>
      </c>
      <c r="K2009" t="s">
        <v>59</v>
      </c>
      <c r="L2009" t="s">
        <v>60</v>
      </c>
      <c r="M2009" t="s">
        <v>61</v>
      </c>
      <c r="N2009" t="s">
        <v>62</v>
      </c>
      <c r="O2009" s="1" t="s">
        <v>63</v>
      </c>
      <c r="V2009" t="s">
        <v>64</v>
      </c>
      <c r="Y2009" t="s">
        <v>65</v>
      </c>
      <c r="Z2009" t="s">
        <v>66</v>
      </c>
      <c r="AA2009" t="s">
        <v>5549</v>
      </c>
      <c r="AB2009" t="s">
        <v>68</v>
      </c>
      <c r="AD2009" t="s">
        <v>5549</v>
      </c>
      <c r="AE2009" t="s">
        <v>5526</v>
      </c>
      <c r="AF2009" t="s">
        <v>70</v>
      </c>
      <c r="AG2009" t="s">
        <v>5550</v>
      </c>
      <c r="AH2009" t="s">
        <v>72</v>
      </c>
      <c r="AI2009" t="s">
        <v>73</v>
      </c>
      <c r="AK2009" t="s">
        <v>5549</v>
      </c>
      <c r="AL2009" t="s">
        <v>68</v>
      </c>
      <c r="AM2009" t="s">
        <v>74</v>
      </c>
      <c r="AN2009" t="s">
        <v>75</v>
      </c>
      <c r="AO2009" t="str">
        <f>_xll.BDP($B2009,"ISSUER")</f>
        <v>State Street Materials Select</v>
      </c>
      <c r="AP2009" t="str">
        <f>_xll.BDP($B2009,"NAME")</f>
        <v>SS MATERIALS SELECT SECTOR</v>
      </c>
      <c r="AQ2009" s="1" t="s">
        <v>5551</v>
      </c>
      <c r="AR2009" t="str">
        <f>_xll.BDP($B2009,"ID_ISIN")</f>
        <v>US81369Y1001</v>
      </c>
      <c r="AS2009" t="str">
        <f>_xll.BDP($B2009,"TICKER")</f>
        <v>XLB</v>
      </c>
    </row>
    <row r="2010" spans="1:45" x14ac:dyDescent="0.25">
      <c r="A2010" t="s">
        <v>5545</v>
      </c>
      <c r="B2010" t="s">
        <v>77</v>
      </c>
      <c r="C2010" s="1" t="s">
        <v>78</v>
      </c>
      <c r="D2010" t="s">
        <v>79</v>
      </c>
      <c r="E2010" t="str">
        <f>_xll.BDP($B2010,"LEGAL_ENTITY_IDENTIFIER")</f>
        <v>549300R5MYM6VZF1RM44</v>
      </c>
      <c r="F2010" t="s">
        <v>80</v>
      </c>
      <c r="G2010" t="str">
        <f>custodian!D2010</f>
        <v>31846V336</v>
      </c>
      <c r="H2010" t="str">
        <f>_xll.BDP($B2010,"ID_ISIN")</f>
        <v>US31846V3362</v>
      </c>
      <c r="I2010" s="1" t="s">
        <v>78</v>
      </c>
      <c r="J2010" t="str">
        <f>_xll.BDP($B2010,"CNTRY_OF_DOMICILE")</f>
        <v>US</v>
      </c>
      <c r="K2010" t="s">
        <v>81</v>
      </c>
      <c r="L2010" t="s">
        <v>82</v>
      </c>
      <c r="O2010" s="1"/>
      <c r="AQ2010" s="1"/>
      <c r="AR2010" s="1"/>
      <c r="AS2010" s="1"/>
    </row>
    <row r="2011" spans="1:45" x14ac:dyDescent="0.25">
      <c r="A2011" t="s">
        <v>5545</v>
      </c>
      <c r="C2011" s="1" t="s">
        <v>52</v>
      </c>
      <c r="E2011" s="1"/>
      <c r="G2011" t="str">
        <f>custodian!D2011</f>
        <v>Cash&amp;Other</v>
      </c>
      <c r="H2011" s="1"/>
      <c r="I2011" s="1"/>
      <c r="O2011" s="1"/>
      <c r="AQ2011" s="1"/>
      <c r="AR2011" s="1"/>
      <c r="AS2011" s="1"/>
    </row>
    <row r="2012" spans="1:45" x14ac:dyDescent="0.25">
      <c r="A2012" t="s">
        <v>5552</v>
      </c>
      <c r="B2012" t="s">
        <v>5553</v>
      </c>
      <c r="C2012" s="1" t="s">
        <v>5554</v>
      </c>
      <c r="D2012" t="s">
        <v>56</v>
      </c>
      <c r="E2012" s="1" t="s">
        <v>56</v>
      </c>
      <c r="F2012" t="s">
        <v>5555</v>
      </c>
      <c r="G2012" t="str">
        <f>custodian!D2012</f>
        <v>81369Y506-TRS-12/01/27-L-CANT</v>
      </c>
      <c r="H2012" s="1"/>
      <c r="I2012" s="1" t="s">
        <v>5554</v>
      </c>
      <c r="J2012" t="s">
        <v>58</v>
      </c>
      <c r="K2012" t="s">
        <v>59</v>
      </c>
      <c r="L2012" t="s">
        <v>60</v>
      </c>
      <c r="M2012" t="s">
        <v>61</v>
      </c>
      <c r="N2012" t="s">
        <v>62</v>
      </c>
      <c r="O2012" s="1" t="s">
        <v>63</v>
      </c>
      <c r="V2012" t="s">
        <v>64</v>
      </c>
      <c r="Y2012" t="s">
        <v>65</v>
      </c>
      <c r="Z2012" t="s">
        <v>66</v>
      </c>
      <c r="AA2012" t="s">
        <v>5556</v>
      </c>
      <c r="AB2012" t="s">
        <v>68</v>
      </c>
      <c r="AD2012" t="s">
        <v>5556</v>
      </c>
      <c r="AE2012" t="s">
        <v>5557</v>
      </c>
      <c r="AF2012" t="s">
        <v>70</v>
      </c>
      <c r="AG2012" t="s">
        <v>5558</v>
      </c>
      <c r="AH2012" t="s">
        <v>72</v>
      </c>
      <c r="AI2012" t="s">
        <v>73</v>
      </c>
      <c r="AK2012" t="s">
        <v>5556</v>
      </c>
      <c r="AL2012" t="s">
        <v>68</v>
      </c>
      <c r="AM2012" t="s">
        <v>74</v>
      </c>
      <c r="AN2012" t="s">
        <v>75</v>
      </c>
      <c r="AO2012" t="str">
        <f>_xll.BDP($B2012,"ISSUER")</f>
        <v>State Street Energy Select Sec</v>
      </c>
      <c r="AP2012" t="str">
        <f>_xll.BDP($B2012,"NAME")</f>
        <v>SS ENERGY SELECT SECTOR</v>
      </c>
      <c r="AQ2012" s="1" t="s">
        <v>5559</v>
      </c>
      <c r="AR2012" t="str">
        <f>_xll.BDP($B2012,"ID_ISIN")</f>
        <v>US81369Y5069</v>
      </c>
      <c r="AS2012" t="str">
        <f>_xll.BDP($B2012,"TICKER")</f>
        <v>XLE</v>
      </c>
    </row>
    <row r="2013" spans="1:45" x14ac:dyDescent="0.25">
      <c r="A2013" t="s">
        <v>5552</v>
      </c>
      <c r="B2013" t="s">
        <v>77</v>
      </c>
      <c r="C2013" s="1" t="s">
        <v>78</v>
      </c>
      <c r="D2013" t="s">
        <v>79</v>
      </c>
      <c r="E2013" t="str">
        <f>_xll.BDP($B2013,"LEGAL_ENTITY_IDENTIFIER")</f>
        <v>549300R5MYM6VZF1RM44</v>
      </c>
      <c r="F2013" t="s">
        <v>80</v>
      </c>
      <c r="G2013" t="str">
        <f>custodian!D2013</f>
        <v>31846V336</v>
      </c>
      <c r="H2013" t="str">
        <f>_xll.BDP($B2013,"ID_ISIN")</f>
        <v>US31846V3362</v>
      </c>
      <c r="I2013" s="1" t="s">
        <v>78</v>
      </c>
      <c r="J2013" t="str">
        <f>_xll.BDP($B2013,"CNTRY_OF_DOMICILE")</f>
        <v>US</v>
      </c>
      <c r="K2013" t="s">
        <v>81</v>
      </c>
      <c r="L2013" t="s">
        <v>82</v>
      </c>
      <c r="O2013" s="1"/>
      <c r="AQ2013" s="1"/>
      <c r="AR2013" s="1"/>
      <c r="AS2013" s="1"/>
    </row>
    <row r="2014" spans="1:45" x14ac:dyDescent="0.25">
      <c r="A2014" t="s">
        <v>5552</v>
      </c>
      <c r="C2014" s="1" t="s">
        <v>52</v>
      </c>
      <c r="E2014" s="1"/>
      <c r="G2014" t="str">
        <f>custodian!D2014</f>
        <v>Cash&amp;Other</v>
      </c>
      <c r="H2014" s="1"/>
      <c r="I2014" s="1"/>
      <c r="O2014" s="1"/>
      <c r="AQ2014" s="1"/>
      <c r="AR2014" s="1"/>
      <c r="AS2014" s="1"/>
    </row>
    <row r="2015" spans="1:45" x14ac:dyDescent="0.25">
      <c r="A2015" t="s">
        <v>5560</v>
      </c>
      <c r="B2015" t="s">
        <v>5561</v>
      </c>
      <c r="C2015" s="1" t="s">
        <v>5562</v>
      </c>
      <c r="D2015" t="s">
        <v>56</v>
      </c>
      <c r="E2015" s="1" t="s">
        <v>56</v>
      </c>
      <c r="F2015" t="s">
        <v>5563</v>
      </c>
      <c r="G2015" t="str">
        <f>custodian!D2015</f>
        <v>81369Y605-TRS-12/01/27-L-CANT</v>
      </c>
      <c r="H2015" s="1"/>
      <c r="I2015" s="1" t="s">
        <v>5562</v>
      </c>
      <c r="J2015" t="s">
        <v>58</v>
      </c>
      <c r="K2015" t="s">
        <v>59</v>
      </c>
      <c r="L2015" t="s">
        <v>60</v>
      </c>
      <c r="M2015" t="s">
        <v>61</v>
      </c>
      <c r="N2015" t="s">
        <v>62</v>
      </c>
      <c r="O2015" s="1" t="s">
        <v>63</v>
      </c>
      <c r="V2015" t="s">
        <v>64</v>
      </c>
      <c r="Y2015" t="s">
        <v>65</v>
      </c>
      <c r="Z2015" t="s">
        <v>66</v>
      </c>
      <c r="AA2015" t="s">
        <v>5564</v>
      </c>
      <c r="AB2015" t="s">
        <v>68</v>
      </c>
      <c r="AD2015" t="s">
        <v>5564</v>
      </c>
      <c r="AE2015" t="s">
        <v>5565</v>
      </c>
      <c r="AF2015" t="s">
        <v>70</v>
      </c>
      <c r="AG2015" t="s">
        <v>5566</v>
      </c>
      <c r="AH2015" t="s">
        <v>72</v>
      </c>
      <c r="AI2015" t="s">
        <v>73</v>
      </c>
      <c r="AK2015" t="s">
        <v>5564</v>
      </c>
      <c r="AL2015" t="s">
        <v>68</v>
      </c>
      <c r="AM2015" t="s">
        <v>74</v>
      </c>
      <c r="AN2015" t="s">
        <v>75</v>
      </c>
      <c r="AO2015" t="str">
        <f>_xll.BDP($B2015,"ISSUER")</f>
        <v>State Street Financial Select</v>
      </c>
      <c r="AP2015" t="str">
        <f>_xll.BDP($B2015,"NAME")</f>
        <v>SS FINANCIAL SELECT SECTOR</v>
      </c>
      <c r="AQ2015" s="1" t="s">
        <v>5567</v>
      </c>
      <c r="AR2015" t="str">
        <f>_xll.BDP($B2015,"ID_ISIN")</f>
        <v>US81369Y6059</v>
      </c>
      <c r="AS2015" t="str">
        <f>_xll.BDP($B2015,"TICKER")</f>
        <v>XLF</v>
      </c>
    </row>
    <row r="2016" spans="1:45" x14ac:dyDescent="0.25">
      <c r="A2016" t="s">
        <v>5560</v>
      </c>
      <c r="B2016" t="s">
        <v>77</v>
      </c>
      <c r="C2016" s="1" t="s">
        <v>78</v>
      </c>
      <c r="D2016" t="s">
        <v>79</v>
      </c>
      <c r="E2016" t="str">
        <f>_xll.BDP($B2016,"LEGAL_ENTITY_IDENTIFIER")</f>
        <v>549300R5MYM6VZF1RM44</v>
      </c>
      <c r="F2016" t="s">
        <v>80</v>
      </c>
      <c r="G2016" t="str">
        <f>custodian!D2016</f>
        <v>31846V336</v>
      </c>
      <c r="H2016" t="str">
        <f>_xll.BDP($B2016,"ID_ISIN")</f>
        <v>US31846V3362</v>
      </c>
      <c r="I2016" s="1" t="s">
        <v>78</v>
      </c>
      <c r="J2016" t="str">
        <f>_xll.BDP($B2016,"CNTRY_OF_DOMICILE")</f>
        <v>US</v>
      </c>
      <c r="K2016" t="s">
        <v>81</v>
      </c>
      <c r="L2016" t="s">
        <v>82</v>
      </c>
      <c r="O2016" s="1"/>
      <c r="AQ2016" s="1"/>
      <c r="AR2016" s="1"/>
      <c r="AS2016" s="1"/>
    </row>
    <row r="2017" spans="1:45" x14ac:dyDescent="0.25">
      <c r="A2017" t="s">
        <v>5560</v>
      </c>
      <c r="C2017" s="1" t="s">
        <v>52</v>
      </c>
      <c r="E2017" s="1"/>
      <c r="G2017" t="str">
        <f>custodian!D2017</f>
        <v>Cash&amp;Other</v>
      </c>
      <c r="H2017" s="1"/>
      <c r="I2017" s="1"/>
      <c r="O2017" s="1"/>
      <c r="AQ2017" s="1"/>
      <c r="AR2017" s="1"/>
      <c r="AS2017" s="1"/>
    </row>
    <row r="2018" spans="1:45" x14ac:dyDescent="0.25">
      <c r="A2018" t="s">
        <v>5568</v>
      </c>
      <c r="B2018" t="s">
        <v>5569</v>
      </c>
      <c r="C2018" s="1" t="s">
        <v>5570</v>
      </c>
      <c r="D2018" t="s">
        <v>56</v>
      </c>
      <c r="E2018" s="1" t="s">
        <v>56</v>
      </c>
      <c r="F2018" t="s">
        <v>5571</v>
      </c>
      <c r="G2018" t="str">
        <f>custodian!D2018</f>
        <v>81369Y704-TRS-12/01/27-L-CANT</v>
      </c>
      <c r="H2018" s="1"/>
      <c r="I2018" s="1" t="s">
        <v>5570</v>
      </c>
      <c r="J2018" t="s">
        <v>58</v>
      </c>
      <c r="K2018" t="s">
        <v>59</v>
      </c>
      <c r="L2018" t="s">
        <v>60</v>
      </c>
      <c r="M2018" t="s">
        <v>61</v>
      </c>
      <c r="N2018" t="s">
        <v>62</v>
      </c>
      <c r="O2018" s="1" t="s">
        <v>63</v>
      </c>
      <c r="V2018" t="s">
        <v>64</v>
      </c>
      <c r="Y2018" t="s">
        <v>65</v>
      </c>
      <c r="Z2018" t="s">
        <v>66</v>
      </c>
      <c r="AA2018" t="s">
        <v>5572</v>
      </c>
      <c r="AB2018" t="s">
        <v>68</v>
      </c>
      <c r="AD2018" t="s">
        <v>5572</v>
      </c>
      <c r="AE2018" t="s">
        <v>4405</v>
      </c>
      <c r="AF2018" t="s">
        <v>70</v>
      </c>
      <c r="AG2018" t="s">
        <v>5573</v>
      </c>
      <c r="AH2018" t="s">
        <v>72</v>
      </c>
      <c r="AI2018" t="s">
        <v>73</v>
      </c>
      <c r="AK2018" t="s">
        <v>5572</v>
      </c>
      <c r="AL2018" t="s">
        <v>68</v>
      </c>
      <c r="AM2018" t="s">
        <v>74</v>
      </c>
      <c r="AN2018" t="s">
        <v>75</v>
      </c>
      <c r="AO2018" t="str">
        <f>_xll.BDP($B2018,"ISSUER")</f>
        <v>State Street Industrial Select</v>
      </c>
      <c r="AP2018" t="str">
        <f>_xll.BDP($B2018,"NAME")</f>
        <v>SS INDUSTRIAL SELECT SECTOR</v>
      </c>
      <c r="AQ2018" s="1" t="s">
        <v>5574</v>
      </c>
      <c r="AR2018" t="str">
        <f>_xll.BDP($B2018,"ID_ISIN")</f>
        <v>US81369Y7040</v>
      </c>
      <c r="AS2018" t="str">
        <f>_xll.BDP($B2018,"TICKER")</f>
        <v>XLI</v>
      </c>
    </row>
    <row r="2019" spans="1:45" x14ac:dyDescent="0.25">
      <c r="A2019" t="s">
        <v>5568</v>
      </c>
      <c r="B2019" t="s">
        <v>77</v>
      </c>
      <c r="C2019" s="1" t="s">
        <v>78</v>
      </c>
      <c r="D2019" t="s">
        <v>79</v>
      </c>
      <c r="E2019" t="str">
        <f>_xll.BDP($B2019,"LEGAL_ENTITY_IDENTIFIER")</f>
        <v>549300R5MYM6VZF1RM44</v>
      </c>
      <c r="F2019" t="s">
        <v>80</v>
      </c>
      <c r="G2019" t="str">
        <f>custodian!D2019</f>
        <v>31846V336</v>
      </c>
      <c r="H2019" t="str">
        <f>_xll.BDP($B2019,"ID_ISIN")</f>
        <v>US31846V3362</v>
      </c>
      <c r="I2019" s="1" t="s">
        <v>78</v>
      </c>
      <c r="J2019" t="str">
        <f>_xll.BDP($B2019,"CNTRY_OF_DOMICILE")</f>
        <v>US</v>
      </c>
      <c r="K2019" t="s">
        <v>81</v>
      </c>
      <c r="L2019" t="s">
        <v>82</v>
      </c>
      <c r="O2019" s="1"/>
      <c r="AQ2019" s="1"/>
      <c r="AR2019" s="1"/>
      <c r="AS2019" s="1"/>
    </row>
    <row r="2020" spans="1:45" x14ac:dyDescent="0.25">
      <c r="A2020" t="s">
        <v>5568</v>
      </c>
      <c r="C2020" s="1" t="s">
        <v>52</v>
      </c>
      <c r="E2020" s="1"/>
      <c r="G2020" t="str">
        <f>custodian!D2020</f>
        <v>Cash&amp;Other</v>
      </c>
      <c r="H2020" s="1"/>
      <c r="I2020" s="1"/>
      <c r="O2020" s="1"/>
      <c r="AQ2020" s="1"/>
      <c r="AR2020" s="1"/>
      <c r="AS2020" s="1"/>
    </row>
    <row r="2021" spans="1:45" x14ac:dyDescent="0.25">
      <c r="A2021" t="s">
        <v>5575</v>
      </c>
      <c r="B2021" t="s">
        <v>5576</v>
      </c>
      <c r="C2021" s="1" t="s">
        <v>5577</v>
      </c>
      <c r="D2021" t="s">
        <v>56</v>
      </c>
      <c r="E2021" s="1" t="s">
        <v>56</v>
      </c>
      <c r="F2021" t="s">
        <v>5578</v>
      </c>
      <c r="G2021" t="str">
        <f>custodian!D2021</f>
        <v>81369Y803-TRS-07/07/27-L-CLST</v>
      </c>
      <c r="H2021" s="1"/>
      <c r="I2021" s="1" t="s">
        <v>5577</v>
      </c>
      <c r="J2021" t="s">
        <v>58</v>
      </c>
      <c r="K2021" t="s">
        <v>59</v>
      </c>
      <c r="L2021" t="s">
        <v>60</v>
      </c>
      <c r="M2021" t="s">
        <v>61</v>
      </c>
      <c r="N2021" t="s">
        <v>3372</v>
      </c>
      <c r="O2021" s="1" t="s">
        <v>3373</v>
      </c>
      <c r="V2021" t="s">
        <v>64</v>
      </c>
      <c r="Y2021" t="s">
        <v>65</v>
      </c>
      <c r="Z2021" t="s">
        <v>3374</v>
      </c>
      <c r="AA2021" t="s">
        <v>5579</v>
      </c>
      <c r="AB2021" t="s">
        <v>68</v>
      </c>
      <c r="AD2021" t="s">
        <v>5579</v>
      </c>
      <c r="AE2021" t="s">
        <v>5580</v>
      </c>
      <c r="AF2021" t="s">
        <v>70</v>
      </c>
      <c r="AG2021" t="s">
        <v>5581</v>
      </c>
      <c r="AH2021" t="s">
        <v>72</v>
      </c>
      <c r="AI2021" t="s">
        <v>73</v>
      </c>
      <c r="AK2021" t="s">
        <v>5579</v>
      </c>
      <c r="AL2021" t="s">
        <v>68</v>
      </c>
      <c r="AM2021" t="s">
        <v>74</v>
      </c>
      <c r="AN2021" t="s">
        <v>75</v>
      </c>
      <c r="AO2021" t="str">
        <f>_xll.BDP($B2021,"ISSUER")</f>
        <v>State Street Technology Select</v>
      </c>
      <c r="AP2021" t="str">
        <f>_xll.BDP($B2021,"NAME")</f>
        <v>SS TECHNOLOGY SELECT SECTOR</v>
      </c>
      <c r="AQ2021" s="1" t="s">
        <v>5582</v>
      </c>
      <c r="AR2021" t="str">
        <f>_xll.BDP($B2021,"ID_ISIN")</f>
        <v>US81369Y8030</v>
      </c>
      <c r="AS2021" t="str">
        <f>_xll.BDP($B2021,"TICKER")</f>
        <v>XLK</v>
      </c>
    </row>
    <row r="2022" spans="1:45" x14ac:dyDescent="0.25">
      <c r="A2022" t="s">
        <v>5575</v>
      </c>
      <c r="B2022" t="s">
        <v>77</v>
      </c>
      <c r="C2022" s="1" t="s">
        <v>78</v>
      </c>
      <c r="D2022" t="s">
        <v>79</v>
      </c>
      <c r="E2022" t="str">
        <f>_xll.BDP($B2022,"LEGAL_ENTITY_IDENTIFIER")</f>
        <v>549300R5MYM6VZF1RM44</v>
      </c>
      <c r="F2022" t="s">
        <v>80</v>
      </c>
      <c r="G2022" t="str">
        <f>custodian!D2022</f>
        <v>31846V336</v>
      </c>
      <c r="H2022" t="str">
        <f>_xll.BDP($B2022,"ID_ISIN")</f>
        <v>US31846V3362</v>
      </c>
      <c r="I2022" s="1" t="s">
        <v>78</v>
      </c>
      <c r="J2022" t="str">
        <f>_xll.BDP($B2022,"CNTRY_OF_DOMICILE")</f>
        <v>US</v>
      </c>
      <c r="K2022" t="s">
        <v>81</v>
      </c>
      <c r="L2022" t="s">
        <v>82</v>
      </c>
      <c r="O2022" s="1"/>
      <c r="AQ2022" s="1"/>
      <c r="AR2022" s="1"/>
      <c r="AS2022" s="1"/>
    </row>
    <row r="2023" spans="1:45" x14ac:dyDescent="0.25">
      <c r="A2023" t="s">
        <v>5575</v>
      </c>
      <c r="C2023" s="1" t="s">
        <v>52</v>
      </c>
      <c r="E2023" s="1"/>
      <c r="G2023" t="str">
        <f>custodian!D2023</f>
        <v>Cash&amp;Other</v>
      </c>
      <c r="H2023" s="1"/>
      <c r="I2023" s="1"/>
      <c r="O2023" s="1"/>
      <c r="AQ2023" s="1"/>
      <c r="AR2023" s="1"/>
      <c r="AS2023" s="1"/>
    </row>
    <row r="2024" spans="1:45" x14ac:dyDescent="0.25">
      <c r="A2024" t="s">
        <v>5583</v>
      </c>
      <c r="B2024" t="s">
        <v>5584</v>
      </c>
      <c r="C2024" s="1" t="s">
        <v>5585</v>
      </c>
      <c r="D2024" t="s">
        <v>56</v>
      </c>
      <c r="E2024" s="1" t="s">
        <v>56</v>
      </c>
      <c r="F2024" t="s">
        <v>5586</v>
      </c>
      <c r="G2024" t="str">
        <f>custodian!D2024</f>
        <v>81369Y308-TRS-07/07/27-L-CLST</v>
      </c>
      <c r="H2024" s="1"/>
      <c r="I2024" s="1" t="s">
        <v>5585</v>
      </c>
      <c r="J2024" t="s">
        <v>58</v>
      </c>
      <c r="K2024" t="s">
        <v>59</v>
      </c>
      <c r="L2024" t="s">
        <v>60</v>
      </c>
      <c r="M2024" t="s">
        <v>61</v>
      </c>
      <c r="N2024" t="s">
        <v>3372</v>
      </c>
      <c r="O2024" s="1" t="s">
        <v>3373</v>
      </c>
      <c r="V2024" t="s">
        <v>64</v>
      </c>
      <c r="Y2024" t="s">
        <v>65</v>
      </c>
      <c r="Z2024" t="s">
        <v>3374</v>
      </c>
      <c r="AA2024" t="s">
        <v>5587</v>
      </c>
      <c r="AB2024" t="s">
        <v>68</v>
      </c>
      <c r="AD2024" t="s">
        <v>5587</v>
      </c>
      <c r="AE2024" t="s">
        <v>5588</v>
      </c>
      <c r="AF2024" t="s">
        <v>70</v>
      </c>
      <c r="AG2024" t="s">
        <v>5589</v>
      </c>
      <c r="AH2024" t="s">
        <v>72</v>
      </c>
      <c r="AI2024" t="s">
        <v>73</v>
      </c>
      <c r="AK2024" t="s">
        <v>5587</v>
      </c>
      <c r="AL2024" t="s">
        <v>68</v>
      </c>
      <c r="AM2024" t="s">
        <v>74</v>
      </c>
      <c r="AN2024" t="s">
        <v>75</v>
      </c>
      <c r="AO2024" t="str">
        <f>_xll.BDP($B2024,"ISSUER")</f>
        <v>State Street Consumer Staples</v>
      </c>
      <c r="AP2024" t="str">
        <f>_xll.BDP($B2024,"NAME")</f>
        <v>SS CONSUMER STAPLES SEL SECT</v>
      </c>
      <c r="AQ2024" s="1" t="s">
        <v>5590</v>
      </c>
      <c r="AR2024" t="str">
        <f>_xll.BDP($B2024,"ID_ISIN")</f>
        <v>US81369Y3080</v>
      </c>
      <c r="AS2024" t="str">
        <f>_xll.BDP($B2024,"TICKER")</f>
        <v>XLP</v>
      </c>
    </row>
    <row r="2025" spans="1:45" x14ac:dyDescent="0.25">
      <c r="A2025" t="s">
        <v>5583</v>
      </c>
      <c r="B2025" t="s">
        <v>77</v>
      </c>
      <c r="C2025" s="1" t="s">
        <v>78</v>
      </c>
      <c r="D2025" t="s">
        <v>79</v>
      </c>
      <c r="E2025" t="str">
        <f>_xll.BDP($B2025,"LEGAL_ENTITY_IDENTIFIER")</f>
        <v>549300R5MYM6VZF1RM44</v>
      </c>
      <c r="F2025" t="s">
        <v>80</v>
      </c>
      <c r="G2025" t="str">
        <f>custodian!D2025</f>
        <v>31846V336</v>
      </c>
      <c r="H2025" t="str">
        <f>_xll.BDP($B2025,"ID_ISIN")</f>
        <v>US31846V3362</v>
      </c>
      <c r="I2025" s="1" t="s">
        <v>78</v>
      </c>
      <c r="J2025" t="str">
        <f>_xll.BDP($B2025,"CNTRY_OF_DOMICILE")</f>
        <v>US</v>
      </c>
      <c r="K2025" t="s">
        <v>81</v>
      </c>
      <c r="L2025" t="s">
        <v>82</v>
      </c>
      <c r="O2025" s="1"/>
      <c r="AQ2025" s="1"/>
      <c r="AR2025" s="1"/>
      <c r="AS2025" s="1"/>
    </row>
    <row r="2026" spans="1:45" x14ac:dyDescent="0.25">
      <c r="A2026" t="s">
        <v>5583</v>
      </c>
      <c r="C2026" s="1" t="s">
        <v>52</v>
      </c>
      <c r="E2026" s="1"/>
      <c r="G2026" t="str">
        <f>custodian!D2026</f>
        <v>Cash&amp;Other</v>
      </c>
      <c r="H2026" s="1"/>
      <c r="I2026" s="1"/>
      <c r="O2026" s="1"/>
      <c r="AQ2026" s="1"/>
      <c r="AR2026" s="1"/>
      <c r="AS2026" s="1"/>
    </row>
    <row r="2027" spans="1:45" x14ac:dyDescent="0.25">
      <c r="A2027" t="s">
        <v>5591</v>
      </c>
      <c r="B2027" t="s">
        <v>5592</v>
      </c>
      <c r="C2027" s="1" t="s">
        <v>5593</v>
      </c>
      <c r="D2027" t="s">
        <v>56</v>
      </c>
      <c r="E2027" s="1" t="s">
        <v>56</v>
      </c>
      <c r="F2027" t="s">
        <v>5594</v>
      </c>
      <c r="G2027" t="str">
        <f>custodian!D2027</f>
        <v>81369Y886-TRS-07/07/27-L-CLST</v>
      </c>
      <c r="H2027" s="1"/>
      <c r="I2027" s="1" t="s">
        <v>5593</v>
      </c>
      <c r="J2027" t="s">
        <v>58</v>
      </c>
      <c r="K2027" t="s">
        <v>59</v>
      </c>
      <c r="L2027" t="s">
        <v>60</v>
      </c>
      <c r="M2027" t="s">
        <v>61</v>
      </c>
      <c r="N2027" t="s">
        <v>3372</v>
      </c>
      <c r="O2027" s="1" t="s">
        <v>3373</v>
      </c>
      <c r="V2027" t="s">
        <v>64</v>
      </c>
      <c r="Y2027" t="s">
        <v>65</v>
      </c>
      <c r="Z2027" t="s">
        <v>3374</v>
      </c>
      <c r="AA2027" t="s">
        <v>5595</v>
      </c>
      <c r="AB2027" t="s">
        <v>68</v>
      </c>
      <c r="AD2027" t="s">
        <v>5595</v>
      </c>
      <c r="AE2027" t="s">
        <v>5596</v>
      </c>
      <c r="AF2027" t="s">
        <v>70</v>
      </c>
      <c r="AG2027" t="s">
        <v>5597</v>
      </c>
      <c r="AH2027" t="s">
        <v>72</v>
      </c>
      <c r="AI2027" t="s">
        <v>73</v>
      </c>
      <c r="AK2027" t="s">
        <v>5595</v>
      </c>
      <c r="AL2027" t="s">
        <v>68</v>
      </c>
      <c r="AM2027" t="s">
        <v>74</v>
      </c>
      <c r="AN2027" t="s">
        <v>75</v>
      </c>
      <c r="AO2027" t="str">
        <f>_xll.BDP($B2027,"ISSUER")</f>
        <v>State Street Utilities Select</v>
      </c>
      <c r="AP2027" t="str">
        <f>_xll.BDP($B2027,"NAME")</f>
        <v>ST SR UTL SL SE SPDR ETF-USD</v>
      </c>
      <c r="AQ2027" s="1" t="s">
        <v>5598</v>
      </c>
      <c r="AR2027" t="str">
        <f>_xll.BDP($B2027,"ID_ISIN")</f>
        <v>US81369Y8865</v>
      </c>
      <c r="AS2027" t="str">
        <f>_xll.BDP($B2027,"TICKER")</f>
        <v>XLU</v>
      </c>
    </row>
    <row r="2028" spans="1:45" x14ac:dyDescent="0.25">
      <c r="A2028" t="s">
        <v>5591</v>
      </c>
      <c r="B2028" t="s">
        <v>77</v>
      </c>
      <c r="C2028" s="1" t="s">
        <v>78</v>
      </c>
      <c r="D2028" t="s">
        <v>79</v>
      </c>
      <c r="E2028" t="str">
        <f>_xll.BDP($B2028,"LEGAL_ENTITY_IDENTIFIER")</f>
        <v>549300R5MYM6VZF1RM44</v>
      </c>
      <c r="F2028" t="s">
        <v>80</v>
      </c>
      <c r="G2028" t="str">
        <f>custodian!D2028</f>
        <v>31846V336</v>
      </c>
      <c r="H2028" t="str">
        <f>_xll.BDP($B2028,"ID_ISIN")</f>
        <v>US31846V3362</v>
      </c>
      <c r="I2028" s="1" t="s">
        <v>78</v>
      </c>
      <c r="J2028" t="str">
        <f>_xll.BDP($B2028,"CNTRY_OF_DOMICILE")</f>
        <v>US</v>
      </c>
      <c r="K2028" t="s">
        <v>81</v>
      </c>
      <c r="L2028" t="s">
        <v>82</v>
      </c>
      <c r="O2028" s="1"/>
      <c r="AQ2028" s="1"/>
      <c r="AR2028" s="1"/>
      <c r="AS2028" s="1"/>
    </row>
    <row r="2029" spans="1:45" x14ac:dyDescent="0.25">
      <c r="A2029" t="s">
        <v>5591</v>
      </c>
      <c r="C2029" s="1" t="s">
        <v>52</v>
      </c>
      <c r="E2029" s="1"/>
      <c r="G2029" t="str">
        <f>custodian!D2029</f>
        <v>Cash&amp;Other</v>
      </c>
      <c r="H2029" s="1"/>
      <c r="I2029" s="1"/>
      <c r="O2029" s="1"/>
      <c r="AQ2029" s="1"/>
      <c r="AR2029" s="1"/>
      <c r="AS2029" s="1"/>
    </row>
    <row r="2030" spans="1:45" x14ac:dyDescent="0.25">
      <c r="A2030" t="s">
        <v>5599</v>
      </c>
      <c r="B2030" t="s">
        <v>5600</v>
      </c>
      <c r="C2030" s="1" t="s">
        <v>5601</v>
      </c>
      <c r="D2030" t="s">
        <v>56</v>
      </c>
      <c r="E2030" s="1" t="s">
        <v>56</v>
      </c>
      <c r="F2030" t="s">
        <v>5602</v>
      </c>
      <c r="G2030" t="str">
        <f>custodian!D2030</f>
        <v>81369Y209-TRS-07/07/27-L-CLST</v>
      </c>
      <c r="H2030" s="1"/>
      <c r="I2030" s="1" t="s">
        <v>5601</v>
      </c>
      <c r="J2030" t="s">
        <v>58</v>
      </c>
      <c r="K2030" t="s">
        <v>59</v>
      </c>
      <c r="L2030" t="s">
        <v>60</v>
      </c>
      <c r="M2030" t="s">
        <v>61</v>
      </c>
      <c r="N2030" t="s">
        <v>3372</v>
      </c>
      <c r="O2030" s="1" t="s">
        <v>3373</v>
      </c>
      <c r="V2030" t="s">
        <v>64</v>
      </c>
      <c r="Y2030" t="s">
        <v>65</v>
      </c>
      <c r="Z2030" t="s">
        <v>3374</v>
      </c>
      <c r="AA2030" t="s">
        <v>5603</v>
      </c>
      <c r="AB2030" t="s">
        <v>68</v>
      </c>
      <c r="AD2030" t="s">
        <v>5603</v>
      </c>
      <c r="AE2030" t="s">
        <v>5604</v>
      </c>
      <c r="AF2030" t="s">
        <v>70</v>
      </c>
      <c r="AG2030" t="s">
        <v>5605</v>
      </c>
      <c r="AH2030" t="s">
        <v>72</v>
      </c>
      <c r="AI2030" t="s">
        <v>73</v>
      </c>
      <c r="AK2030" t="s">
        <v>5603</v>
      </c>
      <c r="AL2030" t="s">
        <v>68</v>
      </c>
      <c r="AM2030" t="s">
        <v>74</v>
      </c>
      <c r="AN2030" t="s">
        <v>75</v>
      </c>
      <c r="AO2030" t="str">
        <f>_xll.BDP($B2030,"ISSUER")</f>
        <v>State Street Health Care Selec</v>
      </c>
      <c r="AP2030" t="str">
        <f>_xll.BDP($B2030,"NAME")</f>
        <v>SS HEALTH CARE SELECT SECTOR</v>
      </c>
      <c r="AQ2030" s="1" t="s">
        <v>5606</v>
      </c>
      <c r="AR2030" t="str">
        <f>_xll.BDP($B2030,"ID_ISIN")</f>
        <v>US81369Y2090</v>
      </c>
      <c r="AS2030" t="str">
        <f>_xll.BDP($B2030,"TICKER")</f>
        <v>XLV</v>
      </c>
    </row>
    <row r="2031" spans="1:45" x14ac:dyDescent="0.25">
      <c r="A2031" t="s">
        <v>5599</v>
      </c>
      <c r="B2031" t="s">
        <v>77</v>
      </c>
      <c r="C2031" s="1" t="s">
        <v>78</v>
      </c>
      <c r="D2031" t="s">
        <v>79</v>
      </c>
      <c r="E2031" t="str">
        <f>_xll.BDP($B2031,"LEGAL_ENTITY_IDENTIFIER")</f>
        <v>549300R5MYM6VZF1RM44</v>
      </c>
      <c r="F2031" t="s">
        <v>80</v>
      </c>
      <c r="G2031" t="str">
        <f>custodian!D2031</f>
        <v>31846V336</v>
      </c>
      <c r="H2031" t="str">
        <f>_xll.BDP($B2031,"ID_ISIN")</f>
        <v>US31846V3362</v>
      </c>
      <c r="I2031" s="1" t="s">
        <v>78</v>
      </c>
      <c r="J2031" t="str">
        <f>_xll.BDP($B2031,"CNTRY_OF_DOMICILE")</f>
        <v>US</v>
      </c>
      <c r="K2031" t="s">
        <v>81</v>
      </c>
      <c r="L2031" t="s">
        <v>82</v>
      </c>
      <c r="O2031" s="1"/>
      <c r="AQ2031" s="1"/>
      <c r="AR2031" s="1"/>
      <c r="AS2031" s="1"/>
    </row>
    <row r="2032" spans="1:45" x14ac:dyDescent="0.25">
      <c r="A2032" t="s">
        <v>5599</v>
      </c>
      <c r="C2032" s="1" t="s">
        <v>52</v>
      </c>
      <c r="E2032" s="1"/>
      <c r="G2032" t="str">
        <f>custodian!D2032</f>
        <v>Cash&amp;Other</v>
      </c>
      <c r="H2032" s="1"/>
      <c r="I2032" s="1"/>
      <c r="O2032" s="1"/>
      <c r="AQ2032" s="1"/>
      <c r="AR2032" s="1"/>
      <c r="AS2032" s="1"/>
    </row>
    <row r="2033" spans="1:45" x14ac:dyDescent="0.25">
      <c r="A2033" t="s">
        <v>5607</v>
      </c>
      <c r="B2033" t="s">
        <v>5608</v>
      </c>
      <c r="C2033" s="1" t="s">
        <v>5609</v>
      </c>
      <c r="D2033" t="s">
        <v>56</v>
      </c>
      <c r="E2033" s="1" t="s">
        <v>56</v>
      </c>
      <c r="F2033" t="s">
        <v>5610</v>
      </c>
      <c r="G2033" t="str">
        <f>custodian!D2033</f>
        <v>81369Y407-TRS-07/07/27-L-CLST</v>
      </c>
      <c r="H2033" s="1"/>
      <c r="I2033" s="1" t="s">
        <v>5609</v>
      </c>
      <c r="J2033" t="s">
        <v>58</v>
      </c>
      <c r="K2033" t="s">
        <v>59</v>
      </c>
      <c r="L2033" t="s">
        <v>60</v>
      </c>
      <c r="M2033" t="s">
        <v>61</v>
      </c>
      <c r="N2033" t="s">
        <v>3372</v>
      </c>
      <c r="O2033" s="1" t="s">
        <v>3373</v>
      </c>
      <c r="V2033" t="s">
        <v>64</v>
      </c>
      <c r="Y2033" t="s">
        <v>65</v>
      </c>
      <c r="Z2033" t="s">
        <v>3374</v>
      </c>
      <c r="AA2033" t="s">
        <v>5611</v>
      </c>
      <c r="AB2033" t="s">
        <v>68</v>
      </c>
      <c r="AD2033" t="s">
        <v>5611</v>
      </c>
      <c r="AE2033" t="s">
        <v>5518</v>
      </c>
      <c r="AF2033" t="s">
        <v>70</v>
      </c>
      <c r="AG2033" t="s">
        <v>5612</v>
      </c>
      <c r="AH2033" t="s">
        <v>72</v>
      </c>
      <c r="AI2033" t="s">
        <v>73</v>
      </c>
      <c r="AK2033" t="s">
        <v>5611</v>
      </c>
      <c r="AL2033" t="s">
        <v>68</v>
      </c>
      <c r="AM2033" t="s">
        <v>74</v>
      </c>
      <c r="AN2033" t="s">
        <v>75</v>
      </c>
      <c r="AO2033" t="str">
        <f>_xll.BDP($B2033,"ISSUER")</f>
        <v>State Street Consumer Discreti</v>
      </c>
      <c r="AP2033" t="str">
        <f>_xll.BDP($B2033,"NAME")</f>
        <v>SS CONSUMER DISC SELECT SECT</v>
      </c>
      <c r="AQ2033" s="1" t="s">
        <v>5613</v>
      </c>
      <c r="AR2033" t="str">
        <f>_xll.BDP($B2033,"ID_ISIN")</f>
        <v>US81369Y4070</v>
      </c>
      <c r="AS2033" t="str">
        <f>_xll.BDP($B2033,"TICKER")</f>
        <v>XLY</v>
      </c>
    </row>
    <row r="2034" spans="1:45" x14ac:dyDescent="0.25">
      <c r="A2034" t="s">
        <v>5607</v>
      </c>
      <c r="B2034" t="s">
        <v>77</v>
      </c>
      <c r="C2034" s="1" t="s">
        <v>78</v>
      </c>
      <c r="D2034" t="s">
        <v>79</v>
      </c>
      <c r="E2034" t="str">
        <f>_xll.BDP($B2034,"LEGAL_ENTITY_IDENTIFIER")</f>
        <v>549300R5MYM6VZF1RM44</v>
      </c>
      <c r="F2034" t="s">
        <v>80</v>
      </c>
      <c r="G2034" t="str">
        <f>custodian!D2034</f>
        <v>31846V336</v>
      </c>
      <c r="H2034" t="str">
        <f>_xll.BDP($B2034,"ID_ISIN")</f>
        <v>US31846V3362</v>
      </c>
      <c r="I2034" s="1" t="s">
        <v>78</v>
      </c>
      <c r="J2034" t="str">
        <f>_xll.BDP($B2034,"CNTRY_OF_DOMICILE")</f>
        <v>US</v>
      </c>
      <c r="K2034" t="s">
        <v>81</v>
      </c>
      <c r="L2034" t="s">
        <v>82</v>
      </c>
      <c r="O2034" s="1"/>
      <c r="AQ2034" s="1"/>
      <c r="AR2034" s="1"/>
      <c r="AS2034" s="1"/>
    </row>
    <row r="2035" spans="1:45" x14ac:dyDescent="0.25">
      <c r="A2035" t="s">
        <v>5607</v>
      </c>
      <c r="C2035" s="1" t="s">
        <v>52</v>
      </c>
      <c r="E2035" s="1"/>
      <c r="G2035" t="str">
        <f>custodian!D2035</f>
        <v>Cash&amp;Other</v>
      </c>
      <c r="H2035" s="1"/>
      <c r="I2035" s="1"/>
      <c r="O2035" s="1"/>
      <c r="AQ2035" s="1"/>
      <c r="AR2035" s="1"/>
      <c r="AS2035" s="1"/>
    </row>
    <row r="2036" spans="1:45" x14ac:dyDescent="0.25">
      <c r="A2036" t="s">
        <v>5614</v>
      </c>
      <c r="B2036" t="s">
        <v>5615</v>
      </c>
      <c r="C2036" s="1" t="s">
        <v>5616</v>
      </c>
      <c r="D2036" t="s">
        <v>56</v>
      </c>
      <c r="E2036" s="1" t="s">
        <v>56</v>
      </c>
      <c r="F2036" t="s">
        <v>5617</v>
      </c>
      <c r="G2036" t="str">
        <f>custodian!D2036</f>
        <v>37954Y673-TRS-07/07/27-L-CLST</v>
      </c>
      <c r="H2036" s="1"/>
      <c r="I2036" s="1" t="s">
        <v>5616</v>
      </c>
      <c r="J2036" t="s">
        <v>58</v>
      </c>
      <c r="K2036" t="s">
        <v>59</v>
      </c>
      <c r="L2036" t="s">
        <v>60</v>
      </c>
      <c r="M2036" t="s">
        <v>61</v>
      </c>
      <c r="N2036" t="s">
        <v>3372</v>
      </c>
      <c r="O2036" s="1" t="s">
        <v>3373</v>
      </c>
      <c r="V2036" t="s">
        <v>64</v>
      </c>
      <c r="Y2036" t="s">
        <v>65</v>
      </c>
      <c r="Z2036" t="s">
        <v>3374</v>
      </c>
      <c r="AA2036" t="s">
        <v>5618</v>
      </c>
      <c r="AB2036" t="s">
        <v>68</v>
      </c>
      <c r="AD2036" t="s">
        <v>5618</v>
      </c>
      <c r="AE2036" t="s">
        <v>5604</v>
      </c>
      <c r="AF2036" t="s">
        <v>70</v>
      </c>
      <c r="AG2036" t="s">
        <v>5619</v>
      </c>
      <c r="AH2036" t="s">
        <v>72</v>
      </c>
      <c r="AI2036" t="s">
        <v>73</v>
      </c>
      <c r="AK2036" t="s">
        <v>5618</v>
      </c>
      <c r="AL2036" t="s">
        <v>68</v>
      </c>
      <c r="AM2036" t="s">
        <v>74</v>
      </c>
      <c r="AN2036" t="s">
        <v>75</v>
      </c>
      <c r="AO2036" t="str">
        <f>_xll.BDP($B2036,"ISSUER")</f>
        <v>Global X US Infrastructure Dev</v>
      </c>
      <c r="AP2036" t="str">
        <f>_xll.BDP($B2036,"NAME")</f>
        <v>GLOBAL X US INFRASTRUCTURE</v>
      </c>
      <c r="AQ2036" s="1" t="s">
        <v>5620</v>
      </c>
      <c r="AR2036" t="str">
        <f>_xll.BDP($B2036,"ID_ISIN")</f>
        <v>US37954Y6730</v>
      </c>
      <c r="AS2036" t="str">
        <f>_xll.BDP($B2036,"TICKER")</f>
        <v>PAVE</v>
      </c>
    </row>
    <row r="2037" spans="1:45" x14ac:dyDescent="0.25">
      <c r="A2037" t="s">
        <v>5614</v>
      </c>
      <c r="B2037" t="s">
        <v>77</v>
      </c>
      <c r="C2037" s="1" t="s">
        <v>78</v>
      </c>
      <c r="D2037" t="s">
        <v>79</v>
      </c>
      <c r="E2037" t="str">
        <f>_xll.BDP($B2037,"LEGAL_ENTITY_IDENTIFIER")</f>
        <v>549300R5MYM6VZF1RM44</v>
      </c>
      <c r="F2037" t="s">
        <v>80</v>
      </c>
      <c r="G2037" t="str">
        <f>custodian!D2037</f>
        <v>31846V336</v>
      </c>
      <c r="H2037" t="str">
        <f>_xll.BDP($B2037,"ID_ISIN")</f>
        <v>US31846V3362</v>
      </c>
      <c r="I2037" s="1" t="s">
        <v>78</v>
      </c>
      <c r="J2037" t="str">
        <f>_xll.BDP($B2037,"CNTRY_OF_DOMICILE")</f>
        <v>US</v>
      </c>
      <c r="K2037" t="s">
        <v>81</v>
      </c>
      <c r="L2037" t="s">
        <v>82</v>
      </c>
      <c r="O2037" s="1"/>
      <c r="AQ2037" s="1"/>
      <c r="AR2037" s="1"/>
      <c r="AS2037" s="1"/>
    </row>
    <row r="2038" spans="1:45" x14ac:dyDescent="0.25">
      <c r="A2038" t="s">
        <v>5614</v>
      </c>
      <c r="C2038" s="1" t="s">
        <v>52</v>
      </c>
      <c r="E2038" s="1"/>
      <c r="G2038" t="str">
        <f>custodian!D2038</f>
        <v>Cash&amp;Other</v>
      </c>
      <c r="H2038" s="1"/>
      <c r="I2038" s="1"/>
      <c r="O2038" s="1"/>
      <c r="AQ2038" s="1"/>
      <c r="AR2038" s="1"/>
      <c r="AS2038" s="1"/>
    </row>
    <row r="2039" spans="1:45" x14ac:dyDescent="0.25">
      <c r="A2039" t="s">
        <v>5621</v>
      </c>
      <c r="B2039" t="s">
        <v>5622</v>
      </c>
      <c r="C2039" s="1" t="s">
        <v>5623</v>
      </c>
      <c r="D2039" t="s">
        <v>56</v>
      </c>
      <c r="E2039" s="1" t="s">
        <v>56</v>
      </c>
      <c r="F2039" t="s">
        <v>5624</v>
      </c>
      <c r="G2039" t="str">
        <f>custodian!D2039</f>
        <v>92189F676-TRS-07/07/27-L-CLST</v>
      </c>
      <c r="H2039" s="1"/>
      <c r="I2039" s="1" t="s">
        <v>5623</v>
      </c>
      <c r="J2039" t="s">
        <v>58</v>
      </c>
      <c r="K2039" t="s">
        <v>59</v>
      </c>
      <c r="L2039" t="s">
        <v>60</v>
      </c>
      <c r="M2039" t="s">
        <v>61</v>
      </c>
      <c r="N2039" t="s">
        <v>3372</v>
      </c>
      <c r="O2039" s="1" t="s">
        <v>3373</v>
      </c>
      <c r="V2039" t="s">
        <v>64</v>
      </c>
      <c r="Y2039" t="s">
        <v>65</v>
      </c>
      <c r="Z2039" t="s">
        <v>3374</v>
      </c>
      <c r="AA2039" t="s">
        <v>5625</v>
      </c>
      <c r="AB2039" t="s">
        <v>68</v>
      </c>
      <c r="AD2039" t="s">
        <v>5625</v>
      </c>
      <c r="AE2039" t="s">
        <v>5626</v>
      </c>
      <c r="AF2039" t="s">
        <v>70</v>
      </c>
      <c r="AG2039" t="s">
        <v>5627</v>
      </c>
      <c r="AH2039" t="s">
        <v>72</v>
      </c>
      <c r="AI2039" t="s">
        <v>73</v>
      </c>
      <c r="AK2039" t="s">
        <v>5625</v>
      </c>
      <c r="AL2039" t="s">
        <v>68</v>
      </c>
      <c r="AM2039" t="s">
        <v>74</v>
      </c>
      <c r="AN2039" t="s">
        <v>75</v>
      </c>
      <c r="AO2039" t="str">
        <f>_xll.BDP($B2039,"ISSUER")</f>
        <v>VanEck Semiconductor ETF</v>
      </c>
      <c r="AP2039" t="str">
        <f>_xll.BDP($B2039,"NAME")</f>
        <v>VANECK SEMICONDUCTOR ETF</v>
      </c>
      <c r="AQ2039" s="1" t="s">
        <v>5628</v>
      </c>
      <c r="AR2039" t="str">
        <f>_xll.BDP($B2039,"ID_ISIN")</f>
        <v>US92189F6768</v>
      </c>
      <c r="AS2039" t="str">
        <f>_xll.BDP($B2039,"TICKER")</f>
        <v>SMH</v>
      </c>
    </row>
    <row r="2040" spans="1:45" x14ac:dyDescent="0.25">
      <c r="A2040" t="s">
        <v>5621</v>
      </c>
      <c r="B2040" t="s">
        <v>77</v>
      </c>
      <c r="C2040" s="1" t="s">
        <v>78</v>
      </c>
      <c r="D2040" t="s">
        <v>79</v>
      </c>
      <c r="E2040" t="str">
        <f>_xll.BDP($B2040,"LEGAL_ENTITY_IDENTIFIER")</f>
        <v>549300R5MYM6VZF1RM44</v>
      </c>
      <c r="F2040" t="s">
        <v>80</v>
      </c>
      <c r="G2040" t="str">
        <f>custodian!D2040</f>
        <v>31846V336</v>
      </c>
      <c r="H2040" t="str">
        <f>_xll.BDP($B2040,"ID_ISIN")</f>
        <v>US31846V3362</v>
      </c>
      <c r="I2040" s="1" t="s">
        <v>78</v>
      </c>
      <c r="J2040" t="str">
        <f>_xll.BDP($B2040,"CNTRY_OF_DOMICILE")</f>
        <v>US</v>
      </c>
      <c r="K2040" t="s">
        <v>81</v>
      </c>
      <c r="L2040" t="s">
        <v>82</v>
      </c>
      <c r="O2040" s="1"/>
      <c r="AQ2040" s="1"/>
      <c r="AR2040" s="1"/>
      <c r="AS2040" s="1"/>
    </row>
    <row r="2041" spans="1:45" x14ac:dyDescent="0.25">
      <c r="A2041" t="s">
        <v>5621</v>
      </c>
      <c r="C2041" s="1" t="s">
        <v>52</v>
      </c>
      <c r="E2041" s="1"/>
      <c r="G2041" t="str">
        <f>custodian!D2041</f>
        <v>Cash&amp;Other</v>
      </c>
      <c r="H2041" s="1"/>
      <c r="I2041" s="1"/>
      <c r="O2041" s="1"/>
      <c r="AQ2041" s="1"/>
      <c r="AR2041" s="1"/>
      <c r="AS2041" s="1"/>
    </row>
    <row r="2042" spans="1:45" x14ac:dyDescent="0.25">
      <c r="A2042" t="s">
        <v>5629</v>
      </c>
      <c r="B2042" t="s">
        <v>5630</v>
      </c>
      <c r="C2042" s="1" t="s">
        <v>5631</v>
      </c>
      <c r="D2042" t="s">
        <v>56</v>
      </c>
      <c r="E2042" s="1" t="s">
        <v>56</v>
      </c>
      <c r="F2042" t="s">
        <v>5632</v>
      </c>
      <c r="G2042" t="str">
        <f>custodian!D2042</f>
        <v>46434G772-TRS-07/05/27-L-MREX</v>
      </c>
      <c r="H2042" s="1"/>
      <c r="I2042" s="1" t="s">
        <v>5631</v>
      </c>
      <c r="J2042" t="s">
        <v>58</v>
      </c>
      <c r="K2042" t="s">
        <v>59</v>
      </c>
      <c r="L2042" t="s">
        <v>60</v>
      </c>
      <c r="M2042" t="s">
        <v>61</v>
      </c>
      <c r="N2042" t="s">
        <v>87</v>
      </c>
      <c r="O2042" s="1" t="s">
        <v>88</v>
      </c>
      <c r="V2042" t="s">
        <v>64</v>
      </c>
      <c r="Y2042" t="s">
        <v>65</v>
      </c>
      <c r="Z2042" t="s">
        <v>4395</v>
      </c>
      <c r="AA2042" t="s">
        <v>5633</v>
      </c>
      <c r="AB2042" t="s">
        <v>68</v>
      </c>
      <c r="AD2042" t="s">
        <v>5633</v>
      </c>
      <c r="AE2042" t="s">
        <v>4946</v>
      </c>
      <c r="AF2042" t="s">
        <v>70</v>
      </c>
      <c r="AG2042" t="s">
        <v>5634</v>
      </c>
      <c r="AH2042" t="s">
        <v>72</v>
      </c>
      <c r="AI2042" t="s">
        <v>73</v>
      </c>
      <c r="AK2042" t="s">
        <v>5633</v>
      </c>
      <c r="AL2042" t="s">
        <v>68</v>
      </c>
      <c r="AM2042" t="s">
        <v>74</v>
      </c>
      <c r="AN2042" t="s">
        <v>75</v>
      </c>
      <c r="AO2042" t="str">
        <f>_xll.BDP($B2042,"ISSUER")</f>
        <v>iShares MSCI Taiwan ETF</v>
      </c>
      <c r="AP2042" t="str">
        <f>_xll.BDP($B2042,"NAME")</f>
        <v>ISHARES MSCI TAIWAN ETF</v>
      </c>
      <c r="AQ2042" s="1" t="s">
        <v>5635</v>
      </c>
      <c r="AR2042" t="str">
        <f>_xll.BDP($B2042,"ID_ISIN")</f>
        <v>US46434G7723</v>
      </c>
      <c r="AS2042" t="str">
        <f>_xll.BDP($B2042,"TICKER")</f>
        <v>EWT</v>
      </c>
    </row>
    <row r="2043" spans="1:45" x14ac:dyDescent="0.25">
      <c r="A2043" t="s">
        <v>5629</v>
      </c>
      <c r="B2043" t="s">
        <v>77</v>
      </c>
      <c r="C2043" s="1" t="s">
        <v>78</v>
      </c>
      <c r="D2043" t="s">
        <v>79</v>
      </c>
      <c r="E2043" t="str">
        <f>_xll.BDP($B2043,"LEGAL_ENTITY_IDENTIFIER")</f>
        <v>549300R5MYM6VZF1RM44</v>
      </c>
      <c r="F2043" t="s">
        <v>80</v>
      </c>
      <c r="G2043" t="str">
        <f>custodian!D2043</f>
        <v>31846V336</v>
      </c>
      <c r="H2043" t="str">
        <f>_xll.BDP($B2043,"ID_ISIN")</f>
        <v>US31846V3362</v>
      </c>
      <c r="I2043" s="1" t="s">
        <v>78</v>
      </c>
      <c r="J2043" t="str">
        <f>_xll.BDP($B2043,"CNTRY_OF_DOMICILE")</f>
        <v>US</v>
      </c>
      <c r="K2043" t="s">
        <v>81</v>
      </c>
      <c r="L2043" t="s">
        <v>82</v>
      </c>
      <c r="O2043" s="1"/>
      <c r="AQ2043" s="1"/>
      <c r="AR2043" s="1"/>
      <c r="AS2043" s="1"/>
    </row>
    <row r="2044" spans="1:45" x14ac:dyDescent="0.25">
      <c r="A2044" t="s">
        <v>5629</v>
      </c>
      <c r="C2044" s="1" t="s">
        <v>52</v>
      </c>
      <c r="E2044" s="1"/>
      <c r="G2044" t="str">
        <f>custodian!D2044</f>
        <v>Cash&amp;Other</v>
      </c>
      <c r="H2044" s="1"/>
      <c r="I2044" s="1"/>
      <c r="O2044" s="1"/>
      <c r="AQ2044" s="1"/>
      <c r="AR2044" s="1"/>
      <c r="AS2044" s="1"/>
    </row>
    <row r="2045" spans="1:45" x14ac:dyDescent="0.25">
      <c r="A2045" t="s">
        <v>5636</v>
      </c>
      <c r="B2045" t="s">
        <v>5637</v>
      </c>
      <c r="C2045" s="1" t="s">
        <v>5638</v>
      </c>
      <c r="D2045" t="s">
        <v>56</v>
      </c>
      <c r="E2045" s="1" t="s">
        <v>56</v>
      </c>
      <c r="F2045" t="s">
        <v>5639</v>
      </c>
      <c r="G2045" t="str">
        <f>custodian!D2045</f>
        <v>922908629-TRS-07/07/27-L-CLST</v>
      </c>
      <c r="H2045" s="1"/>
      <c r="I2045" s="1" t="s">
        <v>5638</v>
      </c>
      <c r="J2045" t="s">
        <v>58</v>
      </c>
      <c r="K2045" t="s">
        <v>59</v>
      </c>
      <c r="L2045" t="s">
        <v>60</v>
      </c>
      <c r="M2045" t="s">
        <v>61</v>
      </c>
      <c r="N2045" t="s">
        <v>3372</v>
      </c>
      <c r="O2045" s="1" t="s">
        <v>3373</v>
      </c>
      <c r="V2045" t="s">
        <v>64</v>
      </c>
      <c r="Y2045" t="s">
        <v>65</v>
      </c>
      <c r="Z2045" t="s">
        <v>3374</v>
      </c>
      <c r="AA2045" t="s">
        <v>5640</v>
      </c>
      <c r="AB2045" t="s">
        <v>68</v>
      </c>
      <c r="AD2045" t="s">
        <v>5640</v>
      </c>
      <c r="AE2045" t="s">
        <v>5641</v>
      </c>
      <c r="AF2045" t="s">
        <v>70</v>
      </c>
      <c r="AG2045" t="s">
        <v>5642</v>
      </c>
      <c r="AH2045" t="s">
        <v>72</v>
      </c>
      <c r="AI2045" t="s">
        <v>73</v>
      </c>
      <c r="AK2045" t="s">
        <v>5640</v>
      </c>
      <c r="AL2045" t="s">
        <v>68</v>
      </c>
      <c r="AM2045" t="s">
        <v>74</v>
      </c>
      <c r="AN2045" t="s">
        <v>75</v>
      </c>
      <c r="AO2045" t="str">
        <f>_xll.BDP($B2045,"ISSUER")</f>
        <v>Vanguard Mid-Cap ETF</v>
      </c>
      <c r="AP2045" t="str">
        <f>_xll.BDP($B2045,"NAME")</f>
        <v>VANGUARD MID-CAP ETF</v>
      </c>
      <c r="AQ2045" s="1" t="s">
        <v>5643</v>
      </c>
      <c r="AR2045" t="str">
        <f>_xll.BDP($B2045,"ID_ISIN")</f>
        <v>US9229086296</v>
      </c>
      <c r="AS2045" t="str">
        <f>_xll.BDP($B2045,"TICKER")</f>
        <v>VO</v>
      </c>
    </row>
    <row r="2046" spans="1:45" x14ac:dyDescent="0.25">
      <c r="A2046" t="s">
        <v>5636</v>
      </c>
      <c r="B2046" t="s">
        <v>77</v>
      </c>
      <c r="C2046" s="1" t="s">
        <v>78</v>
      </c>
      <c r="D2046" t="s">
        <v>79</v>
      </c>
      <c r="E2046" t="str">
        <f>_xll.BDP($B2046,"LEGAL_ENTITY_IDENTIFIER")</f>
        <v>549300R5MYM6VZF1RM44</v>
      </c>
      <c r="F2046" t="s">
        <v>80</v>
      </c>
      <c r="G2046" t="str">
        <f>custodian!D2046</f>
        <v>31846V336</v>
      </c>
      <c r="H2046" t="str">
        <f>_xll.BDP($B2046,"ID_ISIN")</f>
        <v>US31846V3362</v>
      </c>
      <c r="I2046" s="1" t="s">
        <v>78</v>
      </c>
      <c r="J2046" t="str">
        <f>_xll.BDP($B2046,"CNTRY_OF_DOMICILE")</f>
        <v>US</v>
      </c>
      <c r="K2046" t="s">
        <v>81</v>
      </c>
      <c r="L2046" t="s">
        <v>82</v>
      </c>
      <c r="O2046" s="1"/>
      <c r="AQ2046" s="1"/>
      <c r="AR2046" s="1"/>
      <c r="AS2046" s="1"/>
    </row>
    <row r="2047" spans="1:45" x14ac:dyDescent="0.25">
      <c r="A2047" t="s">
        <v>5636</v>
      </c>
      <c r="C2047" s="1" t="s">
        <v>52</v>
      </c>
      <c r="E2047" s="1"/>
      <c r="G2047" t="str">
        <f>custodian!D2047</f>
        <v>Cash&amp;Other</v>
      </c>
      <c r="H2047" s="1"/>
      <c r="I2047" s="1"/>
      <c r="O2047" s="1"/>
      <c r="AQ2047" s="1"/>
      <c r="AR2047" s="1"/>
      <c r="AS2047" s="1"/>
    </row>
    <row r="2048" spans="1:45" x14ac:dyDescent="0.25">
      <c r="A2048" t="s">
        <v>5644</v>
      </c>
      <c r="B2048" t="s">
        <v>5645</v>
      </c>
      <c r="C2048" s="1" t="s">
        <v>5646</v>
      </c>
      <c r="D2048" t="s">
        <v>56</v>
      </c>
      <c r="E2048" s="1" t="s">
        <v>56</v>
      </c>
      <c r="F2048" t="s">
        <v>5647</v>
      </c>
      <c r="G2048" t="str">
        <f>custodian!D2048</f>
        <v>922908736-TRS-07/07/27-L-CLST</v>
      </c>
      <c r="H2048" s="1"/>
      <c r="I2048" s="1" t="s">
        <v>5646</v>
      </c>
      <c r="J2048" t="s">
        <v>58</v>
      </c>
      <c r="K2048" t="s">
        <v>59</v>
      </c>
      <c r="L2048" t="s">
        <v>60</v>
      </c>
      <c r="M2048" t="s">
        <v>61</v>
      </c>
      <c r="N2048" t="s">
        <v>3372</v>
      </c>
      <c r="O2048" s="1" t="s">
        <v>3373</v>
      </c>
      <c r="V2048" t="s">
        <v>64</v>
      </c>
      <c r="Y2048" t="s">
        <v>65</v>
      </c>
      <c r="Z2048" t="s">
        <v>3374</v>
      </c>
      <c r="AA2048" t="s">
        <v>5648</v>
      </c>
      <c r="AB2048" t="s">
        <v>68</v>
      </c>
      <c r="AD2048" t="s">
        <v>5648</v>
      </c>
      <c r="AE2048" t="s">
        <v>5649</v>
      </c>
      <c r="AF2048" t="s">
        <v>70</v>
      </c>
      <c r="AG2048" t="s">
        <v>5650</v>
      </c>
      <c r="AH2048" t="s">
        <v>72</v>
      </c>
      <c r="AI2048" t="s">
        <v>73</v>
      </c>
      <c r="AK2048" t="s">
        <v>5648</v>
      </c>
      <c r="AL2048" t="s">
        <v>68</v>
      </c>
      <c r="AM2048" t="s">
        <v>74</v>
      </c>
      <c r="AN2048" t="s">
        <v>75</v>
      </c>
      <c r="AO2048" t="str">
        <f>_xll.BDP($B2048,"ISSUER")</f>
        <v>Vanguard Growth ETF</v>
      </c>
      <c r="AP2048" t="str">
        <f>_xll.BDP($B2048,"NAME")</f>
        <v>VANGUARD GROWTH ETF</v>
      </c>
      <c r="AQ2048" s="1" t="s">
        <v>5651</v>
      </c>
      <c r="AR2048" t="str">
        <f>_xll.BDP($B2048,"ID_ISIN")</f>
        <v>US9229087369</v>
      </c>
      <c r="AS2048" t="str">
        <f>_xll.BDP($B2048,"TICKER")</f>
        <v>VUG</v>
      </c>
    </row>
    <row r="2049" spans="1:45" x14ac:dyDescent="0.25">
      <c r="A2049" t="s">
        <v>5644</v>
      </c>
      <c r="B2049" t="s">
        <v>77</v>
      </c>
      <c r="C2049" s="1" t="s">
        <v>78</v>
      </c>
      <c r="D2049" t="s">
        <v>79</v>
      </c>
      <c r="E2049" t="str">
        <f>_xll.BDP($B2049,"LEGAL_ENTITY_IDENTIFIER")</f>
        <v>549300R5MYM6VZF1RM44</v>
      </c>
      <c r="F2049" t="s">
        <v>80</v>
      </c>
      <c r="G2049" t="str">
        <f>custodian!D2049</f>
        <v>31846V336</v>
      </c>
      <c r="H2049" t="str">
        <f>_xll.BDP($B2049,"ID_ISIN")</f>
        <v>US31846V3362</v>
      </c>
      <c r="I2049" s="1" t="s">
        <v>78</v>
      </c>
      <c r="J2049" t="str">
        <f>_xll.BDP($B2049,"CNTRY_OF_DOMICILE")</f>
        <v>US</v>
      </c>
      <c r="K2049" t="s">
        <v>81</v>
      </c>
      <c r="L2049" t="s">
        <v>82</v>
      </c>
      <c r="O2049" s="1"/>
      <c r="AQ2049" s="1"/>
      <c r="AR2049" s="1"/>
      <c r="AS2049" s="1"/>
    </row>
    <row r="2050" spans="1:45" x14ac:dyDescent="0.25">
      <c r="A2050" t="s">
        <v>5644</v>
      </c>
      <c r="C2050" s="1" t="s">
        <v>52</v>
      </c>
      <c r="E2050" s="1"/>
      <c r="G2050" t="str">
        <f>custodian!D2050</f>
        <v>Cash&amp;Other</v>
      </c>
      <c r="H2050" s="1"/>
      <c r="I2050" s="1"/>
      <c r="O2050" s="1"/>
      <c r="AQ2050" s="1"/>
      <c r="AR2050" s="1"/>
      <c r="AS2050" s="1"/>
    </row>
    <row r="2051" spans="1:45" x14ac:dyDescent="0.25">
      <c r="A2051" t="s">
        <v>5652</v>
      </c>
      <c r="B2051" t="s">
        <v>5653</v>
      </c>
      <c r="C2051" s="1" t="s">
        <v>5654</v>
      </c>
      <c r="D2051" t="s">
        <v>56</v>
      </c>
      <c r="E2051" s="1" t="s">
        <v>56</v>
      </c>
      <c r="F2051" t="s">
        <v>5655</v>
      </c>
      <c r="G2051" t="str">
        <f>custodian!D2051</f>
        <v>921909768-TRS-07/05/27-L-MREX</v>
      </c>
      <c r="H2051" s="1"/>
      <c r="I2051" s="1" t="s">
        <v>5654</v>
      </c>
      <c r="J2051" t="s">
        <v>58</v>
      </c>
      <c r="K2051" t="s">
        <v>59</v>
      </c>
      <c r="L2051" t="s">
        <v>60</v>
      </c>
      <c r="M2051" t="s">
        <v>61</v>
      </c>
      <c r="N2051" t="s">
        <v>87</v>
      </c>
      <c r="O2051" s="1" t="s">
        <v>88</v>
      </c>
      <c r="V2051" t="s">
        <v>64</v>
      </c>
      <c r="Y2051" t="s">
        <v>65</v>
      </c>
      <c r="Z2051" t="s">
        <v>4395</v>
      </c>
      <c r="AA2051" t="s">
        <v>5656</v>
      </c>
      <c r="AB2051" t="s">
        <v>68</v>
      </c>
      <c r="AD2051" t="s">
        <v>5656</v>
      </c>
      <c r="AE2051" t="s">
        <v>5641</v>
      </c>
      <c r="AF2051" t="s">
        <v>70</v>
      </c>
      <c r="AG2051" t="s">
        <v>5657</v>
      </c>
      <c r="AH2051" t="s">
        <v>72</v>
      </c>
      <c r="AI2051" t="s">
        <v>73</v>
      </c>
      <c r="AK2051" t="s">
        <v>5656</v>
      </c>
      <c r="AL2051" t="s">
        <v>68</v>
      </c>
      <c r="AM2051" t="s">
        <v>74</v>
      </c>
      <c r="AN2051" t="s">
        <v>75</v>
      </c>
      <c r="AO2051" t="str">
        <f>_xll.BDP($B2051,"ISSUER")</f>
        <v>Vanguard Total International S</v>
      </c>
      <c r="AP2051" t="str">
        <f>_xll.BDP($B2051,"NAME")</f>
        <v>VANGUARD TOTAL INTL STOCK</v>
      </c>
      <c r="AQ2051" s="1" t="s">
        <v>5658</v>
      </c>
      <c r="AR2051" t="str">
        <f>_xll.BDP($B2051,"ID_ISIN")</f>
        <v>US9219097683</v>
      </c>
      <c r="AS2051" t="str">
        <f>_xll.BDP($B2051,"TICKER")</f>
        <v>VXUS</v>
      </c>
    </row>
    <row r="2052" spans="1:45" x14ac:dyDescent="0.25">
      <c r="A2052" t="s">
        <v>5652</v>
      </c>
      <c r="B2052" t="s">
        <v>77</v>
      </c>
      <c r="C2052" s="1" t="s">
        <v>78</v>
      </c>
      <c r="D2052" t="s">
        <v>79</v>
      </c>
      <c r="E2052" t="str">
        <f>_xll.BDP($B2052,"LEGAL_ENTITY_IDENTIFIER")</f>
        <v>549300R5MYM6VZF1RM44</v>
      </c>
      <c r="F2052" t="s">
        <v>80</v>
      </c>
      <c r="G2052" t="str">
        <f>custodian!D2052</f>
        <v>31846V336</v>
      </c>
      <c r="H2052" t="str">
        <f>_xll.BDP($B2052,"ID_ISIN")</f>
        <v>US31846V3362</v>
      </c>
      <c r="I2052" s="1" t="s">
        <v>78</v>
      </c>
      <c r="J2052" t="str">
        <f>_xll.BDP($B2052,"CNTRY_OF_DOMICILE")</f>
        <v>US</v>
      </c>
      <c r="K2052" t="s">
        <v>81</v>
      </c>
      <c r="L2052" t="s">
        <v>82</v>
      </c>
      <c r="O2052" s="1"/>
      <c r="AQ2052" s="1"/>
      <c r="AR2052" s="1"/>
      <c r="AS2052" s="1"/>
    </row>
    <row r="2053" spans="1:45" x14ac:dyDescent="0.25">
      <c r="A2053" t="s">
        <v>5652</v>
      </c>
      <c r="C2053" s="1" t="s">
        <v>52</v>
      </c>
      <c r="E2053" s="1"/>
      <c r="G2053" t="str">
        <f>custodian!D2053</f>
        <v>Cash&amp;Other</v>
      </c>
      <c r="H2053" s="1"/>
      <c r="I2053" s="1"/>
      <c r="O2053" s="1"/>
      <c r="AQ2053" s="1"/>
      <c r="AR2053" s="1"/>
      <c r="AS2053" s="1"/>
    </row>
    <row r="2054" spans="1:45" x14ac:dyDescent="0.25">
      <c r="A2054" t="s">
        <v>5659</v>
      </c>
      <c r="B2054" t="s">
        <v>5660</v>
      </c>
      <c r="C2054" s="1" t="s">
        <v>5661</v>
      </c>
      <c r="D2054" t="s">
        <v>5662</v>
      </c>
      <c r="E2054" t="str">
        <f>_xll.BDP($B2054,"LEGAL_ENTITY_IDENTIFIER")</f>
        <v>52990090ZT33AKPDBX62</v>
      </c>
      <c r="F2054" t="s">
        <v>5662</v>
      </c>
      <c r="G2054" t="str">
        <f>custodian!D2054</f>
        <v>006739106</v>
      </c>
      <c r="H2054" t="str">
        <f>_xll.BDP($B2054,"ID_ISIN")</f>
        <v>US0067391062</v>
      </c>
      <c r="I2054" s="1" t="s">
        <v>5661</v>
      </c>
      <c r="J2054" t="str">
        <f>_xll.BDP($B2054,"CNTRY_OF_DOMICILE")</f>
        <v>US</v>
      </c>
      <c r="K2054" t="s">
        <v>98</v>
      </c>
      <c r="L2054" t="s">
        <v>99</v>
      </c>
      <c r="O2054" s="1"/>
      <c r="AQ2054" s="1"/>
      <c r="AR2054" s="1"/>
      <c r="AS2054" s="1"/>
    </row>
    <row r="2055" spans="1:45" x14ac:dyDescent="0.25">
      <c r="A2055" t="s">
        <v>5659</v>
      </c>
      <c r="B2055" t="s">
        <v>5663</v>
      </c>
      <c r="C2055" s="1" t="s">
        <v>5664</v>
      </c>
      <c r="D2055" t="s">
        <v>5665</v>
      </c>
      <c r="E2055" t="str">
        <f>_xll.BDP($B2055,"LEGAL_ENTITY_IDENTIFIER")</f>
        <v>2549004GGE2APGNT6O92</v>
      </c>
      <c r="F2055" t="s">
        <v>5665</v>
      </c>
      <c r="G2055" t="str">
        <f>custodian!D2055</f>
        <v>398182303</v>
      </c>
      <c r="H2055" t="str">
        <f>_xll.BDP($B2055,"ID_ISIN")</f>
        <v>US3981823038</v>
      </c>
      <c r="I2055" s="1" t="s">
        <v>5664</v>
      </c>
      <c r="J2055" t="str">
        <f>_xll.BDP($B2055,"CNTRY_OF_DOMICILE")</f>
        <v>US</v>
      </c>
      <c r="K2055" t="s">
        <v>98</v>
      </c>
      <c r="L2055" t="s">
        <v>99</v>
      </c>
      <c r="O2055" s="1"/>
      <c r="AQ2055" s="1"/>
      <c r="AR2055" s="1"/>
      <c r="AS2055" s="1"/>
    </row>
    <row r="2056" spans="1:45" x14ac:dyDescent="0.25">
      <c r="A2056" t="s">
        <v>5659</v>
      </c>
      <c r="B2056" t="s">
        <v>5666</v>
      </c>
      <c r="C2056" s="1" t="s">
        <v>5667</v>
      </c>
      <c r="D2056" t="s">
        <v>5668</v>
      </c>
      <c r="E2056" t="str">
        <f>_xll.BDP($B2056,"LEGAL_ENTITY_IDENTIFIER")</f>
        <v>549300LDT5AP8S0NBM78</v>
      </c>
      <c r="F2056" t="s">
        <v>5668</v>
      </c>
      <c r="G2056" t="str">
        <f>custodian!D2056</f>
        <v>H01301128</v>
      </c>
      <c r="H2056" t="str">
        <f>_xll.BDP($B2056,"ID_ISIN")</f>
        <v>CH0432492467</v>
      </c>
      <c r="I2056" s="1" t="s">
        <v>5667</v>
      </c>
      <c r="J2056" t="str">
        <f>_xll.BDP($B2056,"CNTRY_OF_DOMICILE")</f>
        <v>CH</v>
      </c>
      <c r="K2056" t="s">
        <v>98</v>
      </c>
      <c r="L2056" t="s">
        <v>99</v>
      </c>
      <c r="O2056" s="1"/>
      <c r="AQ2056" s="1"/>
      <c r="AR2056" s="1"/>
      <c r="AS2056" s="1"/>
    </row>
    <row r="2057" spans="1:45" x14ac:dyDescent="0.25">
      <c r="A2057" t="s">
        <v>5659</v>
      </c>
      <c r="B2057" t="s">
        <v>5669</v>
      </c>
      <c r="C2057" s="1" t="s">
        <v>5670</v>
      </c>
      <c r="D2057" t="s">
        <v>5671</v>
      </c>
      <c r="E2057" t="str">
        <f>_xll.BDP($B2057,"LEGAL_ENTITY_IDENTIFIER")</f>
        <v>YM4O38W15AX4YLLQKU27</v>
      </c>
      <c r="F2057" t="s">
        <v>5671</v>
      </c>
      <c r="G2057" t="str">
        <f>custodian!D2057</f>
        <v>117043109</v>
      </c>
      <c r="H2057" t="str">
        <f>_xll.BDP($B2057,"ID_ISIN")</f>
        <v>US1170431092</v>
      </c>
      <c r="I2057" s="1" t="s">
        <v>5670</v>
      </c>
      <c r="J2057" t="str">
        <f>_xll.BDP($B2057,"CNTRY_OF_DOMICILE")</f>
        <v>US</v>
      </c>
      <c r="K2057" t="s">
        <v>98</v>
      </c>
      <c r="L2057" t="s">
        <v>99</v>
      </c>
      <c r="O2057" s="1"/>
      <c r="AQ2057" s="1"/>
      <c r="AR2057" s="1"/>
      <c r="AS2057" s="1"/>
    </row>
    <row r="2058" spans="1:45" x14ac:dyDescent="0.25">
      <c r="A2058" t="s">
        <v>5659</v>
      </c>
      <c r="B2058" t="s">
        <v>5672</v>
      </c>
      <c r="C2058" s="1" t="s">
        <v>5673</v>
      </c>
      <c r="D2058" t="s">
        <v>5674</v>
      </c>
      <c r="E2058" t="str">
        <f>_xll.BDP($B2058,"LEGAL_ENTITY_IDENTIFIER")</f>
        <v>LH7MQB13NWY7CJ9VC445</v>
      </c>
      <c r="F2058" t="s">
        <v>5674</v>
      </c>
      <c r="G2058" t="str">
        <f>custodian!D2058</f>
        <v>112463104</v>
      </c>
      <c r="H2058" t="str">
        <f>_xll.BDP($B2058,"ID_ISIN")</f>
        <v>US1124631045</v>
      </c>
      <c r="I2058" s="1" t="s">
        <v>5673</v>
      </c>
      <c r="J2058" t="str">
        <f>_xll.BDP($B2058,"CNTRY_OF_DOMICILE")</f>
        <v>US</v>
      </c>
      <c r="K2058" t="s">
        <v>98</v>
      </c>
      <c r="L2058" t="s">
        <v>99</v>
      </c>
      <c r="O2058" s="1"/>
      <c r="AQ2058" s="1"/>
      <c r="AR2058" s="1"/>
      <c r="AS2058" s="1"/>
    </row>
    <row r="2059" spans="1:45" x14ac:dyDescent="0.25">
      <c r="A2059" t="s">
        <v>5659</v>
      </c>
      <c r="B2059" t="s">
        <v>5251</v>
      </c>
      <c r="C2059" s="1" t="s">
        <v>5252</v>
      </c>
      <c r="D2059" t="s">
        <v>5253</v>
      </c>
      <c r="E2059" t="str">
        <f>_xll.BDP($B2059,"LEGAL_ENTITY_IDENTIFIER")</f>
        <v>FXM8FAOHMYDIPD38UZ17</v>
      </c>
      <c r="F2059" t="s">
        <v>5253</v>
      </c>
      <c r="G2059" t="str">
        <f>custodian!D2059</f>
        <v>09857L108</v>
      </c>
      <c r="H2059" t="str">
        <f>_xll.BDP($B2059,"ID_ISIN")</f>
        <v>US09857L1089</v>
      </c>
      <c r="I2059" s="1" t="s">
        <v>5252</v>
      </c>
      <c r="J2059" t="str">
        <f>_xll.BDP($B2059,"CNTRY_OF_DOMICILE")</f>
        <v>US</v>
      </c>
      <c r="K2059" t="s">
        <v>98</v>
      </c>
      <c r="L2059" t="s">
        <v>99</v>
      </c>
      <c r="O2059" s="1"/>
      <c r="AQ2059" s="1"/>
      <c r="AR2059" s="1"/>
      <c r="AS2059" s="1"/>
    </row>
    <row r="2060" spans="1:45" x14ac:dyDescent="0.25">
      <c r="A2060" t="s">
        <v>5659</v>
      </c>
      <c r="B2060" t="s">
        <v>5675</v>
      </c>
      <c r="C2060" s="1" t="s">
        <v>5676</v>
      </c>
      <c r="D2060" t="s">
        <v>5677</v>
      </c>
      <c r="E2060" t="str">
        <f>_xll.BDP($B2060,"LEGAL_ENTITY_IDENTIFIER")</f>
        <v>#N/A N/A</v>
      </c>
      <c r="F2060" t="s">
        <v>5678</v>
      </c>
      <c r="G2060" t="str">
        <f>custodian!D2060</f>
        <v>10950A106</v>
      </c>
      <c r="H2060" t="str">
        <f>_xll.BDP($B2060,"ID_ISIN")</f>
        <v>US10950A1060</v>
      </c>
      <c r="I2060" s="1" t="s">
        <v>5676</v>
      </c>
      <c r="J2060" t="str">
        <f>_xll.BDP($B2060,"CNTRY_OF_DOMICILE")</f>
        <v>US</v>
      </c>
      <c r="K2060" t="s">
        <v>98</v>
      </c>
      <c r="L2060" t="s">
        <v>99</v>
      </c>
      <c r="O2060" s="1"/>
      <c r="AQ2060" s="1"/>
      <c r="AR2060" s="1"/>
      <c r="AS2060" s="1"/>
    </row>
    <row r="2061" spans="1:45" x14ac:dyDescent="0.25">
      <c r="A2061" t="s">
        <v>5659</v>
      </c>
      <c r="B2061" t="s">
        <v>5679</v>
      </c>
      <c r="C2061" s="1" t="s">
        <v>5680</v>
      </c>
      <c r="D2061" t="s">
        <v>5681</v>
      </c>
      <c r="E2061" t="str">
        <f>_xll.BDP($B2061,"LEGAL_ENTITY_IDENTIFIER")</f>
        <v>5493005UB0KFRKBPCU72</v>
      </c>
      <c r="F2061" t="s">
        <v>5681</v>
      </c>
      <c r="G2061" t="str">
        <f>custodian!D2061</f>
        <v>131193104</v>
      </c>
      <c r="H2061" t="str">
        <f>_xll.BDP($B2061,"ID_ISIN")</f>
        <v>US1311931042</v>
      </c>
      <c r="I2061" s="1" t="s">
        <v>5680</v>
      </c>
      <c r="J2061" t="str">
        <f>_xll.BDP($B2061,"CNTRY_OF_DOMICILE")</f>
        <v>US</v>
      </c>
      <c r="K2061" t="s">
        <v>98</v>
      </c>
      <c r="L2061" t="s">
        <v>99</v>
      </c>
      <c r="O2061" s="1"/>
      <c r="AQ2061" s="1"/>
      <c r="AR2061" s="1"/>
      <c r="AS2061" s="1"/>
    </row>
    <row r="2062" spans="1:45" x14ac:dyDescent="0.25">
      <c r="A2062" t="s">
        <v>5659</v>
      </c>
      <c r="B2062" t="s">
        <v>4673</v>
      </c>
      <c r="C2062" s="1" t="s">
        <v>4674</v>
      </c>
      <c r="D2062" t="s">
        <v>4675</v>
      </c>
      <c r="E2062" t="str">
        <f>_xll.BDP($B2062,"LEGAL_ENTITY_IDENTIFIER")</f>
        <v>F1OF2ZSX47CR0BCWA982</v>
      </c>
      <c r="F2062" t="s">
        <v>4675</v>
      </c>
      <c r="G2062" t="str">
        <f>custodian!D2062</f>
        <v>G2004J103</v>
      </c>
      <c r="H2062" t="str">
        <f>_xll.BDP($B2062,"ID_ISIN")</f>
        <v>BMG2004J1036</v>
      </c>
      <c r="I2062" s="1" t="s">
        <v>4674</v>
      </c>
      <c r="J2062" t="str">
        <f>_xll.BDP($B2062,"CNTRY_OF_DOMICILE")</f>
        <v>US</v>
      </c>
      <c r="K2062" t="s">
        <v>98</v>
      </c>
      <c r="L2062" t="s">
        <v>99</v>
      </c>
      <c r="O2062" s="1"/>
      <c r="AQ2062" s="1"/>
      <c r="AR2062" s="1"/>
      <c r="AS2062" s="1"/>
    </row>
    <row r="2063" spans="1:45" x14ac:dyDescent="0.25">
      <c r="A2063" t="s">
        <v>5659</v>
      </c>
      <c r="B2063" t="s">
        <v>259</v>
      </c>
      <c r="C2063" s="1" t="s">
        <v>260</v>
      </c>
      <c r="D2063" t="s">
        <v>261</v>
      </c>
      <c r="E2063" t="str">
        <f>_xll.BDP($B2063,"LEGAL_ENTITY_IDENTIFIER")</f>
        <v>QJKMVPIGLH7530PCUE20</v>
      </c>
      <c r="F2063" t="s">
        <v>261</v>
      </c>
      <c r="G2063" t="str">
        <f>custodian!D2063</f>
        <v>216648501</v>
      </c>
      <c r="H2063" t="str">
        <f>_xll.BDP($B2063,"ID_ISIN")</f>
        <v>US2166485019</v>
      </c>
      <c r="I2063" s="1" t="s">
        <v>260</v>
      </c>
      <c r="J2063" t="str">
        <f>_xll.BDP($B2063,"CNTRY_OF_DOMICILE")</f>
        <v>US</v>
      </c>
      <c r="K2063" t="s">
        <v>98</v>
      </c>
      <c r="L2063" t="s">
        <v>99</v>
      </c>
      <c r="O2063" s="1"/>
      <c r="AQ2063" s="1"/>
      <c r="AR2063" s="1"/>
      <c r="AS2063" s="1"/>
    </row>
    <row r="2064" spans="1:45" x14ac:dyDescent="0.25">
      <c r="A2064" t="s">
        <v>5659</v>
      </c>
      <c r="B2064" t="s">
        <v>131</v>
      </c>
      <c r="C2064" s="1" t="s">
        <v>132</v>
      </c>
      <c r="D2064" t="s">
        <v>133</v>
      </c>
      <c r="E2064" t="str">
        <f>_xll.BDP($B2064,"LEGAL_ENTITY_IDENTIFIER")</f>
        <v>Q2CCMS6R0AS67HJMBN42</v>
      </c>
      <c r="F2064" t="s">
        <v>133</v>
      </c>
      <c r="G2064" t="str">
        <f>custodian!D2064</f>
        <v>247361702</v>
      </c>
      <c r="H2064" t="str">
        <f>_xll.BDP($B2064,"ID_ISIN")</f>
        <v>US2473617023</v>
      </c>
      <c r="I2064" s="1" t="s">
        <v>132</v>
      </c>
      <c r="J2064" t="str">
        <f>_xll.BDP($B2064,"CNTRY_OF_DOMICILE")</f>
        <v>US</v>
      </c>
      <c r="K2064" t="s">
        <v>98</v>
      </c>
      <c r="L2064" t="s">
        <v>99</v>
      </c>
      <c r="O2064" s="1"/>
      <c r="AQ2064" s="1"/>
      <c r="AR2064" s="1"/>
      <c r="AS2064" s="1"/>
    </row>
    <row r="2065" spans="1:45" x14ac:dyDescent="0.25">
      <c r="A2065" t="s">
        <v>5659</v>
      </c>
      <c r="B2065" t="s">
        <v>5682</v>
      </c>
      <c r="C2065" s="1" t="s">
        <v>5683</v>
      </c>
      <c r="D2065" t="s">
        <v>5684</v>
      </c>
      <c r="E2065" t="str">
        <f>_xll.BDP($B2065,"LEGAL_ENTITY_IDENTIFIER")</f>
        <v>M2XHYMU3TZNEZURC6H66</v>
      </c>
      <c r="F2065" t="s">
        <v>5684</v>
      </c>
      <c r="G2065" t="str">
        <f>custodian!D2065</f>
        <v>23918K108</v>
      </c>
      <c r="H2065" t="str">
        <f>_xll.BDP($B2065,"ID_ISIN")</f>
        <v>US23918K1088</v>
      </c>
      <c r="I2065" s="1" t="s">
        <v>5683</v>
      </c>
      <c r="J2065" t="str">
        <f>_xll.BDP($B2065,"CNTRY_OF_DOMICILE")</f>
        <v>US</v>
      </c>
      <c r="K2065" t="s">
        <v>98</v>
      </c>
      <c r="L2065" t="s">
        <v>99</v>
      </c>
      <c r="O2065" s="1"/>
      <c r="AQ2065" s="1"/>
      <c r="AR2065" s="1"/>
      <c r="AS2065" s="1"/>
    </row>
    <row r="2066" spans="1:45" x14ac:dyDescent="0.25">
      <c r="A2066" t="s">
        <v>5659</v>
      </c>
      <c r="B2066" t="s">
        <v>5685</v>
      </c>
      <c r="C2066" s="1" t="s">
        <v>5686</v>
      </c>
      <c r="D2066" t="s">
        <v>5687</v>
      </c>
      <c r="E2066" t="str">
        <f>_xll.BDP($B2066,"LEGAL_ENTITY_IDENTIFIER")</f>
        <v>549300FVRPM9DRQZRG64</v>
      </c>
      <c r="F2066" t="s">
        <v>5687</v>
      </c>
      <c r="G2066" t="str">
        <f>custodian!D2066</f>
        <v>29261A100</v>
      </c>
      <c r="H2066" t="str">
        <f>_xll.BDP($B2066,"ID_ISIN")</f>
        <v>US29261A1007</v>
      </c>
      <c r="I2066" s="1" t="s">
        <v>5686</v>
      </c>
      <c r="J2066" t="str">
        <f>_xll.BDP($B2066,"CNTRY_OF_DOMICILE")</f>
        <v>US</v>
      </c>
      <c r="K2066" t="s">
        <v>98</v>
      </c>
      <c r="L2066" t="s">
        <v>99</v>
      </c>
      <c r="O2066" s="1"/>
      <c r="AQ2066" s="1"/>
      <c r="AR2066" s="1"/>
      <c r="AS2066" s="1"/>
    </row>
    <row r="2067" spans="1:45" x14ac:dyDescent="0.25">
      <c r="A2067" t="s">
        <v>5659</v>
      </c>
      <c r="B2067" t="s">
        <v>5688</v>
      </c>
      <c r="C2067" s="1" t="s">
        <v>5689</v>
      </c>
      <c r="D2067" t="s">
        <v>5690</v>
      </c>
      <c r="E2067" t="str">
        <f>_xll.BDP($B2067,"LEGAL_ENTITY_IDENTIFIER")</f>
        <v>5493003K4HEEA8Q0BC72</v>
      </c>
      <c r="F2067" t="s">
        <v>5690</v>
      </c>
      <c r="G2067" t="str">
        <f>custodian!D2067</f>
        <v>29358P101</v>
      </c>
      <c r="H2067" t="str">
        <f>_xll.BDP($B2067,"ID_ISIN")</f>
        <v>US29358P1012</v>
      </c>
      <c r="I2067" s="1" t="s">
        <v>5689</v>
      </c>
      <c r="J2067" t="str">
        <f>_xll.BDP($B2067,"CNTRY_OF_DOMICILE")</f>
        <v>US</v>
      </c>
      <c r="K2067" t="s">
        <v>98</v>
      </c>
      <c r="L2067" t="s">
        <v>99</v>
      </c>
      <c r="O2067" s="1"/>
      <c r="AQ2067" s="1"/>
      <c r="AR2067" s="1"/>
      <c r="AS2067" s="1"/>
    </row>
    <row r="2068" spans="1:45" x14ac:dyDescent="0.25">
      <c r="A2068" t="s">
        <v>5659</v>
      </c>
      <c r="B2068" t="s">
        <v>5691</v>
      </c>
      <c r="C2068" s="1" t="s">
        <v>5692</v>
      </c>
      <c r="D2068" t="s">
        <v>5693</v>
      </c>
      <c r="E2068" t="str">
        <f>_xll.BDP($B2068,"LEGAL_ENTITY_IDENTIFIER")</f>
        <v>549300JHURCBLI5ROA42</v>
      </c>
      <c r="F2068" t="s">
        <v>5693</v>
      </c>
      <c r="G2068" t="str">
        <f>custodian!D2068</f>
        <v>63845R107</v>
      </c>
      <c r="H2068" t="str">
        <f>_xll.BDP($B2068,"ID_ISIN")</f>
        <v>US63845R1077</v>
      </c>
      <c r="I2068" s="1" t="s">
        <v>5692</v>
      </c>
      <c r="J2068" t="str">
        <f>_xll.BDP($B2068,"CNTRY_OF_DOMICILE")</f>
        <v>US</v>
      </c>
      <c r="K2068" t="s">
        <v>98</v>
      </c>
      <c r="L2068" t="s">
        <v>99</v>
      </c>
      <c r="O2068" s="1"/>
      <c r="AQ2068" s="1"/>
      <c r="AR2068" s="1"/>
      <c r="AS2068" s="1"/>
    </row>
    <row r="2069" spans="1:45" x14ac:dyDescent="0.25">
      <c r="A2069" t="s">
        <v>5659</v>
      </c>
      <c r="B2069" t="s">
        <v>77</v>
      </c>
      <c r="C2069" s="1" t="s">
        <v>78</v>
      </c>
      <c r="D2069" t="s">
        <v>79</v>
      </c>
      <c r="E2069" t="str">
        <f>_xll.BDP($B2069,"LEGAL_ENTITY_IDENTIFIER")</f>
        <v>549300R5MYM6VZF1RM44</v>
      </c>
      <c r="F2069" t="s">
        <v>80</v>
      </c>
      <c r="G2069" t="str">
        <f>custodian!D2069</f>
        <v>31846V336</v>
      </c>
      <c r="H2069" t="str">
        <f>_xll.BDP($B2069,"ID_ISIN")</f>
        <v>US31846V3362</v>
      </c>
      <c r="I2069" s="1" t="s">
        <v>78</v>
      </c>
      <c r="J2069" t="str">
        <f>_xll.BDP($B2069,"CNTRY_OF_DOMICILE")</f>
        <v>US</v>
      </c>
      <c r="K2069" t="s">
        <v>81</v>
      </c>
      <c r="L2069" t="s">
        <v>82</v>
      </c>
      <c r="O2069" s="1"/>
      <c r="AQ2069" s="1"/>
      <c r="AR2069" s="1"/>
      <c r="AS2069" s="1"/>
    </row>
    <row r="2070" spans="1:45" x14ac:dyDescent="0.25">
      <c r="A2070" t="s">
        <v>5659</v>
      </c>
      <c r="B2070" t="s">
        <v>5694</v>
      </c>
      <c r="C2070" s="1" t="s">
        <v>5695</v>
      </c>
      <c r="D2070" t="s">
        <v>5696</v>
      </c>
      <c r="E2070" t="str">
        <f>_xll.BDP($B2070,"LEGAL_ENTITY_IDENTIFIER")</f>
        <v>529900W5FI106H543E43</v>
      </c>
      <c r="F2070" t="s">
        <v>5696</v>
      </c>
      <c r="G2070" t="str">
        <f>custodian!D2070</f>
        <v>005098108</v>
      </c>
      <c r="H2070" t="str">
        <f>_xll.BDP($B2070,"ID_ISIN")</f>
        <v>US0050981085</v>
      </c>
      <c r="I2070" s="1" t="s">
        <v>5695</v>
      </c>
      <c r="J2070" t="str">
        <f>_xll.BDP($B2070,"CNTRY_OF_DOMICILE")</f>
        <v>US</v>
      </c>
      <c r="K2070" t="s">
        <v>98</v>
      </c>
      <c r="L2070" t="s">
        <v>99</v>
      </c>
      <c r="O2070" s="1"/>
      <c r="AQ2070" s="1"/>
      <c r="AR2070" s="1"/>
      <c r="AS2070" s="1"/>
    </row>
    <row r="2071" spans="1:45" x14ac:dyDescent="0.25">
      <c r="A2071" t="s">
        <v>5659</v>
      </c>
      <c r="B2071" t="s">
        <v>5273</v>
      </c>
      <c r="C2071" s="1" t="s">
        <v>5274</v>
      </c>
      <c r="D2071" t="s">
        <v>5275</v>
      </c>
      <c r="E2071" t="str">
        <f>_xll.BDP($B2071,"LEGAL_ENTITY_IDENTIFIER")</f>
        <v>549300O9K6MFD8D07574</v>
      </c>
      <c r="F2071" t="s">
        <v>5275</v>
      </c>
      <c r="G2071" t="str">
        <f>custodian!D2071</f>
        <v>43283X105</v>
      </c>
      <c r="H2071" t="str">
        <f>_xll.BDP($B2071,"ID_ISIN")</f>
        <v>US43283X1054</v>
      </c>
      <c r="I2071" s="1" t="s">
        <v>5274</v>
      </c>
      <c r="J2071" t="str">
        <f>_xll.BDP($B2071,"CNTRY_OF_DOMICILE")</f>
        <v>US</v>
      </c>
      <c r="K2071" t="s">
        <v>98</v>
      </c>
      <c r="L2071" t="s">
        <v>99</v>
      </c>
      <c r="O2071" s="1"/>
      <c r="AQ2071" s="1"/>
      <c r="AR2071" s="1"/>
      <c r="AS2071" s="1"/>
    </row>
    <row r="2072" spans="1:45" x14ac:dyDescent="0.25">
      <c r="A2072" t="s">
        <v>5659</v>
      </c>
      <c r="B2072" t="s">
        <v>3739</v>
      </c>
      <c r="C2072" s="1" t="s">
        <v>3740</v>
      </c>
      <c r="D2072" t="s">
        <v>3741</v>
      </c>
      <c r="E2072" t="str">
        <f>_xll.BDP($B2072,"LEGAL_ENTITY_IDENTIFIER")</f>
        <v>254900V041EIVTSB6D58</v>
      </c>
      <c r="F2072" t="s">
        <v>3741</v>
      </c>
      <c r="G2072" t="str">
        <f>custodian!D2072</f>
        <v>433000106</v>
      </c>
      <c r="H2072" t="str">
        <f>_xll.BDP($B2072,"ID_ISIN")</f>
        <v>US4330001060</v>
      </c>
      <c r="I2072" s="1" t="s">
        <v>3740</v>
      </c>
      <c r="J2072" t="str">
        <f>_xll.BDP($B2072,"CNTRY_OF_DOMICILE")</f>
        <v>US</v>
      </c>
      <c r="K2072" t="s">
        <v>98</v>
      </c>
      <c r="L2072" t="s">
        <v>99</v>
      </c>
      <c r="O2072" s="1"/>
      <c r="AQ2072" s="1"/>
      <c r="AR2072" s="1"/>
      <c r="AS2072" s="1"/>
    </row>
    <row r="2073" spans="1:45" x14ac:dyDescent="0.25">
      <c r="A2073" t="s">
        <v>5659</v>
      </c>
      <c r="B2073" t="s">
        <v>4706</v>
      </c>
      <c r="C2073" s="1" t="s">
        <v>4707</v>
      </c>
      <c r="D2073" t="s">
        <v>4708</v>
      </c>
      <c r="E2073" t="str">
        <f>_xll.BDP($B2073,"LEGAL_ENTITY_IDENTIFIER")</f>
        <v>549300HVGPK36ICB0B89</v>
      </c>
      <c r="F2073" t="s">
        <v>4708</v>
      </c>
      <c r="G2073" t="str">
        <f>custodian!D2073</f>
        <v>43300A203</v>
      </c>
      <c r="H2073" t="str">
        <f>_xll.BDP($B2073,"ID_ISIN")</f>
        <v>US43300A2033</v>
      </c>
      <c r="I2073" s="1" t="s">
        <v>4707</v>
      </c>
      <c r="J2073" t="str">
        <f>_xll.BDP($B2073,"CNTRY_OF_DOMICILE")</f>
        <v>US</v>
      </c>
      <c r="K2073" t="s">
        <v>98</v>
      </c>
      <c r="L2073" t="s">
        <v>99</v>
      </c>
      <c r="O2073" s="1"/>
      <c r="AQ2073" s="1"/>
      <c r="AR2073" s="1"/>
      <c r="AS2073" s="1"/>
    </row>
    <row r="2074" spans="1:45" x14ac:dyDescent="0.25">
      <c r="A2074" t="s">
        <v>5659</v>
      </c>
      <c r="B2074" t="s">
        <v>5697</v>
      </c>
      <c r="C2074" s="1" t="s">
        <v>5698</v>
      </c>
      <c r="D2074" t="s">
        <v>5699</v>
      </c>
      <c r="E2074" t="str">
        <f>_xll.BDP($B2074,"LEGAL_ENTITY_IDENTIFIER")</f>
        <v>529900YLDW34GJAO4J06</v>
      </c>
      <c r="F2074" t="s">
        <v>5699</v>
      </c>
      <c r="G2074" t="str">
        <f>custodian!D2074</f>
        <v>444859102</v>
      </c>
      <c r="H2074" t="str">
        <f>_xll.BDP($B2074,"ID_ISIN")</f>
        <v>US4448591028</v>
      </c>
      <c r="I2074" s="1" t="s">
        <v>5698</v>
      </c>
      <c r="J2074" t="str">
        <f>_xll.BDP($B2074,"CNTRY_OF_DOMICILE")</f>
        <v>US</v>
      </c>
      <c r="K2074" t="s">
        <v>98</v>
      </c>
      <c r="L2074" t="s">
        <v>99</v>
      </c>
      <c r="O2074" s="1"/>
      <c r="AQ2074" s="1"/>
      <c r="AR2074" s="1"/>
      <c r="AS2074" s="1"/>
    </row>
    <row r="2075" spans="1:45" x14ac:dyDescent="0.25">
      <c r="A2075" t="s">
        <v>5659</v>
      </c>
      <c r="B2075" t="s">
        <v>5289</v>
      </c>
      <c r="C2075" s="1" t="s">
        <v>5290</v>
      </c>
      <c r="D2075" t="s">
        <v>5291</v>
      </c>
      <c r="E2075" t="str">
        <f>_xll.BDP($B2075,"LEGAL_ENTITY_IDENTIFIER")</f>
        <v>549300GSPW24GZE6R597</v>
      </c>
      <c r="F2075" t="s">
        <v>5292</v>
      </c>
      <c r="G2075" t="str">
        <f>custodian!D2075</f>
        <v>535219109</v>
      </c>
      <c r="H2075" t="str">
        <f>_xll.BDP($B2075,"ID_ISIN")</f>
        <v>US5352191093</v>
      </c>
      <c r="I2075" s="1" t="s">
        <v>5290</v>
      </c>
      <c r="J2075" t="str">
        <f>_xll.BDP($B2075,"CNTRY_OF_DOMICILE")</f>
        <v>US</v>
      </c>
      <c r="K2075" t="s">
        <v>98</v>
      </c>
      <c r="L2075" t="s">
        <v>99</v>
      </c>
      <c r="O2075" s="1"/>
      <c r="AQ2075" s="1"/>
      <c r="AR2075" s="1"/>
      <c r="AS2075" s="1"/>
    </row>
    <row r="2076" spans="1:45" x14ac:dyDescent="0.25">
      <c r="A2076" t="s">
        <v>5659</v>
      </c>
      <c r="B2076" t="s">
        <v>4715</v>
      </c>
      <c r="C2076" s="1" t="s">
        <v>4716</v>
      </c>
      <c r="D2076" t="s">
        <v>4717</v>
      </c>
      <c r="E2076" t="str">
        <f>_xll.BDP($B2076,"LEGAL_ENTITY_IDENTIFIER")</f>
        <v>FRDRIPF3EKNDJ2CQJL29</v>
      </c>
      <c r="F2076" t="s">
        <v>4717</v>
      </c>
      <c r="G2076" t="str">
        <f>custodian!D2076</f>
        <v>532457108</v>
      </c>
      <c r="H2076" t="str">
        <f>_xll.BDP($B2076,"ID_ISIN")</f>
        <v>US5324571083</v>
      </c>
      <c r="I2076" s="1" t="s">
        <v>4716</v>
      </c>
      <c r="J2076" t="str">
        <f>_xll.BDP($B2076,"CNTRY_OF_DOMICILE")</f>
        <v>US</v>
      </c>
      <c r="K2076" t="s">
        <v>98</v>
      </c>
      <c r="L2076" t="s">
        <v>99</v>
      </c>
      <c r="O2076" s="1"/>
      <c r="AQ2076" s="1"/>
      <c r="AR2076" s="1"/>
      <c r="AS2076" s="1"/>
    </row>
    <row r="2077" spans="1:45" x14ac:dyDescent="0.25">
      <c r="A2077" t="s">
        <v>5659</v>
      </c>
      <c r="B2077" t="s">
        <v>5700</v>
      </c>
      <c r="C2077" s="1" t="s">
        <v>5701</v>
      </c>
      <c r="D2077" t="s">
        <v>5702</v>
      </c>
      <c r="E2077" t="str">
        <f>_xll.BDP($B2077,"LEGAL_ENTITY_IDENTIFIER")</f>
        <v>549300NRZP8IJG2KY677</v>
      </c>
      <c r="F2077" t="s">
        <v>5702</v>
      </c>
      <c r="G2077" t="str">
        <f>custodian!D2077</f>
        <v>502175102</v>
      </c>
      <c r="H2077" t="str">
        <f>_xll.BDP($B2077,"ID_ISIN")</f>
        <v>US5021751020</v>
      </c>
      <c r="I2077" s="1" t="s">
        <v>5701</v>
      </c>
      <c r="J2077" t="str">
        <f>_xll.BDP($B2077,"CNTRY_OF_DOMICILE")</f>
        <v>US</v>
      </c>
      <c r="K2077" t="s">
        <v>98</v>
      </c>
      <c r="L2077" t="s">
        <v>99</v>
      </c>
      <c r="O2077" s="1"/>
      <c r="AQ2077" s="1"/>
      <c r="AR2077" s="1"/>
      <c r="AS2077" s="1"/>
    </row>
    <row r="2078" spans="1:45" x14ac:dyDescent="0.25">
      <c r="A2078" t="s">
        <v>5659</v>
      </c>
      <c r="B2078" t="s">
        <v>5703</v>
      </c>
      <c r="C2078" s="1" t="s">
        <v>5704</v>
      </c>
      <c r="D2078" t="s">
        <v>5705</v>
      </c>
      <c r="E2078" t="str">
        <f>_xll.BDP($B2078,"LEGAL_ENTITY_IDENTIFIER")</f>
        <v>#N/A N/A</v>
      </c>
      <c r="F2078" t="s">
        <v>5705</v>
      </c>
      <c r="G2078" t="str">
        <f>custodian!D2078</f>
        <v>53190C102</v>
      </c>
      <c r="H2078" t="str">
        <f>_xll.BDP($B2078,"ID_ISIN")</f>
        <v>US53190C1027</v>
      </c>
      <c r="I2078" s="1" t="s">
        <v>5704</v>
      </c>
      <c r="J2078" t="str">
        <f>_xll.BDP($B2078,"CNTRY_OF_DOMICILE")</f>
        <v>US</v>
      </c>
      <c r="K2078" t="s">
        <v>98</v>
      </c>
      <c r="L2078" t="s">
        <v>99</v>
      </c>
      <c r="O2078" s="1"/>
      <c r="AQ2078" s="1"/>
      <c r="AR2078" s="1"/>
      <c r="AS2078" s="1"/>
    </row>
    <row r="2079" spans="1:45" x14ac:dyDescent="0.25">
      <c r="A2079" t="s">
        <v>5659</v>
      </c>
      <c r="B2079" t="s">
        <v>176</v>
      </c>
      <c r="C2079" s="1" t="s">
        <v>177</v>
      </c>
      <c r="D2079" t="s">
        <v>178</v>
      </c>
      <c r="E2079" t="str">
        <f>_xll.BDP($B2079,"LEGAL_ENTITY_IDENTIFIER")</f>
        <v>UDTZ87G0STFETI6HGH41</v>
      </c>
      <c r="F2079" t="s">
        <v>178</v>
      </c>
      <c r="G2079" t="str">
        <f>custodian!D2079</f>
        <v>844741108</v>
      </c>
      <c r="H2079" t="str">
        <f>_xll.BDP($B2079,"ID_ISIN")</f>
        <v>US8447411088</v>
      </c>
      <c r="I2079" s="1" t="s">
        <v>177</v>
      </c>
      <c r="J2079" t="str">
        <f>_xll.BDP($B2079,"CNTRY_OF_DOMICILE")</f>
        <v>US</v>
      </c>
      <c r="K2079" t="s">
        <v>98</v>
      </c>
      <c r="L2079" t="s">
        <v>99</v>
      </c>
      <c r="O2079" s="1"/>
      <c r="AQ2079" s="1"/>
      <c r="AR2079" s="1"/>
      <c r="AS2079" s="1"/>
    </row>
    <row r="2080" spans="1:45" x14ac:dyDescent="0.25">
      <c r="A2080" t="s">
        <v>5659</v>
      </c>
      <c r="B2080" t="s">
        <v>4721</v>
      </c>
      <c r="C2080" s="1" t="s">
        <v>4722</v>
      </c>
      <c r="D2080" t="s">
        <v>4723</v>
      </c>
      <c r="E2080" t="str">
        <f>_xll.BDP($B2080,"LEGAL_ENTITY_IDENTIFIER")</f>
        <v>225YDZ14ZO8E1TXUSU86</v>
      </c>
      <c r="F2080" t="s">
        <v>4723</v>
      </c>
      <c r="G2080" t="str">
        <f>custodian!D2080</f>
        <v>571903202</v>
      </c>
      <c r="H2080" t="str">
        <f>_xll.BDP($B2080,"ID_ISIN")</f>
        <v>US5719032022</v>
      </c>
      <c r="I2080" s="1" t="s">
        <v>4722</v>
      </c>
      <c r="J2080" t="str">
        <f>_xll.BDP($B2080,"CNTRY_OF_DOMICILE")</f>
        <v>US</v>
      </c>
      <c r="K2080" t="s">
        <v>98</v>
      </c>
      <c r="L2080" t="s">
        <v>99</v>
      </c>
      <c r="O2080" s="1"/>
      <c r="AQ2080" s="1"/>
      <c r="AR2080" s="1"/>
      <c r="AS2080" s="1"/>
    </row>
    <row r="2081" spans="1:45" x14ac:dyDescent="0.25">
      <c r="A2081" t="s">
        <v>5659</v>
      </c>
      <c r="B2081" t="s">
        <v>5706</v>
      </c>
      <c r="C2081" s="1" t="s">
        <v>5707</v>
      </c>
      <c r="D2081" t="s">
        <v>5708</v>
      </c>
      <c r="E2081" t="str">
        <f>_xll.BDP($B2081,"LEGAL_ENTITY_IDENTIFIER")</f>
        <v>984500FAN6J1P8566D43</v>
      </c>
      <c r="F2081" t="s">
        <v>5708</v>
      </c>
      <c r="G2081" t="str">
        <f>custodian!D2081</f>
        <v>58507V107</v>
      </c>
      <c r="H2081" t="str">
        <f>_xll.BDP($B2081,"ID_ISIN")</f>
        <v>US58507V1070</v>
      </c>
      <c r="I2081" s="1" t="s">
        <v>5707</v>
      </c>
      <c r="J2081" t="str">
        <f>_xll.BDP($B2081,"CNTRY_OF_DOMICILE")</f>
        <v>US</v>
      </c>
      <c r="K2081" t="s">
        <v>98</v>
      </c>
      <c r="L2081" t="s">
        <v>99</v>
      </c>
      <c r="O2081" s="1"/>
      <c r="AQ2081" s="1"/>
      <c r="AR2081" s="1"/>
      <c r="AS2081" s="1"/>
    </row>
    <row r="2082" spans="1:45" x14ac:dyDescent="0.25">
      <c r="A2082" t="s">
        <v>5659</v>
      </c>
      <c r="B2082" t="s">
        <v>5709</v>
      </c>
      <c r="C2082" s="1" t="s">
        <v>5710</v>
      </c>
      <c r="D2082" t="s">
        <v>5711</v>
      </c>
      <c r="E2082" t="str">
        <f>_xll.BDP($B2082,"LEGAL_ENTITY_IDENTIFIER")</f>
        <v>549300GX3ZBSQWUXY261</v>
      </c>
      <c r="F2082" t="s">
        <v>5711</v>
      </c>
      <c r="G2082" t="str">
        <f>custodian!D2082</f>
        <v>G5960L103</v>
      </c>
      <c r="H2082" t="str">
        <f>_xll.BDP($B2082,"ID_ISIN")</f>
        <v>IE00BTN1Y115</v>
      </c>
      <c r="I2082" s="1" t="s">
        <v>5710</v>
      </c>
      <c r="J2082" t="str">
        <f>_xll.BDP($B2082,"CNTRY_OF_DOMICILE")</f>
        <v>IE</v>
      </c>
      <c r="K2082" t="s">
        <v>98</v>
      </c>
      <c r="L2082" t="s">
        <v>99</v>
      </c>
      <c r="O2082" s="1"/>
      <c r="AQ2082" s="1"/>
      <c r="AR2082" s="1"/>
      <c r="AS2082" s="1"/>
    </row>
    <row r="2083" spans="1:45" x14ac:dyDescent="0.25">
      <c r="A2083" t="s">
        <v>5659</v>
      </c>
      <c r="B2083" t="s">
        <v>5712</v>
      </c>
      <c r="C2083" s="1" t="s">
        <v>5713</v>
      </c>
      <c r="D2083" t="s">
        <v>5714</v>
      </c>
      <c r="E2083" t="str">
        <f>_xll.BDP($B2083,"LEGAL_ENTITY_IDENTIFIER")</f>
        <v>#N/A N/A</v>
      </c>
      <c r="F2083" t="s">
        <v>5714</v>
      </c>
      <c r="G2083" t="str">
        <f>custodian!D2083</f>
        <v>639027101</v>
      </c>
      <c r="H2083" t="str">
        <f>_xll.BDP($B2083,"ID_ISIN")</f>
        <v>US6390271012</v>
      </c>
      <c r="I2083" s="1" t="s">
        <v>5713</v>
      </c>
      <c r="J2083" t="str">
        <f>_xll.BDP($B2083,"CNTRY_OF_DOMICILE")</f>
        <v>US</v>
      </c>
      <c r="K2083" t="s">
        <v>98</v>
      </c>
      <c r="L2083" t="s">
        <v>99</v>
      </c>
      <c r="O2083" s="1"/>
      <c r="AQ2083" s="1"/>
      <c r="AR2083" s="1"/>
      <c r="AS2083" s="1"/>
    </row>
    <row r="2084" spans="1:45" x14ac:dyDescent="0.25">
      <c r="A2084" t="s">
        <v>5659</v>
      </c>
      <c r="B2084" t="s">
        <v>5305</v>
      </c>
      <c r="C2084" s="1" t="s">
        <v>5306</v>
      </c>
      <c r="D2084" t="s">
        <v>5307</v>
      </c>
      <c r="E2084" t="str">
        <f>_xll.BDP($B2084,"LEGAL_ENTITY_IDENTIFIER")</f>
        <v>#N/A N/A</v>
      </c>
      <c r="F2084" t="s">
        <v>5308</v>
      </c>
      <c r="G2084" t="str">
        <f>custodian!D2084</f>
        <v>G66721104</v>
      </c>
      <c r="H2084" t="str">
        <f>_xll.BDP($B2084,"ID_ISIN")</f>
        <v>BMG667211046</v>
      </c>
      <c r="I2084" s="1" t="s">
        <v>5306</v>
      </c>
      <c r="J2084" t="str">
        <f>_xll.BDP($B2084,"CNTRY_OF_DOMICILE")</f>
        <v>US</v>
      </c>
      <c r="K2084" t="s">
        <v>98</v>
      </c>
      <c r="L2084" t="s">
        <v>99</v>
      </c>
      <c r="O2084" s="1"/>
      <c r="AQ2084" s="1"/>
      <c r="AR2084" s="1"/>
      <c r="AS2084" s="1"/>
    </row>
    <row r="2085" spans="1:45" x14ac:dyDescent="0.25">
      <c r="A2085" t="s">
        <v>5659</v>
      </c>
      <c r="B2085" t="s">
        <v>5715</v>
      </c>
      <c r="C2085" s="1" t="s">
        <v>5716</v>
      </c>
      <c r="D2085" t="s">
        <v>5717</v>
      </c>
      <c r="E2085" t="str">
        <f>_xll.BDP($B2085,"LEGAL_ENTITY_IDENTIFIER")</f>
        <v>254900PTS11LS1JS2752</v>
      </c>
      <c r="F2085" t="s">
        <v>5717</v>
      </c>
      <c r="G2085" t="str">
        <f>custodian!D2085</f>
        <v>635906100</v>
      </c>
      <c r="H2085" t="str">
        <f>_xll.BDP($B2085,"ID_ISIN")</f>
        <v>US6359061008</v>
      </c>
      <c r="I2085" s="1" t="s">
        <v>5716</v>
      </c>
      <c r="J2085" t="str">
        <f>_xll.BDP($B2085,"CNTRY_OF_DOMICILE")</f>
        <v>US</v>
      </c>
      <c r="K2085" t="s">
        <v>98</v>
      </c>
      <c r="L2085" t="s">
        <v>99</v>
      </c>
      <c r="O2085" s="1"/>
      <c r="AQ2085" s="1"/>
      <c r="AR2085" s="1"/>
      <c r="AS2085" s="1"/>
    </row>
    <row r="2086" spans="1:45" x14ac:dyDescent="0.25">
      <c r="A2086" t="s">
        <v>5659</v>
      </c>
      <c r="B2086" t="s">
        <v>5718</v>
      </c>
      <c r="C2086" s="1" t="s">
        <v>5719</v>
      </c>
      <c r="D2086" t="s">
        <v>5720</v>
      </c>
      <c r="E2086" t="str">
        <f>_xll.BDP($B2086,"LEGAL_ENTITY_IDENTIFIER")</f>
        <v>549300ZPKZIG6DKDEC02</v>
      </c>
      <c r="F2086" t="s">
        <v>5720</v>
      </c>
      <c r="G2086" t="str">
        <f>custodian!D2086</f>
        <v>63633D104</v>
      </c>
      <c r="H2086" t="str">
        <f>_xll.BDP($B2086,"ID_ISIN")</f>
        <v>US63633D1046</v>
      </c>
      <c r="I2086" s="1" t="s">
        <v>5719</v>
      </c>
      <c r="J2086" t="str">
        <f>_xll.BDP($B2086,"CNTRY_OF_DOMICILE")</f>
        <v>US</v>
      </c>
      <c r="K2086" t="s">
        <v>98</v>
      </c>
      <c r="L2086" t="s">
        <v>99</v>
      </c>
      <c r="O2086" s="1"/>
      <c r="AQ2086" s="1"/>
      <c r="AR2086" s="1"/>
      <c r="AS2086" s="1"/>
    </row>
    <row r="2087" spans="1:45" x14ac:dyDescent="0.25">
      <c r="A2087" t="s">
        <v>5659</v>
      </c>
      <c r="B2087" t="s">
        <v>5721</v>
      </c>
      <c r="C2087" s="1" t="s">
        <v>5722</v>
      </c>
      <c r="D2087" t="s">
        <v>5723</v>
      </c>
      <c r="E2087" t="str">
        <f>_xll.BDP($B2087,"LEGAL_ENTITY_IDENTIFIER")</f>
        <v>549300BX623VURJZ5269</v>
      </c>
      <c r="F2087" t="s">
        <v>5723</v>
      </c>
      <c r="G2087" t="str">
        <f>custodian!D2087</f>
        <v>29415F104</v>
      </c>
      <c r="H2087" t="str">
        <f>_xll.BDP($B2087,"ID_ISIN")</f>
        <v>US29415F1049</v>
      </c>
      <c r="I2087" s="1" t="s">
        <v>5722</v>
      </c>
      <c r="J2087" t="str">
        <f>_xll.BDP($B2087,"CNTRY_OF_DOMICILE")</f>
        <v>US</v>
      </c>
      <c r="K2087" t="s">
        <v>98</v>
      </c>
      <c r="L2087" t="s">
        <v>99</v>
      </c>
      <c r="O2087" s="1"/>
      <c r="AQ2087" s="1"/>
      <c r="AR2087" s="1"/>
      <c r="AS2087" s="1"/>
    </row>
    <row r="2088" spans="1:45" x14ac:dyDescent="0.25">
      <c r="A2088" t="s">
        <v>5659</v>
      </c>
      <c r="B2088" t="s">
        <v>5724</v>
      </c>
      <c r="C2088" s="1" t="s">
        <v>5725</v>
      </c>
      <c r="D2088" t="s">
        <v>5726</v>
      </c>
      <c r="E2088" t="str">
        <f>_xll.BDP($B2088,"LEGAL_ENTITY_IDENTIFIER")</f>
        <v>549300OJ7ENK42CZ8E73</v>
      </c>
      <c r="F2088" t="s">
        <v>5726</v>
      </c>
      <c r="G2088" t="str">
        <f>custodian!D2088</f>
        <v>681936100</v>
      </c>
      <c r="H2088" t="str">
        <f>_xll.BDP($B2088,"ID_ISIN")</f>
        <v>US6819361006</v>
      </c>
      <c r="I2088" s="1" t="s">
        <v>5725</v>
      </c>
      <c r="J2088" t="str">
        <f>_xll.BDP($B2088,"CNTRY_OF_DOMICILE")</f>
        <v>US</v>
      </c>
      <c r="K2088" t="s">
        <v>98</v>
      </c>
      <c r="L2088" t="s">
        <v>99</v>
      </c>
      <c r="O2088" s="1"/>
      <c r="AQ2088" s="1"/>
      <c r="AR2088" s="1"/>
      <c r="AS2088" s="1"/>
    </row>
    <row r="2089" spans="1:45" x14ac:dyDescent="0.25">
      <c r="A2089" t="s">
        <v>5659</v>
      </c>
      <c r="B2089" t="s">
        <v>5727</v>
      </c>
      <c r="C2089" s="1" t="s">
        <v>5728</v>
      </c>
      <c r="D2089" t="s">
        <v>5729</v>
      </c>
      <c r="E2089" t="str">
        <f>_xll.BDP($B2089,"LEGAL_ENTITY_IDENTIFIER")</f>
        <v>5493007H2OYR6BYLDA64</v>
      </c>
      <c r="F2089" t="s">
        <v>5729</v>
      </c>
      <c r="G2089" t="str">
        <f>custodian!D2089</f>
        <v>70805E109</v>
      </c>
      <c r="H2089" t="str">
        <f>_xll.BDP($B2089,"ID_ISIN")</f>
        <v>US70805E1091</v>
      </c>
      <c r="I2089" s="1" t="s">
        <v>5728</v>
      </c>
      <c r="J2089" t="str">
        <f>_xll.BDP($B2089,"CNTRY_OF_DOMICILE")</f>
        <v>US</v>
      </c>
      <c r="K2089" t="s">
        <v>98</v>
      </c>
      <c r="L2089" t="s">
        <v>99</v>
      </c>
      <c r="O2089" s="1"/>
      <c r="AQ2089" s="1"/>
      <c r="AR2089" s="1"/>
      <c r="AS2089" s="1"/>
    </row>
    <row r="2090" spans="1:45" x14ac:dyDescent="0.25">
      <c r="A2090" t="s">
        <v>5659</v>
      </c>
      <c r="B2090" t="s">
        <v>5730</v>
      </c>
      <c r="C2090" s="1" t="s">
        <v>5731</v>
      </c>
      <c r="D2090" t="s">
        <v>5732</v>
      </c>
      <c r="E2090" t="str">
        <f>_xll.BDP($B2090,"LEGAL_ENTITY_IDENTIFIER")</f>
        <v>5493002YS021166W0339</v>
      </c>
      <c r="F2090" t="s">
        <v>5732</v>
      </c>
      <c r="G2090" t="str">
        <f>custodian!D2090</f>
        <v>70614W100</v>
      </c>
      <c r="H2090" t="str">
        <f>_xll.BDP($B2090,"ID_ISIN")</f>
        <v>US70614W1009</v>
      </c>
      <c r="I2090" s="1" t="s">
        <v>5731</v>
      </c>
      <c r="J2090" t="str">
        <f>_xll.BDP($B2090,"CNTRY_OF_DOMICILE")</f>
        <v>US</v>
      </c>
      <c r="K2090" t="s">
        <v>98</v>
      </c>
      <c r="L2090" t="s">
        <v>99</v>
      </c>
      <c r="O2090" s="1"/>
      <c r="AQ2090" s="1"/>
      <c r="AR2090" s="1"/>
      <c r="AS2090" s="1"/>
    </row>
    <row r="2091" spans="1:45" x14ac:dyDescent="0.25">
      <c r="A2091" t="s">
        <v>5659</v>
      </c>
      <c r="B2091" t="s">
        <v>4733</v>
      </c>
      <c r="C2091" s="1" t="s">
        <v>4734</v>
      </c>
      <c r="D2091" t="s">
        <v>4735</v>
      </c>
      <c r="E2091" t="str">
        <f>_xll.BDP($B2091,"LEGAL_ENTITY_IDENTIFIER")</f>
        <v>K2NEH8QNVW44JIWK7Z55</v>
      </c>
      <c r="F2091" t="s">
        <v>4735</v>
      </c>
      <c r="G2091" t="str">
        <f>custodian!D2091</f>
        <v>V7780T103</v>
      </c>
      <c r="H2091" t="str">
        <f>_xll.BDP($B2091,"ID_ISIN")</f>
        <v>LR0008862868</v>
      </c>
      <c r="I2091" s="1" t="s">
        <v>4734</v>
      </c>
      <c r="J2091" t="str">
        <f>_xll.BDP($B2091,"CNTRY_OF_DOMICILE")</f>
        <v>US</v>
      </c>
      <c r="K2091" t="s">
        <v>98</v>
      </c>
      <c r="L2091" t="s">
        <v>99</v>
      </c>
      <c r="O2091" s="1"/>
      <c r="AQ2091" s="1"/>
      <c r="AR2091" s="1"/>
      <c r="AS2091" s="1"/>
    </row>
    <row r="2092" spans="1:45" x14ac:dyDescent="0.25">
      <c r="A2092" t="s">
        <v>5659</v>
      </c>
      <c r="B2092" t="s">
        <v>5733</v>
      </c>
      <c r="C2092" s="1" t="s">
        <v>5734</v>
      </c>
      <c r="D2092" t="s">
        <v>5735</v>
      </c>
      <c r="E2092" t="str">
        <f>_xll.BDP($B2092,"LEGAL_ENTITY_IDENTIFIER")</f>
        <v>549300RKVM2ME20JHZ15</v>
      </c>
      <c r="F2092" t="s">
        <v>5735</v>
      </c>
      <c r="G2092" t="str">
        <f>custodian!D2092</f>
        <v>817565104</v>
      </c>
      <c r="H2092" t="str">
        <f>_xll.BDP($B2092,"ID_ISIN")</f>
        <v>US8175651046</v>
      </c>
      <c r="I2092" s="1" t="s">
        <v>5734</v>
      </c>
      <c r="J2092" t="str">
        <f>_xll.BDP($B2092,"CNTRY_OF_DOMICILE")</f>
        <v>US</v>
      </c>
      <c r="K2092" t="s">
        <v>98</v>
      </c>
      <c r="L2092" t="s">
        <v>99</v>
      </c>
      <c r="O2092" s="1"/>
      <c r="AQ2092" s="1"/>
      <c r="AR2092" s="1"/>
      <c r="AS2092" s="1"/>
    </row>
    <row r="2093" spans="1:45" x14ac:dyDescent="0.25">
      <c r="A2093" t="s">
        <v>5659</v>
      </c>
      <c r="B2093" t="s">
        <v>5736</v>
      </c>
      <c r="C2093" s="1" t="s">
        <v>5737</v>
      </c>
      <c r="D2093" t="s">
        <v>5738</v>
      </c>
      <c r="E2093" t="str">
        <f>_xll.BDP($B2093,"LEGAL_ENTITY_IDENTIFIER")</f>
        <v>254900YX6LQ8K1N8PZ90</v>
      </c>
      <c r="F2093" t="s">
        <v>5738</v>
      </c>
      <c r="G2093" t="str">
        <f>custodian!D2093</f>
        <v>140475203</v>
      </c>
      <c r="H2093" t="str">
        <f>_xll.BDP($B2093,"ID_ISIN")</f>
        <v>US1404752032</v>
      </c>
      <c r="I2093" s="1" t="s">
        <v>5737</v>
      </c>
      <c r="J2093" t="str">
        <f>_xll.BDP($B2093,"CNTRY_OF_DOMICILE")</f>
        <v>US</v>
      </c>
      <c r="K2093" t="s">
        <v>98</v>
      </c>
      <c r="L2093" t="s">
        <v>99</v>
      </c>
      <c r="O2093" s="1"/>
      <c r="AQ2093" s="1"/>
      <c r="AR2093" s="1"/>
      <c r="AS2093" s="1"/>
    </row>
    <row r="2094" spans="1:45" x14ac:dyDescent="0.25">
      <c r="A2094" t="s">
        <v>5659</v>
      </c>
      <c r="B2094" t="s">
        <v>5739</v>
      </c>
      <c r="C2094" s="1" t="s">
        <v>5740</v>
      </c>
      <c r="D2094" t="s">
        <v>5741</v>
      </c>
      <c r="E2094" t="str">
        <f>_xll.BDP($B2094,"LEGAL_ENTITY_IDENTIFIER")</f>
        <v>549300I2PVFBC9MFAC61</v>
      </c>
      <c r="F2094" t="s">
        <v>5741</v>
      </c>
      <c r="G2094" t="str">
        <f>custodian!D2094</f>
        <v>87918A105</v>
      </c>
      <c r="H2094" t="str">
        <f>_xll.BDP($B2094,"ID_ISIN")</f>
        <v>US87918A1051</v>
      </c>
      <c r="I2094" s="1" t="s">
        <v>5740</v>
      </c>
      <c r="J2094" t="str">
        <f>_xll.BDP($B2094,"CNTRY_OF_DOMICILE")</f>
        <v>US</v>
      </c>
      <c r="K2094" t="s">
        <v>98</v>
      </c>
      <c r="L2094" t="s">
        <v>99</v>
      </c>
      <c r="O2094" s="1"/>
      <c r="AQ2094" s="1"/>
      <c r="AR2094" s="1"/>
      <c r="AS2094" s="1"/>
    </row>
    <row r="2095" spans="1:45" x14ac:dyDescent="0.25">
      <c r="A2095" t="s">
        <v>5659</v>
      </c>
      <c r="B2095" t="s">
        <v>5328</v>
      </c>
      <c r="C2095" s="1" t="s">
        <v>5329</v>
      </c>
      <c r="D2095" t="s">
        <v>5330</v>
      </c>
      <c r="E2095" t="str">
        <f>_xll.BDP($B2095,"LEGAL_ENTITY_IDENTIFIER")</f>
        <v>T4VNTWMFQ7JQB65L7T35</v>
      </c>
      <c r="F2095" t="s">
        <v>5330</v>
      </c>
      <c r="G2095" t="str">
        <f>custodian!D2095</f>
        <v>894164102</v>
      </c>
      <c r="H2095" t="str">
        <f>_xll.BDP($B2095,"ID_ISIN")</f>
        <v>US8941641024</v>
      </c>
      <c r="I2095" s="1" t="s">
        <v>5329</v>
      </c>
      <c r="J2095" t="str">
        <f>_xll.BDP($B2095,"CNTRY_OF_DOMICILE")</f>
        <v>US</v>
      </c>
      <c r="K2095" t="s">
        <v>98</v>
      </c>
      <c r="L2095" t="s">
        <v>99</v>
      </c>
      <c r="O2095" s="1"/>
      <c r="AQ2095" s="1"/>
      <c r="AR2095" s="1"/>
      <c r="AS2095" s="1"/>
    </row>
    <row r="2096" spans="1:45" x14ac:dyDescent="0.25">
      <c r="A2096" t="s">
        <v>5659</v>
      </c>
      <c r="B2096" t="s">
        <v>204</v>
      </c>
      <c r="C2096" s="1" t="s">
        <v>205</v>
      </c>
      <c r="D2096" t="s">
        <v>206</v>
      </c>
      <c r="E2096" t="str">
        <f>_xll.BDP($B2096,"LEGAL_ENTITY_IDENTIFIER")</f>
        <v>98450079DA0B78DD6764</v>
      </c>
      <c r="F2096" t="s">
        <v>206</v>
      </c>
      <c r="G2096" t="str">
        <f>custodian!D2096</f>
        <v>910047109</v>
      </c>
      <c r="H2096" t="str">
        <f>_xll.BDP($B2096,"ID_ISIN")</f>
        <v>US9100471096</v>
      </c>
      <c r="I2096" s="1" t="s">
        <v>205</v>
      </c>
      <c r="J2096" t="str">
        <f>_xll.BDP($B2096,"CNTRY_OF_DOMICILE")</f>
        <v>US</v>
      </c>
      <c r="K2096" t="s">
        <v>98</v>
      </c>
      <c r="L2096" t="s">
        <v>99</v>
      </c>
      <c r="O2096" s="1"/>
      <c r="AQ2096" s="1"/>
      <c r="AR2096" s="1"/>
      <c r="AS2096" s="1"/>
    </row>
    <row r="2097" spans="1:45" x14ac:dyDescent="0.25">
      <c r="A2097" t="s">
        <v>5659</v>
      </c>
      <c r="B2097" t="s">
        <v>5338</v>
      </c>
      <c r="C2097" s="1" t="s">
        <v>5339</v>
      </c>
      <c r="D2097" t="s">
        <v>5340</v>
      </c>
      <c r="E2097" t="str">
        <f>_xll.BDP($B2097,"LEGAL_ENTITY_IDENTIFIER")</f>
        <v>52990032GOPN7BVQMN13</v>
      </c>
      <c r="F2097" t="s">
        <v>5340</v>
      </c>
      <c r="G2097" t="str">
        <f>custodian!D2097</f>
        <v>G93A5A101</v>
      </c>
      <c r="H2097" t="str">
        <f>_xll.BDP($B2097,"ID_ISIN")</f>
        <v>BMG93A5A1010</v>
      </c>
      <c r="I2097" s="1" t="s">
        <v>5339</v>
      </c>
      <c r="J2097" t="str">
        <f>_xll.BDP($B2097,"CNTRY_OF_DOMICILE")</f>
        <v>BM</v>
      </c>
      <c r="K2097" t="s">
        <v>98</v>
      </c>
      <c r="L2097" t="s">
        <v>99</v>
      </c>
      <c r="O2097" s="1"/>
      <c r="AQ2097" s="1"/>
      <c r="AR2097" s="1"/>
      <c r="AS2097" s="1"/>
    </row>
    <row r="2098" spans="1:45" x14ac:dyDescent="0.25">
      <c r="A2098" t="s">
        <v>5659</v>
      </c>
      <c r="B2098" t="s">
        <v>5742</v>
      </c>
      <c r="C2098" s="1" t="s">
        <v>5743</v>
      </c>
      <c r="D2098" t="s">
        <v>5744</v>
      </c>
      <c r="E2098" t="str">
        <f>_xll.BDP($B2098,"LEGAL_ENTITY_IDENTIFIER")</f>
        <v>529900IVC72YPFA25M37</v>
      </c>
      <c r="F2098" t="s">
        <v>5744</v>
      </c>
      <c r="G2098" t="str">
        <f>custodian!D2098</f>
        <v>92686J106</v>
      </c>
      <c r="H2098" t="str">
        <f>_xll.BDP($B2098,"ID_ISIN")</f>
        <v>US92686J1060</v>
      </c>
      <c r="I2098" s="1" t="s">
        <v>5743</v>
      </c>
      <c r="J2098" t="str">
        <f>_xll.BDP($B2098,"CNTRY_OF_DOMICILE")</f>
        <v>US</v>
      </c>
      <c r="K2098" t="s">
        <v>98</v>
      </c>
      <c r="L2098" t="s">
        <v>99</v>
      </c>
      <c r="O2098" s="1"/>
      <c r="AQ2098" s="1"/>
      <c r="AR2098" s="1"/>
      <c r="AS2098" s="1"/>
    </row>
    <row r="2099" spans="1:45" x14ac:dyDescent="0.25">
      <c r="A2099" t="s">
        <v>5659</v>
      </c>
      <c r="B2099" t="s">
        <v>5745</v>
      </c>
      <c r="C2099" s="1" t="s">
        <v>5746</v>
      </c>
      <c r="D2099" t="s">
        <v>5747</v>
      </c>
      <c r="E2099" t="str">
        <f>_xll.BDP($B2099,"LEGAL_ENTITY_IDENTIFIER")</f>
        <v>ORQTRC074CWLT3DKHT41</v>
      </c>
      <c r="F2099" t="s">
        <v>5747</v>
      </c>
      <c r="G2099" t="str">
        <f>custodian!D2099</f>
        <v>92276F100</v>
      </c>
      <c r="H2099" t="str">
        <f>_xll.BDP($B2099,"ID_ISIN")</f>
        <v>US92276F1003</v>
      </c>
      <c r="I2099" s="1" t="s">
        <v>5746</v>
      </c>
      <c r="J2099" t="str">
        <f>_xll.BDP($B2099,"CNTRY_OF_DOMICILE")</f>
        <v>US</v>
      </c>
      <c r="K2099" t="s">
        <v>98</v>
      </c>
      <c r="L2099" t="s">
        <v>99</v>
      </c>
      <c r="O2099" s="1"/>
      <c r="AQ2099" s="1"/>
      <c r="AR2099" s="1"/>
      <c r="AS2099" s="1"/>
    </row>
    <row r="2100" spans="1:45" x14ac:dyDescent="0.25">
      <c r="A2100" t="s">
        <v>5659</v>
      </c>
      <c r="B2100" t="s">
        <v>5748</v>
      </c>
      <c r="C2100" s="1" t="s">
        <v>5749</v>
      </c>
      <c r="D2100" t="s">
        <v>5750</v>
      </c>
      <c r="E2100" t="str">
        <f>_xll.BDP($B2100,"LEGAL_ENTITY_IDENTIFIER")</f>
        <v>254900F33BIAR82QTA19</v>
      </c>
      <c r="F2100" t="s">
        <v>5750</v>
      </c>
      <c r="G2100" t="str">
        <f>custodian!D2100</f>
        <v>95040Q104</v>
      </c>
      <c r="H2100" t="str">
        <f>_xll.BDP($B2100,"ID_ISIN")</f>
        <v>US95040Q1040</v>
      </c>
      <c r="I2100" s="1" t="s">
        <v>5749</v>
      </c>
      <c r="J2100" t="str">
        <f>_xll.BDP($B2100,"CNTRY_OF_DOMICILE")</f>
        <v>US</v>
      </c>
      <c r="K2100" t="s">
        <v>98</v>
      </c>
      <c r="L2100" t="s">
        <v>99</v>
      </c>
      <c r="O2100" s="1"/>
      <c r="AQ2100" s="1"/>
      <c r="AR2100" s="1"/>
      <c r="AS2100" s="1"/>
    </row>
    <row r="2101" spans="1:45" x14ac:dyDescent="0.25">
      <c r="A2101" t="s">
        <v>5659</v>
      </c>
      <c r="B2101" t="s">
        <v>5751</v>
      </c>
      <c r="C2101" s="1" t="s">
        <v>5752</v>
      </c>
      <c r="D2101" t="s">
        <v>5753</v>
      </c>
      <c r="E2101" t="str">
        <f>_xll.BDP($B2101,"LEGAL_ENTITY_IDENTIFIER")</f>
        <v>9NHEHR1SOZCYXDO8HO28</v>
      </c>
      <c r="F2101" t="s">
        <v>5753</v>
      </c>
      <c r="G2101" t="str">
        <f>custodian!D2101</f>
        <v>24906P109</v>
      </c>
      <c r="H2101" t="str">
        <f>_xll.BDP($B2101,"ID_ISIN")</f>
        <v>US24906P1093</v>
      </c>
      <c r="I2101" s="1" t="s">
        <v>5752</v>
      </c>
      <c r="J2101" t="str">
        <f>_xll.BDP($B2101,"CNTRY_OF_DOMICILE")</f>
        <v>US</v>
      </c>
      <c r="K2101" t="s">
        <v>98</v>
      </c>
      <c r="L2101" t="s">
        <v>99</v>
      </c>
      <c r="O2101" s="1"/>
      <c r="AQ2101" s="1"/>
      <c r="AR2101" s="1"/>
      <c r="AS2101" s="1"/>
    </row>
    <row r="2102" spans="1:45" x14ac:dyDescent="0.25">
      <c r="A2102" t="s">
        <v>5659</v>
      </c>
      <c r="C2102" s="1" t="s">
        <v>52</v>
      </c>
      <c r="E2102" s="1"/>
      <c r="G2102" t="str">
        <f>custodian!D2102</f>
        <v>Cash&amp;Other</v>
      </c>
      <c r="H2102" s="1"/>
      <c r="I2102" s="1"/>
      <c r="O2102" s="1"/>
      <c r="AQ2102" s="1"/>
      <c r="AR2102" s="1"/>
      <c r="AS2102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02"/>
  <sheetViews>
    <sheetView workbookViewId="0"/>
  </sheetViews>
  <sheetFormatPr defaultRowHeight="15" x14ac:dyDescent="0.25"/>
  <sheetData>
    <row r="1" spans="1:13" x14ac:dyDescent="0.25">
      <c r="A1" t="s">
        <v>5754</v>
      </c>
      <c r="B1" t="s">
        <v>0</v>
      </c>
      <c r="C1" t="s">
        <v>5755</v>
      </c>
      <c r="D1" t="s">
        <v>5756</v>
      </c>
      <c r="E1" t="s">
        <v>5757</v>
      </c>
      <c r="F1" t="s">
        <v>5758</v>
      </c>
      <c r="G1" t="s">
        <v>5759</v>
      </c>
      <c r="H1" t="s">
        <v>5760</v>
      </c>
      <c r="I1" t="s">
        <v>5761</v>
      </c>
      <c r="J1" t="s">
        <v>5762</v>
      </c>
      <c r="K1" t="s">
        <v>5763</v>
      </c>
      <c r="L1" t="s">
        <v>5764</v>
      </c>
      <c r="M1" t="s">
        <v>5765</v>
      </c>
    </row>
    <row r="2" spans="1:13" x14ac:dyDescent="0.25">
      <c r="A2" t="s">
        <v>5766</v>
      </c>
      <c r="B2" t="s">
        <v>51</v>
      </c>
      <c r="C2" s="1" t="s">
        <v>52</v>
      </c>
      <c r="D2" s="1" t="s">
        <v>52</v>
      </c>
      <c r="E2" t="s">
        <v>5767</v>
      </c>
      <c r="F2" t="s">
        <v>5768</v>
      </c>
      <c r="G2" t="s">
        <v>5769</v>
      </c>
      <c r="H2" t="s">
        <v>5770</v>
      </c>
      <c r="I2" t="s">
        <v>5771</v>
      </c>
      <c r="J2" t="s">
        <v>5770</v>
      </c>
      <c r="K2" t="s">
        <v>5772</v>
      </c>
      <c r="L2" t="s">
        <v>5773</v>
      </c>
      <c r="M2" t="s">
        <v>65</v>
      </c>
    </row>
    <row r="3" spans="1:13" x14ac:dyDescent="0.25">
      <c r="A3" t="s">
        <v>5766</v>
      </c>
      <c r="B3" t="s">
        <v>53</v>
      </c>
      <c r="C3" s="1" t="s">
        <v>55</v>
      </c>
      <c r="D3" s="1" t="s">
        <v>55</v>
      </c>
      <c r="E3" t="s">
        <v>57</v>
      </c>
      <c r="F3" t="s">
        <v>5774</v>
      </c>
      <c r="G3" t="s">
        <v>5775</v>
      </c>
      <c r="H3" t="s">
        <v>67</v>
      </c>
      <c r="I3" t="s">
        <v>5776</v>
      </c>
      <c r="J3" t="s">
        <v>5777</v>
      </c>
      <c r="K3" t="s">
        <v>5778</v>
      </c>
      <c r="L3" t="s">
        <v>5779</v>
      </c>
    </row>
    <row r="4" spans="1:13" x14ac:dyDescent="0.25">
      <c r="A4" t="s">
        <v>5766</v>
      </c>
      <c r="B4" t="s">
        <v>53</v>
      </c>
      <c r="C4" s="1" t="s">
        <v>78</v>
      </c>
      <c r="D4" s="1" t="s">
        <v>5780</v>
      </c>
      <c r="E4" t="s">
        <v>5781</v>
      </c>
      <c r="F4" t="s">
        <v>5782</v>
      </c>
      <c r="G4" t="s">
        <v>5783</v>
      </c>
      <c r="H4" t="s">
        <v>5784</v>
      </c>
      <c r="I4" t="s">
        <v>5785</v>
      </c>
      <c r="J4" t="s">
        <v>5777</v>
      </c>
      <c r="K4" t="s">
        <v>5778</v>
      </c>
      <c r="L4" t="s">
        <v>5779</v>
      </c>
      <c r="M4" t="s">
        <v>65</v>
      </c>
    </row>
    <row r="5" spans="1:13" x14ac:dyDescent="0.25">
      <c r="A5" t="s">
        <v>5766</v>
      </c>
      <c r="B5" t="s">
        <v>53</v>
      </c>
      <c r="C5" s="1" t="s">
        <v>52</v>
      </c>
      <c r="D5" s="1" t="s">
        <v>52</v>
      </c>
      <c r="E5" t="s">
        <v>5767</v>
      </c>
      <c r="F5" t="s">
        <v>5786</v>
      </c>
      <c r="G5" t="s">
        <v>5769</v>
      </c>
      <c r="H5" t="s">
        <v>5787</v>
      </c>
      <c r="I5" t="s">
        <v>5788</v>
      </c>
      <c r="J5" t="s">
        <v>5777</v>
      </c>
      <c r="K5" t="s">
        <v>5778</v>
      </c>
      <c r="L5" t="s">
        <v>5779</v>
      </c>
      <c r="M5" t="s">
        <v>65</v>
      </c>
    </row>
    <row r="6" spans="1:13" x14ac:dyDescent="0.25">
      <c r="A6" t="s">
        <v>5766</v>
      </c>
      <c r="B6" t="s">
        <v>83</v>
      </c>
      <c r="C6" s="1" t="s">
        <v>85</v>
      </c>
      <c r="D6" s="1" t="s">
        <v>85</v>
      </c>
      <c r="E6" t="s">
        <v>86</v>
      </c>
      <c r="F6" t="s">
        <v>5789</v>
      </c>
      <c r="G6" t="s">
        <v>5790</v>
      </c>
      <c r="H6" t="s">
        <v>90</v>
      </c>
      <c r="I6" t="s">
        <v>5791</v>
      </c>
      <c r="J6" t="s">
        <v>5792</v>
      </c>
      <c r="K6" t="s">
        <v>5778</v>
      </c>
      <c r="L6" t="s">
        <v>5779</v>
      </c>
    </row>
    <row r="7" spans="1:13" x14ac:dyDescent="0.25">
      <c r="A7" t="s">
        <v>5766</v>
      </c>
      <c r="B7" t="s">
        <v>83</v>
      </c>
      <c r="C7" s="1" t="s">
        <v>78</v>
      </c>
      <c r="D7" s="1" t="s">
        <v>5780</v>
      </c>
      <c r="E7" t="s">
        <v>5781</v>
      </c>
      <c r="F7" t="s">
        <v>5793</v>
      </c>
      <c r="G7" t="s">
        <v>5783</v>
      </c>
      <c r="H7" t="s">
        <v>5794</v>
      </c>
      <c r="I7" t="s">
        <v>5795</v>
      </c>
      <c r="J7" t="s">
        <v>5792</v>
      </c>
      <c r="K7" t="s">
        <v>5778</v>
      </c>
      <c r="L7" t="s">
        <v>5779</v>
      </c>
      <c r="M7" t="s">
        <v>65</v>
      </c>
    </row>
    <row r="8" spans="1:13" x14ac:dyDescent="0.25">
      <c r="A8" t="s">
        <v>5766</v>
      </c>
      <c r="B8" t="s">
        <v>83</v>
      </c>
      <c r="C8" s="1" t="s">
        <v>52</v>
      </c>
      <c r="D8" s="1" t="s">
        <v>52</v>
      </c>
      <c r="E8" t="s">
        <v>5767</v>
      </c>
      <c r="F8" t="s">
        <v>5796</v>
      </c>
      <c r="G8" t="s">
        <v>5769</v>
      </c>
      <c r="H8" t="s">
        <v>5797</v>
      </c>
      <c r="I8" t="s">
        <v>5798</v>
      </c>
      <c r="J8" t="s">
        <v>5792</v>
      </c>
      <c r="K8" t="s">
        <v>5778</v>
      </c>
      <c r="L8" t="s">
        <v>5779</v>
      </c>
      <c r="M8" t="s">
        <v>65</v>
      </c>
    </row>
    <row r="9" spans="1:13" x14ac:dyDescent="0.25">
      <c r="A9" t="s">
        <v>5766</v>
      </c>
      <c r="B9" t="s">
        <v>94</v>
      </c>
      <c r="C9" s="1" t="s">
        <v>96</v>
      </c>
      <c r="D9" s="1" t="s">
        <v>5799</v>
      </c>
      <c r="E9" t="s">
        <v>97</v>
      </c>
      <c r="F9" t="s">
        <v>5800</v>
      </c>
      <c r="G9" t="s">
        <v>5801</v>
      </c>
      <c r="H9" t="s">
        <v>5802</v>
      </c>
      <c r="I9" t="s">
        <v>5803</v>
      </c>
      <c r="J9" t="s">
        <v>5804</v>
      </c>
      <c r="K9" t="s">
        <v>5805</v>
      </c>
      <c r="L9" t="s">
        <v>5806</v>
      </c>
    </row>
    <row r="10" spans="1:13" x14ac:dyDescent="0.25">
      <c r="A10" t="s">
        <v>5766</v>
      </c>
      <c r="B10" t="s">
        <v>94</v>
      </c>
      <c r="C10" s="1" t="s">
        <v>101</v>
      </c>
      <c r="D10" s="1" t="s">
        <v>5807</v>
      </c>
      <c r="E10" t="s">
        <v>102</v>
      </c>
      <c r="F10" t="s">
        <v>5808</v>
      </c>
      <c r="G10" t="s">
        <v>5809</v>
      </c>
      <c r="H10" t="s">
        <v>5810</v>
      </c>
      <c r="I10" t="s">
        <v>5811</v>
      </c>
      <c r="J10" t="s">
        <v>5804</v>
      </c>
      <c r="K10" t="s">
        <v>5805</v>
      </c>
      <c r="L10" t="s">
        <v>5806</v>
      </c>
    </row>
    <row r="11" spans="1:13" x14ac:dyDescent="0.25">
      <c r="A11" t="s">
        <v>5766</v>
      </c>
      <c r="B11" t="s">
        <v>94</v>
      </c>
      <c r="C11" s="1" t="s">
        <v>104</v>
      </c>
      <c r="D11" s="1" t="s">
        <v>5812</v>
      </c>
      <c r="E11" t="s">
        <v>105</v>
      </c>
      <c r="F11" t="s">
        <v>5813</v>
      </c>
      <c r="G11" t="s">
        <v>5814</v>
      </c>
      <c r="H11" t="s">
        <v>5815</v>
      </c>
      <c r="I11" t="s">
        <v>5816</v>
      </c>
      <c r="J11" t="s">
        <v>5804</v>
      </c>
      <c r="K11" t="s">
        <v>5805</v>
      </c>
      <c r="L11" t="s">
        <v>5806</v>
      </c>
    </row>
    <row r="12" spans="1:13" x14ac:dyDescent="0.25">
      <c r="A12" t="s">
        <v>5766</v>
      </c>
      <c r="B12" t="s">
        <v>94</v>
      </c>
      <c r="C12" s="1" t="s">
        <v>107</v>
      </c>
      <c r="D12" s="1" t="s">
        <v>5817</v>
      </c>
      <c r="E12" t="s">
        <v>108</v>
      </c>
      <c r="F12" t="s">
        <v>5818</v>
      </c>
      <c r="G12" t="s">
        <v>5819</v>
      </c>
      <c r="H12" t="s">
        <v>5820</v>
      </c>
      <c r="I12" t="s">
        <v>5821</v>
      </c>
      <c r="J12" t="s">
        <v>5804</v>
      </c>
      <c r="K12" t="s">
        <v>5805</v>
      </c>
      <c r="L12" t="s">
        <v>5806</v>
      </c>
    </row>
    <row r="13" spans="1:13" x14ac:dyDescent="0.25">
      <c r="A13" t="s">
        <v>5766</v>
      </c>
      <c r="B13" t="s">
        <v>94</v>
      </c>
      <c r="C13" s="1" t="s">
        <v>110</v>
      </c>
      <c r="D13" s="1" t="s">
        <v>5822</v>
      </c>
      <c r="E13" t="s">
        <v>111</v>
      </c>
      <c r="F13" t="s">
        <v>5823</v>
      </c>
      <c r="G13" t="s">
        <v>5824</v>
      </c>
      <c r="H13" t="s">
        <v>5825</v>
      </c>
      <c r="I13" t="s">
        <v>5826</v>
      </c>
      <c r="J13" t="s">
        <v>5804</v>
      </c>
      <c r="K13" t="s">
        <v>5805</v>
      </c>
      <c r="L13" t="s">
        <v>5806</v>
      </c>
    </row>
    <row r="14" spans="1:13" x14ac:dyDescent="0.25">
      <c r="A14" t="s">
        <v>5766</v>
      </c>
      <c r="B14" t="s">
        <v>94</v>
      </c>
      <c r="C14" s="1" t="s">
        <v>113</v>
      </c>
      <c r="D14" s="1" t="s">
        <v>5827</v>
      </c>
      <c r="E14" t="s">
        <v>115</v>
      </c>
      <c r="F14" t="s">
        <v>5828</v>
      </c>
      <c r="G14" t="s">
        <v>5829</v>
      </c>
      <c r="H14" t="s">
        <v>5830</v>
      </c>
      <c r="I14" t="s">
        <v>5831</v>
      </c>
      <c r="J14" t="s">
        <v>5804</v>
      </c>
      <c r="K14" t="s">
        <v>5805</v>
      </c>
      <c r="L14" t="s">
        <v>5806</v>
      </c>
    </row>
    <row r="15" spans="1:13" x14ac:dyDescent="0.25">
      <c r="A15" t="s">
        <v>5766</v>
      </c>
      <c r="B15" t="s">
        <v>94</v>
      </c>
      <c r="C15" s="1" t="s">
        <v>117</v>
      </c>
      <c r="D15" s="1" t="s">
        <v>5832</v>
      </c>
      <c r="E15" t="s">
        <v>118</v>
      </c>
      <c r="F15" t="s">
        <v>5833</v>
      </c>
      <c r="G15" t="s">
        <v>5834</v>
      </c>
      <c r="H15" t="s">
        <v>5835</v>
      </c>
      <c r="I15" t="s">
        <v>5836</v>
      </c>
      <c r="J15" t="s">
        <v>5804</v>
      </c>
      <c r="K15" t="s">
        <v>5805</v>
      </c>
      <c r="L15" t="s">
        <v>5806</v>
      </c>
    </row>
    <row r="16" spans="1:13" x14ac:dyDescent="0.25">
      <c r="A16" t="s">
        <v>5766</v>
      </c>
      <c r="B16" t="s">
        <v>94</v>
      </c>
      <c r="C16" s="1" t="s">
        <v>120</v>
      </c>
      <c r="D16" s="1" t="s">
        <v>5837</v>
      </c>
      <c r="E16" t="s">
        <v>121</v>
      </c>
      <c r="F16" t="s">
        <v>5838</v>
      </c>
      <c r="G16" t="s">
        <v>5839</v>
      </c>
      <c r="H16" t="s">
        <v>5840</v>
      </c>
      <c r="I16" t="s">
        <v>5841</v>
      </c>
      <c r="J16" t="s">
        <v>5804</v>
      </c>
      <c r="K16" t="s">
        <v>5805</v>
      </c>
      <c r="L16" t="s">
        <v>5806</v>
      </c>
    </row>
    <row r="17" spans="1:13" x14ac:dyDescent="0.25">
      <c r="A17" t="s">
        <v>5766</v>
      </c>
      <c r="B17" t="s">
        <v>94</v>
      </c>
      <c r="C17" s="1" t="s">
        <v>123</v>
      </c>
      <c r="D17" s="1" t="s">
        <v>5842</v>
      </c>
      <c r="E17" t="s">
        <v>124</v>
      </c>
      <c r="F17" t="s">
        <v>5843</v>
      </c>
      <c r="G17" t="s">
        <v>5844</v>
      </c>
      <c r="H17" t="s">
        <v>5845</v>
      </c>
      <c r="I17" t="s">
        <v>5846</v>
      </c>
      <c r="J17" t="s">
        <v>5804</v>
      </c>
      <c r="K17" t="s">
        <v>5805</v>
      </c>
      <c r="L17" t="s">
        <v>5806</v>
      </c>
    </row>
    <row r="18" spans="1:13" x14ac:dyDescent="0.25">
      <c r="A18" t="s">
        <v>5766</v>
      </c>
      <c r="B18" t="s">
        <v>94</v>
      </c>
      <c r="C18" s="1" t="s">
        <v>126</v>
      </c>
      <c r="D18" s="1" t="s">
        <v>5847</v>
      </c>
      <c r="E18" t="s">
        <v>127</v>
      </c>
      <c r="F18" t="s">
        <v>5818</v>
      </c>
      <c r="G18" t="s">
        <v>5848</v>
      </c>
      <c r="H18" t="s">
        <v>5849</v>
      </c>
      <c r="I18" t="s">
        <v>5850</v>
      </c>
      <c r="J18" t="s">
        <v>5804</v>
      </c>
      <c r="K18" t="s">
        <v>5805</v>
      </c>
      <c r="L18" t="s">
        <v>5806</v>
      </c>
    </row>
    <row r="19" spans="1:13" x14ac:dyDescent="0.25">
      <c r="A19" t="s">
        <v>5766</v>
      </c>
      <c r="B19" t="s">
        <v>94</v>
      </c>
      <c r="C19" s="1" t="s">
        <v>129</v>
      </c>
      <c r="D19" s="1" t="s">
        <v>5851</v>
      </c>
      <c r="E19" t="s">
        <v>130</v>
      </c>
      <c r="F19" t="s">
        <v>5828</v>
      </c>
      <c r="G19" t="s">
        <v>5852</v>
      </c>
      <c r="H19" t="s">
        <v>5853</v>
      </c>
      <c r="I19" t="s">
        <v>5854</v>
      </c>
      <c r="J19" t="s">
        <v>5804</v>
      </c>
      <c r="K19" t="s">
        <v>5805</v>
      </c>
      <c r="L19" t="s">
        <v>5806</v>
      </c>
    </row>
    <row r="20" spans="1:13" x14ac:dyDescent="0.25">
      <c r="A20" t="s">
        <v>5766</v>
      </c>
      <c r="B20" t="s">
        <v>94</v>
      </c>
      <c r="C20" s="1" t="s">
        <v>132</v>
      </c>
      <c r="D20" s="1" t="s">
        <v>5855</v>
      </c>
      <c r="E20" t="s">
        <v>133</v>
      </c>
      <c r="F20" t="s">
        <v>5856</v>
      </c>
      <c r="G20" t="s">
        <v>5857</v>
      </c>
      <c r="H20" t="s">
        <v>5858</v>
      </c>
      <c r="I20" t="s">
        <v>5859</v>
      </c>
      <c r="J20" t="s">
        <v>5804</v>
      </c>
      <c r="K20" t="s">
        <v>5805</v>
      </c>
      <c r="L20" t="s">
        <v>5806</v>
      </c>
    </row>
    <row r="21" spans="1:13" x14ac:dyDescent="0.25">
      <c r="A21" t="s">
        <v>5766</v>
      </c>
      <c r="B21" t="s">
        <v>94</v>
      </c>
      <c r="C21" s="1" t="s">
        <v>135</v>
      </c>
      <c r="D21" s="1" t="s">
        <v>5860</v>
      </c>
      <c r="E21" t="s">
        <v>136</v>
      </c>
      <c r="F21" t="s">
        <v>5861</v>
      </c>
      <c r="G21" t="s">
        <v>5862</v>
      </c>
      <c r="H21" t="s">
        <v>5863</v>
      </c>
      <c r="I21" t="s">
        <v>5864</v>
      </c>
      <c r="J21" t="s">
        <v>5804</v>
      </c>
      <c r="K21" t="s">
        <v>5805</v>
      </c>
      <c r="L21" t="s">
        <v>5806</v>
      </c>
    </row>
    <row r="22" spans="1:13" x14ac:dyDescent="0.25">
      <c r="A22" t="s">
        <v>5766</v>
      </c>
      <c r="B22" t="s">
        <v>94</v>
      </c>
      <c r="C22" s="1" t="s">
        <v>138</v>
      </c>
      <c r="D22" s="1" t="s">
        <v>5865</v>
      </c>
      <c r="E22" t="s">
        <v>139</v>
      </c>
      <c r="F22" t="s">
        <v>5866</v>
      </c>
      <c r="G22" t="s">
        <v>5867</v>
      </c>
      <c r="H22" t="s">
        <v>5868</v>
      </c>
      <c r="I22" t="s">
        <v>5869</v>
      </c>
      <c r="J22" t="s">
        <v>5804</v>
      </c>
      <c r="K22" t="s">
        <v>5805</v>
      </c>
      <c r="L22" t="s">
        <v>5806</v>
      </c>
    </row>
    <row r="23" spans="1:13" x14ac:dyDescent="0.25">
      <c r="A23" t="s">
        <v>5766</v>
      </c>
      <c r="B23" t="s">
        <v>94</v>
      </c>
      <c r="C23" s="1" t="s">
        <v>141</v>
      </c>
      <c r="D23" s="1" t="s">
        <v>5870</v>
      </c>
      <c r="E23" t="s">
        <v>142</v>
      </c>
      <c r="F23" t="s">
        <v>5871</v>
      </c>
      <c r="G23" t="s">
        <v>5872</v>
      </c>
      <c r="H23" t="s">
        <v>5873</v>
      </c>
      <c r="I23" t="s">
        <v>5874</v>
      </c>
      <c r="J23" t="s">
        <v>5804</v>
      </c>
      <c r="K23" t="s">
        <v>5805</v>
      </c>
      <c r="L23" t="s">
        <v>5806</v>
      </c>
    </row>
    <row r="24" spans="1:13" x14ac:dyDescent="0.25">
      <c r="A24" t="s">
        <v>5766</v>
      </c>
      <c r="B24" t="s">
        <v>94</v>
      </c>
      <c r="C24" s="1" t="s">
        <v>144</v>
      </c>
      <c r="D24" s="1" t="s">
        <v>5875</v>
      </c>
      <c r="E24" t="s">
        <v>145</v>
      </c>
      <c r="F24" t="s">
        <v>5876</v>
      </c>
      <c r="G24" t="s">
        <v>5877</v>
      </c>
      <c r="H24" t="s">
        <v>5878</v>
      </c>
      <c r="I24" t="s">
        <v>5879</v>
      </c>
      <c r="J24" t="s">
        <v>5804</v>
      </c>
      <c r="K24" t="s">
        <v>5805</v>
      </c>
      <c r="L24" t="s">
        <v>5806</v>
      </c>
    </row>
    <row r="25" spans="1:13" x14ac:dyDescent="0.25">
      <c r="A25" t="s">
        <v>5766</v>
      </c>
      <c r="B25" t="s">
        <v>94</v>
      </c>
      <c r="C25" s="1" t="s">
        <v>78</v>
      </c>
      <c r="D25" s="1" t="s">
        <v>5780</v>
      </c>
      <c r="E25" t="s">
        <v>5781</v>
      </c>
      <c r="F25" t="s">
        <v>5880</v>
      </c>
      <c r="G25" t="s">
        <v>5783</v>
      </c>
      <c r="H25" t="s">
        <v>5881</v>
      </c>
      <c r="I25" t="s">
        <v>5882</v>
      </c>
      <c r="J25" t="s">
        <v>5804</v>
      </c>
      <c r="K25" t="s">
        <v>5805</v>
      </c>
      <c r="L25" t="s">
        <v>5806</v>
      </c>
      <c r="M25" t="s">
        <v>65</v>
      </c>
    </row>
    <row r="26" spans="1:13" x14ac:dyDescent="0.25">
      <c r="A26" t="s">
        <v>5766</v>
      </c>
      <c r="B26" t="s">
        <v>94</v>
      </c>
      <c r="C26" s="1" t="s">
        <v>147</v>
      </c>
      <c r="D26" s="1" t="s">
        <v>5883</v>
      </c>
      <c r="E26" t="s">
        <v>148</v>
      </c>
      <c r="F26" t="s">
        <v>5884</v>
      </c>
      <c r="G26" t="s">
        <v>5885</v>
      </c>
      <c r="H26" t="s">
        <v>5886</v>
      </c>
      <c r="I26" t="s">
        <v>5887</v>
      </c>
      <c r="J26" t="s">
        <v>5804</v>
      </c>
      <c r="K26" t="s">
        <v>5805</v>
      </c>
      <c r="L26" t="s">
        <v>5806</v>
      </c>
    </row>
    <row r="27" spans="1:13" x14ac:dyDescent="0.25">
      <c r="A27" t="s">
        <v>5766</v>
      </c>
      <c r="B27" t="s">
        <v>94</v>
      </c>
      <c r="C27" s="1" t="s">
        <v>150</v>
      </c>
      <c r="D27" s="1" t="s">
        <v>5888</v>
      </c>
      <c r="E27" t="s">
        <v>151</v>
      </c>
      <c r="F27" t="s">
        <v>5808</v>
      </c>
      <c r="G27" t="s">
        <v>5889</v>
      </c>
      <c r="H27" t="s">
        <v>5890</v>
      </c>
      <c r="I27" t="s">
        <v>5891</v>
      </c>
      <c r="J27" t="s">
        <v>5804</v>
      </c>
      <c r="K27" t="s">
        <v>5805</v>
      </c>
      <c r="L27" t="s">
        <v>5806</v>
      </c>
    </row>
    <row r="28" spans="1:13" x14ac:dyDescent="0.25">
      <c r="A28" t="s">
        <v>5766</v>
      </c>
      <c r="B28" t="s">
        <v>94</v>
      </c>
      <c r="C28" s="1" t="s">
        <v>153</v>
      </c>
      <c r="D28" s="1" t="s">
        <v>5892</v>
      </c>
      <c r="E28" t="s">
        <v>154</v>
      </c>
      <c r="F28" t="s">
        <v>5893</v>
      </c>
      <c r="G28" t="s">
        <v>5894</v>
      </c>
      <c r="H28" t="s">
        <v>5895</v>
      </c>
      <c r="I28" t="s">
        <v>5896</v>
      </c>
      <c r="J28" t="s">
        <v>5804</v>
      </c>
      <c r="K28" t="s">
        <v>5805</v>
      </c>
      <c r="L28" t="s">
        <v>5806</v>
      </c>
    </row>
    <row r="29" spans="1:13" x14ac:dyDescent="0.25">
      <c r="A29" t="s">
        <v>5766</v>
      </c>
      <c r="B29" t="s">
        <v>94</v>
      </c>
      <c r="C29" s="1" t="s">
        <v>156</v>
      </c>
      <c r="D29" s="1" t="s">
        <v>5897</v>
      </c>
      <c r="E29" t="s">
        <v>157</v>
      </c>
      <c r="F29" t="s">
        <v>5898</v>
      </c>
      <c r="G29" t="s">
        <v>5899</v>
      </c>
      <c r="H29" t="s">
        <v>5900</v>
      </c>
      <c r="I29" t="s">
        <v>5901</v>
      </c>
      <c r="J29" t="s">
        <v>5804</v>
      </c>
      <c r="K29" t="s">
        <v>5805</v>
      </c>
      <c r="L29" t="s">
        <v>5806</v>
      </c>
    </row>
    <row r="30" spans="1:13" x14ac:dyDescent="0.25">
      <c r="A30" t="s">
        <v>5766</v>
      </c>
      <c r="B30" t="s">
        <v>94</v>
      </c>
      <c r="C30" s="1" t="s">
        <v>159</v>
      </c>
      <c r="D30" s="1" t="s">
        <v>5902</v>
      </c>
      <c r="E30" t="s">
        <v>160</v>
      </c>
      <c r="F30" t="s">
        <v>5838</v>
      </c>
      <c r="G30" t="s">
        <v>5903</v>
      </c>
      <c r="H30" t="s">
        <v>5904</v>
      </c>
      <c r="I30" t="s">
        <v>5905</v>
      </c>
      <c r="J30" t="s">
        <v>5804</v>
      </c>
      <c r="K30" t="s">
        <v>5805</v>
      </c>
      <c r="L30" t="s">
        <v>5806</v>
      </c>
    </row>
    <row r="31" spans="1:13" x14ac:dyDescent="0.25">
      <c r="A31" t="s">
        <v>5766</v>
      </c>
      <c r="B31" t="s">
        <v>94</v>
      </c>
      <c r="C31" s="1" t="s">
        <v>162</v>
      </c>
      <c r="D31" s="1" t="s">
        <v>5906</v>
      </c>
      <c r="E31" t="s">
        <v>163</v>
      </c>
      <c r="F31" t="s">
        <v>5907</v>
      </c>
      <c r="G31" t="s">
        <v>5908</v>
      </c>
      <c r="H31" t="s">
        <v>5909</v>
      </c>
      <c r="I31" t="s">
        <v>5910</v>
      </c>
      <c r="J31" t="s">
        <v>5804</v>
      </c>
      <c r="K31" t="s">
        <v>5805</v>
      </c>
      <c r="L31" t="s">
        <v>5806</v>
      </c>
    </row>
    <row r="32" spans="1:13" x14ac:dyDescent="0.25">
      <c r="A32" t="s">
        <v>5766</v>
      </c>
      <c r="B32" t="s">
        <v>94</v>
      </c>
      <c r="C32" s="1" t="s">
        <v>165</v>
      </c>
      <c r="D32" s="1" t="s">
        <v>5911</v>
      </c>
      <c r="E32" t="s">
        <v>166</v>
      </c>
      <c r="F32" t="s">
        <v>5912</v>
      </c>
      <c r="G32" t="s">
        <v>5913</v>
      </c>
      <c r="H32" t="s">
        <v>5914</v>
      </c>
      <c r="I32" t="s">
        <v>5915</v>
      </c>
      <c r="J32" t="s">
        <v>5804</v>
      </c>
      <c r="K32" t="s">
        <v>5805</v>
      </c>
      <c r="L32" t="s">
        <v>5806</v>
      </c>
    </row>
    <row r="33" spans="1:12" x14ac:dyDescent="0.25">
      <c r="A33" t="s">
        <v>5766</v>
      </c>
      <c r="B33" t="s">
        <v>94</v>
      </c>
      <c r="C33" s="1" t="s">
        <v>168</v>
      </c>
      <c r="D33" s="1" t="s">
        <v>5916</v>
      </c>
      <c r="E33" t="s">
        <v>169</v>
      </c>
      <c r="F33" t="s">
        <v>5917</v>
      </c>
      <c r="G33" t="s">
        <v>5918</v>
      </c>
      <c r="H33" t="s">
        <v>5919</v>
      </c>
      <c r="I33" t="s">
        <v>5920</v>
      </c>
      <c r="J33" t="s">
        <v>5804</v>
      </c>
      <c r="K33" t="s">
        <v>5805</v>
      </c>
      <c r="L33" t="s">
        <v>5806</v>
      </c>
    </row>
    <row r="34" spans="1:12" x14ac:dyDescent="0.25">
      <c r="A34" t="s">
        <v>5766</v>
      </c>
      <c r="B34" t="s">
        <v>94</v>
      </c>
      <c r="C34" s="1" t="s">
        <v>171</v>
      </c>
      <c r="D34" s="1" t="s">
        <v>5921</v>
      </c>
      <c r="E34" t="s">
        <v>172</v>
      </c>
      <c r="F34" t="s">
        <v>5922</v>
      </c>
      <c r="G34" t="s">
        <v>5923</v>
      </c>
      <c r="H34" t="s">
        <v>5924</v>
      </c>
      <c r="I34" t="s">
        <v>5925</v>
      </c>
      <c r="J34" t="s">
        <v>5804</v>
      </c>
      <c r="K34" t="s">
        <v>5805</v>
      </c>
      <c r="L34" t="s">
        <v>5806</v>
      </c>
    </row>
    <row r="35" spans="1:12" x14ac:dyDescent="0.25">
      <c r="A35" t="s">
        <v>5766</v>
      </c>
      <c r="B35" t="s">
        <v>94</v>
      </c>
      <c r="C35" s="1" t="s">
        <v>174</v>
      </c>
      <c r="D35" s="1" t="s">
        <v>5926</v>
      </c>
      <c r="E35" t="s">
        <v>175</v>
      </c>
      <c r="F35" t="s">
        <v>5907</v>
      </c>
      <c r="G35" t="s">
        <v>5927</v>
      </c>
      <c r="H35" t="s">
        <v>5928</v>
      </c>
      <c r="I35" t="s">
        <v>5929</v>
      </c>
      <c r="J35" t="s">
        <v>5804</v>
      </c>
      <c r="K35" t="s">
        <v>5805</v>
      </c>
      <c r="L35" t="s">
        <v>5806</v>
      </c>
    </row>
    <row r="36" spans="1:12" x14ac:dyDescent="0.25">
      <c r="A36" t="s">
        <v>5766</v>
      </c>
      <c r="B36" t="s">
        <v>94</v>
      </c>
      <c r="C36" s="1" t="s">
        <v>177</v>
      </c>
      <c r="D36" s="1" t="s">
        <v>5930</v>
      </c>
      <c r="E36" t="s">
        <v>178</v>
      </c>
      <c r="F36" t="s">
        <v>5931</v>
      </c>
      <c r="G36" t="s">
        <v>5932</v>
      </c>
      <c r="H36" t="s">
        <v>5933</v>
      </c>
      <c r="I36" t="s">
        <v>5934</v>
      </c>
      <c r="J36" t="s">
        <v>5804</v>
      </c>
      <c r="K36" t="s">
        <v>5805</v>
      </c>
      <c r="L36" t="s">
        <v>5806</v>
      </c>
    </row>
    <row r="37" spans="1:12" x14ac:dyDescent="0.25">
      <c r="A37" t="s">
        <v>5766</v>
      </c>
      <c r="B37" t="s">
        <v>94</v>
      </c>
      <c r="C37" s="1" t="s">
        <v>180</v>
      </c>
      <c r="D37" s="1" t="s">
        <v>5935</v>
      </c>
      <c r="E37" t="s">
        <v>181</v>
      </c>
      <c r="F37" t="s">
        <v>5861</v>
      </c>
      <c r="G37" t="s">
        <v>5936</v>
      </c>
      <c r="H37" t="s">
        <v>5937</v>
      </c>
      <c r="I37" t="s">
        <v>5938</v>
      </c>
      <c r="J37" t="s">
        <v>5804</v>
      </c>
      <c r="K37" t="s">
        <v>5805</v>
      </c>
      <c r="L37" t="s">
        <v>5806</v>
      </c>
    </row>
    <row r="38" spans="1:12" x14ac:dyDescent="0.25">
      <c r="A38" t="s">
        <v>5766</v>
      </c>
      <c r="B38" t="s">
        <v>94</v>
      </c>
      <c r="C38" s="1" t="s">
        <v>183</v>
      </c>
      <c r="D38" s="1" t="s">
        <v>5939</v>
      </c>
      <c r="E38" t="s">
        <v>184</v>
      </c>
      <c r="F38" t="s">
        <v>5940</v>
      </c>
      <c r="G38" t="s">
        <v>5941</v>
      </c>
      <c r="H38" t="s">
        <v>5942</v>
      </c>
      <c r="I38" t="s">
        <v>5943</v>
      </c>
      <c r="J38" t="s">
        <v>5804</v>
      </c>
      <c r="K38" t="s">
        <v>5805</v>
      </c>
      <c r="L38" t="s">
        <v>5806</v>
      </c>
    </row>
    <row r="39" spans="1:12" x14ac:dyDescent="0.25">
      <c r="A39" t="s">
        <v>5766</v>
      </c>
      <c r="B39" t="s">
        <v>94</v>
      </c>
      <c r="C39" s="1" t="s">
        <v>186</v>
      </c>
      <c r="D39" s="1" t="s">
        <v>5944</v>
      </c>
      <c r="E39" t="s">
        <v>188</v>
      </c>
      <c r="F39" t="s">
        <v>5818</v>
      </c>
      <c r="G39" t="s">
        <v>5945</v>
      </c>
      <c r="H39" t="s">
        <v>5946</v>
      </c>
      <c r="I39" t="s">
        <v>5947</v>
      </c>
      <c r="J39" t="s">
        <v>5804</v>
      </c>
      <c r="K39" t="s">
        <v>5805</v>
      </c>
      <c r="L39" t="s">
        <v>5806</v>
      </c>
    </row>
    <row r="40" spans="1:12" x14ac:dyDescent="0.25">
      <c r="A40" t="s">
        <v>5766</v>
      </c>
      <c r="B40" t="s">
        <v>94</v>
      </c>
      <c r="C40" s="1" t="s">
        <v>190</v>
      </c>
      <c r="D40" s="1" t="s">
        <v>5948</v>
      </c>
      <c r="E40" t="s">
        <v>191</v>
      </c>
      <c r="F40" t="s">
        <v>5949</v>
      </c>
      <c r="G40" t="s">
        <v>5950</v>
      </c>
      <c r="H40" t="s">
        <v>5951</v>
      </c>
      <c r="I40" t="s">
        <v>5952</v>
      </c>
      <c r="J40" t="s">
        <v>5804</v>
      </c>
      <c r="K40" t="s">
        <v>5805</v>
      </c>
      <c r="L40" t="s">
        <v>5806</v>
      </c>
    </row>
    <row r="41" spans="1:12" x14ac:dyDescent="0.25">
      <c r="A41" t="s">
        <v>5766</v>
      </c>
      <c r="B41" t="s">
        <v>94</v>
      </c>
      <c r="C41" s="1" t="s">
        <v>193</v>
      </c>
      <c r="D41" s="1" t="s">
        <v>5953</v>
      </c>
      <c r="E41" t="s">
        <v>194</v>
      </c>
      <c r="F41" t="s">
        <v>5954</v>
      </c>
      <c r="G41" t="s">
        <v>5955</v>
      </c>
      <c r="H41" t="s">
        <v>5956</v>
      </c>
      <c r="I41" t="s">
        <v>5957</v>
      </c>
      <c r="J41" t="s">
        <v>5804</v>
      </c>
      <c r="K41" t="s">
        <v>5805</v>
      </c>
      <c r="L41" t="s">
        <v>5806</v>
      </c>
    </row>
    <row r="42" spans="1:12" x14ac:dyDescent="0.25">
      <c r="A42" t="s">
        <v>5766</v>
      </c>
      <c r="B42" t="s">
        <v>94</v>
      </c>
      <c r="C42" s="1" t="s">
        <v>196</v>
      </c>
      <c r="D42" s="1" t="s">
        <v>5958</v>
      </c>
      <c r="E42" t="s">
        <v>197</v>
      </c>
      <c r="F42" t="s">
        <v>5922</v>
      </c>
      <c r="G42" t="s">
        <v>5959</v>
      </c>
      <c r="H42" t="s">
        <v>5960</v>
      </c>
      <c r="I42" t="s">
        <v>5846</v>
      </c>
      <c r="J42" t="s">
        <v>5804</v>
      </c>
      <c r="K42" t="s">
        <v>5805</v>
      </c>
      <c r="L42" t="s">
        <v>5806</v>
      </c>
    </row>
    <row r="43" spans="1:12" x14ac:dyDescent="0.25">
      <c r="A43" t="s">
        <v>5766</v>
      </c>
      <c r="B43" t="s">
        <v>94</v>
      </c>
      <c r="C43" s="1" t="s">
        <v>199</v>
      </c>
      <c r="D43" s="1" t="s">
        <v>5961</v>
      </c>
      <c r="E43" t="s">
        <v>200</v>
      </c>
      <c r="F43" t="s">
        <v>5962</v>
      </c>
      <c r="G43" t="s">
        <v>5963</v>
      </c>
      <c r="H43" t="s">
        <v>5964</v>
      </c>
      <c r="I43" t="s">
        <v>5965</v>
      </c>
      <c r="J43" t="s">
        <v>5804</v>
      </c>
      <c r="K43" t="s">
        <v>5805</v>
      </c>
      <c r="L43" t="s">
        <v>5806</v>
      </c>
    </row>
    <row r="44" spans="1:12" x14ac:dyDescent="0.25">
      <c r="A44" t="s">
        <v>5766</v>
      </c>
      <c r="B44" t="s">
        <v>94</v>
      </c>
      <c r="C44" s="1" t="s">
        <v>202</v>
      </c>
      <c r="D44" s="1" t="s">
        <v>5966</v>
      </c>
      <c r="E44" t="s">
        <v>203</v>
      </c>
      <c r="F44" t="s">
        <v>5838</v>
      </c>
      <c r="G44" t="s">
        <v>5967</v>
      </c>
      <c r="H44" t="s">
        <v>5968</v>
      </c>
      <c r="I44" t="s">
        <v>5969</v>
      </c>
      <c r="J44" t="s">
        <v>5804</v>
      </c>
      <c r="K44" t="s">
        <v>5805</v>
      </c>
      <c r="L44" t="s">
        <v>5806</v>
      </c>
    </row>
    <row r="45" spans="1:12" x14ac:dyDescent="0.25">
      <c r="A45" t="s">
        <v>5766</v>
      </c>
      <c r="B45" t="s">
        <v>94</v>
      </c>
      <c r="C45" s="1" t="s">
        <v>205</v>
      </c>
      <c r="D45" s="1" t="s">
        <v>5970</v>
      </c>
      <c r="E45" t="s">
        <v>206</v>
      </c>
      <c r="F45" t="s">
        <v>5971</v>
      </c>
      <c r="G45" t="s">
        <v>5972</v>
      </c>
      <c r="H45" t="s">
        <v>5973</v>
      </c>
      <c r="I45" t="s">
        <v>5974</v>
      </c>
      <c r="J45" t="s">
        <v>5804</v>
      </c>
      <c r="K45" t="s">
        <v>5805</v>
      </c>
      <c r="L45" t="s">
        <v>5806</v>
      </c>
    </row>
    <row r="46" spans="1:12" x14ac:dyDescent="0.25">
      <c r="A46" t="s">
        <v>5766</v>
      </c>
      <c r="B46" t="s">
        <v>94</v>
      </c>
      <c r="C46" s="1" t="s">
        <v>208</v>
      </c>
      <c r="D46" s="1" t="s">
        <v>5975</v>
      </c>
      <c r="E46" t="s">
        <v>209</v>
      </c>
      <c r="F46" t="s">
        <v>5976</v>
      </c>
      <c r="G46" t="s">
        <v>5977</v>
      </c>
      <c r="H46" t="s">
        <v>5978</v>
      </c>
      <c r="I46" t="s">
        <v>5979</v>
      </c>
      <c r="J46" t="s">
        <v>5804</v>
      </c>
      <c r="K46" t="s">
        <v>5805</v>
      </c>
      <c r="L46" t="s">
        <v>5806</v>
      </c>
    </row>
    <row r="47" spans="1:12" x14ac:dyDescent="0.25">
      <c r="A47" t="s">
        <v>5766</v>
      </c>
      <c r="B47" t="s">
        <v>94</v>
      </c>
      <c r="C47" s="1" t="s">
        <v>211</v>
      </c>
      <c r="D47" s="1" t="s">
        <v>5980</v>
      </c>
      <c r="E47" t="s">
        <v>212</v>
      </c>
      <c r="F47" t="s">
        <v>5981</v>
      </c>
      <c r="G47" t="s">
        <v>5982</v>
      </c>
      <c r="H47" t="s">
        <v>5983</v>
      </c>
      <c r="I47" t="s">
        <v>5984</v>
      </c>
      <c r="J47" t="s">
        <v>5804</v>
      </c>
      <c r="K47" t="s">
        <v>5805</v>
      </c>
      <c r="L47" t="s">
        <v>5806</v>
      </c>
    </row>
    <row r="48" spans="1:12" x14ac:dyDescent="0.25">
      <c r="A48" t="s">
        <v>5766</v>
      </c>
      <c r="B48" t="s">
        <v>94</v>
      </c>
      <c r="C48" s="1" t="s">
        <v>214</v>
      </c>
      <c r="D48" s="1" t="s">
        <v>5985</v>
      </c>
      <c r="E48" t="s">
        <v>215</v>
      </c>
      <c r="F48" t="s">
        <v>5818</v>
      </c>
      <c r="G48" t="s">
        <v>5986</v>
      </c>
      <c r="H48" t="s">
        <v>5987</v>
      </c>
      <c r="I48" t="s">
        <v>5988</v>
      </c>
      <c r="J48" t="s">
        <v>5804</v>
      </c>
      <c r="K48" t="s">
        <v>5805</v>
      </c>
      <c r="L48" t="s">
        <v>5806</v>
      </c>
    </row>
    <row r="49" spans="1:13" x14ac:dyDescent="0.25">
      <c r="A49" t="s">
        <v>5766</v>
      </c>
      <c r="B49" t="s">
        <v>94</v>
      </c>
      <c r="C49" s="1" t="s">
        <v>52</v>
      </c>
      <c r="D49" s="1" t="s">
        <v>52</v>
      </c>
      <c r="E49" t="s">
        <v>5767</v>
      </c>
      <c r="F49" t="s">
        <v>5989</v>
      </c>
      <c r="G49" t="s">
        <v>5769</v>
      </c>
      <c r="H49" t="s">
        <v>5990</v>
      </c>
      <c r="I49" t="s">
        <v>5991</v>
      </c>
      <c r="J49" t="s">
        <v>5804</v>
      </c>
      <c r="K49" t="s">
        <v>5805</v>
      </c>
      <c r="L49" t="s">
        <v>5806</v>
      </c>
      <c r="M49" t="s">
        <v>65</v>
      </c>
    </row>
    <row r="50" spans="1:13" x14ac:dyDescent="0.25">
      <c r="A50" t="s">
        <v>5766</v>
      </c>
      <c r="B50" t="s">
        <v>216</v>
      </c>
      <c r="C50" s="1" t="s">
        <v>218</v>
      </c>
      <c r="D50" s="1" t="s">
        <v>2655</v>
      </c>
      <c r="E50" t="s">
        <v>219</v>
      </c>
      <c r="F50" t="s">
        <v>5992</v>
      </c>
      <c r="G50" t="s">
        <v>5993</v>
      </c>
      <c r="H50" t="s">
        <v>5994</v>
      </c>
      <c r="I50" t="s">
        <v>5995</v>
      </c>
      <c r="J50" t="s">
        <v>5996</v>
      </c>
      <c r="K50" t="s">
        <v>5997</v>
      </c>
      <c r="L50" t="s">
        <v>5998</v>
      </c>
    </row>
    <row r="51" spans="1:13" x14ac:dyDescent="0.25">
      <c r="A51" t="s">
        <v>5766</v>
      </c>
      <c r="B51" t="s">
        <v>216</v>
      </c>
      <c r="C51" s="1" t="s">
        <v>221</v>
      </c>
      <c r="D51" s="1" t="s">
        <v>5999</v>
      </c>
      <c r="E51" t="s">
        <v>222</v>
      </c>
      <c r="F51" t="s">
        <v>6000</v>
      </c>
      <c r="G51" t="s">
        <v>6001</v>
      </c>
      <c r="H51" t="s">
        <v>6002</v>
      </c>
      <c r="I51" t="s">
        <v>6003</v>
      </c>
      <c r="J51" t="s">
        <v>5996</v>
      </c>
      <c r="K51" t="s">
        <v>5997</v>
      </c>
      <c r="L51" t="s">
        <v>5998</v>
      </c>
    </row>
    <row r="52" spans="1:13" x14ac:dyDescent="0.25">
      <c r="A52" t="s">
        <v>5766</v>
      </c>
      <c r="B52" t="s">
        <v>216</v>
      </c>
      <c r="C52" s="1" t="s">
        <v>224</v>
      </c>
      <c r="D52" s="1" t="s">
        <v>6004</v>
      </c>
      <c r="E52" t="s">
        <v>225</v>
      </c>
      <c r="F52" t="s">
        <v>6005</v>
      </c>
      <c r="G52" t="s">
        <v>6006</v>
      </c>
      <c r="H52" t="s">
        <v>6007</v>
      </c>
      <c r="I52" t="s">
        <v>6008</v>
      </c>
      <c r="J52" t="s">
        <v>5996</v>
      </c>
      <c r="K52" t="s">
        <v>5997</v>
      </c>
      <c r="L52" t="s">
        <v>5998</v>
      </c>
    </row>
    <row r="53" spans="1:13" x14ac:dyDescent="0.25">
      <c r="A53" t="s">
        <v>5766</v>
      </c>
      <c r="B53" t="s">
        <v>216</v>
      </c>
      <c r="C53" s="1" t="s">
        <v>227</v>
      </c>
      <c r="D53" s="1" t="s">
        <v>6009</v>
      </c>
      <c r="E53" t="s">
        <v>228</v>
      </c>
      <c r="F53" t="s">
        <v>6010</v>
      </c>
      <c r="G53" t="s">
        <v>6011</v>
      </c>
      <c r="H53" t="s">
        <v>6012</v>
      </c>
      <c r="I53" t="s">
        <v>6013</v>
      </c>
      <c r="J53" t="s">
        <v>5996</v>
      </c>
      <c r="K53" t="s">
        <v>5997</v>
      </c>
      <c r="L53" t="s">
        <v>5998</v>
      </c>
    </row>
    <row r="54" spans="1:13" x14ac:dyDescent="0.25">
      <c r="A54" t="s">
        <v>5766</v>
      </c>
      <c r="B54" t="s">
        <v>216</v>
      </c>
      <c r="C54" s="1" t="s">
        <v>230</v>
      </c>
      <c r="D54" s="1" t="s">
        <v>6014</v>
      </c>
      <c r="E54" t="s">
        <v>231</v>
      </c>
      <c r="F54" t="s">
        <v>6015</v>
      </c>
      <c r="G54" t="s">
        <v>6016</v>
      </c>
      <c r="H54" t="s">
        <v>6017</v>
      </c>
      <c r="I54" t="s">
        <v>6018</v>
      </c>
      <c r="J54" t="s">
        <v>5996</v>
      </c>
      <c r="K54" t="s">
        <v>5997</v>
      </c>
      <c r="L54" t="s">
        <v>5998</v>
      </c>
    </row>
    <row r="55" spans="1:13" x14ac:dyDescent="0.25">
      <c r="A55" t="s">
        <v>5766</v>
      </c>
      <c r="B55" t="s">
        <v>216</v>
      </c>
      <c r="C55" s="1" t="s">
        <v>233</v>
      </c>
      <c r="D55" s="1" t="s">
        <v>6019</v>
      </c>
      <c r="E55" t="s">
        <v>234</v>
      </c>
      <c r="F55" t="s">
        <v>6020</v>
      </c>
      <c r="G55" t="s">
        <v>6021</v>
      </c>
      <c r="H55" t="s">
        <v>6022</v>
      </c>
      <c r="I55" t="s">
        <v>6023</v>
      </c>
      <c r="J55" t="s">
        <v>5996</v>
      </c>
      <c r="K55" t="s">
        <v>5997</v>
      </c>
      <c r="L55" t="s">
        <v>5998</v>
      </c>
    </row>
    <row r="56" spans="1:13" x14ac:dyDescent="0.25">
      <c r="A56" t="s">
        <v>5766</v>
      </c>
      <c r="B56" t="s">
        <v>216</v>
      </c>
      <c r="C56" s="1" t="s">
        <v>236</v>
      </c>
      <c r="D56" s="1" t="s">
        <v>6024</v>
      </c>
      <c r="E56" t="s">
        <v>237</v>
      </c>
      <c r="F56" t="s">
        <v>6025</v>
      </c>
      <c r="G56" t="s">
        <v>6026</v>
      </c>
      <c r="H56" t="s">
        <v>6027</v>
      </c>
      <c r="I56" t="s">
        <v>6028</v>
      </c>
      <c r="J56" t="s">
        <v>5996</v>
      </c>
      <c r="K56" t="s">
        <v>5997</v>
      </c>
      <c r="L56" t="s">
        <v>5998</v>
      </c>
    </row>
    <row r="57" spans="1:13" x14ac:dyDescent="0.25">
      <c r="A57" t="s">
        <v>5766</v>
      </c>
      <c r="B57" t="s">
        <v>216</v>
      </c>
      <c r="C57" s="1" t="s">
        <v>239</v>
      </c>
      <c r="D57" s="1" t="s">
        <v>6029</v>
      </c>
      <c r="E57" t="s">
        <v>240</v>
      </c>
      <c r="F57" t="s">
        <v>6015</v>
      </c>
      <c r="G57" t="s">
        <v>6030</v>
      </c>
      <c r="H57" t="s">
        <v>6031</v>
      </c>
      <c r="I57" t="s">
        <v>6032</v>
      </c>
      <c r="J57" t="s">
        <v>5996</v>
      </c>
      <c r="K57" t="s">
        <v>5997</v>
      </c>
      <c r="L57" t="s">
        <v>5998</v>
      </c>
    </row>
    <row r="58" spans="1:13" x14ac:dyDescent="0.25">
      <c r="A58" t="s">
        <v>5766</v>
      </c>
      <c r="B58" t="s">
        <v>216</v>
      </c>
      <c r="C58" s="1" t="s">
        <v>242</v>
      </c>
      <c r="D58" s="1" t="s">
        <v>6033</v>
      </c>
      <c r="E58" t="s">
        <v>243</v>
      </c>
      <c r="F58" t="s">
        <v>6020</v>
      </c>
      <c r="G58" t="s">
        <v>6034</v>
      </c>
      <c r="H58" t="s">
        <v>6035</v>
      </c>
      <c r="I58" t="s">
        <v>6036</v>
      </c>
      <c r="J58" t="s">
        <v>5996</v>
      </c>
      <c r="K58" t="s">
        <v>5997</v>
      </c>
      <c r="L58" t="s">
        <v>5998</v>
      </c>
    </row>
    <row r="59" spans="1:13" x14ac:dyDescent="0.25">
      <c r="A59" t="s">
        <v>5766</v>
      </c>
      <c r="B59" t="s">
        <v>216</v>
      </c>
      <c r="C59" s="1" t="s">
        <v>245</v>
      </c>
      <c r="D59" s="1" t="s">
        <v>6037</v>
      </c>
      <c r="E59" t="s">
        <v>246</v>
      </c>
      <c r="F59" t="s">
        <v>6038</v>
      </c>
      <c r="G59" t="s">
        <v>6039</v>
      </c>
      <c r="H59" t="s">
        <v>6040</v>
      </c>
      <c r="I59" t="s">
        <v>6041</v>
      </c>
      <c r="J59" t="s">
        <v>5996</v>
      </c>
      <c r="K59" t="s">
        <v>5997</v>
      </c>
      <c r="L59" t="s">
        <v>5998</v>
      </c>
    </row>
    <row r="60" spans="1:13" x14ac:dyDescent="0.25">
      <c r="A60" t="s">
        <v>5766</v>
      </c>
      <c r="B60" t="s">
        <v>216</v>
      </c>
      <c r="C60" s="1" t="s">
        <v>248</v>
      </c>
      <c r="D60" s="1" t="s">
        <v>6042</v>
      </c>
      <c r="E60" t="s">
        <v>249</v>
      </c>
      <c r="F60" t="s">
        <v>6000</v>
      </c>
      <c r="G60" t="s">
        <v>6043</v>
      </c>
      <c r="H60" t="s">
        <v>6044</v>
      </c>
      <c r="I60" t="s">
        <v>6045</v>
      </c>
      <c r="J60" t="s">
        <v>5996</v>
      </c>
      <c r="K60" t="s">
        <v>5997</v>
      </c>
      <c r="L60" t="s">
        <v>5998</v>
      </c>
    </row>
    <row r="61" spans="1:13" x14ac:dyDescent="0.25">
      <c r="A61" t="s">
        <v>5766</v>
      </c>
      <c r="B61" t="s">
        <v>216</v>
      </c>
      <c r="C61" s="1" t="s">
        <v>251</v>
      </c>
      <c r="D61" s="1" t="s">
        <v>6046</v>
      </c>
      <c r="E61" t="s">
        <v>252</v>
      </c>
      <c r="F61" t="s">
        <v>6010</v>
      </c>
      <c r="G61" t="s">
        <v>6047</v>
      </c>
      <c r="H61" t="s">
        <v>6048</v>
      </c>
      <c r="I61" t="s">
        <v>6049</v>
      </c>
      <c r="J61" t="s">
        <v>5996</v>
      </c>
      <c r="K61" t="s">
        <v>5997</v>
      </c>
      <c r="L61" t="s">
        <v>5998</v>
      </c>
    </row>
    <row r="62" spans="1:13" x14ac:dyDescent="0.25">
      <c r="A62" t="s">
        <v>5766</v>
      </c>
      <c r="B62" t="s">
        <v>216</v>
      </c>
      <c r="C62" s="1" t="s">
        <v>254</v>
      </c>
      <c r="D62" s="1" t="s">
        <v>6050</v>
      </c>
      <c r="E62" t="s">
        <v>255</v>
      </c>
      <c r="F62" t="s">
        <v>6005</v>
      </c>
      <c r="G62" t="s">
        <v>6051</v>
      </c>
      <c r="H62" t="s">
        <v>6052</v>
      </c>
      <c r="I62" t="s">
        <v>6053</v>
      </c>
      <c r="J62" t="s">
        <v>5996</v>
      </c>
      <c r="K62" t="s">
        <v>5997</v>
      </c>
      <c r="L62" t="s">
        <v>5998</v>
      </c>
    </row>
    <row r="63" spans="1:13" x14ac:dyDescent="0.25">
      <c r="A63" t="s">
        <v>5766</v>
      </c>
      <c r="B63" t="s">
        <v>216</v>
      </c>
      <c r="C63" s="1" t="s">
        <v>257</v>
      </c>
      <c r="D63" s="1" t="s">
        <v>6054</v>
      </c>
      <c r="E63" t="s">
        <v>258</v>
      </c>
      <c r="F63" t="s">
        <v>6010</v>
      </c>
      <c r="G63" t="s">
        <v>6055</v>
      </c>
      <c r="H63" t="s">
        <v>6056</v>
      </c>
      <c r="I63" t="s">
        <v>6057</v>
      </c>
      <c r="J63" t="s">
        <v>5996</v>
      </c>
      <c r="K63" t="s">
        <v>5997</v>
      </c>
      <c r="L63" t="s">
        <v>5998</v>
      </c>
    </row>
    <row r="64" spans="1:13" x14ac:dyDescent="0.25">
      <c r="A64" t="s">
        <v>5766</v>
      </c>
      <c r="B64" t="s">
        <v>216</v>
      </c>
      <c r="C64" s="1" t="s">
        <v>260</v>
      </c>
      <c r="D64" s="1" t="s">
        <v>6058</v>
      </c>
      <c r="E64" t="s">
        <v>261</v>
      </c>
      <c r="F64" t="s">
        <v>6015</v>
      </c>
      <c r="G64" t="s">
        <v>6059</v>
      </c>
      <c r="H64" t="s">
        <v>6060</v>
      </c>
      <c r="I64" t="s">
        <v>6061</v>
      </c>
      <c r="J64" t="s">
        <v>5996</v>
      </c>
      <c r="K64" t="s">
        <v>5997</v>
      </c>
      <c r="L64" t="s">
        <v>5998</v>
      </c>
    </row>
    <row r="65" spans="1:13" x14ac:dyDescent="0.25">
      <c r="A65" t="s">
        <v>5766</v>
      </c>
      <c r="B65" t="s">
        <v>216</v>
      </c>
      <c r="C65" s="1" t="s">
        <v>263</v>
      </c>
      <c r="D65" s="1" t="s">
        <v>6062</v>
      </c>
      <c r="E65" t="s">
        <v>264</v>
      </c>
      <c r="F65" t="s">
        <v>6063</v>
      </c>
      <c r="G65" t="s">
        <v>6064</v>
      </c>
      <c r="H65" t="s">
        <v>6065</v>
      </c>
      <c r="I65" t="s">
        <v>6066</v>
      </c>
      <c r="J65" t="s">
        <v>5996</v>
      </c>
      <c r="K65" t="s">
        <v>5997</v>
      </c>
      <c r="L65" t="s">
        <v>5998</v>
      </c>
    </row>
    <row r="66" spans="1:13" x14ac:dyDescent="0.25">
      <c r="A66" t="s">
        <v>5766</v>
      </c>
      <c r="B66" t="s">
        <v>216</v>
      </c>
      <c r="C66" s="1" t="s">
        <v>266</v>
      </c>
      <c r="D66" s="1" t="s">
        <v>6067</v>
      </c>
      <c r="E66" t="s">
        <v>267</v>
      </c>
      <c r="F66" t="s">
        <v>6068</v>
      </c>
      <c r="G66" t="s">
        <v>6069</v>
      </c>
      <c r="H66" t="s">
        <v>6070</v>
      </c>
      <c r="I66" t="s">
        <v>6071</v>
      </c>
      <c r="J66" t="s">
        <v>5996</v>
      </c>
      <c r="K66" t="s">
        <v>5997</v>
      </c>
      <c r="L66" t="s">
        <v>5998</v>
      </c>
    </row>
    <row r="67" spans="1:13" x14ac:dyDescent="0.25">
      <c r="A67" t="s">
        <v>5766</v>
      </c>
      <c r="B67" t="s">
        <v>216</v>
      </c>
      <c r="C67" s="1" t="s">
        <v>269</v>
      </c>
      <c r="D67" s="1" t="s">
        <v>6072</v>
      </c>
      <c r="E67" t="s">
        <v>270</v>
      </c>
      <c r="F67" t="s">
        <v>6005</v>
      </c>
      <c r="G67" t="s">
        <v>6073</v>
      </c>
      <c r="H67" t="s">
        <v>6074</v>
      </c>
      <c r="I67" t="s">
        <v>6075</v>
      </c>
      <c r="J67" t="s">
        <v>5996</v>
      </c>
      <c r="K67" t="s">
        <v>5997</v>
      </c>
      <c r="L67" t="s">
        <v>5998</v>
      </c>
    </row>
    <row r="68" spans="1:13" x14ac:dyDescent="0.25">
      <c r="A68" t="s">
        <v>5766</v>
      </c>
      <c r="B68" t="s">
        <v>216</v>
      </c>
      <c r="C68" s="1" t="s">
        <v>272</v>
      </c>
      <c r="D68" s="1" t="s">
        <v>6076</v>
      </c>
      <c r="E68" t="s">
        <v>273</v>
      </c>
      <c r="F68" t="s">
        <v>6015</v>
      </c>
      <c r="G68" t="s">
        <v>6077</v>
      </c>
      <c r="H68" t="s">
        <v>6078</v>
      </c>
      <c r="I68" t="s">
        <v>5816</v>
      </c>
      <c r="J68" t="s">
        <v>5996</v>
      </c>
      <c r="K68" t="s">
        <v>5997</v>
      </c>
      <c r="L68" t="s">
        <v>5998</v>
      </c>
    </row>
    <row r="69" spans="1:13" x14ac:dyDescent="0.25">
      <c r="A69" t="s">
        <v>5766</v>
      </c>
      <c r="B69" t="s">
        <v>216</v>
      </c>
      <c r="C69" s="1" t="s">
        <v>275</v>
      </c>
      <c r="D69" s="1" t="s">
        <v>6079</v>
      </c>
      <c r="E69" t="s">
        <v>276</v>
      </c>
      <c r="F69" t="s">
        <v>6080</v>
      </c>
      <c r="G69" t="s">
        <v>6081</v>
      </c>
      <c r="H69" t="s">
        <v>6082</v>
      </c>
      <c r="I69" t="s">
        <v>5821</v>
      </c>
      <c r="J69" t="s">
        <v>5996</v>
      </c>
      <c r="K69" t="s">
        <v>5997</v>
      </c>
      <c r="L69" t="s">
        <v>5998</v>
      </c>
    </row>
    <row r="70" spans="1:13" x14ac:dyDescent="0.25">
      <c r="A70" t="s">
        <v>5766</v>
      </c>
      <c r="B70" t="s">
        <v>216</v>
      </c>
      <c r="C70" s="1" t="s">
        <v>78</v>
      </c>
      <c r="D70" s="1" t="s">
        <v>5780</v>
      </c>
      <c r="E70" t="s">
        <v>5781</v>
      </c>
      <c r="F70" t="s">
        <v>6083</v>
      </c>
      <c r="G70" t="s">
        <v>5783</v>
      </c>
      <c r="H70" t="s">
        <v>6084</v>
      </c>
      <c r="I70" t="s">
        <v>5947</v>
      </c>
      <c r="J70" t="s">
        <v>5996</v>
      </c>
      <c r="K70" t="s">
        <v>5997</v>
      </c>
      <c r="L70" t="s">
        <v>5998</v>
      </c>
      <c r="M70" t="s">
        <v>65</v>
      </c>
    </row>
    <row r="71" spans="1:13" x14ac:dyDescent="0.25">
      <c r="A71" t="s">
        <v>5766</v>
      </c>
      <c r="B71" t="s">
        <v>216</v>
      </c>
      <c r="C71" s="1" t="s">
        <v>278</v>
      </c>
      <c r="D71" s="1" t="s">
        <v>6085</v>
      </c>
      <c r="E71" t="s">
        <v>279</v>
      </c>
      <c r="F71" t="s">
        <v>6086</v>
      </c>
      <c r="G71" t="s">
        <v>6087</v>
      </c>
      <c r="H71" t="s">
        <v>6088</v>
      </c>
      <c r="I71" t="s">
        <v>6089</v>
      </c>
      <c r="J71" t="s">
        <v>5996</v>
      </c>
      <c r="K71" t="s">
        <v>5997</v>
      </c>
      <c r="L71" t="s">
        <v>5998</v>
      </c>
    </row>
    <row r="72" spans="1:13" x14ac:dyDescent="0.25">
      <c r="A72" t="s">
        <v>5766</v>
      </c>
      <c r="B72" t="s">
        <v>216</v>
      </c>
      <c r="C72" s="1" t="s">
        <v>281</v>
      </c>
      <c r="D72" s="1" t="s">
        <v>6090</v>
      </c>
      <c r="E72" t="s">
        <v>282</v>
      </c>
      <c r="F72" t="s">
        <v>6091</v>
      </c>
      <c r="G72" t="s">
        <v>6092</v>
      </c>
      <c r="H72" t="s">
        <v>6093</v>
      </c>
      <c r="I72" t="s">
        <v>6094</v>
      </c>
      <c r="J72" t="s">
        <v>5996</v>
      </c>
      <c r="K72" t="s">
        <v>5997</v>
      </c>
      <c r="L72" t="s">
        <v>5998</v>
      </c>
    </row>
    <row r="73" spans="1:13" x14ac:dyDescent="0.25">
      <c r="A73" t="s">
        <v>5766</v>
      </c>
      <c r="B73" t="s">
        <v>216</v>
      </c>
      <c r="C73" s="1" t="s">
        <v>284</v>
      </c>
      <c r="D73" s="1" t="s">
        <v>2641</v>
      </c>
      <c r="E73" t="s">
        <v>285</v>
      </c>
      <c r="F73" t="s">
        <v>6091</v>
      </c>
      <c r="G73" t="s">
        <v>6095</v>
      </c>
      <c r="H73" t="s">
        <v>6096</v>
      </c>
      <c r="I73" t="s">
        <v>6097</v>
      </c>
      <c r="J73" t="s">
        <v>5996</v>
      </c>
      <c r="K73" t="s">
        <v>5997</v>
      </c>
      <c r="L73" t="s">
        <v>5998</v>
      </c>
    </row>
    <row r="74" spans="1:13" x14ac:dyDescent="0.25">
      <c r="A74" t="s">
        <v>5766</v>
      </c>
      <c r="B74" t="s">
        <v>216</v>
      </c>
      <c r="C74" s="1" t="s">
        <v>287</v>
      </c>
      <c r="D74" s="1" t="s">
        <v>6098</v>
      </c>
      <c r="E74" t="s">
        <v>288</v>
      </c>
      <c r="F74" t="s">
        <v>6091</v>
      </c>
      <c r="G74" t="s">
        <v>6099</v>
      </c>
      <c r="H74" t="s">
        <v>6100</v>
      </c>
      <c r="I74" t="s">
        <v>6101</v>
      </c>
      <c r="J74" t="s">
        <v>5996</v>
      </c>
      <c r="K74" t="s">
        <v>5997</v>
      </c>
      <c r="L74" t="s">
        <v>5998</v>
      </c>
    </row>
    <row r="75" spans="1:13" x14ac:dyDescent="0.25">
      <c r="A75" t="s">
        <v>5766</v>
      </c>
      <c r="B75" t="s">
        <v>216</v>
      </c>
      <c r="C75" s="1" t="s">
        <v>290</v>
      </c>
      <c r="D75" s="1" t="s">
        <v>6102</v>
      </c>
      <c r="E75" t="s">
        <v>291</v>
      </c>
      <c r="F75" t="s">
        <v>6103</v>
      </c>
      <c r="G75" t="s">
        <v>6104</v>
      </c>
      <c r="H75" t="s">
        <v>6105</v>
      </c>
      <c r="I75" t="s">
        <v>6106</v>
      </c>
      <c r="J75" t="s">
        <v>5996</v>
      </c>
      <c r="K75" t="s">
        <v>5997</v>
      </c>
      <c r="L75" t="s">
        <v>5998</v>
      </c>
    </row>
    <row r="76" spans="1:13" x14ac:dyDescent="0.25">
      <c r="A76" t="s">
        <v>5766</v>
      </c>
      <c r="B76" t="s">
        <v>216</v>
      </c>
      <c r="C76" s="1" t="s">
        <v>293</v>
      </c>
      <c r="D76" s="1" t="s">
        <v>6107</v>
      </c>
      <c r="E76" t="s">
        <v>294</v>
      </c>
      <c r="F76" t="s">
        <v>6108</v>
      </c>
      <c r="G76" t="s">
        <v>6109</v>
      </c>
      <c r="H76" t="s">
        <v>6110</v>
      </c>
      <c r="I76" t="s">
        <v>6111</v>
      </c>
      <c r="J76" t="s">
        <v>5996</v>
      </c>
      <c r="K76" t="s">
        <v>5997</v>
      </c>
      <c r="L76" t="s">
        <v>5998</v>
      </c>
    </row>
    <row r="77" spans="1:13" x14ac:dyDescent="0.25">
      <c r="A77" t="s">
        <v>5766</v>
      </c>
      <c r="B77" t="s">
        <v>216</v>
      </c>
      <c r="C77" s="1" t="s">
        <v>296</v>
      </c>
      <c r="D77" s="1" t="s">
        <v>6112</v>
      </c>
      <c r="E77" t="s">
        <v>297</v>
      </c>
      <c r="F77" t="s">
        <v>6113</v>
      </c>
      <c r="G77" t="s">
        <v>6114</v>
      </c>
      <c r="H77" t="s">
        <v>6115</v>
      </c>
      <c r="I77" t="s">
        <v>6116</v>
      </c>
      <c r="J77" t="s">
        <v>5996</v>
      </c>
      <c r="K77" t="s">
        <v>5997</v>
      </c>
      <c r="L77" t="s">
        <v>5998</v>
      </c>
    </row>
    <row r="78" spans="1:13" x14ac:dyDescent="0.25">
      <c r="A78" t="s">
        <v>5766</v>
      </c>
      <c r="B78" t="s">
        <v>216</v>
      </c>
      <c r="C78" s="1" t="s">
        <v>299</v>
      </c>
      <c r="D78" s="1" t="s">
        <v>6117</v>
      </c>
      <c r="E78" t="s">
        <v>300</v>
      </c>
      <c r="F78" t="s">
        <v>5898</v>
      </c>
      <c r="G78" t="s">
        <v>6118</v>
      </c>
      <c r="H78" t="s">
        <v>6119</v>
      </c>
      <c r="I78" t="s">
        <v>6120</v>
      </c>
      <c r="J78" t="s">
        <v>5996</v>
      </c>
      <c r="K78" t="s">
        <v>5997</v>
      </c>
      <c r="L78" t="s">
        <v>5998</v>
      </c>
    </row>
    <row r="79" spans="1:13" x14ac:dyDescent="0.25">
      <c r="A79" t="s">
        <v>5766</v>
      </c>
      <c r="B79" t="s">
        <v>216</v>
      </c>
      <c r="C79" s="1" t="s">
        <v>302</v>
      </c>
      <c r="D79" s="1" t="s">
        <v>6121</v>
      </c>
      <c r="E79" t="s">
        <v>303</v>
      </c>
      <c r="F79" t="s">
        <v>6122</v>
      </c>
      <c r="G79" t="s">
        <v>6123</v>
      </c>
      <c r="H79" t="s">
        <v>6124</v>
      </c>
      <c r="I79" t="s">
        <v>6125</v>
      </c>
      <c r="J79" t="s">
        <v>5996</v>
      </c>
      <c r="K79" t="s">
        <v>5997</v>
      </c>
      <c r="L79" t="s">
        <v>5998</v>
      </c>
    </row>
    <row r="80" spans="1:13" x14ac:dyDescent="0.25">
      <c r="A80" t="s">
        <v>5766</v>
      </c>
      <c r="B80" t="s">
        <v>216</v>
      </c>
      <c r="C80" s="1" t="s">
        <v>305</v>
      </c>
      <c r="D80" s="1" t="s">
        <v>6126</v>
      </c>
      <c r="E80" t="s">
        <v>306</v>
      </c>
      <c r="F80" t="s">
        <v>6127</v>
      </c>
      <c r="G80" t="s">
        <v>6128</v>
      </c>
      <c r="H80" t="s">
        <v>6129</v>
      </c>
      <c r="I80" t="s">
        <v>6028</v>
      </c>
      <c r="J80" t="s">
        <v>5996</v>
      </c>
      <c r="K80" t="s">
        <v>5997</v>
      </c>
      <c r="L80" t="s">
        <v>5998</v>
      </c>
    </row>
    <row r="81" spans="1:12" x14ac:dyDescent="0.25">
      <c r="A81" t="s">
        <v>5766</v>
      </c>
      <c r="B81" t="s">
        <v>216</v>
      </c>
      <c r="C81" s="1" t="s">
        <v>308</v>
      </c>
      <c r="D81" s="1" t="s">
        <v>2662</v>
      </c>
      <c r="E81" t="s">
        <v>309</v>
      </c>
      <c r="F81" t="s">
        <v>6130</v>
      </c>
      <c r="G81" t="s">
        <v>6131</v>
      </c>
      <c r="H81" t="s">
        <v>6132</v>
      </c>
      <c r="I81" t="s">
        <v>6133</v>
      </c>
      <c r="J81" t="s">
        <v>5996</v>
      </c>
      <c r="K81" t="s">
        <v>5997</v>
      </c>
      <c r="L81" t="s">
        <v>5998</v>
      </c>
    </row>
    <row r="82" spans="1:12" x14ac:dyDescent="0.25">
      <c r="A82" t="s">
        <v>5766</v>
      </c>
      <c r="B82" t="s">
        <v>216</v>
      </c>
      <c r="C82" s="1" t="s">
        <v>311</v>
      </c>
      <c r="D82" s="1" t="s">
        <v>6134</v>
      </c>
      <c r="E82" t="s">
        <v>312</v>
      </c>
      <c r="F82" t="s">
        <v>6127</v>
      </c>
      <c r="G82" t="s">
        <v>6135</v>
      </c>
      <c r="H82" t="s">
        <v>6136</v>
      </c>
      <c r="I82" t="s">
        <v>6137</v>
      </c>
      <c r="J82" t="s">
        <v>5996</v>
      </c>
      <c r="K82" t="s">
        <v>5997</v>
      </c>
      <c r="L82" t="s">
        <v>5998</v>
      </c>
    </row>
    <row r="83" spans="1:12" x14ac:dyDescent="0.25">
      <c r="A83" t="s">
        <v>5766</v>
      </c>
      <c r="B83" t="s">
        <v>216</v>
      </c>
      <c r="C83" s="1" t="s">
        <v>314</v>
      </c>
      <c r="D83" s="1" t="s">
        <v>6138</v>
      </c>
      <c r="E83" t="s">
        <v>315</v>
      </c>
      <c r="F83" t="s">
        <v>6005</v>
      </c>
      <c r="G83" t="s">
        <v>6139</v>
      </c>
      <c r="H83" t="s">
        <v>6140</v>
      </c>
      <c r="I83" t="s">
        <v>5831</v>
      </c>
      <c r="J83" t="s">
        <v>5996</v>
      </c>
      <c r="K83" t="s">
        <v>5997</v>
      </c>
      <c r="L83" t="s">
        <v>5998</v>
      </c>
    </row>
    <row r="84" spans="1:12" x14ac:dyDescent="0.25">
      <c r="A84" t="s">
        <v>5766</v>
      </c>
      <c r="B84" t="s">
        <v>216</v>
      </c>
      <c r="C84" s="1" t="s">
        <v>317</v>
      </c>
      <c r="D84" s="1" t="s">
        <v>6141</v>
      </c>
      <c r="E84" t="s">
        <v>318</v>
      </c>
      <c r="F84" t="s">
        <v>6108</v>
      </c>
      <c r="G84" t="s">
        <v>6142</v>
      </c>
      <c r="H84" t="s">
        <v>6143</v>
      </c>
      <c r="I84" t="s">
        <v>6144</v>
      </c>
      <c r="J84" t="s">
        <v>5996</v>
      </c>
      <c r="K84" t="s">
        <v>5997</v>
      </c>
      <c r="L84" t="s">
        <v>5998</v>
      </c>
    </row>
    <row r="85" spans="1:12" x14ac:dyDescent="0.25">
      <c r="A85" t="s">
        <v>5766</v>
      </c>
      <c r="B85" t="s">
        <v>216</v>
      </c>
      <c r="C85" s="1" t="s">
        <v>320</v>
      </c>
      <c r="D85" s="1" t="s">
        <v>6145</v>
      </c>
      <c r="E85" t="s">
        <v>321</v>
      </c>
      <c r="F85" t="s">
        <v>6146</v>
      </c>
      <c r="G85" t="s">
        <v>6147</v>
      </c>
      <c r="H85" t="s">
        <v>6148</v>
      </c>
      <c r="I85" t="s">
        <v>6149</v>
      </c>
      <c r="J85" t="s">
        <v>5996</v>
      </c>
      <c r="K85" t="s">
        <v>5997</v>
      </c>
      <c r="L85" t="s">
        <v>5998</v>
      </c>
    </row>
    <row r="86" spans="1:12" x14ac:dyDescent="0.25">
      <c r="A86" t="s">
        <v>5766</v>
      </c>
      <c r="B86" t="s">
        <v>216</v>
      </c>
      <c r="C86" s="1" t="s">
        <v>323</v>
      </c>
      <c r="D86" s="1" t="s">
        <v>2676</v>
      </c>
      <c r="E86" t="s">
        <v>324</v>
      </c>
      <c r="F86" t="s">
        <v>6150</v>
      </c>
      <c r="G86" t="s">
        <v>6151</v>
      </c>
      <c r="H86" t="s">
        <v>6152</v>
      </c>
      <c r="I86" t="s">
        <v>6153</v>
      </c>
      <c r="J86" t="s">
        <v>5996</v>
      </c>
      <c r="K86" t="s">
        <v>5997</v>
      </c>
      <c r="L86" t="s">
        <v>5998</v>
      </c>
    </row>
    <row r="87" spans="1:12" x14ac:dyDescent="0.25">
      <c r="A87" t="s">
        <v>5766</v>
      </c>
      <c r="B87" t="s">
        <v>216</v>
      </c>
      <c r="C87" s="1" t="s">
        <v>326</v>
      </c>
      <c r="D87" s="1" t="s">
        <v>6154</v>
      </c>
      <c r="E87" t="s">
        <v>327</v>
      </c>
      <c r="F87" t="s">
        <v>6000</v>
      </c>
      <c r="G87" t="s">
        <v>6155</v>
      </c>
      <c r="H87" t="s">
        <v>6156</v>
      </c>
      <c r="I87" t="s">
        <v>6157</v>
      </c>
      <c r="J87" t="s">
        <v>5996</v>
      </c>
      <c r="K87" t="s">
        <v>5997</v>
      </c>
      <c r="L87" t="s">
        <v>5998</v>
      </c>
    </row>
    <row r="88" spans="1:12" x14ac:dyDescent="0.25">
      <c r="A88" t="s">
        <v>5766</v>
      </c>
      <c r="B88" t="s">
        <v>216</v>
      </c>
      <c r="C88" s="1" t="s">
        <v>329</v>
      </c>
      <c r="D88" s="1" t="s">
        <v>6158</v>
      </c>
      <c r="E88" t="s">
        <v>330</v>
      </c>
      <c r="F88" t="s">
        <v>6015</v>
      </c>
      <c r="G88" t="s">
        <v>6159</v>
      </c>
      <c r="H88" t="s">
        <v>6160</v>
      </c>
      <c r="I88" t="s">
        <v>5988</v>
      </c>
      <c r="J88" t="s">
        <v>5996</v>
      </c>
      <c r="K88" t="s">
        <v>5997</v>
      </c>
      <c r="L88" t="s">
        <v>5998</v>
      </c>
    </row>
    <row r="89" spans="1:12" x14ac:dyDescent="0.25">
      <c r="A89" t="s">
        <v>5766</v>
      </c>
      <c r="B89" t="s">
        <v>216</v>
      </c>
      <c r="C89" s="1" t="s">
        <v>332</v>
      </c>
      <c r="D89" s="1" t="s">
        <v>6161</v>
      </c>
      <c r="E89" t="s">
        <v>333</v>
      </c>
      <c r="F89" t="s">
        <v>6162</v>
      </c>
      <c r="G89" t="s">
        <v>6163</v>
      </c>
      <c r="H89" t="s">
        <v>6164</v>
      </c>
      <c r="I89" t="s">
        <v>6165</v>
      </c>
      <c r="J89" t="s">
        <v>5996</v>
      </c>
      <c r="K89" t="s">
        <v>5997</v>
      </c>
      <c r="L89" t="s">
        <v>5998</v>
      </c>
    </row>
    <row r="90" spans="1:12" x14ac:dyDescent="0.25">
      <c r="A90" t="s">
        <v>5766</v>
      </c>
      <c r="B90" t="s">
        <v>216</v>
      </c>
      <c r="C90" s="1" t="s">
        <v>335</v>
      </c>
      <c r="D90" s="1" t="s">
        <v>6166</v>
      </c>
      <c r="E90" t="s">
        <v>336</v>
      </c>
      <c r="F90" t="s">
        <v>6146</v>
      </c>
      <c r="G90" t="s">
        <v>6167</v>
      </c>
      <c r="H90" t="s">
        <v>6168</v>
      </c>
      <c r="I90" t="s">
        <v>6169</v>
      </c>
      <c r="J90" t="s">
        <v>5996</v>
      </c>
      <c r="K90" t="s">
        <v>5997</v>
      </c>
      <c r="L90" t="s">
        <v>5998</v>
      </c>
    </row>
    <row r="91" spans="1:12" x14ac:dyDescent="0.25">
      <c r="A91" t="s">
        <v>5766</v>
      </c>
      <c r="B91" t="s">
        <v>216</v>
      </c>
      <c r="C91" s="1" t="s">
        <v>338</v>
      </c>
      <c r="D91" s="1" t="s">
        <v>6170</v>
      </c>
      <c r="E91" t="s">
        <v>339</v>
      </c>
      <c r="F91" t="s">
        <v>6010</v>
      </c>
      <c r="G91" t="s">
        <v>6171</v>
      </c>
      <c r="H91" t="s">
        <v>6172</v>
      </c>
      <c r="I91" t="s">
        <v>6173</v>
      </c>
      <c r="J91" t="s">
        <v>5996</v>
      </c>
      <c r="K91" t="s">
        <v>5997</v>
      </c>
      <c r="L91" t="s">
        <v>5998</v>
      </c>
    </row>
    <row r="92" spans="1:12" x14ac:dyDescent="0.25">
      <c r="A92" t="s">
        <v>5766</v>
      </c>
      <c r="B92" t="s">
        <v>216</v>
      </c>
      <c r="C92" s="1" t="s">
        <v>341</v>
      </c>
      <c r="D92" s="1" t="s">
        <v>6174</v>
      </c>
      <c r="E92" t="s">
        <v>342</v>
      </c>
      <c r="F92" t="s">
        <v>6150</v>
      </c>
      <c r="G92" t="s">
        <v>6175</v>
      </c>
      <c r="H92" t="s">
        <v>6176</v>
      </c>
      <c r="I92" t="s">
        <v>6045</v>
      </c>
      <c r="J92" t="s">
        <v>5996</v>
      </c>
      <c r="K92" t="s">
        <v>5997</v>
      </c>
      <c r="L92" t="s">
        <v>5998</v>
      </c>
    </row>
    <row r="93" spans="1:12" x14ac:dyDescent="0.25">
      <c r="A93" t="s">
        <v>5766</v>
      </c>
      <c r="B93" t="s">
        <v>216</v>
      </c>
      <c r="C93" s="1" t="s">
        <v>344</v>
      </c>
      <c r="D93" s="1" t="s">
        <v>6177</v>
      </c>
      <c r="E93" t="s">
        <v>345</v>
      </c>
      <c r="F93" t="s">
        <v>6025</v>
      </c>
      <c r="G93" t="s">
        <v>6178</v>
      </c>
      <c r="H93" t="s">
        <v>6179</v>
      </c>
      <c r="I93" t="s">
        <v>6023</v>
      </c>
      <c r="J93" t="s">
        <v>5996</v>
      </c>
      <c r="K93" t="s">
        <v>5997</v>
      </c>
      <c r="L93" t="s">
        <v>5998</v>
      </c>
    </row>
    <row r="94" spans="1:12" x14ac:dyDescent="0.25">
      <c r="A94" t="s">
        <v>5766</v>
      </c>
      <c r="B94" t="s">
        <v>216</v>
      </c>
      <c r="C94" s="1" t="s">
        <v>347</v>
      </c>
      <c r="D94" s="1" t="s">
        <v>6180</v>
      </c>
      <c r="E94" t="s">
        <v>348</v>
      </c>
      <c r="F94" t="s">
        <v>6181</v>
      </c>
      <c r="G94" t="s">
        <v>6182</v>
      </c>
      <c r="H94" t="s">
        <v>6183</v>
      </c>
      <c r="I94" t="s">
        <v>6184</v>
      </c>
      <c r="J94" t="s">
        <v>5996</v>
      </c>
      <c r="K94" t="s">
        <v>5997</v>
      </c>
      <c r="L94" t="s">
        <v>5998</v>
      </c>
    </row>
    <row r="95" spans="1:12" x14ac:dyDescent="0.25">
      <c r="A95" t="s">
        <v>5766</v>
      </c>
      <c r="B95" t="s">
        <v>216</v>
      </c>
      <c r="C95" s="1" t="s">
        <v>350</v>
      </c>
      <c r="D95" s="1" t="s">
        <v>6185</v>
      </c>
      <c r="E95" t="s">
        <v>351</v>
      </c>
      <c r="F95" t="s">
        <v>6000</v>
      </c>
      <c r="G95" t="s">
        <v>6186</v>
      </c>
      <c r="H95" t="s">
        <v>6187</v>
      </c>
      <c r="I95" t="s">
        <v>6188</v>
      </c>
      <c r="J95" t="s">
        <v>5996</v>
      </c>
      <c r="K95" t="s">
        <v>5997</v>
      </c>
      <c r="L95" t="s">
        <v>5998</v>
      </c>
    </row>
    <row r="96" spans="1:12" x14ac:dyDescent="0.25">
      <c r="A96" t="s">
        <v>5766</v>
      </c>
      <c r="B96" t="s">
        <v>216</v>
      </c>
      <c r="C96" s="1" t="s">
        <v>353</v>
      </c>
      <c r="D96" s="1" t="s">
        <v>6189</v>
      </c>
      <c r="E96" t="s">
        <v>354</v>
      </c>
      <c r="F96" t="s">
        <v>6020</v>
      </c>
      <c r="G96" t="s">
        <v>6190</v>
      </c>
      <c r="H96" t="s">
        <v>6191</v>
      </c>
      <c r="I96" t="s">
        <v>6192</v>
      </c>
      <c r="J96" t="s">
        <v>5996</v>
      </c>
      <c r="K96" t="s">
        <v>5997</v>
      </c>
      <c r="L96" t="s">
        <v>5998</v>
      </c>
    </row>
    <row r="97" spans="1:13" x14ac:dyDescent="0.25">
      <c r="A97" t="s">
        <v>5766</v>
      </c>
      <c r="B97" t="s">
        <v>216</v>
      </c>
      <c r="C97" s="1" t="s">
        <v>356</v>
      </c>
      <c r="D97" s="1" t="s">
        <v>6193</v>
      </c>
      <c r="E97" t="s">
        <v>357</v>
      </c>
      <c r="F97" t="s">
        <v>6194</v>
      </c>
      <c r="G97" t="s">
        <v>6195</v>
      </c>
      <c r="H97" t="s">
        <v>6196</v>
      </c>
      <c r="I97" t="s">
        <v>6057</v>
      </c>
      <c r="J97" t="s">
        <v>5996</v>
      </c>
      <c r="K97" t="s">
        <v>5997</v>
      </c>
      <c r="L97" t="s">
        <v>5998</v>
      </c>
    </row>
    <row r="98" spans="1:13" x14ac:dyDescent="0.25">
      <c r="A98" t="s">
        <v>5766</v>
      </c>
      <c r="B98" t="s">
        <v>216</v>
      </c>
      <c r="C98" s="1" t="s">
        <v>359</v>
      </c>
      <c r="D98" s="1" t="s">
        <v>6197</v>
      </c>
      <c r="E98" t="s">
        <v>361</v>
      </c>
      <c r="F98" t="s">
        <v>6080</v>
      </c>
      <c r="G98" t="s">
        <v>6198</v>
      </c>
      <c r="H98" t="s">
        <v>6199</v>
      </c>
      <c r="I98" t="s">
        <v>6200</v>
      </c>
      <c r="J98" t="s">
        <v>5996</v>
      </c>
      <c r="K98" t="s">
        <v>5997</v>
      </c>
      <c r="L98" t="s">
        <v>5998</v>
      </c>
    </row>
    <row r="99" spans="1:13" x14ac:dyDescent="0.25">
      <c r="A99" t="s">
        <v>5766</v>
      </c>
      <c r="B99" t="s">
        <v>216</v>
      </c>
      <c r="C99" s="1" t="s">
        <v>363</v>
      </c>
      <c r="D99" s="1" t="s">
        <v>6201</v>
      </c>
      <c r="E99" t="s">
        <v>364</v>
      </c>
      <c r="F99" t="s">
        <v>6010</v>
      </c>
      <c r="G99" t="s">
        <v>6202</v>
      </c>
      <c r="H99" t="s">
        <v>6203</v>
      </c>
      <c r="I99" t="s">
        <v>6192</v>
      </c>
      <c r="J99" t="s">
        <v>5996</v>
      </c>
      <c r="K99" t="s">
        <v>5997</v>
      </c>
      <c r="L99" t="s">
        <v>5998</v>
      </c>
    </row>
    <row r="100" spans="1:13" x14ac:dyDescent="0.25">
      <c r="A100" t="s">
        <v>5766</v>
      </c>
      <c r="B100" t="s">
        <v>216</v>
      </c>
      <c r="C100" s="1" t="s">
        <v>366</v>
      </c>
      <c r="D100" s="1" t="s">
        <v>6204</v>
      </c>
      <c r="E100" t="s">
        <v>367</v>
      </c>
      <c r="F100" t="s">
        <v>6205</v>
      </c>
      <c r="G100" t="s">
        <v>6206</v>
      </c>
      <c r="H100" t="s">
        <v>6207</v>
      </c>
      <c r="I100" t="s">
        <v>6208</v>
      </c>
      <c r="J100" t="s">
        <v>5996</v>
      </c>
      <c r="K100" t="s">
        <v>5997</v>
      </c>
      <c r="L100" t="s">
        <v>5998</v>
      </c>
    </row>
    <row r="101" spans="1:13" x14ac:dyDescent="0.25">
      <c r="A101" t="s">
        <v>5766</v>
      </c>
      <c r="B101" t="s">
        <v>216</v>
      </c>
      <c r="C101" s="1" t="s">
        <v>369</v>
      </c>
      <c r="D101" s="1" t="s">
        <v>6209</v>
      </c>
      <c r="E101" t="s">
        <v>370</v>
      </c>
      <c r="F101" t="s">
        <v>6063</v>
      </c>
      <c r="G101" t="s">
        <v>6210</v>
      </c>
      <c r="H101" t="s">
        <v>6211</v>
      </c>
      <c r="I101" t="s">
        <v>6212</v>
      </c>
      <c r="J101" t="s">
        <v>5996</v>
      </c>
      <c r="K101" t="s">
        <v>5997</v>
      </c>
      <c r="L101" t="s">
        <v>5998</v>
      </c>
    </row>
    <row r="102" spans="1:13" x14ac:dyDescent="0.25">
      <c r="A102" t="s">
        <v>5766</v>
      </c>
      <c r="B102" t="s">
        <v>216</v>
      </c>
      <c r="C102" s="1" t="s">
        <v>372</v>
      </c>
      <c r="D102" s="1" t="s">
        <v>6213</v>
      </c>
      <c r="E102" t="s">
        <v>373</v>
      </c>
      <c r="F102" t="s">
        <v>6010</v>
      </c>
      <c r="G102" t="s">
        <v>6214</v>
      </c>
      <c r="H102" t="s">
        <v>6215</v>
      </c>
      <c r="I102" t="s">
        <v>6173</v>
      </c>
      <c r="J102" t="s">
        <v>5996</v>
      </c>
      <c r="K102" t="s">
        <v>5997</v>
      </c>
      <c r="L102" t="s">
        <v>5998</v>
      </c>
    </row>
    <row r="103" spans="1:13" x14ac:dyDescent="0.25">
      <c r="A103" t="s">
        <v>5766</v>
      </c>
      <c r="B103" t="s">
        <v>216</v>
      </c>
      <c r="C103" s="1" t="s">
        <v>375</v>
      </c>
      <c r="D103" s="1" t="s">
        <v>6216</v>
      </c>
      <c r="E103" t="s">
        <v>376</v>
      </c>
      <c r="F103" t="s">
        <v>6005</v>
      </c>
      <c r="G103" t="s">
        <v>6217</v>
      </c>
      <c r="H103" t="s">
        <v>6218</v>
      </c>
      <c r="I103" t="s">
        <v>6219</v>
      </c>
      <c r="J103" t="s">
        <v>5996</v>
      </c>
      <c r="K103" t="s">
        <v>5997</v>
      </c>
      <c r="L103" t="s">
        <v>5998</v>
      </c>
    </row>
    <row r="104" spans="1:13" x14ac:dyDescent="0.25">
      <c r="A104" t="s">
        <v>5766</v>
      </c>
      <c r="B104" t="s">
        <v>216</v>
      </c>
      <c r="C104" s="1" t="s">
        <v>378</v>
      </c>
      <c r="D104" s="1" t="s">
        <v>6220</v>
      </c>
      <c r="E104" t="s">
        <v>379</v>
      </c>
      <c r="F104" t="s">
        <v>5898</v>
      </c>
      <c r="G104" t="s">
        <v>6221</v>
      </c>
      <c r="H104" t="s">
        <v>6222</v>
      </c>
      <c r="I104" t="s">
        <v>5934</v>
      </c>
      <c r="J104" t="s">
        <v>5996</v>
      </c>
      <c r="K104" t="s">
        <v>5997</v>
      </c>
      <c r="L104" t="s">
        <v>5998</v>
      </c>
    </row>
    <row r="105" spans="1:13" x14ac:dyDescent="0.25">
      <c r="A105" t="s">
        <v>5766</v>
      </c>
      <c r="B105" t="s">
        <v>216</v>
      </c>
      <c r="C105" s="1" t="s">
        <v>381</v>
      </c>
      <c r="D105" s="1" t="s">
        <v>6223</v>
      </c>
      <c r="E105" t="s">
        <v>382</v>
      </c>
      <c r="F105" t="s">
        <v>5992</v>
      </c>
      <c r="G105" t="s">
        <v>6224</v>
      </c>
      <c r="H105" t="s">
        <v>6225</v>
      </c>
      <c r="I105" t="s">
        <v>6226</v>
      </c>
      <c r="J105" t="s">
        <v>5996</v>
      </c>
      <c r="K105" t="s">
        <v>5997</v>
      </c>
      <c r="L105" t="s">
        <v>5998</v>
      </c>
    </row>
    <row r="106" spans="1:13" x14ac:dyDescent="0.25">
      <c r="A106" t="s">
        <v>5766</v>
      </c>
      <c r="B106" t="s">
        <v>216</v>
      </c>
      <c r="C106" s="1" t="s">
        <v>384</v>
      </c>
      <c r="D106" s="1" t="s">
        <v>6227</v>
      </c>
      <c r="E106" t="s">
        <v>385</v>
      </c>
      <c r="F106" t="s">
        <v>5898</v>
      </c>
      <c r="G106" t="s">
        <v>6228</v>
      </c>
      <c r="H106" t="s">
        <v>6229</v>
      </c>
      <c r="I106" t="s">
        <v>6157</v>
      </c>
      <c r="J106" t="s">
        <v>5996</v>
      </c>
      <c r="K106" t="s">
        <v>5997</v>
      </c>
      <c r="L106" t="s">
        <v>5998</v>
      </c>
    </row>
    <row r="107" spans="1:13" x14ac:dyDescent="0.25">
      <c r="A107" t="s">
        <v>5766</v>
      </c>
      <c r="B107" t="s">
        <v>216</v>
      </c>
      <c r="C107" s="1" t="s">
        <v>387</v>
      </c>
      <c r="D107" s="1" t="s">
        <v>6230</v>
      </c>
      <c r="E107" t="s">
        <v>388</v>
      </c>
      <c r="F107" t="s">
        <v>6231</v>
      </c>
      <c r="G107" t="s">
        <v>6232</v>
      </c>
      <c r="H107" t="s">
        <v>6233</v>
      </c>
      <c r="I107" t="s">
        <v>6234</v>
      </c>
      <c r="J107" t="s">
        <v>5996</v>
      </c>
      <c r="K107" t="s">
        <v>5997</v>
      </c>
      <c r="L107" t="s">
        <v>5998</v>
      </c>
    </row>
    <row r="108" spans="1:13" x14ac:dyDescent="0.25">
      <c r="A108" t="s">
        <v>5766</v>
      </c>
      <c r="B108" t="s">
        <v>216</v>
      </c>
      <c r="C108" s="1" t="s">
        <v>390</v>
      </c>
      <c r="D108" s="1" t="s">
        <v>6235</v>
      </c>
      <c r="E108" t="s">
        <v>391</v>
      </c>
      <c r="F108" t="s">
        <v>6000</v>
      </c>
      <c r="G108" t="s">
        <v>6236</v>
      </c>
      <c r="H108" t="s">
        <v>6237</v>
      </c>
      <c r="I108" t="s">
        <v>6238</v>
      </c>
      <c r="J108" t="s">
        <v>5996</v>
      </c>
      <c r="K108" t="s">
        <v>5997</v>
      </c>
      <c r="L108" t="s">
        <v>5998</v>
      </c>
    </row>
    <row r="109" spans="1:13" x14ac:dyDescent="0.25">
      <c r="A109" t="s">
        <v>5766</v>
      </c>
      <c r="B109" t="s">
        <v>216</v>
      </c>
      <c r="C109" s="1" t="s">
        <v>393</v>
      </c>
      <c r="D109" s="1" t="s">
        <v>6239</v>
      </c>
      <c r="E109" t="s">
        <v>394</v>
      </c>
      <c r="F109" t="s">
        <v>6010</v>
      </c>
      <c r="G109" t="s">
        <v>6240</v>
      </c>
      <c r="H109" t="s">
        <v>6241</v>
      </c>
      <c r="I109" t="s">
        <v>6053</v>
      </c>
      <c r="J109" t="s">
        <v>5996</v>
      </c>
      <c r="K109" t="s">
        <v>5997</v>
      </c>
      <c r="L109" t="s">
        <v>5998</v>
      </c>
    </row>
    <row r="110" spans="1:13" x14ac:dyDescent="0.25">
      <c r="A110" t="s">
        <v>5766</v>
      </c>
      <c r="B110" t="s">
        <v>216</v>
      </c>
      <c r="C110" s="1" t="s">
        <v>52</v>
      </c>
      <c r="D110" s="1" t="s">
        <v>52</v>
      </c>
      <c r="E110" t="s">
        <v>5767</v>
      </c>
      <c r="F110" t="s">
        <v>6242</v>
      </c>
      <c r="G110" t="s">
        <v>5769</v>
      </c>
      <c r="H110" t="s">
        <v>6243</v>
      </c>
      <c r="I110" t="s">
        <v>6244</v>
      </c>
      <c r="J110" t="s">
        <v>5996</v>
      </c>
      <c r="K110" t="s">
        <v>5997</v>
      </c>
      <c r="L110" t="s">
        <v>5998</v>
      </c>
      <c r="M110" t="s">
        <v>65</v>
      </c>
    </row>
    <row r="111" spans="1:13" x14ac:dyDescent="0.25">
      <c r="A111" t="s">
        <v>5766</v>
      </c>
      <c r="B111" t="s">
        <v>395</v>
      </c>
      <c r="C111" s="1" t="s">
        <v>397</v>
      </c>
      <c r="D111" s="1" t="s">
        <v>6245</v>
      </c>
      <c r="E111" t="s">
        <v>398</v>
      </c>
      <c r="F111" t="s">
        <v>5898</v>
      </c>
      <c r="G111" t="s">
        <v>6246</v>
      </c>
      <c r="H111" t="s">
        <v>6247</v>
      </c>
      <c r="I111" t="s">
        <v>6248</v>
      </c>
      <c r="J111" t="s">
        <v>6249</v>
      </c>
      <c r="K111" t="s">
        <v>5805</v>
      </c>
      <c r="L111" t="s">
        <v>5806</v>
      </c>
    </row>
    <row r="112" spans="1:13" x14ac:dyDescent="0.25">
      <c r="A112" t="s">
        <v>5766</v>
      </c>
      <c r="B112" t="s">
        <v>395</v>
      </c>
      <c r="C112" s="1" t="s">
        <v>400</v>
      </c>
      <c r="D112" s="1" t="s">
        <v>6250</v>
      </c>
      <c r="E112" t="s">
        <v>401</v>
      </c>
      <c r="F112" t="s">
        <v>6251</v>
      </c>
      <c r="G112" t="s">
        <v>6252</v>
      </c>
      <c r="H112" t="s">
        <v>6253</v>
      </c>
      <c r="I112" t="s">
        <v>6254</v>
      </c>
      <c r="J112" t="s">
        <v>6249</v>
      </c>
      <c r="K112" t="s">
        <v>5805</v>
      </c>
      <c r="L112" t="s">
        <v>5806</v>
      </c>
    </row>
    <row r="113" spans="1:12" x14ac:dyDescent="0.25">
      <c r="A113" t="s">
        <v>5766</v>
      </c>
      <c r="B113" t="s">
        <v>395</v>
      </c>
      <c r="C113" s="1" t="s">
        <v>403</v>
      </c>
      <c r="D113" s="1" t="s">
        <v>6255</v>
      </c>
      <c r="E113" t="s">
        <v>404</v>
      </c>
      <c r="F113" t="s">
        <v>6256</v>
      </c>
      <c r="G113" t="s">
        <v>6257</v>
      </c>
      <c r="H113" t="s">
        <v>6258</v>
      </c>
      <c r="I113" t="s">
        <v>6259</v>
      </c>
      <c r="J113" t="s">
        <v>6249</v>
      </c>
      <c r="K113" t="s">
        <v>5805</v>
      </c>
      <c r="L113" t="s">
        <v>5806</v>
      </c>
    </row>
    <row r="114" spans="1:12" x14ac:dyDescent="0.25">
      <c r="A114" t="s">
        <v>5766</v>
      </c>
      <c r="B114" t="s">
        <v>395</v>
      </c>
      <c r="C114" s="1" t="s">
        <v>406</v>
      </c>
      <c r="D114" s="1" t="s">
        <v>6260</v>
      </c>
      <c r="E114" t="s">
        <v>408</v>
      </c>
      <c r="F114" t="s">
        <v>6261</v>
      </c>
      <c r="G114" t="s">
        <v>6262</v>
      </c>
      <c r="H114" t="s">
        <v>6263</v>
      </c>
      <c r="I114" t="s">
        <v>6264</v>
      </c>
      <c r="J114" t="s">
        <v>6249</v>
      </c>
      <c r="K114" t="s">
        <v>5805</v>
      </c>
      <c r="L114" t="s">
        <v>5806</v>
      </c>
    </row>
    <row r="115" spans="1:12" x14ac:dyDescent="0.25">
      <c r="A115" t="s">
        <v>5766</v>
      </c>
      <c r="B115" t="s">
        <v>395</v>
      </c>
      <c r="C115" s="1" t="s">
        <v>410</v>
      </c>
      <c r="D115" s="1" t="s">
        <v>6265</v>
      </c>
      <c r="E115" t="s">
        <v>411</v>
      </c>
      <c r="F115" t="s">
        <v>6266</v>
      </c>
      <c r="G115" t="s">
        <v>6267</v>
      </c>
      <c r="H115" t="s">
        <v>6268</v>
      </c>
      <c r="I115" t="s">
        <v>5887</v>
      </c>
      <c r="J115" t="s">
        <v>6249</v>
      </c>
      <c r="K115" t="s">
        <v>5805</v>
      </c>
      <c r="L115" t="s">
        <v>5806</v>
      </c>
    </row>
    <row r="116" spans="1:12" x14ac:dyDescent="0.25">
      <c r="A116" t="s">
        <v>5766</v>
      </c>
      <c r="B116" t="s">
        <v>395</v>
      </c>
      <c r="C116" s="1" t="s">
        <v>413</v>
      </c>
      <c r="D116" s="1" t="s">
        <v>6269</v>
      </c>
      <c r="E116" t="s">
        <v>414</v>
      </c>
      <c r="F116" t="s">
        <v>6270</v>
      </c>
      <c r="G116" t="s">
        <v>6271</v>
      </c>
      <c r="H116" t="s">
        <v>6272</v>
      </c>
      <c r="I116" t="s">
        <v>6273</v>
      </c>
      <c r="J116" t="s">
        <v>6249</v>
      </c>
      <c r="K116" t="s">
        <v>5805</v>
      </c>
      <c r="L116" t="s">
        <v>5806</v>
      </c>
    </row>
    <row r="117" spans="1:12" x14ac:dyDescent="0.25">
      <c r="A117" t="s">
        <v>5766</v>
      </c>
      <c r="B117" t="s">
        <v>395</v>
      </c>
      <c r="C117" s="1" t="s">
        <v>416</v>
      </c>
      <c r="D117" s="1" t="s">
        <v>6274</v>
      </c>
      <c r="E117" t="s">
        <v>417</v>
      </c>
      <c r="F117" t="s">
        <v>6275</v>
      </c>
      <c r="G117" t="s">
        <v>6276</v>
      </c>
      <c r="H117" t="s">
        <v>6277</v>
      </c>
      <c r="I117" t="s">
        <v>6278</v>
      </c>
      <c r="J117" t="s">
        <v>6249</v>
      </c>
      <c r="K117" t="s">
        <v>5805</v>
      </c>
      <c r="L117" t="s">
        <v>5806</v>
      </c>
    </row>
    <row r="118" spans="1:12" x14ac:dyDescent="0.25">
      <c r="A118" t="s">
        <v>5766</v>
      </c>
      <c r="B118" t="s">
        <v>395</v>
      </c>
      <c r="C118" s="1" t="s">
        <v>419</v>
      </c>
      <c r="D118" s="1" t="s">
        <v>6279</v>
      </c>
      <c r="E118" t="s">
        <v>420</v>
      </c>
      <c r="F118" t="s">
        <v>6280</v>
      </c>
      <c r="G118" t="s">
        <v>6281</v>
      </c>
      <c r="H118" t="s">
        <v>6282</v>
      </c>
      <c r="I118" t="s">
        <v>5850</v>
      </c>
      <c r="J118" t="s">
        <v>6249</v>
      </c>
      <c r="K118" t="s">
        <v>5805</v>
      </c>
      <c r="L118" t="s">
        <v>5806</v>
      </c>
    </row>
    <row r="119" spans="1:12" x14ac:dyDescent="0.25">
      <c r="A119" t="s">
        <v>5766</v>
      </c>
      <c r="B119" t="s">
        <v>395</v>
      </c>
      <c r="C119" s="1" t="s">
        <v>422</v>
      </c>
      <c r="D119" s="1" t="s">
        <v>6283</v>
      </c>
      <c r="E119" t="s">
        <v>423</v>
      </c>
      <c r="F119" t="s">
        <v>5828</v>
      </c>
      <c r="G119" t="s">
        <v>6284</v>
      </c>
      <c r="H119" t="s">
        <v>6285</v>
      </c>
      <c r="I119" t="s">
        <v>6286</v>
      </c>
      <c r="J119" t="s">
        <v>6249</v>
      </c>
      <c r="K119" t="s">
        <v>5805</v>
      </c>
      <c r="L119" t="s">
        <v>5806</v>
      </c>
    </row>
    <row r="120" spans="1:12" x14ac:dyDescent="0.25">
      <c r="A120" t="s">
        <v>5766</v>
      </c>
      <c r="B120" t="s">
        <v>395</v>
      </c>
      <c r="C120" s="1" t="s">
        <v>425</v>
      </c>
      <c r="D120" s="1" t="s">
        <v>6287</v>
      </c>
      <c r="E120" t="s">
        <v>426</v>
      </c>
      <c r="F120" t="s">
        <v>6288</v>
      </c>
      <c r="G120" t="s">
        <v>6289</v>
      </c>
      <c r="H120" t="s">
        <v>6290</v>
      </c>
      <c r="I120" t="s">
        <v>6291</v>
      </c>
      <c r="J120" t="s">
        <v>6249</v>
      </c>
      <c r="K120" t="s">
        <v>5805</v>
      </c>
      <c r="L120" t="s">
        <v>5806</v>
      </c>
    </row>
    <row r="121" spans="1:12" x14ac:dyDescent="0.25">
      <c r="A121" t="s">
        <v>5766</v>
      </c>
      <c r="B121" t="s">
        <v>395</v>
      </c>
      <c r="C121" s="1" t="s">
        <v>428</v>
      </c>
      <c r="D121" s="1" t="s">
        <v>6292</v>
      </c>
      <c r="E121" t="s">
        <v>429</v>
      </c>
      <c r="F121" t="s">
        <v>6293</v>
      </c>
      <c r="G121" t="s">
        <v>6294</v>
      </c>
      <c r="H121" t="s">
        <v>6295</v>
      </c>
      <c r="I121" t="s">
        <v>5943</v>
      </c>
      <c r="J121" t="s">
        <v>6249</v>
      </c>
      <c r="K121" t="s">
        <v>5805</v>
      </c>
      <c r="L121" t="s">
        <v>5806</v>
      </c>
    </row>
    <row r="122" spans="1:12" x14ac:dyDescent="0.25">
      <c r="A122" t="s">
        <v>5766</v>
      </c>
      <c r="B122" t="s">
        <v>395</v>
      </c>
      <c r="C122" s="1" t="s">
        <v>431</v>
      </c>
      <c r="D122" s="1" t="s">
        <v>6296</v>
      </c>
      <c r="E122" t="s">
        <v>432</v>
      </c>
      <c r="F122" t="s">
        <v>6297</v>
      </c>
      <c r="G122" t="s">
        <v>6298</v>
      </c>
      <c r="H122" t="s">
        <v>6299</v>
      </c>
      <c r="I122" t="s">
        <v>6300</v>
      </c>
      <c r="J122" t="s">
        <v>6249</v>
      </c>
      <c r="K122" t="s">
        <v>5805</v>
      </c>
      <c r="L122" t="s">
        <v>5806</v>
      </c>
    </row>
    <row r="123" spans="1:12" x14ac:dyDescent="0.25">
      <c r="A123" t="s">
        <v>5766</v>
      </c>
      <c r="B123" t="s">
        <v>395</v>
      </c>
      <c r="C123" s="1" t="s">
        <v>434</v>
      </c>
      <c r="D123" s="1" t="s">
        <v>6301</v>
      </c>
      <c r="E123" t="s">
        <v>435</v>
      </c>
      <c r="F123" t="s">
        <v>6302</v>
      </c>
      <c r="G123" t="s">
        <v>6303</v>
      </c>
      <c r="H123" t="s">
        <v>6304</v>
      </c>
      <c r="I123" t="s">
        <v>6305</v>
      </c>
      <c r="J123" t="s">
        <v>6249</v>
      </c>
      <c r="K123" t="s">
        <v>5805</v>
      </c>
      <c r="L123" t="s">
        <v>5806</v>
      </c>
    </row>
    <row r="124" spans="1:12" x14ac:dyDescent="0.25">
      <c r="A124" t="s">
        <v>5766</v>
      </c>
      <c r="B124" t="s">
        <v>395</v>
      </c>
      <c r="C124" s="1" t="s">
        <v>257</v>
      </c>
      <c r="D124" s="1" t="s">
        <v>6054</v>
      </c>
      <c r="E124" t="s">
        <v>258</v>
      </c>
      <c r="F124" t="s">
        <v>5981</v>
      </c>
      <c r="G124" t="s">
        <v>6055</v>
      </c>
      <c r="H124" t="s">
        <v>6306</v>
      </c>
      <c r="I124" t="s">
        <v>6307</v>
      </c>
      <c r="J124" t="s">
        <v>6249</v>
      </c>
      <c r="K124" t="s">
        <v>5805</v>
      </c>
      <c r="L124" t="s">
        <v>5806</v>
      </c>
    </row>
    <row r="125" spans="1:12" x14ac:dyDescent="0.25">
      <c r="A125" t="s">
        <v>5766</v>
      </c>
      <c r="B125" t="s">
        <v>395</v>
      </c>
      <c r="C125" s="1" t="s">
        <v>437</v>
      </c>
      <c r="D125" s="1" t="s">
        <v>6308</v>
      </c>
      <c r="E125" t="s">
        <v>438</v>
      </c>
      <c r="F125" t="s">
        <v>5922</v>
      </c>
      <c r="G125" t="s">
        <v>6309</v>
      </c>
      <c r="H125" t="s">
        <v>6310</v>
      </c>
      <c r="I125" t="s">
        <v>6311</v>
      </c>
      <c r="J125" t="s">
        <v>6249</v>
      </c>
      <c r="K125" t="s">
        <v>5805</v>
      </c>
      <c r="L125" t="s">
        <v>5806</v>
      </c>
    </row>
    <row r="126" spans="1:12" x14ac:dyDescent="0.25">
      <c r="A126" t="s">
        <v>5766</v>
      </c>
      <c r="B126" t="s">
        <v>395</v>
      </c>
      <c r="C126" s="1" t="s">
        <v>440</v>
      </c>
      <c r="D126" s="1" t="s">
        <v>6312</v>
      </c>
      <c r="E126" t="s">
        <v>441</v>
      </c>
      <c r="F126" t="s">
        <v>6313</v>
      </c>
      <c r="G126" t="s">
        <v>6314</v>
      </c>
      <c r="H126" t="s">
        <v>6315</v>
      </c>
      <c r="I126" t="s">
        <v>6316</v>
      </c>
      <c r="J126" t="s">
        <v>6249</v>
      </c>
      <c r="K126" t="s">
        <v>5805</v>
      </c>
      <c r="L126" t="s">
        <v>5806</v>
      </c>
    </row>
    <row r="127" spans="1:12" x14ac:dyDescent="0.25">
      <c r="A127" t="s">
        <v>5766</v>
      </c>
      <c r="B127" t="s">
        <v>395</v>
      </c>
      <c r="C127" s="1" t="s">
        <v>443</v>
      </c>
      <c r="D127" s="1" t="s">
        <v>6317</v>
      </c>
      <c r="E127" t="s">
        <v>444</v>
      </c>
      <c r="F127" t="s">
        <v>6318</v>
      </c>
      <c r="G127" t="s">
        <v>6319</v>
      </c>
      <c r="H127" t="s">
        <v>6320</v>
      </c>
      <c r="I127" t="s">
        <v>6321</v>
      </c>
      <c r="J127" t="s">
        <v>6249</v>
      </c>
      <c r="K127" t="s">
        <v>5805</v>
      </c>
      <c r="L127" t="s">
        <v>5806</v>
      </c>
    </row>
    <row r="128" spans="1:12" x14ac:dyDescent="0.25">
      <c r="A128" t="s">
        <v>5766</v>
      </c>
      <c r="B128" t="s">
        <v>395</v>
      </c>
      <c r="C128" s="1" t="s">
        <v>446</v>
      </c>
      <c r="D128" s="1" t="s">
        <v>6322</v>
      </c>
      <c r="E128" t="s">
        <v>447</v>
      </c>
      <c r="F128" t="s">
        <v>6323</v>
      </c>
      <c r="G128" t="s">
        <v>6324</v>
      </c>
      <c r="H128" t="s">
        <v>6325</v>
      </c>
      <c r="I128" t="s">
        <v>6326</v>
      </c>
      <c r="J128" t="s">
        <v>6249</v>
      </c>
      <c r="K128" t="s">
        <v>5805</v>
      </c>
      <c r="L128" t="s">
        <v>5806</v>
      </c>
    </row>
    <row r="129" spans="1:13" x14ac:dyDescent="0.25">
      <c r="A129" t="s">
        <v>5766</v>
      </c>
      <c r="B129" t="s">
        <v>395</v>
      </c>
      <c r="C129" s="1" t="s">
        <v>78</v>
      </c>
      <c r="D129" s="1" t="s">
        <v>5780</v>
      </c>
      <c r="E129" t="s">
        <v>5781</v>
      </c>
      <c r="F129" t="s">
        <v>6327</v>
      </c>
      <c r="G129" t="s">
        <v>5783</v>
      </c>
      <c r="H129" t="s">
        <v>6328</v>
      </c>
      <c r="I129" t="s">
        <v>6259</v>
      </c>
      <c r="J129" t="s">
        <v>6249</v>
      </c>
      <c r="K129" t="s">
        <v>5805</v>
      </c>
      <c r="L129" t="s">
        <v>5806</v>
      </c>
      <c r="M129" t="s">
        <v>65</v>
      </c>
    </row>
    <row r="130" spans="1:13" x14ac:dyDescent="0.25">
      <c r="A130" t="s">
        <v>5766</v>
      </c>
      <c r="B130" t="s">
        <v>395</v>
      </c>
      <c r="C130" s="1" t="s">
        <v>449</v>
      </c>
      <c r="D130" s="1" t="s">
        <v>6329</v>
      </c>
      <c r="E130" t="s">
        <v>451</v>
      </c>
      <c r="F130" t="s">
        <v>6330</v>
      </c>
      <c r="G130" t="s">
        <v>6331</v>
      </c>
      <c r="H130" t="s">
        <v>6332</v>
      </c>
      <c r="I130" t="s">
        <v>5974</v>
      </c>
      <c r="J130" t="s">
        <v>6249</v>
      </c>
      <c r="K130" t="s">
        <v>5805</v>
      </c>
      <c r="L130" t="s">
        <v>5806</v>
      </c>
    </row>
    <row r="131" spans="1:13" x14ac:dyDescent="0.25">
      <c r="A131" t="s">
        <v>5766</v>
      </c>
      <c r="B131" t="s">
        <v>395</v>
      </c>
      <c r="C131" s="1" t="s">
        <v>453</v>
      </c>
      <c r="D131" s="1" t="s">
        <v>6333</v>
      </c>
      <c r="E131" t="s">
        <v>454</v>
      </c>
      <c r="F131" t="s">
        <v>6334</v>
      </c>
      <c r="G131" t="s">
        <v>6335</v>
      </c>
      <c r="H131" t="s">
        <v>6336</v>
      </c>
      <c r="I131" t="s">
        <v>6337</v>
      </c>
      <c r="J131" t="s">
        <v>6249</v>
      </c>
      <c r="K131" t="s">
        <v>5805</v>
      </c>
      <c r="L131" t="s">
        <v>5806</v>
      </c>
    </row>
    <row r="132" spans="1:13" x14ac:dyDescent="0.25">
      <c r="A132" t="s">
        <v>5766</v>
      </c>
      <c r="B132" t="s">
        <v>395</v>
      </c>
      <c r="C132" s="1" t="s">
        <v>456</v>
      </c>
      <c r="D132" s="1" t="s">
        <v>6338</v>
      </c>
      <c r="E132" t="s">
        <v>457</v>
      </c>
      <c r="F132" t="s">
        <v>6339</v>
      </c>
      <c r="G132" t="s">
        <v>6340</v>
      </c>
      <c r="H132" t="s">
        <v>6341</v>
      </c>
      <c r="I132" t="s">
        <v>6342</v>
      </c>
      <c r="J132" t="s">
        <v>6249</v>
      </c>
      <c r="K132" t="s">
        <v>5805</v>
      </c>
      <c r="L132" t="s">
        <v>5806</v>
      </c>
    </row>
    <row r="133" spans="1:13" x14ac:dyDescent="0.25">
      <c r="A133" t="s">
        <v>5766</v>
      </c>
      <c r="B133" t="s">
        <v>395</v>
      </c>
      <c r="C133" s="1" t="s">
        <v>459</v>
      </c>
      <c r="D133" s="1" t="s">
        <v>6343</v>
      </c>
      <c r="E133" t="s">
        <v>460</v>
      </c>
      <c r="F133" t="s">
        <v>6344</v>
      </c>
      <c r="G133" t="s">
        <v>6345</v>
      </c>
      <c r="H133" t="s">
        <v>6346</v>
      </c>
      <c r="I133" t="s">
        <v>6347</v>
      </c>
      <c r="J133" t="s">
        <v>6249</v>
      </c>
      <c r="K133" t="s">
        <v>5805</v>
      </c>
      <c r="L133" t="s">
        <v>5806</v>
      </c>
    </row>
    <row r="134" spans="1:13" x14ac:dyDescent="0.25">
      <c r="A134" t="s">
        <v>5766</v>
      </c>
      <c r="B134" t="s">
        <v>395</v>
      </c>
      <c r="C134" s="1" t="s">
        <v>462</v>
      </c>
      <c r="D134" s="1" t="s">
        <v>6348</v>
      </c>
      <c r="E134" t="s">
        <v>463</v>
      </c>
      <c r="F134" t="s">
        <v>6349</v>
      </c>
      <c r="G134" t="s">
        <v>6350</v>
      </c>
      <c r="H134" t="s">
        <v>6351</v>
      </c>
      <c r="I134" t="s">
        <v>6352</v>
      </c>
      <c r="J134" t="s">
        <v>6249</v>
      </c>
      <c r="K134" t="s">
        <v>5805</v>
      </c>
      <c r="L134" t="s">
        <v>5806</v>
      </c>
    </row>
    <row r="135" spans="1:13" x14ac:dyDescent="0.25">
      <c r="A135" t="s">
        <v>5766</v>
      </c>
      <c r="B135" t="s">
        <v>395</v>
      </c>
      <c r="C135" s="1" t="s">
        <v>465</v>
      </c>
      <c r="D135" s="1" t="s">
        <v>6353</v>
      </c>
      <c r="E135" t="s">
        <v>466</v>
      </c>
      <c r="F135" t="s">
        <v>6354</v>
      </c>
      <c r="G135" t="s">
        <v>6355</v>
      </c>
      <c r="H135" t="s">
        <v>6356</v>
      </c>
      <c r="I135" t="s">
        <v>6357</v>
      </c>
      <c r="J135" t="s">
        <v>6249</v>
      </c>
      <c r="K135" t="s">
        <v>5805</v>
      </c>
      <c r="L135" t="s">
        <v>5806</v>
      </c>
    </row>
    <row r="136" spans="1:13" x14ac:dyDescent="0.25">
      <c r="A136" t="s">
        <v>5766</v>
      </c>
      <c r="B136" t="s">
        <v>395</v>
      </c>
      <c r="C136" s="1" t="s">
        <v>287</v>
      </c>
      <c r="D136" s="1" t="s">
        <v>6098</v>
      </c>
      <c r="E136" t="s">
        <v>288</v>
      </c>
      <c r="F136" t="s">
        <v>6358</v>
      </c>
      <c r="G136" t="s">
        <v>6099</v>
      </c>
      <c r="H136" t="s">
        <v>6359</v>
      </c>
      <c r="I136" t="s">
        <v>6360</v>
      </c>
      <c r="J136" t="s">
        <v>6249</v>
      </c>
      <c r="K136" t="s">
        <v>5805</v>
      </c>
      <c r="L136" t="s">
        <v>5806</v>
      </c>
    </row>
    <row r="137" spans="1:13" x14ac:dyDescent="0.25">
      <c r="A137" t="s">
        <v>5766</v>
      </c>
      <c r="B137" t="s">
        <v>395</v>
      </c>
      <c r="C137" s="1" t="s">
        <v>468</v>
      </c>
      <c r="D137" s="1" t="s">
        <v>6361</v>
      </c>
      <c r="E137" t="s">
        <v>469</v>
      </c>
      <c r="F137" t="s">
        <v>5931</v>
      </c>
      <c r="G137" t="s">
        <v>6362</v>
      </c>
      <c r="H137" t="s">
        <v>6363</v>
      </c>
      <c r="I137" t="s">
        <v>6364</v>
      </c>
      <c r="J137" t="s">
        <v>6249</v>
      </c>
      <c r="K137" t="s">
        <v>5805</v>
      </c>
      <c r="L137" t="s">
        <v>5806</v>
      </c>
    </row>
    <row r="138" spans="1:13" x14ac:dyDescent="0.25">
      <c r="A138" t="s">
        <v>5766</v>
      </c>
      <c r="B138" t="s">
        <v>395</v>
      </c>
      <c r="C138" s="1" t="s">
        <v>471</v>
      </c>
      <c r="D138" s="1" t="s">
        <v>6365</v>
      </c>
      <c r="E138" t="s">
        <v>472</v>
      </c>
      <c r="F138" t="s">
        <v>5912</v>
      </c>
      <c r="G138" t="s">
        <v>6366</v>
      </c>
      <c r="H138" t="s">
        <v>6367</v>
      </c>
      <c r="I138" t="s">
        <v>6368</v>
      </c>
      <c r="J138" t="s">
        <v>6249</v>
      </c>
      <c r="K138" t="s">
        <v>5805</v>
      </c>
      <c r="L138" t="s">
        <v>5806</v>
      </c>
    </row>
    <row r="139" spans="1:13" x14ac:dyDescent="0.25">
      <c r="A139" t="s">
        <v>5766</v>
      </c>
      <c r="B139" t="s">
        <v>395</v>
      </c>
      <c r="C139" s="1" t="s">
        <v>474</v>
      </c>
      <c r="D139" s="1" t="s">
        <v>6369</v>
      </c>
      <c r="E139" t="s">
        <v>475</v>
      </c>
      <c r="F139" t="s">
        <v>6370</v>
      </c>
      <c r="G139" t="s">
        <v>6371</v>
      </c>
      <c r="H139" t="s">
        <v>6372</v>
      </c>
      <c r="I139" t="s">
        <v>6360</v>
      </c>
      <c r="J139" t="s">
        <v>6249</v>
      </c>
      <c r="K139" t="s">
        <v>5805</v>
      </c>
      <c r="L139" t="s">
        <v>5806</v>
      </c>
    </row>
    <row r="140" spans="1:13" x14ac:dyDescent="0.25">
      <c r="A140" t="s">
        <v>5766</v>
      </c>
      <c r="B140" t="s">
        <v>395</v>
      </c>
      <c r="C140" s="1" t="s">
        <v>477</v>
      </c>
      <c r="D140" s="1" t="s">
        <v>6373</v>
      </c>
      <c r="E140" t="s">
        <v>478</v>
      </c>
      <c r="F140" t="s">
        <v>5931</v>
      </c>
      <c r="G140" t="s">
        <v>6374</v>
      </c>
      <c r="H140" t="s">
        <v>6375</v>
      </c>
      <c r="I140" t="s">
        <v>6137</v>
      </c>
      <c r="J140" t="s">
        <v>6249</v>
      </c>
      <c r="K140" t="s">
        <v>5805</v>
      </c>
      <c r="L140" t="s">
        <v>5806</v>
      </c>
    </row>
    <row r="141" spans="1:13" x14ac:dyDescent="0.25">
      <c r="A141" t="s">
        <v>5766</v>
      </c>
      <c r="B141" t="s">
        <v>395</v>
      </c>
      <c r="C141" s="1" t="s">
        <v>480</v>
      </c>
      <c r="D141" s="1" t="s">
        <v>6376</v>
      </c>
      <c r="E141" t="s">
        <v>481</v>
      </c>
      <c r="F141" t="s">
        <v>6377</v>
      </c>
      <c r="G141" t="s">
        <v>6378</v>
      </c>
      <c r="H141" t="s">
        <v>6379</v>
      </c>
      <c r="I141" t="s">
        <v>6380</v>
      </c>
      <c r="J141" t="s">
        <v>6249</v>
      </c>
      <c r="K141" t="s">
        <v>5805</v>
      </c>
      <c r="L141" t="s">
        <v>5806</v>
      </c>
    </row>
    <row r="142" spans="1:13" x14ac:dyDescent="0.25">
      <c r="A142" t="s">
        <v>5766</v>
      </c>
      <c r="B142" t="s">
        <v>395</v>
      </c>
      <c r="C142" s="1" t="s">
        <v>483</v>
      </c>
      <c r="D142" s="1" t="s">
        <v>6381</v>
      </c>
      <c r="E142" t="s">
        <v>484</v>
      </c>
      <c r="F142" t="s">
        <v>6382</v>
      </c>
      <c r="G142" t="s">
        <v>6383</v>
      </c>
      <c r="H142" t="s">
        <v>6384</v>
      </c>
      <c r="I142" t="s">
        <v>6385</v>
      </c>
      <c r="J142" t="s">
        <v>6249</v>
      </c>
      <c r="K142" t="s">
        <v>5805</v>
      </c>
      <c r="L142" t="s">
        <v>5806</v>
      </c>
    </row>
    <row r="143" spans="1:13" x14ac:dyDescent="0.25">
      <c r="A143" t="s">
        <v>5766</v>
      </c>
      <c r="B143" t="s">
        <v>395</v>
      </c>
      <c r="C143" s="1" t="s">
        <v>486</v>
      </c>
      <c r="D143" s="1" t="s">
        <v>6386</v>
      </c>
      <c r="E143" t="s">
        <v>487</v>
      </c>
      <c r="F143" t="s">
        <v>6387</v>
      </c>
      <c r="G143" t="s">
        <v>6388</v>
      </c>
      <c r="H143" t="s">
        <v>6389</v>
      </c>
      <c r="I143" t="s">
        <v>6390</v>
      </c>
      <c r="J143" t="s">
        <v>6249</v>
      </c>
      <c r="K143" t="s">
        <v>5805</v>
      </c>
      <c r="L143" t="s">
        <v>5806</v>
      </c>
    </row>
    <row r="144" spans="1:13" x14ac:dyDescent="0.25">
      <c r="A144" t="s">
        <v>5766</v>
      </c>
      <c r="B144" t="s">
        <v>395</v>
      </c>
      <c r="C144" s="1" t="s">
        <v>387</v>
      </c>
      <c r="D144" s="1" t="s">
        <v>6230</v>
      </c>
      <c r="E144" t="s">
        <v>388</v>
      </c>
      <c r="F144" t="s">
        <v>6391</v>
      </c>
      <c r="G144" t="s">
        <v>6232</v>
      </c>
      <c r="H144" t="s">
        <v>6392</v>
      </c>
      <c r="I144" t="s">
        <v>6393</v>
      </c>
      <c r="J144" t="s">
        <v>6249</v>
      </c>
      <c r="K144" t="s">
        <v>5805</v>
      </c>
      <c r="L144" t="s">
        <v>5806</v>
      </c>
    </row>
    <row r="145" spans="1:13" x14ac:dyDescent="0.25">
      <c r="A145" t="s">
        <v>5766</v>
      </c>
      <c r="B145" t="s">
        <v>395</v>
      </c>
      <c r="C145" s="1" t="s">
        <v>52</v>
      </c>
      <c r="D145" s="1" t="s">
        <v>52</v>
      </c>
      <c r="E145" t="s">
        <v>5767</v>
      </c>
      <c r="F145" t="s">
        <v>6394</v>
      </c>
      <c r="G145" t="s">
        <v>5769</v>
      </c>
      <c r="H145" t="s">
        <v>6395</v>
      </c>
      <c r="I145" t="s">
        <v>6396</v>
      </c>
      <c r="J145" t="s">
        <v>6249</v>
      </c>
      <c r="K145" t="s">
        <v>5805</v>
      </c>
      <c r="L145" t="s">
        <v>5806</v>
      </c>
      <c r="M145" t="s">
        <v>65</v>
      </c>
    </row>
    <row r="146" spans="1:13" x14ac:dyDescent="0.25">
      <c r="A146" t="s">
        <v>5766</v>
      </c>
      <c r="B146" t="s">
        <v>488</v>
      </c>
      <c r="C146" s="1" t="s">
        <v>490</v>
      </c>
      <c r="D146" s="1" t="s">
        <v>6397</v>
      </c>
      <c r="E146" t="s">
        <v>491</v>
      </c>
      <c r="F146" t="s">
        <v>6398</v>
      </c>
      <c r="G146" t="s">
        <v>6399</v>
      </c>
      <c r="H146" t="s">
        <v>6400</v>
      </c>
      <c r="I146" t="s">
        <v>6401</v>
      </c>
      <c r="J146" t="s">
        <v>6402</v>
      </c>
      <c r="K146" t="s">
        <v>6403</v>
      </c>
      <c r="L146" t="s">
        <v>6404</v>
      </c>
    </row>
    <row r="147" spans="1:13" x14ac:dyDescent="0.25">
      <c r="A147" t="s">
        <v>5766</v>
      </c>
      <c r="B147" t="s">
        <v>488</v>
      </c>
      <c r="C147" s="1" t="s">
        <v>493</v>
      </c>
      <c r="D147" s="1" t="s">
        <v>6405</v>
      </c>
      <c r="E147" t="s">
        <v>494</v>
      </c>
      <c r="F147" t="s">
        <v>6406</v>
      </c>
      <c r="G147" t="s">
        <v>6407</v>
      </c>
      <c r="H147" t="s">
        <v>6408</v>
      </c>
      <c r="I147" t="s">
        <v>6409</v>
      </c>
      <c r="J147" t="s">
        <v>6402</v>
      </c>
      <c r="K147" t="s">
        <v>6403</v>
      </c>
      <c r="L147" t="s">
        <v>6404</v>
      </c>
    </row>
    <row r="148" spans="1:13" x14ac:dyDescent="0.25">
      <c r="A148" t="s">
        <v>5766</v>
      </c>
      <c r="B148" t="s">
        <v>488</v>
      </c>
      <c r="C148" s="1" t="s">
        <v>496</v>
      </c>
      <c r="D148" s="1" t="s">
        <v>6410</v>
      </c>
      <c r="E148" t="s">
        <v>497</v>
      </c>
      <c r="F148" t="s">
        <v>6411</v>
      </c>
      <c r="G148" t="s">
        <v>6412</v>
      </c>
      <c r="H148" t="s">
        <v>6413</v>
      </c>
      <c r="I148" t="s">
        <v>6414</v>
      </c>
      <c r="J148" t="s">
        <v>6402</v>
      </c>
      <c r="K148" t="s">
        <v>6403</v>
      </c>
      <c r="L148" t="s">
        <v>6404</v>
      </c>
    </row>
    <row r="149" spans="1:13" x14ac:dyDescent="0.25">
      <c r="A149" t="s">
        <v>5766</v>
      </c>
      <c r="B149" t="s">
        <v>488</v>
      </c>
      <c r="C149" s="1" t="s">
        <v>499</v>
      </c>
      <c r="D149" s="1" t="s">
        <v>6415</v>
      </c>
      <c r="E149" t="s">
        <v>500</v>
      </c>
      <c r="F149" t="s">
        <v>6416</v>
      </c>
      <c r="G149" t="s">
        <v>6417</v>
      </c>
      <c r="H149" t="s">
        <v>6418</v>
      </c>
      <c r="I149" t="s">
        <v>6419</v>
      </c>
      <c r="J149" t="s">
        <v>6402</v>
      </c>
      <c r="K149" t="s">
        <v>6403</v>
      </c>
      <c r="L149" t="s">
        <v>6404</v>
      </c>
    </row>
    <row r="150" spans="1:13" x14ac:dyDescent="0.25">
      <c r="A150" t="s">
        <v>5766</v>
      </c>
      <c r="B150" t="s">
        <v>488</v>
      </c>
      <c r="C150" s="1" t="s">
        <v>78</v>
      </c>
      <c r="D150" s="1" t="s">
        <v>5780</v>
      </c>
      <c r="E150" t="s">
        <v>5781</v>
      </c>
      <c r="F150" t="s">
        <v>6420</v>
      </c>
      <c r="G150" t="s">
        <v>5783</v>
      </c>
      <c r="H150" t="s">
        <v>6421</v>
      </c>
      <c r="I150" t="s">
        <v>6173</v>
      </c>
      <c r="J150" t="s">
        <v>6402</v>
      </c>
      <c r="K150" t="s">
        <v>6403</v>
      </c>
      <c r="L150" t="s">
        <v>6404</v>
      </c>
      <c r="M150" t="s">
        <v>65</v>
      </c>
    </row>
    <row r="151" spans="1:13" x14ac:dyDescent="0.25">
      <c r="A151" t="s">
        <v>5766</v>
      </c>
      <c r="B151" t="s">
        <v>488</v>
      </c>
      <c r="C151" s="1" t="s">
        <v>502</v>
      </c>
      <c r="D151" s="1" t="s">
        <v>6422</v>
      </c>
      <c r="E151" t="s">
        <v>504</v>
      </c>
      <c r="F151" t="s">
        <v>6423</v>
      </c>
      <c r="G151" t="s">
        <v>6424</v>
      </c>
      <c r="H151" t="s">
        <v>6425</v>
      </c>
      <c r="I151" t="s">
        <v>6426</v>
      </c>
      <c r="J151" t="s">
        <v>6402</v>
      </c>
      <c r="K151" t="s">
        <v>6403</v>
      </c>
      <c r="L151" t="s">
        <v>6404</v>
      </c>
    </row>
    <row r="152" spans="1:13" x14ac:dyDescent="0.25">
      <c r="A152" t="s">
        <v>5766</v>
      </c>
      <c r="B152" t="s">
        <v>488</v>
      </c>
      <c r="C152" s="1" t="s">
        <v>506</v>
      </c>
      <c r="D152" s="1" t="s">
        <v>6427</v>
      </c>
      <c r="E152" t="s">
        <v>507</v>
      </c>
      <c r="F152" t="s">
        <v>6428</v>
      </c>
      <c r="G152" t="s">
        <v>6429</v>
      </c>
      <c r="H152" t="s">
        <v>6430</v>
      </c>
      <c r="I152" t="s">
        <v>6431</v>
      </c>
      <c r="J152" t="s">
        <v>6402</v>
      </c>
      <c r="K152" t="s">
        <v>6403</v>
      </c>
      <c r="L152" t="s">
        <v>6404</v>
      </c>
    </row>
    <row r="153" spans="1:13" x14ac:dyDescent="0.25">
      <c r="A153" t="s">
        <v>5766</v>
      </c>
      <c r="B153" t="s">
        <v>488</v>
      </c>
      <c r="C153" s="1" t="s">
        <v>509</v>
      </c>
      <c r="D153" s="1" t="s">
        <v>6432</v>
      </c>
      <c r="E153" t="s">
        <v>510</v>
      </c>
      <c r="F153" t="s">
        <v>6433</v>
      </c>
      <c r="G153" t="s">
        <v>6434</v>
      </c>
      <c r="H153" t="s">
        <v>6435</v>
      </c>
      <c r="I153" t="s">
        <v>6436</v>
      </c>
      <c r="J153" t="s">
        <v>6402</v>
      </c>
      <c r="K153" t="s">
        <v>6403</v>
      </c>
      <c r="L153" t="s">
        <v>6404</v>
      </c>
    </row>
    <row r="154" spans="1:13" x14ac:dyDescent="0.25">
      <c r="A154" t="s">
        <v>5766</v>
      </c>
      <c r="B154" t="s">
        <v>488</v>
      </c>
      <c r="C154" s="1" t="s">
        <v>512</v>
      </c>
      <c r="D154" s="1" t="s">
        <v>6437</v>
      </c>
      <c r="E154" t="s">
        <v>513</v>
      </c>
      <c r="F154" t="s">
        <v>6438</v>
      </c>
      <c r="G154" t="s">
        <v>6439</v>
      </c>
      <c r="H154" t="s">
        <v>6440</v>
      </c>
      <c r="I154" t="s">
        <v>6441</v>
      </c>
      <c r="J154" t="s">
        <v>6402</v>
      </c>
      <c r="K154" t="s">
        <v>6403</v>
      </c>
      <c r="L154" t="s">
        <v>6404</v>
      </c>
    </row>
    <row r="155" spans="1:13" x14ac:dyDescent="0.25">
      <c r="A155" t="s">
        <v>5766</v>
      </c>
      <c r="B155" t="s">
        <v>488</v>
      </c>
      <c r="C155" s="1" t="s">
        <v>515</v>
      </c>
      <c r="D155" s="1" t="s">
        <v>4407</v>
      </c>
      <c r="E155" t="s">
        <v>516</v>
      </c>
      <c r="F155" t="s">
        <v>6442</v>
      </c>
      <c r="G155" t="s">
        <v>6443</v>
      </c>
      <c r="H155" t="s">
        <v>6444</v>
      </c>
      <c r="I155" t="s">
        <v>6380</v>
      </c>
      <c r="J155" t="s">
        <v>6402</v>
      </c>
      <c r="K155" t="s">
        <v>6403</v>
      </c>
      <c r="L155" t="s">
        <v>6404</v>
      </c>
    </row>
    <row r="156" spans="1:13" x14ac:dyDescent="0.25">
      <c r="A156" t="s">
        <v>5766</v>
      </c>
      <c r="B156" t="s">
        <v>488</v>
      </c>
      <c r="C156" s="1" t="s">
        <v>518</v>
      </c>
      <c r="D156" s="1" t="s">
        <v>6445</v>
      </c>
      <c r="E156" t="s">
        <v>519</v>
      </c>
      <c r="F156" t="s">
        <v>6446</v>
      </c>
      <c r="G156" t="s">
        <v>6447</v>
      </c>
      <c r="H156" t="s">
        <v>6448</v>
      </c>
      <c r="I156" t="s">
        <v>6449</v>
      </c>
      <c r="J156" t="s">
        <v>6402</v>
      </c>
      <c r="K156" t="s">
        <v>6403</v>
      </c>
      <c r="L156" t="s">
        <v>6404</v>
      </c>
    </row>
    <row r="157" spans="1:13" x14ac:dyDescent="0.25">
      <c r="A157" t="s">
        <v>5766</v>
      </c>
      <c r="B157" t="s">
        <v>488</v>
      </c>
      <c r="C157" s="1" t="s">
        <v>521</v>
      </c>
      <c r="D157" s="1" t="s">
        <v>6450</v>
      </c>
      <c r="E157" t="s">
        <v>523</v>
      </c>
      <c r="F157" t="s">
        <v>6451</v>
      </c>
      <c r="G157" t="s">
        <v>6452</v>
      </c>
      <c r="H157" t="s">
        <v>6453</v>
      </c>
      <c r="I157" t="s">
        <v>6454</v>
      </c>
      <c r="J157" t="s">
        <v>6402</v>
      </c>
      <c r="K157" t="s">
        <v>6403</v>
      </c>
      <c r="L157" t="s">
        <v>6404</v>
      </c>
    </row>
    <row r="158" spans="1:13" x14ac:dyDescent="0.25">
      <c r="A158" t="s">
        <v>5766</v>
      </c>
      <c r="B158" t="s">
        <v>488</v>
      </c>
      <c r="C158" s="1" t="s">
        <v>525</v>
      </c>
      <c r="D158" s="1" t="s">
        <v>6455</v>
      </c>
      <c r="E158" t="s">
        <v>526</v>
      </c>
      <c r="F158" t="s">
        <v>6456</v>
      </c>
      <c r="G158" t="s">
        <v>6457</v>
      </c>
      <c r="H158" t="s">
        <v>6458</v>
      </c>
      <c r="I158" t="s">
        <v>6459</v>
      </c>
      <c r="J158" t="s">
        <v>6402</v>
      </c>
      <c r="K158" t="s">
        <v>6403</v>
      </c>
      <c r="L158" t="s">
        <v>6404</v>
      </c>
    </row>
    <row r="159" spans="1:13" x14ac:dyDescent="0.25">
      <c r="A159" t="s">
        <v>5766</v>
      </c>
      <c r="B159" t="s">
        <v>488</v>
      </c>
      <c r="C159" s="1" t="s">
        <v>528</v>
      </c>
      <c r="D159" s="1" t="s">
        <v>6460</v>
      </c>
      <c r="E159" t="s">
        <v>529</v>
      </c>
      <c r="F159" t="s">
        <v>6461</v>
      </c>
      <c r="G159" t="s">
        <v>6462</v>
      </c>
      <c r="H159" t="s">
        <v>6463</v>
      </c>
      <c r="I159" t="s">
        <v>6464</v>
      </c>
      <c r="J159" t="s">
        <v>6402</v>
      </c>
      <c r="K159" t="s">
        <v>6403</v>
      </c>
      <c r="L159" t="s">
        <v>6404</v>
      </c>
    </row>
    <row r="160" spans="1:13" x14ac:dyDescent="0.25">
      <c r="A160" t="s">
        <v>5766</v>
      </c>
      <c r="B160" t="s">
        <v>488</v>
      </c>
      <c r="C160" s="1" t="s">
        <v>531</v>
      </c>
      <c r="D160" s="1" t="s">
        <v>6465</v>
      </c>
      <c r="E160" t="s">
        <v>532</v>
      </c>
      <c r="F160" t="s">
        <v>6091</v>
      </c>
      <c r="G160" t="s">
        <v>6466</v>
      </c>
      <c r="H160" t="s">
        <v>6467</v>
      </c>
      <c r="I160" t="s">
        <v>6468</v>
      </c>
      <c r="J160" t="s">
        <v>6402</v>
      </c>
      <c r="K160" t="s">
        <v>6403</v>
      </c>
      <c r="L160" t="s">
        <v>6404</v>
      </c>
    </row>
    <row r="161" spans="1:13" x14ac:dyDescent="0.25">
      <c r="A161" t="s">
        <v>5766</v>
      </c>
      <c r="B161" t="s">
        <v>488</v>
      </c>
      <c r="C161" s="1" t="s">
        <v>534</v>
      </c>
      <c r="D161" s="1" t="s">
        <v>6469</v>
      </c>
      <c r="E161" t="s">
        <v>535</v>
      </c>
      <c r="F161" t="s">
        <v>6470</v>
      </c>
      <c r="G161" t="s">
        <v>6471</v>
      </c>
      <c r="H161" t="s">
        <v>6472</v>
      </c>
      <c r="I161" t="s">
        <v>6473</v>
      </c>
      <c r="J161" t="s">
        <v>6402</v>
      </c>
      <c r="K161" t="s">
        <v>6403</v>
      </c>
      <c r="L161" t="s">
        <v>6404</v>
      </c>
    </row>
    <row r="162" spans="1:13" x14ac:dyDescent="0.25">
      <c r="A162" t="s">
        <v>5766</v>
      </c>
      <c r="B162" t="s">
        <v>488</v>
      </c>
      <c r="C162" s="1" t="s">
        <v>537</v>
      </c>
      <c r="D162" s="1" t="s">
        <v>6474</v>
      </c>
      <c r="E162" t="s">
        <v>538</v>
      </c>
      <c r="F162" t="s">
        <v>6475</v>
      </c>
      <c r="G162" t="s">
        <v>6476</v>
      </c>
      <c r="H162" t="s">
        <v>6477</v>
      </c>
      <c r="I162" t="s">
        <v>6401</v>
      </c>
      <c r="J162" t="s">
        <v>6402</v>
      </c>
      <c r="K162" t="s">
        <v>6403</v>
      </c>
      <c r="L162" t="s">
        <v>6404</v>
      </c>
    </row>
    <row r="163" spans="1:13" x14ac:dyDescent="0.25">
      <c r="A163" t="s">
        <v>5766</v>
      </c>
      <c r="B163" t="s">
        <v>488</v>
      </c>
      <c r="C163" s="1" t="s">
        <v>52</v>
      </c>
      <c r="D163" s="1" t="s">
        <v>52</v>
      </c>
      <c r="E163" t="s">
        <v>5767</v>
      </c>
      <c r="F163" t="s">
        <v>6478</v>
      </c>
      <c r="G163" t="s">
        <v>5769</v>
      </c>
      <c r="H163" t="s">
        <v>6479</v>
      </c>
      <c r="I163" t="s">
        <v>6480</v>
      </c>
      <c r="J163" t="s">
        <v>6402</v>
      </c>
      <c r="K163" t="s">
        <v>6403</v>
      </c>
      <c r="L163" t="s">
        <v>6404</v>
      </c>
      <c r="M163" t="s">
        <v>65</v>
      </c>
    </row>
    <row r="164" spans="1:13" x14ac:dyDescent="0.25">
      <c r="A164" t="s">
        <v>5766</v>
      </c>
      <c r="B164" t="s">
        <v>539</v>
      </c>
      <c r="C164" s="1" t="s">
        <v>541</v>
      </c>
      <c r="D164" s="1" t="s">
        <v>541</v>
      </c>
      <c r="E164" t="s">
        <v>542</v>
      </c>
      <c r="F164" t="s">
        <v>6481</v>
      </c>
      <c r="G164" t="s">
        <v>6482</v>
      </c>
      <c r="H164" t="s">
        <v>543</v>
      </c>
      <c r="I164" t="s">
        <v>6483</v>
      </c>
      <c r="J164" t="s">
        <v>6484</v>
      </c>
      <c r="K164" t="s">
        <v>6485</v>
      </c>
      <c r="L164" t="s">
        <v>6486</v>
      </c>
    </row>
    <row r="165" spans="1:13" x14ac:dyDescent="0.25">
      <c r="A165" t="s">
        <v>5766</v>
      </c>
      <c r="B165" t="s">
        <v>539</v>
      </c>
      <c r="C165" s="1" t="s">
        <v>78</v>
      </c>
      <c r="D165" s="1" t="s">
        <v>5780</v>
      </c>
      <c r="E165" t="s">
        <v>5781</v>
      </c>
      <c r="F165" t="s">
        <v>6487</v>
      </c>
      <c r="G165" t="s">
        <v>5783</v>
      </c>
      <c r="H165" t="s">
        <v>6488</v>
      </c>
      <c r="I165" t="s">
        <v>6489</v>
      </c>
      <c r="J165" t="s">
        <v>6484</v>
      </c>
      <c r="K165" t="s">
        <v>6485</v>
      </c>
      <c r="L165" t="s">
        <v>6486</v>
      </c>
      <c r="M165" t="s">
        <v>65</v>
      </c>
    </row>
    <row r="166" spans="1:13" x14ac:dyDescent="0.25">
      <c r="A166" t="s">
        <v>5766</v>
      </c>
      <c r="B166" t="s">
        <v>539</v>
      </c>
      <c r="C166" s="1" t="s">
        <v>52</v>
      </c>
      <c r="D166" s="1" t="s">
        <v>52</v>
      </c>
      <c r="E166" t="s">
        <v>5767</v>
      </c>
      <c r="F166" t="s">
        <v>6490</v>
      </c>
      <c r="G166" t="s">
        <v>5769</v>
      </c>
      <c r="H166" t="s">
        <v>6491</v>
      </c>
      <c r="I166" t="s">
        <v>6492</v>
      </c>
      <c r="J166" t="s">
        <v>6484</v>
      </c>
      <c r="K166" t="s">
        <v>6485</v>
      </c>
      <c r="L166" t="s">
        <v>6486</v>
      </c>
      <c r="M166" t="s">
        <v>65</v>
      </c>
    </row>
    <row r="167" spans="1:13" x14ac:dyDescent="0.25">
      <c r="A167" t="s">
        <v>5766</v>
      </c>
      <c r="B167" t="s">
        <v>547</v>
      </c>
      <c r="C167" s="1" t="s">
        <v>549</v>
      </c>
      <c r="D167" s="1" t="s">
        <v>6493</v>
      </c>
      <c r="E167" t="s">
        <v>550</v>
      </c>
      <c r="F167" t="s">
        <v>6494</v>
      </c>
      <c r="G167" t="s">
        <v>6495</v>
      </c>
      <c r="H167" t="s">
        <v>6496</v>
      </c>
      <c r="I167" t="s">
        <v>6497</v>
      </c>
      <c r="J167" t="s">
        <v>6498</v>
      </c>
      <c r="K167" t="s">
        <v>6499</v>
      </c>
      <c r="L167" t="s">
        <v>6500</v>
      </c>
    </row>
    <row r="168" spans="1:13" x14ac:dyDescent="0.25">
      <c r="A168" t="s">
        <v>5766</v>
      </c>
      <c r="B168" t="s">
        <v>547</v>
      </c>
      <c r="C168" s="1" t="s">
        <v>552</v>
      </c>
      <c r="D168" s="1" t="s">
        <v>6501</v>
      </c>
      <c r="E168" t="s">
        <v>553</v>
      </c>
      <c r="F168" t="s">
        <v>6502</v>
      </c>
      <c r="G168" t="s">
        <v>6503</v>
      </c>
      <c r="H168" t="s">
        <v>6504</v>
      </c>
      <c r="I168" t="s">
        <v>6326</v>
      </c>
      <c r="J168" t="s">
        <v>6498</v>
      </c>
      <c r="K168" t="s">
        <v>6499</v>
      </c>
      <c r="L168" t="s">
        <v>6500</v>
      </c>
    </row>
    <row r="169" spans="1:13" x14ac:dyDescent="0.25">
      <c r="A169" t="s">
        <v>5766</v>
      </c>
      <c r="B169" t="s">
        <v>547</v>
      </c>
      <c r="C169" s="1" t="s">
        <v>555</v>
      </c>
      <c r="D169" s="1" t="s">
        <v>6505</v>
      </c>
      <c r="E169" t="s">
        <v>556</v>
      </c>
      <c r="F169" t="s">
        <v>6506</v>
      </c>
      <c r="G169" t="s">
        <v>6507</v>
      </c>
      <c r="H169" t="s">
        <v>6508</v>
      </c>
      <c r="I169" t="s">
        <v>6509</v>
      </c>
      <c r="J169" t="s">
        <v>6498</v>
      </c>
      <c r="K169" t="s">
        <v>6499</v>
      </c>
      <c r="L169" t="s">
        <v>6500</v>
      </c>
    </row>
    <row r="170" spans="1:13" x14ac:dyDescent="0.25">
      <c r="A170" t="s">
        <v>5766</v>
      </c>
      <c r="B170" t="s">
        <v>547</v>
      </c>
      <c r="C170" s="1" t="s">
        <v>558</v>
      </c>
      <c r="D170" s="1" t="s">
        <v>6510</v>
      </c>
      <c r="E170" t="s">
        <v>559</v>
      </c>
      <c r="F170" t="s">
        <v>6511</v>
      </c>
      <c r="G170" t="s">
        <v>6512</v>
      </c>
      <c r="H170" t="s">
        <v>6513</v>
      </c>
      <c r="I170" t="s">
        <v>6514</v>
      </c>
      <c r="J170" t="s">
        <v>6498</v>
      </c>
      <c r="K170" t="s">
        <v>6499</v>
      </c>
      <c r="L170" t="s">
        <v>6500</v>
      </c>
    </row>
    <row r="171" spans="1:13" x14ac:dyDescent="0.25">
      <c r="A171" t="s">
        <v>5766</v>
      </c>
      <c r="B171" t="s">
        <v>547</v>
      </c>
      <c r="C171" s="1" t="s">
        <v>561</v>
      </c>
      <c r="D171" s="1" t="s">
        <v>6515</v>
      </c>
      <c r="E171" t="s">
        <v>562</v>
      </c>
      <c r="F171" t="s">
        <v>5898</v>
      </c>
      <c r="G171" t="s">
        <v>6516</v>
      </c>
      <c r="H171" t="s">
        <v>6517</v>
      </c>
      <c r="I171" t="s">
        <v>6518</v>
      </c>
      <c r="J171" t="s">
        <v>6498</v>
      </c>
      <c r="K171" t="s">
        <v>6499</v>
      </c>
      <c r="L171" t="s">
        <v>6500</v>
      </c>
    </row>
    <row r="172" spans="1:13" x14ac:dyDescent="0.25">
      <c r="A172" t="s">
        <v>5766</v>
      </c>
      <c r="B172" t="s">
        <v>547</v>
      </c>
      <c r="C172" s="1" t="s">
        <v>120</v>
      </c>
      <c r="D172" s="1" t="s">
        <v>5837</v>
      </c>
      <c r="E172" t="s">
        <v>121</v>
      </c>
      <c r="F172" t="s">
        <v>6519</v>
      </c>
      <c r="G172" t="s">
        <v>5839</v>
      </c>
      <c r="H172" t="s">
        <v>6520</v>
      </c>
      <c r="I172" t="s">
        <v>6514</v>
      </c>
      <c r="J172" t="s">
        <v>6498</v>
      </c>
      <c r="K172" t="s">
        <v>6499</v>
      </c>
      <c r="L172" t="s">
        <v>6500</v>
      </c>
    </row>
    <row r="173" spans="1:13" x14ac:dyDescent="0.25">
      <c r="A173" t="s">
        <v>5766</v>
      </c>
      <c r="B173" t="s">
        <v>547</v>
      </c>
      <c r="C173" s="1" t="s">
        <v>564</v>
      </c>
      <c r="D173" s="1" t="s">
        <v>6521</v>
      </c>
      <c r="E173" t="s">
        <v>565</v>
      </c>
      <c r="F173" t="s">
        <v>6522</v>
      </c>
      <c r="G173" t="s">
        <v>6523</v>
      </c>
      <c r="H173" t="s">
        <v>6524</v>
      </c>
      <c r="I173" t="s">
        <v>6525</v>
      </c>
      <c r="J173" t="s">
        <v>6498</v>
      </c>
      <c r="K173" t="s">
        <v>6499</v>
      </c>
      <c r="L173" t="s">
        <v>6500</v>
      </c>
    </row>
    <row r="174" spans="1:13" x14ac:dyDescent="0.25">
      <c r="A174" t="s">
        <v>5766</v>
      </c>
      <c r="B174" t="s">
        <v>547</v>
      </c>
      <c r="C174" s="1" t="s">
        <v>567</v>
      </c>
      <c r="D174" s="1" t="s">
        <v>6526</v>
      </c>
      <c r="E174" t="s">
        <v>568</v>
      </c>
      <c r="F174" t="s">
        <v>6527</v>
      </c>
      <c r="G174" t="s">
        <v>6528</v>
      </c>
      <c r="H174" t="s">
        <v>6529</v>
      </c>
      <c r="I174" t="s">
        <v>6530</v>
      </c>
      <c r="J174" t="s">
        <v>6498</v>
      </c>
      <c r="K174" t="s">
        <v>6499</v>
      </c>
      <c r="L174" t="s">
        <v>6500</v>
      </c>
    </row>
    <row r="175" spans="1:13" x14ac:dyDescent="0.25">
      <c r="A175" t="s">
        <v>5766</v>
      </c>
      <c r="B175" t="s">
        <v>547</v>
      </c>
      <c r="C175" s="1" t="s">
        <v>570</v>
      </c>
      <c r="D175" s="1" t="s">
        <v>6531</v>
      </c>
      <c r="E175" t="s">
        <v>571</v>
      </c>
      <c r="F175" t="s">
        <v>6532</v>
      </c>
      <c r="G175" t="s">
        <v>6533</v>
      </c>
      <c r="H175" t="s">
        <v>6534</v>
      </c>
      <c r="I175" t="s">
        <v>6535</v>
      </c>
      <c r="J175" t="s">
        <v>6498</v>
      </c>
      <c r="K175" t="s">
        <v>6499</v>
      </c>
      <c r="L175" t="s">
        <v>6500</v>
      </c>
    </row>
    <row r="176" spans="1:13" x14ac:dyDescent="0.25">
      <c r="A176" t="s">
        <v>5766</v>
      </c>
      <c r="B176" t="s">
        <v>547</v>
      </c>
      <c r="C176" s="1" t="s">
        <v>573</v>
      </c>
      <c r="D176" s="1" t="s">
        <v>6536</v>
      </c>
      <c r="E176" t="s">
        <v>574</v>
      </c>
      <c r="F176" t="s">
        <v>6537</v>
      </c>
      <c r="G176" t="s">
        <v>6538</v>
      </c>
      <c r="H176" t="s">
        <v>6539</v>
      </c>
      <c r="I176" t="s">
        <v>6540</v>
      </c>
      <c r="J176" t="s">
        <v>6498</v>
      </c>
      <c r="K176" t="s">
        <v>6499</v>
      </c>
      <c r="L176" t="s">
        <v>6500</v>
      </c>
    </row>
    <row r="177" spans="1:13" x14ac:dyDescent="0.25">
      <c r="A177" t="s">
        <v>5766</v>
      </c>
      <c r="B177" t="s">
        <v>547</v>
      </c>
      <c r="C177" s="1" t="s">
        <v>78</v>
      </c>
      <c r="D177" s="1" t="s">
        <v>5780</v>
      </c>
      <c r="E177" t="s">
        <v>5781</v>
      </c>
      <c r="F177" t="s">
        <v>6541</v>
      </c>
      <c r="G177" t="s">
        <v>5783</v>
      </c>
      <c r="H177" t="s">
        <v>6542</v>
      </c>
      <c r="I177" t="s">
        <v>6543</v>
      </c>
      <c r="J177" t="s">
        <v>6498</v>
      </c>
      <c r="K177" t="s">
        <v>6499</v>
      </c>
      <c r="L177" t="s">
        <v>6500</v>
      </c>
      <c r="M177" t="s">
        <v>65</v>
      </c>
    </row>
    <row r="178" spans="1:13" x14ac:dyDescent="0.25">
      <c r="A178" t="s">
        <v>5766</v>
      </c>
      <c r="B178" t="s">
        <v>547</v>
      </c>
      <c r="C178" s="1" t="s">
        <v>162</v>
      </c>
      <c r="D178" s="1" t="s">
        <v>5906</v>
      </c>
      <c r="E178" t="s">
        <v>163</v>
      </c>
      <c r="F178" t="s">
        <v>6544</v>
      </c>
      <c r="G178" t="s">
        <v>5908</v>
      </c>
      <c r="H178" t="s">
        <v>6545</v>
      </c>
      <c r="I178" t="s">
        <v>6380</v>
      </c>
      <c r="J178" t="s">
        <v>6498</v>
      </c>
      <c r="K178" t="s">
        <v>6499</v>
      </c>
      <c r="L178" t="s">
        <v>6500</v>
      </c>
    </row>
    <row r="179" spans="1:13" x14ac:dyDescent="0.25">
      <c r="A179" t="s">
        <v>5766</v>
      </c>
      <c r="B179" t="s">
        <v>547</v>
      </c>
      <c r="C179" s="1" t="s">
        <v>168</v>
      </c>
      <c r="D179" s="1" t="s">
        <v>5916</v>
      </c>
      <c r="E179" t="s">
        <v>169</v>
      </c>
      <c r="F179" t="s">
        <v>6546</v>
      </c>
      <c r="G179" t="s">
        <v>5918</v>
      </c>
      <c r="H179" t="s">
        <v>6547</v>
      </c>
      <c r="I179" t="s">
        <v>6548</v>
      </c>
      <c r="J179" t="s">
        <v>6498</v>
      </c>
      <c r="K179" t="s">
        <v>6499</v>
      </c>
      <c r="L179" t="s">
        <v>6500</v>
      </c>
    </row>
    <row r="180" spans="1:13" x14ac:dyDescent="0.25">
      <c r="A180" t="s">
        <v>5766</v>
      </c>
      <c r="B180" t="s">
        <v>547</v>
      </c>
      <c r="C180" s="1" t="s">
        <v>576</v>
      </c>
      <c r="D180" s="1" t="s">
        <v>6549</v>
      </c>
      <c r="E180" t="s">
        <v>578</v>
      </c>
      <c r="F180" t="s">
        <v>6550</v>
      </c>
      <c r="G180" t="s">
        <v>6551</v>
      </c>
      <c r="H180" t="s">
        <v>6552</v>
      </c>
      <c r="I180" t="s">
        <v>6553</v>
      </c>
      <c r="J180" t="s">
        <v>6498</v>
      </c>
      <c r="K180" t="s">
        <v>6499</v>
      </c>
      <c r="L180" t="s">
        <v>6500</v>
      </c>
    </row>
    <row r="181" spans="1:13" x14ac:dyDescent="0.25">
      <c r="A181" t="s">
        <v>5766</v>
      </c>
      <c r="B181" t="s">
        <v>547</v>
      </c>
      <c r="C181" s="1" t="s">
        <v>580</v>
      </c>
      <c r="D181" s="1" t="s">
        <v>6554</v>
      </c>
      <c r="E181" t="s">
        <v>581</v>
      </c>
      <c r="F181" t="s">
        <v>6555</v>
      </c>
      <c r="G181" t="s">
        <v>6556</v>
      </c>
      <c r="H181" t="s">
        <v>6557</v>
      </c>
      <c r="I181" t="s">
        <v>6342</v>
      </c>
      <c r="J181" t="s">
        <v>6498</v>
      </c>
      <c r="K181" t="s">
        <v>6499</v>
      </c>
      <c r="L181" t="s">
        <v>6500</v>
      </c>
    </row>
    <row r="182" spans="1:13" x14ac:dyDescent="0.25">
      <c r="A182" t="s">
        <v>5766</v>
      </c>
      <c r="B182" t="s">
        <v>547</v>
      </c>
      <c r="C182" s="1" t="s">
        <v>171</v>
      </c>
      <c r="D182" s="1" t="s">
        <v>5921</v>
      </c>
      <c r="E182" t="s">
        <v>172</v>
      </c>
      <c r="F182" t="s">
        <v>6146</v>
      </c>
      <c r="G182" t="s">
        <v>5923</v>
      </c>
      <c r="H182" t="s">
        <v>6558</v>
      </c>
      <c r="I182" t="s">
        <v>6559</v>
      </c>
      <c r="J182" t="s">
        <v>6498</v>
      </c>
      <c r="K182" t="s">
        <v>6499</v>
      </c>
      <c r="L182" t="s">
        <v>6500</v>
      </c>
    </row>
    <row r="183" spans="1:13" x14ac:dyDescent="0.25">
      <c r="A183" t="s">
        <v>5766</v>
      </c>
      <c r="B183" t="s">
        <v>547</v>
      </c>
      <c r="C183" s="1" t="s">
        <v>183</v>
      </c>
      <c r="D183" s="1" t="s">
        <v>5939</v>
      </c>
      <c r="E183" t="s">
        <v>184</v>
      </c>
      <c r="F183" t="s">
        <v>6519</v>
      </c>
      <c r="G183" t="s">
        <v>5941</v>
      </c>
      <c r="H183" t="s">
        <v>6560</v>
      </c>
      <c r="I183" t="s">
        <v>6561</v>
      </c>
      <c r="J183" t="s">
        <v>6498</v>
      </c>
      <c r="K183" t="s">
        <v>6499</v>
      </c>
      <c r="L183" t="s">
        <v>6500</v>
      </c>
    </row>
    <row r="184" spans="1:13" x14ac:dyDescent="0.25">
      <c r="A184" t="s">
        <v>5766</v>
      </c>
      <c r="B184" t="s">
        <v>547</v>
      </c>
      <c r="C184" s="1" t="s">
        <v>583</v>
      </c>
      <c r="D184" s="1" t="s">
        <v>6562</v>
      </c>
      <c r="E184" t="s">
        <v>584</v>
      </c>
      <c r="F184" t="s">
        <v>6563</v>
      </c>
      <c r="G184" t="s">
        <v>6564</v>
      </c>
      <c r="H184" t="s">
        <v>6565</v>
      </c>
      <c r="I184" t="s">
        <v>6566</v>
      </c>
      <c r="J184" t="s">
        <v>6498</v>
      </c>
      <c r="K184" t="s">
        <v>6499</v>
      </c>
      <c r="L184" t="s">
        <v>6500</v>
      </c>
    </row>
    <row r="185" spans="1:13" x14ac:dyDescent="0.25">
      <c r="A185" t="s">
        <v>5766</v>
      </c>
      <c r="B185" t="s">
        <v>547</v>
      </c>
      <c r="C185" s="1" t="s">
        <v>586</v>
      </c>
      <c r="D185" s="1" t="s">
        <v>6567</v>
      </c>
      <c r="E185" t="s">
        <v>587</v>
      </c>
      <c r="F185" t="s">
        <v>6568</v>
      </c>
      <c r="G185" t="s">
        <v>6569</v>
      </c>
      <c r="H185" t="s">
        <v>6570</v>
      </c>
      <c r="I185" t="s">
        <v>6571</v>
      </c>
      <c r="J185" t="s">
        <v>6498</v>
      </c>
      <c r="K185" t="s">
        <v>6499</v>
      </c>
      <c r="L185" t="s">
        <v>6500</v>
      </c>
    </row>
    <row r="186" spans="1:13" x14ac:dyDescent="0.25">
      <c r="A186" t="s">
        <v>5766</v>
      </c>
      <c r="B186" t="s">
        <v>547</v>
      </c>
      <c r="C186" s="1" t="s">
        <v>589</v>
      </c>
      <c r="D186" s="1" t="s">
        <v>6572</v>
      </c>
      <c r="E186" t="s">
        <v>590</v>
      </c>
      <c r="F186" t="s">
        <v>6573</v>
      </c>
      <c r="G186" t="s">
        <v>6574</v>
      </c>
      <c r="H186" t="s">
        <v>6575</v>
      </c>
      <c r="I186" t="s">
        <v>6559</v>
      </c>
      <c r="J186" t="s">
        <v>6498</v>
      </c>
      <c r="K186" t="s">
        <v>6499</v>
      </c>
      <c r="L186" t="s">
        <v>6500</v>
      </c>
    </row>
    <row r="187" spans="1:13" x14ac:dyDescent="0.25">
      <c r="A187" t="s">
        <v>5766</v>
      </c>
      <c r="B187" t="s">
        <v>547</v>
      </c>
      <c r="C187" s="1" t="s">
        <v>190</v>
      </c>
      <c r="D187" s="1" t="s">
        <v>5948</v>
      </c>
      <c r="E187" t="s">
        <v>191</v>
      </c>
      <c r="F187" t="s">
        <v>6576</v>
      </c>
      <c r="G187" t="s">
        <v>5950</v>
      </c>
      <c r="H187" t="s">
        <v>6577</v>
      </c>
      <c r="I187" t="s">
        <v>6578</v>
      </c>
      <c r="J187" t="s">
        <v>6498</v>
      </c>
      <c r="K187" t="s">
        <v>6499</v>
      </c>
      <c r="L187" t="s">
        <v>6500</v>
      </c>
    </row>
    <row r="188" spans="1:13" x14ac:dyDescent="0.25">
      <c r="A188" t="s">
        <v>5766</v>
      </c>
      <c r="B188" t="s">
        <v>547</v>
      </c>
      <c r="C188" s="1" t="s">
        <v>592</v>
      </c>
      <c r="D188" s="1" t="s">
        <v>6579</v>
      </c>
      <c r="E188" t="s">
        <v>593</v>
      </c>
      <c r="F188" t="s">
        <v>6580</v>
      </c>
      <c r="G188" t="s">
        <v>6581</v>
      </c>
      <c r="H188" t="s">
        <v>6582</v>
      </c>
      <c r="I188" t="s">
        <v>6583</v>
      </c>
      <c r="J188" t="s">
        <v>6498</v>
      </c>
      <c r="K188" t="s">
        <v>6499</v>
      </c>
      <c r="L188" t="s">
        <v>6500</v>
      </c>
    </row>
    <row r="189" spans="1:13" x14ac:dyDescent="0.25">
      <c r="A189" t="s">
        <v>5766</v>
      </c>
      <c r="B189" t="s">
        <v>547</v>
      </c>
      <c r="C189" s="1" t="s">
        <v>595</v>
      </c>
      <c r="D189" s="1" t="s">
        <v>6584</v>
      </c>
      <c r="E189" t="s">
        <v>596</v>
      </c>
      <c r="F189" t="s">
        <v>6585</v>
      </c>
      <c r="G189" t="s">
        <v>6586</v>
      </c>
      <c r="H189" t="s">
        <v>6587</v>
      </c>
      <c r="I189" t="s">
        <v>6588</v>
      </c>
      <c r="J189" t="s">
        <v>6498</v>
      </c>
      <c r="K189" t="s">
        <v>6499</v>
      </c>
      <c r="L189" t="s">
        <v>6500</v>
      </c>
    </row>
    <row r="190" spans="1:13" x14ac:dyDescent="0.25">
      <c r="A190" t="s">
        <v>5766</v>
      </c>
      <c r="B190" t="s">
        <v>547</v>
      </c>
      <c r="C190" s="1" t="s">
        <v>598</v>
      </c>
      <c r="D190" s="1" t="s">
        <v>6589</v>
      </c>
      <c r="E190" t="s">
        <v>599</v>
      </c>
      <c r="F190" t="s">
        <v>6000</v>
      </c>
      <c r="G190" t="s">
        <v>6590</v>
      </c>
      <c r="H190" t="s">
        <v>6591</v>
      </c>
      <c r="I190" t="s">
        <v>6592</v>
      </c>
      <c r="J190" t="s">
        <v>6498</v>
      </c>
      <c r="K190" t="s">
        <v>6499</v>
      </c>
      <c r="L190" t="s">
        <v>6500</v>
      </c>
    </row>
    <row r="191" spans="1:13" x14ac:dyDescent="0.25">
      <c r="A191" t="s">
        <v>5766</v>
      </c>
      <c r="B191" t="s">
        <v>547</v>
      </c>
      <c r="C191" s="1" t="s">
        <v>202</v>
      </c>
      <c r="D191" s="1" t="s">
        <v>5966</v>
      </c>
      <c r="E191" t="s">
        <v>203</v>
      </c>
      <c r="F191" t="s">
        <v>6593</v>
      </c>
      <c r="G191" t="s">
        <v>5967</v>
      </c>
      <c r="H191" t="s">
        <v>6594</v>
      </c>
      <c r="I191" t="s">
        <v>6595</v>
      </c>
      <c r="J191" t="s">
        <v>6498</v>
      </c>
      <c r="K191" t="s">
        <v>6499</v>
      </c>
      <c r="L191" t="s">
        <v>6500</v>
      </c>
    </row>
    <row r="192" spans="1:13" x14ac:dyDescent="0.25">
      <c r="A192" t="s">
        <v>5766</v>
      </c>
      <c r="B192" t="s">
        <v>547</v>
      </c>
      <c r="C192" s="1" t="s">
        <v>601</v>
      </c>
      <c r="D192" s="1" t="s">
        <v>6596</v>
      </c>
      <c r="E192" t="s">
        <v>602</v>
      </c>
      <c r="F192" t="s">
        <v>6597</v>
      </c>
      <c r="G192" t="s">
        <v>6598</v>
      </c>
      <c r="H192" t="s">
        <v>6599</v>
      </c>
      <c r="I192" t="s">
        <v>6600</v>
      </c>
      <c r="J192" t="s">
        <v>6498</v>
      </c>
      <c r="K192" t="s">
        <v>6499</v>
      </c>
      <c r="L192" t="s">
        <v>6500</v>
      </c>
    </row>
    <row r="193" spans="1:13" x14ac:dyDescent="0.25">
      <c r="A193" t="s">
        <v>5766</v>
      </c>
      <c r="B193" t="s">
        <v>547</v>
      </c>
      <c r="C193" s="1" t="s">
        <v>604</v>
      </c>
      <c r="D193" s="1" t="s">
        <v>6601</v>
      </c>
      <c r="E193" t="s">
        <v>605</v>
      </c>
      <c r="F193" t="s">
        <v>6550</v>
      </c>
      <c r="G193" t="s">
        <v>6602</v>
      </c>
      <c r="H193" t="s">
        <v>6603</v>
      </c>
      <c r="I193" t="s">
        <v>6604</v>
      </c>
      <c r="J193" t="s">
        <v>6498</v>
      </c>
      <c r="K193" t="s">
        <v>6499</v>
      </c>
      <c r="L193" t="s">
        <v>6500</v>
      </c>
    </row>
    <row r="194" spans="1:13" x14ac:dyDescent="0.25">
      <c r="A194" t="s">
        <v>5766</v>
      </c>
      <c r="B194" t="s">
        <v>547</v>
      </c>
      <c r="C194" s="1" t="s">
        <v>52</v>
      </c>
      <c r="D194" s="1" t="s">
        <v>52</v>
      </c>
      <c r="E194" t="s">
        <v>5767</v>
      </c>
      <c r="F194" t="s">
        <v>6605</v>
      </c>
      <c r="G194" t="s">
        <v>5769</v>
      </c>
      <c r="H194" t="s">
        <v>6606</v>
      </c>
      <c r="I194" t="s">
        <v>6396</v>
      </c>
      <c r="J194" t="s">
        <v>6498</v>
      </c>
      <c r="K194" t="s">
        <v>6499</v>
      </c>
      <c r="L194" t="s">
        <v>6500</v>
      </c>
      <c r="M194" t="s">
        <v>65</v>
      </c>
    </row>
    <row r="195" spans="1:13" x14ac:dyDescent="0.25">
      <c r="A195" t="s">
        <v>5766</v>
      </c>
      <c r="B195" t="s">
        <v>606</v>
      </c>
      <c r="C195" s="1" t="s">
        <v>78</v>
      </c>
      <c r="D195" s="1" t="s">
        <v>5780</v>
      </c>
      <c r="E195" t="s">
        <v>5781</v>
      </c>
      <c r="F195" t="s">
        <v>6607</v>
      </c>
      <c r="G195" t="s">
        <v>5783</v>
      </c>
      <c r="H195" t="s">
        <v>6608</v>
      </c>
      <c r="I195" t="s">
        <v>6609</v>
      </c>
      <c r="J195" t="s">
        <v>6610</v>
      </c>
      <c r="K195" t="s">
        <v>5778</v>
      </c>
      <c r="L195" t="s">
        <v>5779</v>
      </c>
      <c r="M195" t="s">
        <v>65</v>
      </c>
    </row>
    <row r="196" spans="1:13" x14ac:dyDescent="0.25">
      <c r="A196" t="s">
        <v>5766</v>
      </c>
      <c r="B196" t="s">
        <v>606</v>
      </c>
      <c r="C196" s="1" t="s">
        <v>608</v>
      </c>
      <c r="D196" s="1" t="s">
        <v>608</v>
      </c>
      <c r="E196" t="s">
        <v>609</v>
      </c>
      <c r="F196" t="s">
        <v>6611</v>
      </c>
      <c r="G196" t="s">
        <v>6612</v>
      </c>
      <c r="H196" t="s">
        <v>610</v>
      </c>
      <c r="I196" t="s">
        <v>6613</v>
      </c>
      <c r="J196" t="s">
        <v>6610</v>
      </c>
      <c r="K196" t="s">
        <v>5778</v>
      </c>
      <c r="L196" t="s">
        <v>5779</v>
      </c>
    </row>
    <row r="197" spans="1:13" x14ac:dyDescent="0.25">
      <c r="A197" t="s">
        <v>5766</v>
      </c>
      <c r="B197" t="s">
        <v>606</v>
      </c>
      <c r="C197" s="1" t="s">
        <v>52</v>
      </c>
      <c r="D197" s="1" t="s">
        <v>52</v>
      </c>
      <c r="E197" t="s">
        <v>5767</v>
      </c>
      <c r="F197" t="s">
        <v>6614</v>
      </c>
      <c r="G197" t="s">
        <v>5769</v>
      </c>
      <c r="H197" t="s">
        <v>6615</v>
      </c>
      <c r="I197" t="s">
        <v>6616</v>
      </c>
      <c r="J197" t="s">
        <v>6610</v>
      </c>
      <c r="K197" t="s">
        <v>5778</v>
      </c>
      <c r="L197" t="s">
        <v>5779</v>
      </c>
      <c r="M197" t="s">
        <v>65</v>
      </c>
    </row>
    <row r="198" spans="1:13" x14ac:dyDescent="0.25">
      <c r="A198" t="s">
        <v>5766</v>
      </c>
      <c r="B198" t="s">
        <v>614</v>
      </c>
      <c r="C198" s="1" t="s">
        <v>616</v>
      </c>
      <c r="D198" s="1" t="s">
        <v>616</v>
      </c>
      <c r="E198" t="s">
        <v>617</v>
      </c>
      <c r="F198" t="s">
        <v>6617</v>
      </c>
      <c r="G198" t="s">
        <v>6618</v>
      </c>
      <c r="H198" t="s">
        <v>618</v>
      </c>
      <c r="I198" t="s">
        <v>6613</v>
      </c>
      <c r="J198" t="s">
        <v>6619</v>
      </c>
      <c r="K198" t="s">
        <v>5778</v>
      </c>
      <c r="L198" t="s">
        <v>5779</v>
      </c>
    </row>
    <row r="199" spans="1:13" x14ac:dyDescent="0.25">
      <c r="A199" t="s">
        <v>5766</v>
      </c>
      <c r="B199" t="s">
        <v>614</v>
      </c>
      <c r="C199" s="1" t="s">
        <v>78</v>
      </c>
      <c r="D199" s="1" t="s">
        <v>5780</v>
      </c>
      <c r="E199" t="s">
        <v>5781</v>
      </c>
      <c r="F199" t="s">
        <v>6620</v>
      </c>
      <c r="G199" t="s">
        <v>5783</v>
      </c>
      <c r="H199" t="s">
        <v>6621</v>
      </c>
      <c r="I199" t="s">
        <v>6622</v>
      </c>
      <c r="J199" t="s">
        <v>6619</v>
      </c>
      <c r="K199" t="s">
        <v>5778</v>
      </c>
      <c r="L199" t="s">
        <v>5779</v>
      </c>
      <c r="M199" t="s">
        <v>65</v>
      </c>
    </row>
    <row r="200" spans="1:13" x14ac:dyDescent="0.25">
      <c r="A200" t="s">
        <v>5766</v>
      </c>
      <c r="B200" t="s">
        <v>614</v>
      </c>
      <c r="C200" s="1" t="s">
        <v>52</v>
      </c>
      <c r="D200" s="1" t="s">
        <v>52</v>
      </c>
      <c r="E200" t="s">
        <v>5767</v>
      </c>
      <c r="F200" t="s">
        <v>6623</v>
      </c>
      <c r="G200" t="s">
        <v>5769</v>
      </c>
      <c r="H200" t="s">
        <v>6624</v>
      </c>
      <c r="I200" t="s">
        <v>6625</v>
      </c>
      <c r="J200" t="s">
        <v>6619</v>
      </c>
      <c r="K200" t="s">
        <v>5778</v>
      </c>
      <c r="L200" t="s">
        <v>5779</v>
      </c>
      <c r="M200" t="s">
        <v>65</v>
      </c>
    </row>
    <row r="201" spans="1:13" x14ac:dyDescent="0.25">
      <c r="A201" t="s">
        <v>5766</v>
      </c>
      <c r="B201" t="s">
        <v>621</v>
      </c>
      <c r="C201" s="1" t="s">
        <v>623</v>
      </c>
      <c r="D201" s="1" t="s">
        <v>623</v>
      </c>
      <c r="E201" t="s">
        <v>625</v>
      </c>
      <c r="F201" t="s">
        <v>6626</v>
      </c>
      <c r="G201" t="s">
        <v>6627</v>
      </c>
      <c r="H201" t="s">
        <v>6628</v>
      </c>
      <c r="I201" t="s">
        <v>6629</v>
      </c>
      <c r="J201" t="s">
        <v>6630</v>
      </c>
      <c r="K201" t="s">
        <v>6631</v>
      </c>
      <c r="L201" t="s">
        <v>6632</v>
      </c>
    </row>
    <row r="202" spans="1:13" x14ac:dyDescent="0.25">
      <c r="A202" t="s">
        <v>5766</v>
      </c>
      <c r="B202" t="s">
        <v>621</v>
      </c>
      <c r="C202" s="1" t="s">
        <v>629</v>
      </c>
      <c r="D202" s="1" t="s">
        <v>629</v>
      </c>
      <c r="E202" t="s">
        <v>631</v>
      </c>
      <c r="F202" t="s">
        <v>6633</v>
      </c>
      <c r="G202" t="s">
        <v>6634</v>
      </c>
      <c r="H202" t="s">
        <v>6635</v>
      </c>
      <c r="I202" t="s">
        <v>6636</v>
      </c>
      <c r="J202" t="s">
        <v>6630</v>
      </c>
      <c r="K202" t="s">
        <v>6631</v>
      </c>
      <c r="L202" t="s">
        <v>6632</v>
      </c>
    </row>
    <row r="203" spans="1:13" x14ac:dyDescent="0.25">
      <c r="A203" t="s">
        <v>5766</v>
      </c>
      <c r="B203" t="s">
        <v>621</v>
      </c>
      <c r="C203" s="1" t="s">
        <v>633</v>
      </c>
      <c r="D203" s="1" t="s">
        <v>633</v>
      </c>
      <c r="E203" t="s">
        <v>634</v>
      </c>
      <c r="F203" t="s">
        <v>6637</v>
      </c>
      <c r="G203" t="s">
        <v>6638</v>
      </c>
      <c r="H203" t="s">
        <v>6639</v>
      </c>
      <c r="I203" t="s">
        <v>6640</v>
      </c>
      <c r="J203" t="s">
        <v>6630</v>
      </c>
      <c r="K203" t="s">
        <v>6631</v>
      </c>
      <c r="L203" t="s">
        <v>6632</v>
      </c>
    </row>
    <row r="204" spans="1:13" x14ac:dyDescent="0.25">
      <c r="A204" t="s">
        <v>5766</v>
      </c>
      <c r="B204" t="s">
        <v>621</v>
      </c>
      <c r="C204" s="1" t="s">
        <v>636</v>
      </c>
      <c r="D204" s="1" t="s">
        <v>636</v>
      </c>
      <c r="E204" t="s">
        <v>638</v>
      </c>
      <c r="F204" t="s">
        <v>6641</v>
      </c>
      <c r="G204" t="s">
        <v>6642</v>
      </c>
      <c r="H204" t="s">
        <v>6643</v>
      </c>
      <c r="I204" t="s">
        <v>5836</v>
      </c>
      <c r="J204" t="s">
        <v>6630</v>
      </c>
      <c r="K204" t="s">
        <v>6631</v>
      </c>
      <c r="L204" t="s">
        <v>6632</v>
      </c>
    </row>
    <row r="205" spans="1:13" x14ac:dyDescent="0.25">
      <c r="A205" t="s">
        <v>5766</v>
      </c>
      <c r="B205" t="s">
        <v>621</v>
      </c>
      <c r="C205" s="1" t="s">
        <v>640</v>
      </c>
      <c r="D205" s="1" t="s">
        <v>640</v>
      </c>
      <c r="E205" t="s">
        <v>642</v>
      </c>
      <c r="F205" t="s">
        <v>6644</v>
      </c>
      <c r="G205" t="s">
        <v>6645</v>
      </c>
      <c r="H205" t="s">
        <v>6646</v>
      </c>
      <c r="I205" t="s">
        <v>6647</v>
      </c>
      <c r="J205" t="s">
        <v>6630</v>
      </c>
      <c r="K205" t="s">
        <v>6631</v>
      </c>
      <c r="L205" t="s">
        <v>6632</v>
      </c>
    </row>
    <row r="206" spans="1:13" x14ac:dyDescent="0.25">
      <c r="A206" t="s">
        <v>5766</v>
      </c>
      <c r="B206" t="s">
        <v>621</v>
      </c>
      <c r="C206" s="1" t="s">
        <v>644</v>
      </c>
      <c r="D206" s="1" t="s">
        <v>644</v>
      </c>
      <c r="E206" t="s">
        <v>646</v>
      </c>
      <c r="F206" t="s">
        <v>6648</v>
      </c>
      <c r="G206" t="s">
        <v>6649</v>
      </c>
      <c r="H206" t="s">
        <v>6650</v>
      </c>
      <c r="I206" t="s">
        <v>6651</v>
      </c>
      <c r="J206" t="s">
        <v>6630</v>
      </c>
      <c r="K206" t="s">
        <v>6631</v>
      </c>
      <c r="L206" t="s">
        <v>6632</v>
      </c>
    </row>
    <row r="207" spans="1:13" x14ac:dyDescent="0.25">
      <c r="A207" t="s">
        <v>5766</v>
      </c>
      <c r="B207" t="s">
        <v>621</v>
      </c>
      <c r="C207" s="1" t="s">
        <v>648</v>
      </c>
      <c r="D207" s="1" t="s">
        <v>648</v>
      </c>
      <c r="E207" t="s">
        <v>650</v>
      </c>
      <c r="F207" t="s">
        <v>6652</v>
      </c>
      <c r="G207" t="s">
        <v>6653</v>
      </c>
      <c r="H207" t="s">
        <v>6654</v>
      </c>
      <c r="I207" t="s">
        <v>6647</v>
      </c>
      <c r="J207" t="s">
        <v>6630</v>
      </c>
      <c r="K207" t="s">
        <v>6631</v>
      </c>
      <c r="L207" t="s">
        <v>6632</v>
      </c>
    </row>
    <row r="208" spans="1:13" x14ac:dyDescent="0.25">
      <c r="A208" t="s">
        <v>5766</v>
      </c>
      <c r="B208" t="s">
        <v>621</v>
      </c>
      <c r="C208" s="1" t="s">
        <v>652</v>
      </c>
      <c r="D208" s="1" t="s">
        <v>652</v>
      </c>
      <c r="E208" t="s">
        <v>654</v>
      </c>
      <c r="F208" t="s">
        <v>6655</v>
      </c>
      <c r="G208" t="s">
        <v>6656</v>
      </c>
      <c r="H208" t="s">
        <v>6657</v>
      </c>
      <c r="I208" t="s">
        <v>6651</v>
      </c>
      <c r="J208" t="s">
        <v>6630</v>
      </c>
      <c r="K208" t="s">
        <v>6631</v>
      </c>
      <c r="L208" t="s">
        <v>6632</v>
      </c>
    </row>
    <row r="209" spans="1:13" x14ac:dyDescent="0.25">
      <c r="A209" t="s">
        <v>5766</v>
      </c>
      <c r="B209" t="s">
        <v>621</v>
      </c>
      <c r="C209" s="1" t="s">
        <v>656</v>
      </c>
      <c r="D209" s="1" t="s">
        <v>656</v>
      </c>
      <c r="E209" t="s">
        <v>658</v>
      </c>
      <c r="F209" t="s">
        <v>6658</v>
      </c>
      <c r="G209" t="s">
        <v>6659</v>
      </c>
      <c r="H209" t="s">
        <v>6660</v>
      </c>
      <c r="I209" t="s">
        <v>6661</v>
      </c>
      <c r="J209" t="s">
        <v>6630</v>
      </c>
      <c r="K209" t="s">
        <v>6631</v>
      </c>
      <c r="L209" t="s">
        <v>6632</v>
      </c>
    </row>
    <row r="210" spans="1:13" x14ac:dyDescent="0.25">
      <c r="A210" t="s">
        <v>5766</v>
      </c>
      <c r="B210" t="s">
        <v>621</v>
      </c>
      <c r="C210" s="1" t="s">
        <v>660</v>
      </c>
      <c r="D210" s="1" t="s">
        <v>660</v>
      </c>
      <c r="E210" t="s">
        <v>661</v>
      </c>
      <c r="F210" t="s">
        <v>6662</v>
      </c>
      <c r="G210" t="s">
        <v>6663</v>
      </c>
      <c r="H210" t="s">
        <v>6664</v>
      </c>
      <c r="I210" t="s">
        <v>6665</v>
      </c>
      <c r="J210" t="s">
        <v>6630</v>
      </c>
      <c r="K210" t="s">
        <v>6631</v>
      </c>
      <c r="L210" t="s">
        <v>6632</v>
      </c>
    </row>
    <row r="211" spans="1:13" x14ac:dyDescent="0.25">
      <c r="A211" t="s">
        <v>5766</v>
      </c>
      <c r="B211" t="s">
        <v>621</v>
      </c>
      <c r="C211" s="1" t="s">
        <v>663</v>
      </c>
      <c r="D211" s="1" t="s">
        <v>663</v>
      </c>
      <c r="E211" t="s">
        <v>664</v>
      </c>
      <c r="F211" t="s">
        <v>6666</v>
      </c>
      <c r="G211" t="s">
        <v>6667</v>
      </c>
      <c r="H211" t="s">
        <v>6668</v>
      </c>
      <c r="I211" t="s">
        <v>6665</v>
      </c>
      <c r="J211" t="s">
        <v>6630</v>
      </c>
      <c r="K211" t="s">
        <v>6631</v>
      </c>
      <c r="L211" t="s">
        <v>6632</v>
      </c>
    </row>
    <row r="212" spans="1:13" x14ac:dyDescent="0.25">
      <c r="A212" t="s">
        <v>5766</v>
      </c>
      <c r="B212" t="s">
        <v>621</v>
      </c>
      <c r="C212" s="1" t="s">
        <v>666</v>
      </c>
      <c r="D212" s="1" t="s">
        <v>666</v>
      </c>
      <c r="E212" t="s">
        <v>667</v>
      </c>
      <c r="F212" t="s">
        <v>6666</v>
      </c>
      <c r="G212" t="s">
        <v>6669</v>
      </c>
      <c r="H212" t="s">
        <v>6670</v>
      </c>
      <c r="I212" t="s">
        <v>6665</v>
      </c>
      <c r="J212" t="s">
        <v>6630</v>
      </c>
      <c r="K212" t="s">
        <v>6631</v>
      </c>
      <c r="L212" t="s">
        <v>6632</v>
      </c>
    </row>
    <row r="213" spans="1:13" x14ac:dyDescent="0.25">
      <c r="A213" t="s">
        <v>5766</v>
      </c>
      <c r="B213" t="s">
        <v>621</v>
      </c>
      <c r="C213" s="1" t="s">
        <v>669</v>
      </c>
      <c r="D213" s="1" t="s">
        <v>669</v>
      </c>
      <c r="E213" t="s">
        <v>670</v>
      </c>
      <c r="F213" t="s">
        <v>6671</v>
      </c>
      <c r="G213" t="s">
        <v>6672</v>
      </c>
      <c r="H213" t="s">
        <v>6673</v>
      </c>
      <c r="I213" t="s">
        <v>6665</v>
      </c>
      <c r="J213" t="s">
        <v>6630</v>
      </c>
      <c r="K213" t="s">
        <v>6631</v>
      </c>
      <c r="L213" t="s">
        <v>6632</v>
      </c>
    </row>
    <row r="214" spans="1:13" x14ac:dyDescent="0.25">
      <c r="A214" t="s">
        <v>5766</v>
      </c>
      <c r="B214" t="s">
        <v>621</v>
      </c>
      <c r="C214" s="1" t="s">
        <v>672</v>
      </c>
      <c r="D214" s="1" t="s">
        <v>672</v>
      </c>
      <c r="E214" t="s">
        <v>673</v>
      </c>
      <c r="F214" t="s">
        <v>6671</v>
      </c>
      <c r="G214" t="s">
        <v>6674</v>
      </c>
      <c r="H214" t="s">
        <v>6675</v>
      </c>
      <c r="I214" t="s">
        <v>6665</v>
      </c>
      <c r="J214" t="s">
        <v>6630</v>
      </c>
      <c r="K214" t="s">
        <v>6631</v>
      </c>
      <c r="L214" t="s">
        <v>6632</v>
      </c>
    </row>
    <row r="215" spans="1:13" x14ac:dyDescent="0.25">
      <c r="A215" t="s">
        <v>5766</v>
      </c>
      <c r="B215" t="s">
        <v>621</v>
      </c>
      <c r="C215" s="1" t="s">
        <v>675</v>
      </c>
      <c r="D215" s="1" t="s">
        <v>675</v>
      </c>
      <c r="E215" t="s">
        <v>676</v>
      </c>
      <c r="F215" t="s">
        <v>6662</v>
      </c>
      <c r="G215" t="s">
        <v>6676</v>
      </c>
      <c r="H215" t="s">
        <v>6677</v>
      </c>
      <c r="I215" t="s">
        <v>6678</v>
      </c>
      <c r="J215" t="s">
        <v>6630</v>
      </c>
      <c r="K215" t="s">
        <v>6631</v>
      </c>
      <c r="L215" t="s">
        <v>6632</v>
      </c>
    </row>
    <row r="216" spans="1:13" x14ac:dyDescent="0.25">
      <c r="A216" t="s">
        <v>5766</v>
      </c>
      <c r="B216" t="s">
        <v>621</v>
      </c>
      <c r="C216" s="1" t="s">
        <v>678</v>
      </c>
      <c r="D216" s="1" t="s">
        <v>678</v>
      </c>
      <c r="E216" t="s">
        <v>679</v>
      </c>
      <c r="F216" t="s">
        <v>6679</v>
      </c>
      <c r="G216" t="s">
        <v>6680</v>
      </c>
      <c r="H216" t="s">
        <v>6681</v>
      </c>
      <c r="I216" t="s">
        <v>6682</v>
      </c>
      <c r="J216" t="s">
        <v>6630</v>
      </c>
      <c r="K216" t="s">
        <v>6631</v>
      </c>
      <c r="L216" t="s">
        <v>6632</v>
      </c>
    </row>
    <row r="217" spans="1:13" x14ac:dyDescent="0.25">
      <c r="A217" t="s">
        <v>5766</v>
      </c>
      <c r="B217" t="s">
        <v>621</v>
      </c>
      <c r="C217" s="1" t="s">
        <v>681</v>
      </c>
      <c r="D217" s="1" t="s">
        <v>681</v>
      </c>
      <c r="E217" t="s">
        <v>682</v>
      </c>
      <c r="F217" t="s">
        <v>6683</v>
      </c>
      <c r="G217" t="s">
        <v>6684</v>
      </c>
      <c r="H217" t="s">
        <v>6685</v>
      </c>
      <c r="I217" t="s">
        <v>6686</v>
      </c>
      <c r="J217" t="s">
        <v>6630</v>
      </c>
      <c r="K217" t="s">
        <v>6631</v>
      </c>
      <c r="L217" t="s">
        <v>6632</v>
      </c>
    </row>
    <row r="218" spans="1:13" x14ac:dyDescent="0.25">
      <c r="A218" t="s">
        <v>5766</v>
      </c>
      <c r="B218" t="s">
        <v>621</v>
      </c>
      <c r="C218" s="1" t="s">
        <v>684</v>
      </c>
      <c r="D218" s="1" t="s">
        <v>684</v>
      </c>
      <c r="E218" t="s">
        <v>686</v>
      </c>
      <c r="F218" t="s">
        <v>6687</v>
      </c>
      <c r="G218" t="s">
        <v>6688</v>
      </c>
      <c r="H218" t="s">
        <v>6689</v>
      </c>
      <c r="I218" t="s">
        <v>6690</v>
      </c>
      <c r="J218" t="s">
        <v>6630</v>
      </c>
      <c r="K218" t="s">
        <v>6631</v>
      </c>
      <c r="L218" t="s">
        <v>6632</v>
      </c>
    </row>
    <row r="219" spans="1:13" x14ac:dyDescent="0.25">
      <c r="A219" t="s">
        <v>5766</v>
      </c>
      <c r="B219" t="s">
        <v>621</v>
      </c>
      <c r="C219" s="1" t="s">
        <v>688</v>
      </c>
      <c r="D219" s="1" t="s">
        <v>688</v>
      </c>
      <c r="E219" t="s">
        <v>689</v>
      </c>
      <c r="F219" t="s">
        <v>6671</v>
      </c>
      <c r="G219" t="s">
        <v>6691</v>
      </c>
      <c r="H219" t="s">
        <v>6692</v>
      </c>
      <c r="I219" t="s">
        <v>6678</v>
      </c>
      <c r="J219" t="s">
        <v>6630</v>
      </c>
      <c r="K219" t="s">
        <v>6631</v>
      </c>
      <c r="L219" t="s">
        <v>6632</v>
      </c>
    </row>
    <row r="220" spans="1:13" x14ac:dyDescent="0.25">
      <c r="A220" t="s">
        <v>5766</v>
      </c>
      <c r="B220" t="s">
        <v>621</v>
      </c>
      <c r="C220" s="1" t="s">
        <v>691</v>
      </c>
      <c r="D220" s="1" t="s">
        <v>691</v>
      </c>
      <c r="E220" t="s">
        <v>692</v>
      </c>
      <c r="F220" t="s">
        <v>6666</v>
      </c>
      <c r="G220" t="s">
        <v>6693</v>
      </c>
      <c r="H220" t="s">
        <v>6694</v>
      </c>
      <c r="I220" t="s">
        <v>6695</v>
      </c>
      <c r="J220" t="s">
        <v>6630</v>
      </c>
      <c r="K220" t="s">
        <v>6631</v>
      </c>
      <c r="L220" t="s">
        <v>6632</v>
      </c>
    </row>
    <row r="221" spans="1:13" x14ac:dyDescent="0.25">
      <c r="A221" t="s">
        <v>5766</v>
      </c>
      <c r="B221" t="s">
        <v>621</v>
      </c>
      <c r="C221" s="1" t="s">
        <v>694</v>
      </c>
      <c r="D221" s="1" t="s">
        <v>694</v>
      </c>
      <c r="E221" t="s">
        <v>695</v>
      </c>
      <c r="F221" t="s">
        <v>6696</v>
      </c>
      <c r="G221" t="s">
        <v>6697</v>
      </c>
      <c r="H221" t="s">
        <v>6698</v>
      </c>
      <c r="I221" t="s">
        <v>6699</v>
      </c>
      <c r="J221" t="s">
        <v>6630</v>
      </c>
      <c r="K221" t="s">
        <v>6631</v>
      </c>
      <c r="L221" t="s">
        <v>6632</v>
      </c>
    </row>
    <row r="222" spans="1:13" x14ac:dyDescent="0.25">
      <c r="A222" t="s">
        <v>5766</v>
      </c>
      <c r="B222" t="s">
        <v>621</v>
      </c>
      <c r="C222" s="1" t="s">
        <v>697</v>
      </c>
      <c r="D222" s="1" t="s">
        <v>697</v>
      </c>
      <c r="E222" t="s">
        <v>698</v>
      </c>
      <c r="F222" t="s">
        <v>6700</v>
      </c>
      <c r="G222" t="s">
        <v>6701</v>
      </c>
      <c r="H222" t="s">
        <v>6702</v>
      </c>
      <c r="I222" t="s">
        <v>6703</v>
      </c>
      <c r="J222" t="s">
        <v>6630</v>
      </c>
      <c r="K222" t="s">
        <v>6631</v>
      </c>
      <c r="L222" t="s">
        <v>6632</v>
      </c>
    </row>
    <row r="223" spans="1:13" x14ac:dyDescent="0.25">
      <c r="A223" t="s">
        <v>5766</v>
      </c>
      <c r="B223" t="s">
        <v>621</v>
      </c>
      <c r="C223" s="1" t="s">
        <v>700</v>
      </c>
      <c r="D223" s="1" t="s">
        <v>700</v>
      </c>
      <c r="E223" t="s">
        <v>701</v>
      </c>
      <c r="F223" t="s">
        <v>6700</v>
      </c>
      <c r="G223" t="s">
        <v>6704</v>
      </c>
      <c r="H223" t="s">
        <v>6705</v>
      </c>
      <c r="I223" t="s">
        <v>6703</v>
      </c>
      <c r="J223" t="s">
        <v>6630</v>
      </c>
      <c r="K223" t="s">
        <v>6631</v>
      </c>
      <c r="L223" t="s">
        <v>6632</v>
      </c>
    </row>
    <row r="224" spans="1:13" x14ac:dyDescent="0.25">
      <c r="A224" t="s">
        <v>5766</v>
      </c>
      <c r="B224" t="s">
        <v>621</v>
      </c>
      <c r="C224" s="1" t="s">
        <v>78</v>
      </c>
      <c r="D224" s="1" t="s">
        <v>5780</v>
      </c>
      <c r="E224" t="s">
        <v>5781</v>
      </c>
      <c r="F224" t="s">
        <v>6706</v>
      </c>
      <c r="G224" t="s">
        <v>5783</v>
      </c>
      <c r="H224" t="s">
        <v>6707</v>
      </c>
      <c r="I224" t="s">
        <v>5991</v>
      </c>
      <c r="J224" t="s">
        <v>6630</v>
      </c>
      <c r="K224" t="s">
        <v>6631</v>
      </c>
      <c r="L224" t="s">
        <v>6632</v>
      </c>
      <c r="M224" t="s">
        <v>65</v>
      </c>
    </row>
    <row r="225" spans="1:13" x14ac:dyDescent="0.25">
      <c r="A225" t="s">
        <v>5766</v>
      </c>
      <c r="B225" t="s">
        <v>621</v>
      </c>
      <c r="C225" s="1" t="s">
        <v>52</v>
      </c>
      <c r="D225" s="1" t="s">
        <v>52</v>
      </c>
      <c r="E225" t="s">
        <v>5767</v>
      </c>
      <c r="F225" t="s">
        <v>6708</v>
      </c>
      <c r="G225" t="s">
        <v>5769</v>
      </c>
      <c r="H225" t="s">
        <v>6709</v>
      </c>
      <c r="I225" t="s">
        <v>6710</v>
      </c>
      <c r="J225" t="s">
        <v>6630</v>
      </c>
      <c r="K225" t="s">
        <v>6631</v>
      </c>
      <c r="L225" t="s">
        <v>6632</v>
      </c>
      <c r="M225" t="s">
        <v>65</v>
      </c>
    </row>
    <row r="226" spans="1:13" x14ac:dyDescent="0.25">
      <c r="A226" t="s">
        <v>5766</v>
      </c>
      <c r="B226" t="s">
        <v>702</v>
      </c>
      <c r="C226" s="1" t="s">
        <v>549</v>
      </c>
      <c r="D226" s="1" t="s">
        <v>6493</v>
      </c>
      <c r="E226" t="s">
        <v>550</v>
      </c>
      <c r="F226" t="s">
        <v>6711</v>
      </c>
      <c r="G226" t="s">
        <v>6495</v>
      </c>
      <c r="H226" t="s">
        <v>6712</v>
      </c>
      <c r="I226" t="s">
        <v>6713</v>
      </c>
      <c r="J226" t="s">
        <v>6714</v>
      </c>
      <c r="K226" t="s">
        <v>6715</v>
      </c>
      <c r="L226" t="s">
        <v>6716</v>
      </c>
    </row>
    <row r="227" spans="1:13" x14ac:dyDescent="0.25">
      <c r="A227" t="s">
        <v>5766</v>
      </c>
      <c r="B227" t="s">
        <v>702</v>
      </c>
      <c r="C227" s="1" t="s">
        <v>704</v>
      </c>
      <c r="D227" s="1" t="s">
        <v>6717</v>
      </c>
      <c r="E227" t="s">
        <v>705</v>
      </c>
      <c r="F227" t="s">
        <v>6718</v>
      </c>
      <c r="G227" t="s">
        <v>6719</v>
      </c>
      <c r="H227" t="s">
        <v>6720</v>
      </c>
      <c r="I227" t="s">
        <v>6721</v>
      </c>
      <c r="J227" t="s">
        <v>6714</v>
      </c>
      <c r="K227" t="s">
        <v>6715</v>
      </c>
      <c r="L227" t="s">
        <v>6716</v>
      </c>
    </row>
    <row r="228" spans="1:13" x14ac:dyDescent="0.25">
      <c r="A228" t="s">
        <v>5766</v>
      </c>
      <c r="B228" t="s">
        <v>702</v>
      </c>
      <c r="C228" s="1" t="s">
        <v>707</v>
      </c>
      <c r="D228" s="1" t="s">
        <v>2648</v>
      </c>
      <c r="E228" t="s">
        <v>708</v>
      </c>
      <c r="F228" t="s">
        <v>6722</v>
      </c>
      <c r="G228" t="s">
        <v>6723</v>
      </c>
      <c r="H228" t="s">
        <v>6724</v>
      </c>
      <c r="I228" t="s">
        <v>6725</v>
      </c>
      <c r="J228" t="s">
        <v>6714</v>
      </c>
      <c r="K228" t="s">
        <v>6715</v>
      </c>
      <c r="L228" t="s">
        <v>6716</v>
      </c>
    </row>
    <row r="229" spans="1:13" x14ac:dyDescent="0.25">
      <c r="A229" t="s">
        <v>5766</v>
      </c>
      <c r="B229" t="s">
        <v>702</v>
      </c>
      <c r="C229" s="1" t="s">
        <v>710</v>
      </c>
      <c r="D229" s="1" t="s">
        <v>6726</v>
      </c>
      <c r="E229" t="s">
        <v>711</v>
      </c>
      <c r="F229" t="s">
        <v>6727</v>
      </c>
      <c r="G229" t="s">
        <v>6728</v>
      </c>
      <c r="H229" t="s">
        <v>6729</v>
      </c>
      <c r="I229" t="s">
        <v>6730</v>
      </c>
      <c r="J229" t="s">
        <v>6714</v>
      </c>
      <c r="K229" t="s">
        <v>6715</v>
      </c>
      <c r="L229" t="s">
        <v>6716</v>
      </c>
    </row>
    <row r="230" spans="1:13" x14ac:dyDescent="0.25">
      <c r="A230" t="s">
        <v>5766</v>
      </c>
      <c r="B230" t="s">
        <v>702</v>
      </c>
      <c r="C230" s="1" t="s">
        <v>558</v>
      </c>
      <c r="D230" s="1" t="s">
        <v>6510</v>
      </c>
      <c r="E230" t="s">
        <v>559</v>
      </c>
      <c r="F230" t="s">
        <v>6731</v>
      </c>
      <c r="G230" t="s">
        <v>6512</v>
      </c>
      <c r="H230" t="s">
        <v>6732</v>
      </c>
      <c r="I230" t="s">
        <v>6733</v>
      </c>
      <c r="J230" t="s">
        <v>6714</v>
      </c>
      <c r="K230" t="s">
        <v>6715</v>
      </c>
      <c r="L230" t="s">
        <v>6716</v>
      </c>
    </row>
    <row r="231" spans="1:13" x14ac:dyDescent="0.25">
      <c r="A231" t="s">
        <v>5766</v>
      </c>
      <c r="B231" t="s">
        <v>702</v>
      </c>
      <c r="C231" s="1" t="s">
        <v>713</v>
      </c>
      <c r="D231" s="1" t="s">
        <v>6734</v>
      </c>
      <c r="E231" t="s">
        <v>714</v>
      </c>
      <c r="F231" t="s">
        <v>6735</v>
      </c>
      <c r="G231" t="s">
        <v>6736</v>
      </c>
      <c r="H231" t="s">
        <v>6737</v>
      </c>
      <c r="I231" t="s">
        <v>6738</v>
      </c>
      <c r="J231" t="s">
        <v>6714</v>
      </c>
      <c r="K231" t="s">
        <v>6715</v>
      </c>
      <c r="L231" t="s">
        <v>6716</v>
      </c>
    </row>
    <row r="232" spans="1:13" x14ac:dyDescent="0.25">
      <c r="A232" t="s">
        <v>5766</v>
      </c>
      <c r="B232" t="s">
        <v>702</v>
      </c>
      <c r="C232" s="1" t="s">
        <v>716</v>
      </c>
      <c r="D232" s="1" t="s">
        <v>6739</v>
      </c>
      <c r="E232" t="s">
        <v>717</v>
      </c>
      <c r="F232" t="s">
        <v>6740</v>
      </c>
      <c r="G232" t="s">
        <v>6741</v>
      </c>
      <c r="H232" t="s">
        <v>6742</v>
      </c>
      <c r="I232" t="s">
        <v>6743</v>
      </c>
      <c r="J232" t="s">
        <v>6714</v>
      </c>
      <c r="K232" t="s">
        <v>6715</v>
      </c>
      <c r="L232" t="s">
        <v>6716</v>
      </c>
    </row>
    <row r="233" spans="1:13" x14ac:dyDescent="0.25">
      <c r="A233" t="s">
        <v>5766</v>
      </c>
      <c r="B233" t="s">
        <v>702</v>
      </c>
      <c r="C233" s="1" t="s">
        <v>59</v>
      </c>
      <c r="D233" s="1" t="s">
        <v>6744</v>
      </c>
      <c r="E233" t="s">
        <v>719</v>
      </c>
      <c r="F233" t="s">
        <v>6735</v>
      </c>
      <c r="G233" t="s">
        <v>6745</v>
      </c>
      <c r="H233" t="s">
        <v>6746</v>
      </c>
      <c r="I233" t="s">
        <v>6747</v>
      </c>
      <c r="J233" t="s">
        <v>6714</v>
      </c>
      <c r="K233" t="s">
        <v>6715</v>
      </c>
      <c r="L233" t="s">
        <v>6716</v>
      </c>
    </row>
    <row r="234" spans="1:13" x14ac:dyDescent="0.25">
      <c r="A234" t="s">
        <v>5766</v>
      </c>
      <c r="B234" t="s">
        <v>702</v>
      </c>
      <c r="C234" s="1" t="s">
        <v>78</v>
      </c>
      <c r="D234" s="1" t="s">
        <v>5780</v>
      </c>
      <c r="E234" t="s">
        <v>5781</v>
      </c>
      <c r="F234" t="s">
        <v>6748</v>
      </c>
      <c r="G234" t="s">
        <v>5783</v>
      </c>
      <c r="H234" t="s">
        <v>6749</v>
      </c>
      <c r="I234" t="s">
        <v>6094</v>
      </c>
      <c r="J234" t="s">
        <v>6714</v>
      </c>
      <c r="K234" t="s">
        <v>6715</v>
      </c>
      <c r="L234" t="s">
        <v>6716</v>
      </c>
      <c r="M234" t="s">
        <v>65</v>
      </c>
    </row>
    <row r="235" spans="1:13" x14ac:dyDescent="0.25">
      <c r="A235" t="s">
        <v>5766</v>
      </c>
      <c r="B235" t="s">
        <v>702</v>
      </c>
      <c r="C235" s="1" t="s">
        <v>721</v>
      </c>
      <c r="D235" s="1" t="s">
        <v>6750</v>
      </c>
      <c r="E235" t="s">
        <v>722</v>
      </c>
      <c r="F235" t="s">
        <v>6751</v>
      </c>
      <c r="G235" t="s">
        <v>6752</v>
      </c>
      <c r="H235" t="s">
        <v>6753</v>
      </c>
      <c r="I235" t="s">
        <v>6754</v>
      </c>
      <c r="J235" t="s">
        <v>6714</v>
      </c>
      <c r="K235" t="s">
        <v>6715</v>
      </c>
      <c r="L235" t="s">
        <v>6716</v>
      </c>
    </row>
    <row r="236" spans="1:13" x14ac:dyDescent="0.25">
      <c r="A236" t="s">
        <v>5766</v>
      </c>
      <c r="B236" t="s">
        <v>702</v>
      </c>
      <c r="C236" s="1" t="s">
        <v>284</v>
      </c>
      <c r="D236" s="1" t="s">
        <v>2641</v>
      </c>
      <c r="E236" t="s">
        <v>285</v>
      </c>
      <c r="F236" t="s">
        <v>6755</v>
      </c>
      <c r="G236" t="s">
        <v>6095</v>
      </c>
      <c r="H236" t="s">
        <v>6756</v>
      </c>
      <c r="I236" t="s">
        <v>6757</v>
      </c>
      <c r="J236" t="s">
        <v>6714</v>
      </c>
      <c r="K236" t="s">
        <v>6715</v>
      </c>
      <c r="L236" t="s">
        <v>6716</v>
      </c>
    </row>
    <row r="237" spans="1:13" x14ac:dyDescent="0.25">
      <c r="A237" t="s">
        <v>5766</v>
      </c>
      <c r="B237" t="s">
        <v>702</v>
      </c>
      <c r="C237" s="1" t="s">
        <v>299</v>
      </c>
      <c r="D237" s="1" t="s">
        <v>6117</v>
      </c>
      <c r="E237" t="s">
        <v>300</v>
      </c>
      <c r="F237" t="s">
        <v>6758</v>
      </c>
      <c r="G237" t="s">
        <v>6118</v>
      </c>
      <c r="H237" t="s">
        <v>6759</v>
      </c>
      <c r="I237" t="s">
        <v>6760</v>
      </c>
      <c r="J237" t="s">
        <v>6714</v>
      </c>
      <c r="K237" t="s">
        <v>6715</v>
      </c>
      <c r="L237" t="s">
        <v>6716</v>
      </c>
    </row>
    <row r="238" spans="1:13" x14ac:dyDescent="0.25">
      <c r="A238" t="s">
        <v>5766</v>
      </c>
      <c r="B238" t="s">
        <v>702</v>
      </c>
      <c r="C238" s="1" t="s">
        <v>724</v>
      </c>
      <c r="D238" s="1" t="s">
        <v>6761</v>
      </c>
      <c r="E238" t="s">
        <v>725</v>
      </c>
      <c r="F238" t="s">
        <v>6762</v>
      </c>
      <c r="G238" t="s">
        <v>6763</v>
      </c>
      <c r="H238" t="s">
        <v>6764</v>
      </c>
      <c r="I238" t="s">
        <v>6695</v>
      </c>
      <c r="J238" t="s">
        <v>6714</v>
      </c>
      <c r="K238" t="s">
        <v>6715</v>
      </c>
      <c r="L238" t="s">
        <v>6716</v>
      </c>
    </row>
    <row r="239" spans="1:13" x14ac:dyDescent="0.25">
      <c r="A239" t="s">
        <v>5766</v>
      </c>
      <c r="B239" t="s">
        <v>702</v>
      </c>
      <c r="C239" s="1" t="s">
        <v>727</v>
      </c>
      <c r="D239" s="1" t="s">
        <v>6765</v>
      </c>
      <c r="E239" t="s">
        <v>728</v>
      </c>
      <c r="F239" t="s">
        <v>6766</v>
      </c>
      <c r="G239" t="s">
        <v>6767</v>
      </c>
      <c r="H239" t="s">
        <v>6768</v>
      </c>
      <c r="I239" t="s">
        <v>6212</v>
      </c>
      <c r="J239" t="s">
        <v>6714</v>
      </c>
      <c r="K239" t="s">
        <v>6715</v>
      </c>
      <c r="L239" t="s">
        <v>6716</v>
      </c>
    </row>
    <row r="240" spans="1:13" x14ac:dyDescent="0.25">
      <c r="A240" t="s">
        <v>5766</v>
      </c>
      <c r="B240" t="s">
        <v>702</v>
      </c>
      <c r="C240" s="1" t="s">
        <v>730</v>
      </c>
      <c r="D240" s="1" t="s">
        <v>6769</v>
      </c>
      <c r="E240" t="s">
        <v>731</v>
      </c>
      <c r="F240" t="s">
        <v>6755</v>
      </c>
      <c r="G240" t="s">
        <v>6770</v>
      </c>
      <c r="H240" t="s">
        <v>6771</v>
      </c>
      <c r="I240" t="s">
        <v>6772</v>
      </c>
      <c r="J240" t="s">
        <v>6714</v>
      </c>
      <c r="K240" t="s">
        <v>6715</v>
      </c>
      <c r="L240" t="s">
        <v>6716</v>
      </c>
    </row>
    <row r="241" spans="1:13" x14ac:dyDescent="0.25">
      <c r="A241" t="s">
        <v>5766</v>
      </c>
      <c r="B241" t="s">
        <v>702</v>
      </c>
      <c r="C241" s="1" t="s">
        <v>323</v>
      </c>
      <c r="D241" s="1" t="s">
        <v>2676</v>
      </c>
      <c r="E241" t="s">
        <v>324</v>
      </c>
      <c r="F241" t="s">
        <v>6773</v>
      </c>
      <c r="G241" t="s">
        <v>6151</v>
      </c>
      <c r="H241" t="s">
        <v>6774</v>
      </c>
      <c r="I241" t="s">
        <v>6775</v>
      </c>
      <c r="J241" t="s">
        <v>6714</v>
      </c>
      <c r="K241" t="s">
        <v>6715</v>
      </c>
      <c r="L241" t="s">
        <v>6716</v>
      </c>
    </row>
    <row r="242" spans="1:13" x14ac:dyDescent="0.25">
      <c r="A242" t="s">
        <v>5766</v>
      </c>
      <c r="B242" t="s">
        <v>702</v>
      </c>
      <c r="C242" s="1" t="s">
        <v>733</v>
      </c>
      <c r="D242" s="1" t="s">
        <v>6776</v>
      </c>
      <c r="E242" t="s">
        <v>734</v>
      </c>
      <c r="F242" t="s">
        <v>6777</v>
      </c>
      <c r="G242" t="s">
        <v>6778</v>
      </c>
      <c r="H242" t="s">
        <v>6779</v>
      </c>
      <c r="I242" t="s">
        <v>6780</v>
      </c>
      <c r="J242" t="s">
        <v>6714</v>
      </c>
      <c r="K242" t="s">
        <v>6715</v>
      </c>
      <c r="L242" t="s">
        <v>6716</v>
      </c>
    </row>
    <row r="243" spans="1:13" x14ac:dyDescent="0.25">
      <c r="A243" t="s">
        <v>5766</v>
      </c>
      <c r="B243" t="s">
        <v>702</v>
      </c>
      <c r="C243" s="1" t="s">
        <v>736</v>
      </c>
      <c r="D243" s="1" t="s">
        <v>6781</v>
      </c>
      <c r="E243" t="s">
        <v>737</v>
      </c>
      <c r="F243" t="s">
        <v>6782</v>
      </c>
      <c r="G243" t="s">
        <v>6783</v>
      </c>
      <c r="H243" t="s">
        <v>6784</v>
      </c>
      <c r="I243" t="s">
        <v>6785</v>
      </c>
      <c r="J243" t="s">
        <v>6714</v>
      </c>
      <c r="K243" t="s">
        <v>6715</v>
      </c>
      <c r="L243" t="s">
        <v>6716</v>
      </c>
    </row>
    <row r="244" spans="1:13" x14ac:dyDescent="0.25">
      <c r="A244" t="s">
        <v>5766</v>
      </c>
      <c r="B244" t="s">
        <v>702</v>
      </c>
      <c r="C244" s="1" t="s">
        <v>739</v>
      </c>
      <c r="D244" s="1" t="s">
        <v>6786</v>
      </c>
      <c r="E244" t="s">
        <v>740</v>
      </c>
      <c r="F244" t="s">
        <v>6735</v>
      </c>
      <c r="G244" t="s">
        <v>6787</v>
      </c>
      <c r="H244" t="s">
        <v>6788</v>
      </c>
      <c r="I244" t="s">
        <v>6789</v>
      </c>
      <c r="J244" t="s">
        <v>6714</v>
      </c>
      <c r="K244" t="s">
        <v>6715</v>
      </c>
      <c r="L244" t="s">
        <v>6716</v>
      </c>
    </row>
    <row r="245" spans="1:13" x14ac:dyDescent="0.25">
      <c r="A245" t="s">
        <v>5766</v>
      </c>
      <c r="B245" t="s">
        <v>702</v>
      </c>
      <c r="C245" s="1" t="s">
        <v>742</v>
      </c>
      <c r="D245" s="1" t="s">
        <v>6790</v>
      </c>
      <c r="E245" t="s">
        <v>743</v>
      </c>
      <c r="F245" t="s">
        <v>6791</v>
      </c>
      <c r="G245" t="s">
        <v>6792</v>
      </c>
      <c r="H245" t="s">
        <v>6793</v>
      </c>
      <c r="I245" t="s">
        <v>5854</v>
      </c>
      <c r="J245" t="s">
        <v>6714</v>
      </c>
      <c r="K245" t="s">
        <v>6715</v>
      </c>
      <c r="L245" t="s">
        <v>6716</v>
      </c>
    </row>
    <row r="246" spans="1:13" x14ac:dyDescent="0.25">
      <c r="A246" t="s">
        <v>5766</v>
      </c>
      <c r="B246" t="s">
        <v>702</v>
      </c>
      <c r="C246" s="1" t="s">
        <v>745</v>
      </c>
      <c r="D246" s="1" t="s">
        <v>6794</v>
      </c>
      <c r="E246" t="s">
        <v>746</v>
      </c>
      <c r="F246" t="s">
        <v>6795</v>
      </c>
      <c r="G246" t="s">
        <v>6796</v>
      </c>
      <c r="H246" t="s">
        <v>6797</v>
      </c>
      <c r="I246" t="s">
        <v>6798</v>
      </c>
      <c r="J246" t="s">
        <v>6714</v>
      </c>
      <c r="K246" t="s">
        <v>6715</v>
      </c>
      <c r="L246" t="s">
        <v>6716</v>
      </c>
    </row>
    <row r="247" spans="1:13" x14ac:dyDescent="0.25">
      <c r="A247" t="s">
        <v>5766</v>
      </c>
      <c r="B247" t="s">
        <v>702</v>
      </c>
      <c r="C247" s="1" t="s">
        <v>748</v>
      </c>
      <c r="D247" s="1" t="s">
        <v>6799</v>
      </c>
      <c r="E247" t="s">
        <v>749</v>
      </c>
      <c r="F247" t="s">
        <v>6800</v>
      </c>
      <c r="G247" t="s">
        <v>6801</v>
      </c>
      <c r="H247" t="s">
        <v>6802</v>
      </c>
      <c r="I247" t="s">
        <v>5836</v>
      </c>
      <c r="J247" t="s">
        <v>6714</v>
      </c>
      <c r="K247" t="s">
        <v>6715</v>
      </c>
      <c r="L247" t="s">
        <v>6716</v>
      </c>
    </row>
    <row r="248" spans="1:13" x14ac:dyDescent="0.25">
      <c r="A248" t="s">
        <v>5766</v>
      </c>
      <c r="B248" t="s">
        <v>702</v>
      </c>
      <c r="C248" s="1" t="s">
        <v>751</v>
      </c>
      <c r="D248" s="1" t="s">
        <v>6803</v>
      </c>
      <c r="E248" t="s">
        <v>752</v>
      </c>
      <c r="F248" t="s">
        <v>6804</v>
      </c>
      <c r="G248" t="s">
        <v>6805</v>
      </c>
      <c r="H248" t="s">
        <v>6806</v>
      </c>
      <c r="I248" t="s">
        <v>6807</v>
      </c>
      <c r="J248" t="s">
        <v>6714</v>
      </c>
      <c r="K248" t="s">
        <v>6715</v>
      </c>
      <c r="L248" t="s">
        <v>6716</v>
      </c>
    </row>
    <row r="249" spans="1:13" x14ac:dyDescent="0.25">
      <c r="A249" t="s">
        <v>5766</v>
      </c>
      <c r="B249" t="s">
        <v>702</v>
      </c>
      <c r="C249" s="1" t="s">
        <v>754</v>
      </c>
      <c r="D249" s="1" t="s">
        <v>2683</v>
      </c>
      <c r="E249" t="s">
        <v>755</v>
      </c>
      <c r="F249" t="s">
        <v>6808</v>
      </c>
      <c r="G249" t="s">
        <v>6809</v>
      </c>
      <c r="H249" t="s">
        <v>6810</v>
      </c>
      <c r="I249" t="s">
        <v>6811</v>
      </c>
      <c r="J249" t="s">
        <v>6714</v>
      </c>
      <c r="K249" t="s">
        <v>6715</v>
      </c>
      <c r="L249" t="s">
        <v>6716</v>
      </c>
    </row>
    <row r="250" spans="1:13" x14ac:dyDescent="0.25">
      <c r="A250" t="s">
        <v>5766</v>
      </c>
      <c r="B250" t="s">
        <v>702</v>
      </c>
      <c r="C250" s="1" t="s">
        <v>757</v>
      </c>
      <c r="D250" s="1" t="s">
        <v>6812</v>
      </c>
      <c r="E250" t="s">
        <v>758</v>
      </c>
      <c r="F250" t="s">
        <v>6813</v>
      </c>
      <c r="G250" t="s">
        <v>6814</v>
      </c>
      <c r="H250" t="s">
        <v>6815</v>
      </c>
      <c r="I250" t="s">
        <v>5821</v>
      </c>
      <c r="J250" t="s">
        <v>6714</v>
      </c>
      <c r="K250" t="s">
        <v>6715</v>
      </c>
      <c r="L250" t="s">
        <v>6716</v>
      </c>
    </row>
    <row r="251" spans="1:13" x14ac:dyDescent="0.25">
      <c r="A251" t="s">
        <v>5766</v>
      </c>
      <c r="B251" t="s">
        <v>702</v>
      </c>
      <c r="C251" s="1" t="s">
        <v>52</v>
      </c>
      <c r="D251" s="1" t="s">
        <v>52</v>
      </c>
      <c r="E251" t="s">
        <v>5767</v>
      </c>
      <c r="F251" t="s">
        <v>6816</v>
      </c>
      <c r="G251" t="s">
        <v>5769</v>
      </c>
      <c r="H251" t="s">
        <v>6817</v>
      </c>
      <c r="I251" t="s">
        <v>6710</v>
      </c>
      <c r="J251" t="s">
        <v>6714</v>
      </c>
      <c r="K251" t="s">
        <v>6715</v>
      </c>
      <c r="L251" t="s">
        <v>6716</v>
      </c>
      <c r="M251" t="s">
        <v>65</v>
      </c>
    </row>
    <row r="252" spans="1:13" x14ac:dyDescent="0.25">
      <c r="A252" t="s">
        <v>5766</v>
      </c>
      <c r="B252" t="s">
        <v>759</v>
      </c>
      <c r="C252" s="1" t="s">
        <v>761</v>
      </c>
      <c r="D252" s="1" t="s">
        <v>761</v>
      </c>
      <c r="E252" t="s">
        <v>762</v>
      </c>
      <c r="F252" t="s">
        <v>6818</v>
      </c>
      <c r="G252" t="s">
        <v>6819</v>
      </c>
      <c r="H252" t="s">
        <v>763</v>
      </c>
      <c r="I252" t="s">
        <v>6820</v>
      </c>
      <c r="J252" t="s">
        <v>6821</v>
      </c>
      <c r="K252" t="s">
        <v>6822</v>
      </c>
      <c r="L252" t="s">
        <v>6823</v>
      </c>
    </row>
    <row r="253" spans="1:13" x14ac:dyDescent="0.25">
      <c r="A253" t="s">
        <v>5766</v>
      </c>
      <c r="B253" t="s">
        <v>759</v>
      </c>
      <c r="C253" s="1" t="s">
        <v>78</v>
      </c>
      <c r="D253" s="1" t="s">
        <v>5780</v>
      </c>
      <c r="E253" t="s">
        <v>5781</v>
      </c>
      <c r="F253" t="s">
        <v>6824</v>
      </c>
      <c r="G253" t="s">
        <v>5783</v>
      </c>
      <c r="H253" t="s">
        <v>6825</v>
      </c>
      <c r="I253" t="s">
        <v>6826</v>
      </c>
      <c r="J253" t="s">
        <v>6821</v>
      </c>
      <c r="K253" t="s">
        <v>6822</v>
      </c>
      <c r="L253" t="s">
        <v>6823</v>
      </c>
      <c r="M253" t="s">
        <v>65</v>
      </c>
    </row>
    <row r="254" spans="1:13" x14ac:dyDescent="0.25">
      <c r="A254" t="s">
        <v>5766</v>
      </c>
      <c r="B254" t="s">
        <v>759</v>
      </c>
      <c r="C254" s="1" t="s">
        <v>52</v>
      </c>
      <c r="D254" s="1" t="s">
        <v>52</v>
      </c>
      <c r="E254" t="s">
        <v>5767</v>
      </c>
      <c r="F254" t="s">
        <v>6827</v>
      </c>
      <c r="G254" t="s">
        <v>5769</v>
      </c>
      <c r="H254" t="s">
        <v>6828</v>
      </c>
      <c r="I254" t="s">
        <v>6829</v>
      </c>
      <c r="J254" t="s">
        <v>6821</v>
      </c>
      <c r="K254" t="s">
        <v>6822</v>
      </c>
      <c r="L254" t="s">
        <v>6823</v>
      </c>
      <c r="M254" t="s">
        <v>65</v>
      </c>
    </row>
    <row r="255" spans="1:13" x14ac:dyDescent="0.25">
      <c r="A255" t="s">
        <v>5766</v>
      </c>
      <c r="B255" t="s">
        <v>767</v>
      </c>
      <c r="C255" s="1" t="s">
        <v>769</v>
      </c>
      <c r="D255" s="1" t="s">
        <v>769</v>
      </c>
      <c r="E255" t="s">
        <v>771</v>
      </c>
      <c r="F255" t="s">
        <v>6830</v>
      </c>
      <c r="G255" t="s">
        <v>6831</v>
      </c>
      <c r="H255" t="s">
        <v>6832</v>
      </c>
      <c r="I255" t="s">
        <v>6833</v>
      </c>
      <c r="J255" t="s">
        <v>6834</v>
      </c>
      <c r="K255" t="s">
        <v>6835</v>
      </c>
      <c r="L255" t="s">
        <v>6836</v>
      </c>
    </row>
    <row r="256" spans="1:13" x14ac:dyDescent="0.25">
      <c r="A256" t="s">
        <v>5766</v>
      </c>
      <c r="B256" t="s">
        <v>767</v>
      </c>
      <c r="C256" s="1" t="s">
        <v>773</v>
      </c>
      <c r="D256" s="1" t="s">
        <v>773</v>
      </c>
      <c r="E256" t="s">
        <v>775</v>
      </c>
      <c r="F256" t="s">
        <v>6837</v>
      </c>
      <c r="G256" t="s">
        <v>6838</v>
      </c>
      <c r="H256" t="s">
        <v>6839</v>
      </c>
      <c r="I256" t="s">
        <v>6840</v>
      </c>
      <c r="J256" t="s">
        <v>6834</v>
      </c>
      <c r="K256" t="s">
        <v>6835</v>
      </c>
      <c r="L256" t="s">
        <v>6836</v>
      </c>
    </row>
    <row r="257" spans="1:12" x14ac:dyDescent="0.25">
      <c r="A257" t="s">
        <v>5766</v>
      </c>
      <c r="B257" t="s">
        <v>767</v>
      </c>
      <c r="C257" s="1" t="s">
        <v>623</v>
      </c>
      <c r="D257" s="1" t="s">
        <v>623</v>
      </c>
      <c r="E257" t="s">
        <v>625</v>
      </c>
      <c r="F257" t="s">
        <v>6841</v>
      </c>
      <c r="G257" t="s">
        <v>6627</v>
      </c>
      <c r="H257" t="s">
        <v>6842</v>
      </c>
      <c r="I257" t="s">
        <v>5974</v>
      </c>
      <c r="J257" t="s">
        <v>6834</v>
      </c>
      <c r="K257" t="s">
        <v>6835</v>
      </c>
      <c r="L257" t="s">
        <v>6836</v>
      </c>
    </row>
    <row r="258" spans="1:12" x14ac:dyDescent="0.25">
      <c r="A258" t="s">
        <v>5766</v>
      </c>
      <c r="B258" t="s">
        <v>767</v>
      </c>
      <c r="C258" s="1" t="s">
        <v>777</v>
      </c>
      <c r="D258" s="1" t="s">
        <v>777</v>
      </c>
      <c r="E258" t="s">
        <v>779</v>
      </c>
      <c r="F258" t="s">
        <v>6843</v>
      </c>
      <c r="G258" t="s">
        <v>5783</v>
      </c>
      <c r="H258" t="s">
        <v>6844</v>
      </c>
      <c r="I258" t="s">
        <v>6845</v>
      </c>
      <c r="J258" t="s">
        <v>6834</v>
      </c>
      <c r="K258" t="s">
        <v>6835</v>
      </c>
      <c r="L258" t="s">
        <v>6836</v>
      </c>
    </row>
    <row r="259" spans="1:12" x14ac:dyDescent="0.25">
      <c r="A259" t="s">
        <v>5766</v>
      </c>
      <c r="B259" t="s">
        <v>767</v>
      </c>
      <c r="C259" s="1" t="s">
        <v>781</v>
      </c>
      <c r="D259" s="1" t="s">
        <v>781</v>
      </c>
      <c r="E259" t="s">
        <v>782</v>
      </c>
      <c r="F259" t="s">
        <v>6846</v>
      </c>
      <c r="G259" t="s">
        <v>6847</v>
      </c>
      <c r="H259" t="s">
        <v>6848</v>
      </c>
      <c r="I259" t="s">
        <v>6730</v>
      </c>
      <c r="J259" t="s">
        <v>6834</v>
      </c>
      <c r="K259" t="s">
        <v>6835</v>
      </c>
      <c r="L259" t="s">
        <v>6836</v>
      </c>
    </row>
    <row r="260" spans="1:12" x14ac:dyDescent="0.25">
      <c r="A260" t="s">
        <v>5766</v>
      </c>
      <c r="B260" t="s">
        <v>767</v>
      </c>
      <c r="C260" s="1" t="s">
        <v>784</v>
      </c>
      <c r="D260" s="1" t="s">
        <v>784</v>
      </c>
      <c r="E260" t="s">
        <v>785</v>
      </c>
      <c r="F260" t="s">
        <v>6849</v>
      </c>
      <c r="G260" t="s">
        <v>6850</v>
      </c>
      <c r="H260" t="s">
        <v>6851</v>
      </c>
      <c r="I260" t="s">
        <v>6316</v>
      </c>
      <c r="J260" t="s">
        <v>6834</v>
      </c>
      <c r="K260" t="s">
        <v>6835</v>
      </c>
      <c r="L260" t="s">
        <v>6836</v>
      </c>
    </row>
    <row r="261" spans="1:12" x14ac:dyDescent="0.25">
      <c r="A261" t="s">
        <v>5766</v>
      </c>
      <c r="B261" t="s">
        <v>767</v>
      </c>
      <c r="C261" s="1" t="s">
        <v>787</v>
      </c>
      <c r="D261" s="1" t="s">
        <v>787</v>
      </c>
      <c r="E261" t="s">
        <v>788</v>
      </c>
      <c r="F261" t="s">
        <v>6852</v>
      </c>
      <c r="G261" t="s">
        <v>6853</v>
      </c>
      <c r="H261" t="s">
        <v>6854</v>
      </c>
      <c r="I261" t="s">
        <v>6855</v>
      </c>
      <c r="J261" t="s">
        <v>6834</v>
      </c>
      <c r="K261" t="s">
        <v>6835</v>
      </c>
      <c r="L261" t="s">
        <v>6836</v>
      </c>
    </row>
    <row r="262" spans="1:12" x14ac:dyDescent="0.25">
      <c r="A262" t="s">
        <v>5766</v>
      </c>
      <c r="B262" t="s">
        <v>767</v>
      </c>
      <c r="C262" s="1" t="s">
        <v>790</v>
      </c>
      <c r="D262" s="1" t="s">
        <v>790</v>
      </c>
      <c r="E262" t="s">
        <v>791</v>
      </c>
      <c r="F262" t="s">
        <v>6856</v>
      </c>
      <c r="G262" t="s">
        <v>6857</v>
      </c>
      <c r="H262" t="s">
        <v>6858</v>
      </c>
      <c r="I262" t="s">
        <v>6859</v>
      </c>
      <c r="J262" t="s">
        <v>6834</v>
      </c>
      <c r="K262" t="s">
        <v>6835</v>
      </c>
      <c r="L262" t="s">
        <v>6836</v>
      </c>
    </row>
    <row r="263" spans="1:12" x14ac:dyDescent="0.25">
      <c r="A263" t="s">
        <v>5766</v>
      </c>
      <c r="B263" t="s">
        <v>767</v>
      </c>
      <c r="C263" s="1" t="s">
        <v>793</v>
      </c>
      <c r="D263" s="1" t="s">
        <v>793</v>
      </c>
      <c r="E263" t="s">
        <v>794</v>
      </c>
      <c r="F263" t="s">
        <v>6860</v>
      </c>
      <c r="G263" t="s">
        <v>6861</v>
      </c>
      <c r="H263" t="s">
        <v>6862</v>
      </c>
      <c r="I263" t="s">
        <v>6863</v>
      </c>
      <c r="J263" t="s">
        <v>6834</v>
      </c>
      <c r="K263" t="s">
        <v>6835</v>
      </c>
      <c r="L263" t="s">
        <v>6836</v>
      </c>
    </row>
    <row r="264" spans="1:12" x14ac:dyDescent="0.25">
      <c r="A264" t="s">
        <v>5766</v>
      </c>
      <c r="B264" t="s">
        <v>767</v>
      </c>
      <c r="C264" s="1" t="s">
        <v>796</v>
      </c>
      <c r="D264" s="1" t="s">
        <v>796</v>
      </c>
      <c r="E264" t="s">
        <v>797</v>
      </c>
      <c r="F264" t="s">
        <v>6856</v>
      </c>
      <c r="G264" t="s">
        <v>6864</v>
      </c>
      <c r="H264" t="s">
        <v>6865</v>
      </c>
      <c r="I264" t="s">
        <v>5925</v>
      </c>
      <c r="J264" t="s">
        <v>6834</v>
      </c>
      <c r="K264" t="s">
        <v>6835</v>
      </c>
      <c r="L264" t="s">
        <v>6836</v>
      </c>
    </row>
    <row r="265" spans="1:12" x14ac:dyDescent="0.25">
      <c r="A265" t="s">
        <v>5766</v>
      </c>
      <c r="B265" t="s">
        <v>767</v>
      </c>
      <c r="C265" s="1" t="s">
        <v>799</v>
      </c>
      <c r="D265" s="1" t="s">
        <v>799</v>
      </c>
      <c r="E265" t="s">
        <v>800</v>
      </c>
      <c r="F265" t="s">
        <v>6866</v>
      </c>
      <c r="G265" t="s">
        <v>6867</v>
      </c>
      <c r="H265" t="s">
        <v>6868</v>
      </c>
      <c r="I265" t="s">
        <v>6540</v>
      </c>
      <c r="J265" t="s">
        <v>6834</v>
      </c>
      <c r="K265" t="s">
        <v>6835</v>
      </c>
      <c r="L265" t="s">
        <v>6836</v>
      </c>
    </row>
    <row r="266" spans="1:12" x14ac:dyDescent="0.25">
      <c r="A266" t="s">
        <v>5766</v>
      </c>
      <c r="B266" t="s">
        <v>767</v>
      </c>
      <c r="C266" s="1" t="s">
        <v>802</v>
      </c>
      <c r="D266" s="1" t="s">
        <v>802</v>
      </c>
      <c r="E266" t="s">
        <v>803</v>
      </c>
      <c r="F266" t="s">
        <v>6869</v>
      </c>
      <c r="G266" t="s">
        <v>6870</v>
      </c>
      <c r="H266" t="s">
        <v>6871</v>
      </c>
      <c r="I266" t="s">
        <v>6872</v>
      </c>
      <c r="J266" t="s">
        <v>6834</v>
      </c>
      <c r="K266" t="s">
        <v>6835</v>
      </c>
      <c r="L266" t="s">
        <v>6836</v>
      </c>
    </row>
    <row r="267" spans="1:12" x14ac:dyDescent="0.25">
      <c r="A267" t="s">
        <v>5766</v>
      </c>
      <c r="B267" t="s">
        <v>767</v>
      </c>
      <c r="C267" s="1" t="s">
        <v>805</v>
      </c>
      <c r="D267" s="1" t="s">
        <v>805</v>
      </c>
      <c r="E267" t="s">
        <v>806</v>
      </c>
      <c r="F267" t="s">
        <v>6873</v>
      </c>
      <c r="G267" t="s">
        <v>6874</v>
      </c>
      <c r="H267" t="s">
        <v>6875</v>
      </c>
      <c r="I267" t="s">
        <v>6876</v>
      </c>
      <c r="J267" t="s">
        <v>6834</v>
      </c>
      <c r="K267" t="s">
        <v>6835</v>
      </c>
      <c r="L267" t="s">
        <v>6836</v>
      </c>
    </row>
    <row r="268" spans="1:12" x14ac:dyDescent="0.25">
      <c r="A268" t="s">
        <v>5766</v>
      </c>
      <c r="B268" t="s">
        <v>767</v>
      </c>
      <c r="C268" s="1" t="s">
        <v>808</v>
      </c>
      <c r="D268" s="1" t="s">
        <v>808</v>
      </c>
      <c r="E268" t="s">
        <v>809</v>
      </c>
      <c r="F268" t="s">
        <v>6877</v>
      </c>
      <c r="G268" t="s">
        <v>6878</v>
      </c>
      <c r="H268" t="s">
        <v>6879</v>
      </c>
      <c r="I268" t="s">
        <v>6880</v>
      </c>
      <c r="J268" t="s">
        <v>6834</v>
      </c>
      <c r="K268" t="s">
        <v>6835</v>
      </c>
      <c r="L268" t="s">
        <v>6836</v>
      </c>
    </row>
    <row r="269" spans="1:12" x14ac:dyDescent="0.25">
      <c r="A269" t="s">
        <v>5766</v>
      </c>
      <c r="B269" t="s">
        <v>767</v>
      </c>
      <c r="C269" s="1" t="s">
        <v>811</v>
      </c>
      <c r="D269" s="1" t="s">
        <v>811</v>
      </c>
      <c r="E269" t="s">
        <v>812</v>
      </c>
      <c r="F269" t="s">
        <v>6877</v>
      </c>
      <c r="G269" t="s">
        <v>6881</v>
      </c>
      <c r="H269" t="s">
        <v>6882</v>
      </c>
      <c r="I269" t="s">
        <v>6880</v>
      </c>
      <c r="J269" t="s">
        <v>6834</v>
      </c>
      <c r="K269" t="s">
        <v>6835</v>
      </c>
      <c r="L269" t="s">
        <v>6836</v>
      </c>
    </row>
    <row r="270" spans="1:12" x14ac:dyDescent="0.25">
      <c r="A270" t="s">
        <v>5766</v>
      </c>
      <c r="B270" t="s">
        <v>767</v>
      </c>
      <c r="C270" s="1" t="s">
        <v>814</v>
      </c>
      <c r="D270" s="1" t="s">
        <v>814</v>
      </c>
      <c r="E270" t="s">
        <v>815</v>
      </c>
      <c r="F270" t="s">
        <v>6883</v>
      </c>
      <c r="G270" t="s">
        <v>6884</v>
      </c>
      <c r="H270" t="s">
        <v>6885</v>
      </c>
      <c r="I270" t="s">
        <v>6807</v>
      </c>
      <c r="J270" t="s">
        <v>6834</v>
      </c>
      <c r="K270" t="s">
        <v>6835</v>
      </c>
      <c r="L270" t="s">
        <v>6836</v>
      </c>
    </row>
    <row r="271" spans="1:12" x14ac:dyDescent="0.25">
      <c r="A271" t="s">
        <v>5766</v>
      </c>
      <c r="B271" t="s">
        <v>767</v>
      </c>
      <c r="C271" s="1" t="s">
        <v>817</v>
      </c>
      <c r="D271" s="1" t="s">
        <v>817</v>
      </c>
      <c r="E271" t="s">
        <v>818</v>
      </c>
      <c r="F271" t="s">
        <v>6886</v>
      </c>
      <c r="G271" t="s">
        <v>6887</v>
      </c>
      <c r="H271" t="s">
        <v>6888</v>
      </c>
      <c r="I271" t="s">
        <v>6889</v>
      </c>
      <c r="J271" t="s">
        <v>6834</v>
      </c>
      <c r="K271" t="s">
        <v>6835</v>
      </c>
      <c r="L271" t="s">
        <v>6836</v>
      </c>
    </row>
    <row r="272" spans="1:12" x14ac:dyDescent="0.25">
      <c r="A272" t="s">
        <v>5766</v>
      </c>
      <c r="B272" t="s">
        <v>767</v>
      </c>
      <c r="C272" s="1" t="s">
        <v>820</v>
      </c>
      <c r="D272" s="1" t="s">
        <v>820</v>
      </c>
      <c r="E272" t="s">
        <v>821</v>
      </c>
      <c r="F272" t="s">
        <v>6890</v>
      </c>
      <c r="G272" t="s">
        <v>6891</v>
      </c>
      <c r="H272" t="s">
        <v>6892</v>
      </c>
      <c r="I272" t="s">
        <v>6893</v>
      </c>
      <c r="J272" t="s">
        <v>6834</v>
      </c>
      <c r="K272" t="s">
        <v>6835</v>
      </c>
      <c r="L272" t="s">
        <v>6836</v>
      </c>
    </row>
    <row r="273" spans="1:13" x14ac:dyDescent="0.25">
      <c r="A273" t="s">
        <v>5766</v>
      </c>
      <c r="B273" t="s">
        <v>767</v>
      </c>
      <c r="C273" s="1" t="s">
        <v>823</v>
      </c>
      <c r="D273" s="1" t="s">
        <v>823</v>
      </c>
      <c r="E273" t="s">
        <v>824</v>
      </c>
      <c r="F273" t="s">
        <v>6894</v>
      </c>
      <c r="G273" t="s">
        <v>6895</v>
      </c>
      <c r="H273" t="s">
        <v>6896</v>
      </c>
      <c r="I273" t="s">
        <v>5901</v>
      </c>
      <c r="J273" t="s">
        <v>6834</v>
      </c>
      <c r="K273" t="s">
        <v>6835</v>
      </c>
      <c r="L273" t="s">
        <v>6836</v>
      </c>
    </row>
    <row r="274" spans="1:13" x14ac:dyDescent="0.25">
      <c r="A274" t="s">
        <v>5766</v>
      </c>
      <c r="B274" t="s">
        <v>767</v>
      </c>
      <c r="C274" s="1" t="s">
        <v>826</v>
      </c>
      <c r="D274" s="1" t="s">
        <v>826</v>
      </c>
      <c r="E274" t="s">
        <v>827</v>
      </c>
      <c r="F274" t="s">
        <v>6897</v>
      </c>
      <c r="G274" t="s">
        <v>6898</v>
      </c>
      <c r="H274" t="s">
        <v>6899</v>
      </c>
      <c r="I274" t="s">
        <v>5901</v>
      </c>
      <c r="J274" t="s">
        <v>6834</v>
      </c>
      <c r="K274" t="s">
        <v>6835</v>
      </c>
      <c r="L274" t="s">
        <v>6836</v>
      </c>
    </row>
    <row r="275" spans="1:13" x14ac:dyDescent="0.25">
      <c r="A275" t="s">
        <v>5766</v>
      </c>
      <c r="B275" t="s">
        <v>767</v>
      </c>
      <c r="C275" s="1" t="s">
        <v>681</v>
      </c>
      <c r="D275" s="1" t="s">
        <v>681</v>
      </c>
      <c r="E275" t="s">
        <v>682</v>
      </c>
      <c r="F275" t="s">
        <v>6894</v>
      </c>
      <c r="G275" t="s">
        <v>6684</v>
      </c>
      <c r="H275" t="s">
        <v>6900</v>
      </c>
      <c r="I275" t="s">
        <v>5901</v>
      </c>
      <c r="J275" t="s">
        <v>6834</v>
      </c>
      <c r="K275" t="s">
        <v>6835</v>
      </c>
      <c r="L275" t="s">
        <v>6836</v>
      </c>
    </row>
    <row r="276" spans="1:13" x14ac:dyDescent="0.25">
      <c r="A276" t="s">
        <v>5766</v>
      </c>
      <c r="B276" t="s">
        <v>767</v>
      </c>
      <c r="C276" s="1" t="s">
        <v>694</v>
      </c>
      <c r="D276" s="1" t="s">
        <v>694</v>
      </c>
      <c r="E276" t="s">
        <v>695</v>
      </c>
      <c r="F276" t="s">
        <v>6901</v>
      </c>
      <c r="G276" t="s">
        <v>6697</v>
      </c>
      <c r="H276" t="s">
        <v>6902</v>
      </c>
      <c r="I276" t="s">
        <v>6903</v>
      </c>
      <c r="J276" t="s">
        <v>6834</v>
      </c>
      <c r="K276" t="s">
        <v>6835</v>
      </c>
      <c r="L276" t="s">
        <v>6836</v>
      </c>
    </row>
    <row r="277" spans="1:13" x14ac:dyDescent="0.25">
      <c r="A277" t="s">
        <v>5766</v>
      </c>
      <c r="B277" t="s">
        <v>767</v>
      </c>
      <c r="C277" s="1" t="s">
        <v>78</v>
      </c>
      <c r="D277" s="1" t="s">
        <v>5780</v>
      </c>
      <c r="E277" t="s">
        <v>5781</v>
      </c>
      <c r="F277" t="s">
        <v>6904</v>
      </c>
      <c r="G277" t="s">
        <v>5783</v>
      </c>
      <c r="H277" t="s">
        <v>6905</v>
      </c>
      <c r="I277" t="s">
        <v>6906</v>
      </c>
      <c r="J277" t="s">
        <v>6834</v>
      </c>
      <c r="K277" t="s">
        <v>6835</v>
      </c>
      <c r="L277" t="s">
        <v>6836</v>
      </c>
      <c r="M277" t="s">
        <v>65</v>
      </c>
    </row>
    <row r="278" spans="1:13" x14ac:dyDescent="0.25">
      <c r="A278" t="s">
        <v>5766</v>
      </c>
      <c r="B278" t="s">
        <v>767</v>
      </c>
      <c r="C278" s="1" t="s">
        <v>52</v>
      </c>
      <c r="D278" s="1" t="s">
        <v>52</v>
      </c>
      <c r="E278" t="s">
        <v>5767</v>
      </c>
      <c r="F278" t="s">
        <v>6907</v>
      </c>
      <c r="G278" t="s">
        <v>5769</v>
      </c>
      <c r="H278" t="s">
        <v>6908</v>
      </c>
      <c r="I278" t="s">
        <v>6909</v>
      </c>
      <c r="J278" t="s">
        <v>6834</v>
      </c>
      <c r="K278" t="s">
        <v>6835</v>
      </c>
      <c r="L278" t="s">
        <v>6836</v>
      </c>
      <c r="M278" t="s">
        <v>65</v>
      </c>
    </row>
    <row r="279" spans="1:13" x14ac:dyDescent="0.25">
      <c r="A279" t="s">
        <v>5766</v>
      </c>
      <c r="B279" t="s">
        <v>828</v>
      </c>
      <c r="C279" s="1" t="s">
        <v>830</v>
      </c>
      <c r="D279" s="1" t="s">
        <v>830</v>
      </c>
      <c r="E279" t="s">
        <v>832</v>
      </c>
      <c r="F279" t="s">
        <v>6910</v>
      </c>
      <c r="G279" t="s">
        <v>6911</v>
      </c>
      <c r="H279" t="s">
        <v>6912</v>
      </c>
      <c r="I279" t="s">
        <v>6913</v>
      </c>
      <c r="J279" t="s">
        <v>6914</v>
      </c>
      <c r="K279" t="s">
        <v>6915</v>
      </c>
      <c r="L279" t="s">
        <v>6916</v>
      </c>
    </row>
    <row r="280" spans="1:13" x14ac:dyDescent="0.25">
      <c r="A280" t="s">
        <v>5766</v>
      </c>
      <c r="B280" t="s">
        <v>828</v>
      </c>
      <c r="C280" s="1" t="s">
        <v>834</v>
      </c>
      <c r="D280" s="1" t="s">
        <v>834</v>
      </c>
      <c r="E280" t="s">
        <v>836</v>
      </c>
      <c r="F280" t="s">
        <v>6917</v>
      </c>
      <c r="G280" t="s">
        <v>6918</v>
      </c>
      <c r="H280" t="s">
        <v>6919</v>
      </c>
      <c r="I280" t="s">
        <v>6920</v>
      </c>
      <c r="J280" t="s">
        <v>6914</v>
      </c>
      <c r="K280" t="s">
        <v>6915</v>
      </c>
      <c r="L280" t="s">
        <v>6916</v>
      </c>
    </row>
    <row r="281" spans="1:13" x14ac:dyDescent="0.25">
      <c r="A281" t="s">
        <v>5766</v>
      </c>
      <c r="B281" t="s">
        <v>828</v>
      </c>
      <c r="C281" s="1" t="s">
        <v>838</v>
      </c>
      <c r="D281" s="1" t="s">
        <v>838</v>
      </c>
      <c r="E281" t="s">
        <v>840</v>
      </c>
      <c r="F281" t="s">
        <v>6921</v>
      </c>
      <c r="G281" t="s">
        <v>6922</v>
      </c>
      <c r="H281" t="s">
        <v>6923</v>
      </c>
      <c r="I281" t="s">
        <v>6920</v>
      </c>
      <c r="J281" t="s">
        <v>6914</v>
      </c>
      <c r="K281" t="s">
        <v>6915</v>
      </c>
      <c r="L281" t="s">
        <v>6916</v>
      </c>
    </row>
    <row r="282" spans="1:13" x14ac:dyDescent="0.25">
      <c r="A282" t="s">
        <v>5766</v>
      </c>
      <c r="B282" t="s">
        <v>828</v>
      </c>
      <c r="C282" s="1" t="s">
        <v>842</v>
      </c>
      <c r="D282" s="1" t="s">
        <v>842</v>
      </c>
      <c r="E282" t="s">
        <v>844</v>
      </c>
      <c r="F282" t="s">
        <v>6917</v>
      </c>
      <c r="G282" t="s">
        <v>6924</v>
      </c>
      <c r="H282" t="s">
        <v>6925</v>
      </c>
      <c r="I282" t="s">
        <v>6920</v>
      </c>
      <c r="J282" t="s">
        <v>6914</v>
      </c>
      <c r="K282" t="s">
        <v>6915</v>
      </c>
      <c r="L282" t="s">
        <v>6916</v>
      </c>
    </row>
    <row r="283" spans="1:13" x14ac:dyDescent="0.25">
      <c r="A283" t="s">
        <v>5766</v>
      </c>
      <c r="B283" t="s">
        <v>828</v>
      </c>
      <c r="C283" s="1" t="s">
        <v>846</v>
      </c>
      <c r="D283" s="1" t="s">
        <v>846</v>
      </c>
      <c r="E283" t="s">
        <v>848</v>
      </c>
      <c r="F283" t="s">
        <v>6926</v>
      </c>
      <c r="G283" t="s">
        <v>6927</v>
      </c>
      <c r="H283" t="s">
        <v>6928</v>
      </c>
      <c r="I283" t="s">
        <v>6116</v>
      </c>
      <c r="J283" t="s">
        <v>6914</v>
      </c>
      <c r="K283" t="s">
        <v>6915</v>
      </c>
      <c r="L283" t="s">
        <v>6916</v>
      </c>
    </row>
    <row r="284" spans="1:13" x14ac:dyDescent="0.25">
      <c r="A284" t="s">
        <v>5766</v>
      </c>
      <c r="B284" t="s">
        <v>828</v>
      </c>
      <c r="C284" s="1" t="s">
        <v>850</v>
      </c>
      <c r="D284" s="1" t="s">
        <v>850</v>
      </c>
      <c r="E284" t="s">
        <v>852</v>
      </c>
      <c r="F284" t="s">
        <v>6929</v>
      </c>
      <c r="G284" t="s">
        <v>6930</v>
      </c>
      <c r="H284" t="s">
        <v>6931</v>
      </c>
      <c r="I284" t="s">
        <v>6053</v>
      </c>
      <c r="J284" t="s">
        <v>6914</v>
      </c>
      <c r="K284" t="s">
        <v>6915</v>
      </c>
      <c r="L284" t="s">
        <v>6916</v>
      </c>
    </row>
    <row r="285" spans="1:13" x14ac:dyDescent="0.25">
      <c r="A285" t="s">
        <v>5766</v>
      </c>
      <c r="B285" t="s">
        <v>828</v>
      </c>
      <c r="C285" s="1" t="s">
        <v>854</v>
      </c>
      <c r="D285" s="1" t="s">
        <v>854</v>
      </c>
      <c r="E285" t="s">
        <v>856</v>
      </c>
      <c r="F285" t="s">
        <v>6921</v>
      </c>
      <c r="G285" t="s">
        <v>6932</v>
      </c>
      <c r="H285" t="s">
        <v>6933</v>
      </c>
      <c r="I285" t="s">
        <v>6934</v>
      </c>
      <c r="J285" t="s">
        <v>6914</v>
      </c>
      <c r="K285" t="s">
        <v>6915</v>
      </c>
      <c r="L285" t="s">
        <v>6916</v>
      </c>
    </row>
    <row r="286" spans="1:13" x14ac:dyDescent="0.25">
      <c r="A286" t="s">
        <v>5766</v>
      </c>
      <c r="B286" t="s">
        <v>828</v>
      </c>
      <c r="C286" s="1" t="s">
        <v>858</v>
      </c>
      <c r="D286" s="1" t="s">
        <v>858</v>
      </c>
      <c r="E286" t="s">
        <v>860</v>
      </c>
      <c r="F286" t="s">
        <v>6926</v>
      </c>
      <c r="G286" t="s">
        <v>6935</v>
      </c>
      <c r="H286" t="s">
        <v>6936</v>
      </c>
      <c r="I286" t="s">
        <v>6937</v>
      </c>
      <c r="J286" t="s">
        <v>6914</v>
      </c>
      <c r="K286" t="s">
        <v>6915</v>
      </c>
      <c r="L286" t="s">
        <v>6916</v>
      </c>
    </row>
    <row r="287" spans="1:13" x14ac:dyDescent="0.25">
      <c r="A287" t="s">
        <v>5766</v>
      </c>
      <c r="B287" t="s">
        <v>828</v>
      </c>
      <c r="C287" s="1" t="s">
        <v>862</v>
      </c>
      <c r="D287" s="1" t="s">
        <v>862</v>
      </c>
      <c r="E287" t="s">
        <v>864</v>
      </c>
      <c r="F287" t="s">
        <v>6938</v>
      </c>
      <c r="G287" t="s">
        <v>6939</v>
      </c>
      <c r="H287" t="s">
        <v>6940</v>
      </c>
      <c r="I287" t="s">
        <v>6937</v>
      </c>
      <c r="J287" t="s">
        <v>6914</v>
      </c>
      <c r="K287" t="s">
        <v>6915</v>
      </c>
      <c r="L287" t="s">
        <v>6916</v>
      </c>
    </row>
    <row r="288" spans="1:13" x14ac:dyDescent="0.25">
      <c r="A288" t="s">
        <v>5766</v>
      </c>
      <c r="B288" t="s">
        <v>828</v>
      </c>
      <c r="C288" s="1" t="s">
        <v>866</v>
      </c>
      <c r="D288" s="1" t="s">
        <v>866</v>
      </c>
      <c r="E288" t="s">
        <v>868</v>
      </c>
      <c r="F288" t="s">
        <v>6941</v>
      </c>
      <c r="G288" t="s">
        <v>6942</v>
      </c>
      <c r="H288" t="s">
        <v>6943</v>
      </c>
      <c r="I288" t="s">
        <v>6116</v>
      </c>
      <c r="J288" t="s">
        <v>6914</v>
      </c>
      <c r="K288" t="s">
        <v>6915</v>
      </c>
      <c r="L288" t="s">
        <v>6916</v>
      </c>
    </row>
    <row r="289" spans="1:12" x14ac:dyDescent="0.25">
      <c r="A289" t="s">
        <v>5766</v>
      </c>
      <c r="B289" t="s">
        <v>828</v>
      </c>
      <c r="C289" s="1" t="s">
        <v>870</v>
      </c>
      <c r="D289" s="1" t="s">
        <v>870</v>
      </c>
      <c r="E289" t="s">
        <v>872</v>
      </c>
      <c r="F289" t="s">
        <v>6926</v>
      </c>
      <c r="G289" t="s">
        <v>6944</v>
      </c>
      <c r="H289" t="s">
        <v>6945</v>
      </c>
      <c r="I289" t="s">
        <v>6116</v>
      </c>
      <c r="J289" t="s">
        <v>6914</v>
      </c>
      <c r="K289" t="s">
        <v>6915</v>
      </c>
      <c r="L289" t="s">
        <v>6916</v>
      </c>
    </row>
    <row r="290" spans="1:12" x14ac:dyDescent="0.25">
      <c r="A290" t="s">
        <v>5766</v>
      </c>
      <c r="B290" t="s">
        <v>828</v>
      </c>
      <c r="C290" s="1" t="s">
        <v>874</v>
      </c>
      <c r="D290" s="1" t="s">
        <v>874</v>
      </c>
      <c r="E290" t="s">
        <v>876</v>
      </c>
      <c r="F290" t="s">
        <v>6938</v>
      </c>
      <c r="G290" t="s">
        <v>6946</v>
      </c>
      <c r="H290" t="s">
        <v>6947</v>
      </c>
      <c r="I290" t="s">
        <v>6937</v>
      </c>
      <c r="J290" t="s">
        <v>6914</v>
      </c>
      <c r="K290" t="s">
        <v>6915</v>
      </c>
      <c r="L290" t="s">
        <v>6916</v>
      </c>
    </row>
    <row r="291" spans="1:12" x14ac:dyDescent="0.25">
      <c r="A291" t="s">
        <v>5766</v>
      </c>
      <c r="B291" t="s">
        <v>828</v>
      </c>
      <c r="C291" s="1" t="s">
        <v>878</v>
      </c>
      <c r="D291" s="1" t="s">
        <v>878</v>
      </c>
      <c r="E291" t="s">
        <v>880</v>
      </c>
      <c r="F291" t="s">
        <v>6948</v>
      </c>
      <c r="G291" t="s">
        <v>6949</v>
      </c>
      <c r="H291" t="s">
        <v>6950</v>
      </c>
      <c r="I291" t="s">
        <v>6951</v>
      </c>
      <c r="J291" t="s">
        <v>6914</v>
      </c>
      <c r="K291" t="s">
        <v>6915</v>
      </c>
      <c r="L291" t="s">
        <v>6916</v>
      </c>
    </row>
    <row r="292" spans="1:12" x14ac:dyDescent="0.25">
      <c r="A292" t="s">
        <v>5766</v>
      </c>
      <c r="B292" t="s">
        <v>828</v>
      </c>
      <c r="C292" s="1" t="s">
        <v>882</v>
      </c>
      <c r="D292" s="1" t="s">
        <v>882</v>
      </c>
      <c r="E292" t="s">
        <v>884</v>
      </c>
      <c r="F292" t="s">
        <v>6948</v>
      </c>
      <c r="G292" t="s">
        <v>6952</v>
      </c>
      <c r="H292" t="s">
        <v>6953</v>
      </c>
      <c r="I292" t="s">
        <v>6954</v>
      </c>
      <c r="J292" t="s">
        <v>6914</v>
      </c>
      <c r="K292" t="s">
        <v>6915</v>
      </c>
      <c r="L292" t="s">
        <v>6916</v>
      </c>
    </row>
    <row r="293" spans="1:12" x14ac:dyDescent="0.25">
      <c r="A293" t="s">
        <v>5766</v>
      </c>
      <c r="B293" t="s">
        <v>828</v>
      </c>
      <c r="C293" s="1" t="s">
        <v>886</v>
      </c>
      <c r="D293" s="1" t="s">
        <v>886</v>
      </c>
      <c r="E293" t="s">
        <v>888</v>
      </c>
      <c r="F293" t="s">
        <v>6926</v>
      </c>
      <c r="G293" t="s">
        <v>6955</v>
      </c>
      <c r="H293" t="s">
        <v>6956</v>
      </c>
      <c r="I293" t="s">
        <v>6937</v>
      </c>
      <c r="J293" t="s">
        <v>6914</v>
      </c>
      <c r="K293" t="s">
        <v>6915</v>
      </c>
      <c r="L293" t="s">
        <v>6916</v>
      </c>
    </row>
    <row r="294" spans="1:12" x14ac:dyDescent="0.25">
      <c r="A294" t="s">
        <v>5766</v>
      </c>
      <c r="B294" t="s">
        <v>828</v>
      </c>
      <c r="C294" s="1" t="s">
        <v>890</v>
      </c>
      <c r="D294" s="1" t="s">
        <v>890</v>
      </c>
      <c r="E294" t="s">
        <v>892</v>
      </c>
      <c r="F294" t="s">
        <v>6929</v>
      </c>
      <c r="G294" t="s">
        <v>6957</v>
      </c>
      <c r="H294" t="s">
        <v>6958</v>
      </c>
      <c r="I294" t="s">
        <v>6937</v>
      </c>
      <c r="J294" t="s">
        <v>6914</v>
      </c>
      <c r="K294" t="s">
        <v>6915</v>
      </c>
      <c r="L294" t="s">
        <v>6916</v>
      </c>
    </row>
    <row r="295" spans="1:12" x14ac:dyDescent="0.25">
      <c r="A295" t="s">
        <v>5766</v>
      </c>
      <c r="B295" t="s">
        <v>828</v>
      </c>
      <c r="C295" s="1" t="s">
        <v>894</v>
      </c>
      <c r="D295" s="1" t="s">
        <v>894</v>
      </c>
      <c r="E295" t="s">
        <v>896</v>
      </c>
      <c r="F295" t="s">
        <v>6959</v>
      </c>
      <c r="G295" t="s">
        <v>6960</v>
      </c>
      <c r="H295" t="s">
        <v>6961</v>
      </c>
      <c r="I295" t="s">
        <v>6954</v>
      </c>
      <c r="J295" t="s">
        <v>6914</v>
      </c>
      <c r="K295" t="s">
        <v>6915</v>
      </c>
      <c r="L295" t="s">
        <v>6916</v>
      </c>
    </row>
    <row r="296" spans="1:12" x14ac:dyDescent="0.25">
      <c r="A296" t="s">
        <v>5766</v>
      </c>
      <c r="B296" t="s">
        <v>828</v>
      </c>
      <c r="C296" s="1" t="s">
        <v>898</v>
      </c>
      <c r="D296" s="1" t="s">
        <v>898</v>
      </c>
      <c r="E296" t="s">
        <v>899</v>
      </c>
      <c r="F296" t="s">
        <v>6962</v>
      </c>
      <c r="G296" t="s">
        <v>6963</v>
      </c>
      <c r="H296" t="s">
        <v>6964</v>
      </c>
      <c r="I296" t="s">
        <v>6937</v>
      </c>
      <c r="J296" t="s">
        <v>6914</v>
      </c>
      <c r="K296" t="s">
        <v>6915</v>
      </c>
      <c r="L296" t="s">
        <v>6916</v>
      </c>
    </row>
    <row r="297" spans="1:12" x14ac:dyDescent="0.25">
      <c r="A297" t="s">
        <v>5766</v>
      </c>
      <c r="B297" t="s">
        <v>828</v>
      </c>
      <c r="C297" s="1" t="s">
        <v>901</v>
      </c>
      <c r="D297" s="1" t="s">
        <v>901</v>
      </c>
      <c r="E297" t="s">
        <v>903</v>
      </c>
      <c r="F297" t="s">
        <v>6941</v>
      </c>
      <c r="G297" t="s">
        <v>6965</v>
      </c>
      <c r="H297" t="s">
        <v>6966</v>
      </c>
      <c r="I297" t="s">
        <v>6913</v>
      </c>
      <c r="J297" t="s">
        <v>6914</v>
      </c>
      <c r="K297" t="s">
        <v>6915</v>
      </c>
      <c r="L297" t="s">
        <v>6916</v>
      </c>
    </row>
    <row r="298" spans="1:12" x14ac:dyDescent="0.25">
      <c r="A298" t="s">
        <v>5766</v>
      </c>
      <c r="B298" t="s">
        <v>828</v>
      </c>
      <c r="C298" s="1" t="s">
        <v>905</v>
      </c>
      <c r="D298" s="1" t="s">
        <v>905</v>
      </c>
      <c r="E298" t="s">
        <v>907</v>
      </c>
      <c r="F298" t="s">
        <v>6926</v>
      </c>
      <c r="G298" t="s">
        <v>6967</v>
      </c>
      <c r="H298" t="s">
        <v>6968</v>
      </c>
      <c r="I298" t="s">
        <v>6116</v>
      </c>
      <c r="J298" t="s">
        <v>6914</v>
      </c>
      <c r="K298" t="s">
        <v>6915</v>
      </c>
      <c r="L298" t="s">
        <v>6916</v>
      </c>
    </row>
    <row r="299" spans="1:12" x14ac:dyDescent="0.25">
      <c r="A299" t="s">
        <v>5766</v>
      </c>
      <c r="B299" t="s">
        <v>828</v>
      </c>
      <c r="C299" s="1" t="s">
        <v>909</v>
      </c>
      <c r="D299" s="1" t="s">
        <v>909</v>
      </c>
      <c r="E299" t="s">
        <v>911</v>
      </c>
      <c r="F299" t="s">
        <v>6938</v>
      </c>
      <c r="G299" t="s">
        <v>6969</v>
      </c>
      <c r="H299" t="s">
        <v>6970</v>
      </c>
      <c r="I299" t="s">
        <v>6937</v>
      </c>
      <c r="J299" t="s">
        <v>6914</v>
      </c>
      <c r="K299" t="s">
        <v>6915</v>
      </c>
      <c r="L299" t="s">
        <v>6916</v>
      </c>
    </row>
    <row r="300" spans="1:12" x14ac:dyDescent="0.25">
      <c r="A300" t="s">
        <v>5766</v>
      </c>
      <c r="B300" t="s">
        <v>828</v>
      </c>
      <c r="C300" s="1" t="s">
        <v>913</v>
      </c>
      <c r="D300" s="1" t="s">
        <v>913</v>
      </c>
      <c r="E300" t="s">
        <v>915</v>
      </c>
      <c r="F300" t="s">
        <v>6926</v>
      </c>
      <c r="G300" t="s">
        <v>6971</v>
      </c>
      <c r="H300" t="s">
        <v>6972</v>
      </c>
      <c r="I300" t="s">
        <v>6116</v>
      </c>
      <c r="J300" t="s">
        <v>6914</v>
      </c>
      <c r="K300" t="s">
        <v>6915</v>
      </c>
      <c r="L300" t="s">
        <v>6916</v>
      </c>
    </row>
    <row r="301" spans="1:12" x14ac:dyDescent="0.25">
      <c r="A301" t="s">
        <v>5766</v>
      </c>
      <c r="B301" t="s">
        <v>828</v>
      </c>
      <c r="C301" s="1" t="s">
        <v>917</v>
      </c>
      <c r="D301" s="1" t="s">
        <v>917</v>
      </c>
      <c r="E301" t="s">
        <v>919</v>
      </c>
      <c r="F301" t="s">
        <v>6921</v>
      </c>
      <c r="G301" t="s">
        <v>6973</v>
      </c>
      <c r="H301" t="s">
        <v>6974</v>
      </c>
      <c r="I301" t="s">
        <v>5915</v>
      </c>
      <c r="J301" t="s">
        <v>6914</v>
      </c>
      <c r="K301" t="s">
        <v>6915</v>
      </c>
      <c r="L301" t="s">
        <v>6916</v>
      </c>
    </row>
    <row r="302" spans="1:12" x14ac:dyDescent="0.25">
      <c r="A302" t="s">
        <v>5766</v>
      </c>
      <c r="B302" t="s">
        <v>828</v>
      </c>
      <c r="C302" s="1" t="s">
        <v>921</v>
      </c>
      <c r="D302" s="1" t="s">
        <v>921</v>
      </c>
      <c r="E302" t="s">
        <v>923</v>
      </c>
      <c r="F302" t="s">
        <v>6926</v>
      </c>
      <c r="G302" t="s">
        <v>6975</v>
      </c>
      <c r="H302" t="s">
        <v>6976</v>
      </c>
      <c r="I302" t="s">
        <v>6977</v>
      </c>
      <c r="J302" t="s">
        <v>6914</v>
      </c>
      <c r="K302" t="s">
        <v>6915</v>
      </c>
      <c r="L302" t="s">
        <v>6916</v>
      </c>
    </row>
    <row r="303" spans="1:12" x14ac:dyDescent="0.25">
      <c r="A303" t="s">
        <v>5766</v>
      </c>
      <c r="B303" t="s">
        <v>828</v>
      </c>
      <c r="C303" s="1" t="s">
        <v>925</v>
      </c>
      <c r="D303" s="1" t="s">
        <v>925</v>
      </c>
      <c r="E303" t="s">
        <v>927</v>
      </c>
      <c r="F303" t="s">
        <v>6978</v>
      </c>
      <c r="G303" t="s">
        <v>6979</v>
      </c>
      <c r="H303" t="s">
        <v>6980</v>
      </c>
      <c r="I303" t="s">
        <v>6981</v>
      </c>
      <c r="J303" t="s">
        <v>6914</v>
      </c>
      <c r="K303" t="s">
        <v>6915</v>
      </c>
      <c r="L303" t="s">
        <v>6916</v>
      </c>
    </row>
    <row r="304" spans="1:12" x14ac:dyDescent="0.25">
      <c r="A304" t="s">
        <v>5766</v>
      </c>
      <c r="B304" t="s">
        <v>828</v>
      </c>
      <c r="C304" s="1" t="s">
        <v>929</v>
      </c>
      <c r="D304" s="1" t="s">
        <v>929</v>
      </c>
      <c r="E304" t="s">
        <v>931</v>
      </c>
      <c r="F304" t="s">
        <v>6938</v>
      </c>
      <c r="G304" t="s">
        <v>6982</v>
      </c>
      <c r="H304" t="s">
        <v>6983</v>
      </c>
      <c r="I304" t="s">
        <v>6053</v>
      </c>
      <c r="J304" t="s">
        <v>6914</v>
      </c>
      <c r="K304" t="s">
        <v>6915</v>
      </c>
      <c r="L304" t="s">
        <v>6916</v>
      </c>
    </row>
    <row r="305" spans="1:12" x14ac:dyDescent="0.25">
      <c r="A305" t="s">
        <v>5766</v>
      </c>
      <c r="B305" t="s">
        <v>828</v>
      </c>
      <c r="C305" s="1" t="s">
        <v>933</v>
      </c>
      <c r="D305" s="1" t="s">
        <v>933</v>
      </c>
      <c r="E305" t="s">
        <v>935</v>
      </c>
      <c r="F305" t="s">
        <v>6959</v>
      </c>
      <c r="G305" t="s">
        <v>6984</v>
      </c>
      <c r="H305" t="s">
        <v>6985</v>
      </c>
      <c r="I305" t="s">
        <v>6954</v>
      </c>
      <c r="J305" t="s">
        <v>6914</v>
      </c>
      <c r="K305" t="s">
        <v>6915</v>
      </c>
      <c r="L305" t="s">
        <v>6916</v>
      </c>
    </row>
    <row r="306" spans="1:12" x14ac:dyDescent="0.25">
      <c r="A306" t="s">
        <v>5766</v>
      </c>
      <c r="B306" t="s">
        <v>828</v>
      </c>
      <c r="C306" s="1" t="s">
        <v>937</v>
      </c>
      <c r="D306" s="1" t="s">
        <v>937</v>
      </c>
      <c r="E306" t="s">
        <v>938</v>
      </c>
      <c r="F306" t="s">
        <v>6921</v>
      </c>
      <c r="G306" t="s">
        <v>6986</v>
      </c>
      <c r="H306" t="s">
        <v>6987</v>
      </c>
      <c r="I306" t="s">
        <v>6920</v>
      </c>
      <c r="J306" t="s">
        <v>6914</v>
      </c>
      <c r="K306" t="s">
        <v>6915</v>
      </c>
      <c r="L306" t="s">
        <v>6916</v>
      </c>
    </row>
    <row r="307" spans="1:12" x14ac:dyDescent="0.25">
      <c r="A307" t="s">
        <v>5766</v>
      </c>
      <c r="B307" t="s">
        <v>828</v>
      </c>
      <c r="C307" s="1" t="s">
        <v>940</v>
      </c>
      <c r="D307" s="1" t="s">
        <v>940</v>
      </c>
      <c r="E307" t="s">
        <v>941</v>
      </c>
      <c r="F307" t="s">
        <v>6910</v>
      </c>
      <c r="G307" t="s">
        <v>6988</v>
      </c>
      <c r="H307" t="s">
        <v>6989</v>
      </c>
      <c r="I307" t="s">
        <v>5864</v>
      </c>
      <c r="J307" t="s">
        <v>6914</v>
      </c>
      <c r="K307" t="s">
        <v>6915</v>
      </c>
      <c r="L307" t="s">
        <v>6916</v>
      </c>
    </row>
    <row r="308" spans="1:12" x14ac:dyDescent="0.25">
      <c r="A308" t="s">
        <v>5766</v>
      </c>
      <c r="B308" t="s">
        <v>828</v>
      </c>
      <c r="C308" s="1" t="s">
        <v>943</v>
      </c>
      <c r="D308" s="1" t="s">
        <v>943</v>
      </c>
      <c r="E308" t="s">
        <v>945</v>
      </c>
      <c r="F308" t="s">
        <v>6941</v>
      </c>
      <c r="G308" t="s">
        <v>6990</v>
      </c>
      <c r="H308" t="s">
        <v>6991</v>
      </c>
      <c r="I308" t="s">
        <v>6053</v>
      </c>
      <c r="J308" t="s">
        <v>6914</v>
      </c>
      <c r="K308" t="s">
        <v>6915</v>
      </c>
      <c r="L308" t="s">
        <v>6916</v>
      </c>
    </row>
    <row r="309" spans="1:12" x14ac:dyDescent="0.25">
      <c r="A309" t="s">
        <v>5766</v>
      </c>
      <c r="B309" t="s">
        <v>828</v>
      </c>
      <c r="C309" s="1" t="s">
        <v>947</v>
      </c>
      <c r="D309" s="1" t="s">
        <v>947</v>
      </c>
      <c r="E309" t="s">
        <v>949</v>
      </c>
      <c r="F309" t="s">
        <v>6926</v>
      </c>
      <c r="G309" t="s">
        <v>6992</v>
      </c>
      <c r="H309" t="s">
        <v>6993</v>
      </c>
      <c r="I309" t="s">
        <v>5915</v>
      </c>
      <c r="J309" t="s">
        <v>6914</v>
      </c>
      <c r="K309" t="s">
        <v>6915</v>
      </c>
      <c r="L309" t="s">
        <v>6916</v>
      </c>
    </row>
    <row r="310" spans="1:12" x14ac:dyDescent="0.25">
      <c r="A310" t="s">
        <v>5766</v>
      </c>
      <c r="B310" t="s">
        <v>828</v>
      </c>
      <c r="C310" s="1" t="s">
        <v>951</v>
      </c>
      <c r="D310" s="1" t="s">
        <v>951</v>
      </c>
      <c r="E310" t="s">
        <v>953</v>
      </c>
      <c r="F310" t="s">
        <v>6938</v>
      </c>
      <c r="G310" t="s">
        <v>6994</v>
      </c>
      <c r="H310" t="s">
        <v>6995</v>
      </c>
      <c r="I310" t="s">
        <v>6053</v>
      </c>
      <c r="J310" t="s">
        <v>6914</v>
      </c>
      <c r="K310" t="s">
        <v>6915</v>
      </c>
      <c r="L310" t="s">
        <v>6916</v>
      </c>
    </row>
    <row r="311" spans="1:12" x14ac:dyDescent="0.25">
      <c r="A311" t="s">
        <v>5766</v>
      </c>
      <c r="B311" t="s">
        <v>828</v>
      </c>
      <c r="C311" s="1" t="s">
        <v>955</v>
      </c>
      <c r="D311" s="1" t="s">
        <v>955</v>
      </c>
      <c r="E311" t="s">
        <v>957</v>
      </c>
      <c r="F311" t="s">
        <v>6926</v>
      </c>
      <c r="G311" t="s">
        <v>6996</v>
      </c>
      <c r="H311" t="s">
        <v>6997</v>
      </c>
      <c r="I311" t="s">
        <v>6937</v>
      </c>
      <c r="J311" t="s">
        <v>6914</v>
      </c>
      <c r="K311" t="s">
        <v>6915</v>
      </c>
      <c r="L311" t="s">
        <v>6916</v>
      </c>
    </row>
    <row r="312" spans="1:12" x14ac:dyDescent="0.25">
      <c r="A312" t="s">
        <v>5766</v>
      </c>
      <c r="B312" t="s">
        <v>828</v>
      </c>
      <c r="C312" s="1" t="s">
        <v>959</v>
      </c>
      <c r="D312" s="1" t="s">
        <v>959</v>
      </c>
      <c r="E312" t="s">
        <v>960</v>
      </c>
      <c r="F312" t="s">
        <v>6962</v>
      </c>
      <c r="G312" t="s">
        <v>6998</v>
      </c>
      <c r="H312" t="s">
        <v>6999</v>
      </c>
      <c r="I312" t="s">
        <v>5864</v>
      </c>
      <c r="J312" t="s">
        <v>6914</v>
      </c>
      <c r="K312" t="s">
        <v>6915</v>
      </c>
      <c r="L312" t="s">
        <v>6916</v>
      </c>
    </row>
    <row r="313" spans="1:12" x14ac:dyDescent="0.25">
      <c r="A313" t="s">
        <v>5766</v>
      </c>
      <c r="B313" t="s">
        <v>828</v>
      </c>
      <c r="C313" s="1" t="s">
        <v>962</v>
      </c>
      <c r="D313" s="1" t="s">
        <v>962</v>
      </c>
      <c r="E313" t="s">
        <v>964</v>
      </c>
      <c r="F313" t="s">
        <v>7000</v>
      </c>
      <c r="G313" t="s">
        <v>7001</v>
      </c>
      <c r="H313" t="s">
        <v>7002</v>
      </c>
      <c r="I313" t="s">
        <v>7003</v>
      </c>
      <c r="J313" t="s">
        <v>6914</v>
      </c>
      <c r="K313" t="s">
        <v>6915</v>
      </c>
      <c r="L313" t="s">
        <v>6916</v>
      </c>
    </row>
    <row r="314" spans="1:12" x14ac:dyDescent="0.25">
      <c r="A314" t="s">
        <v>5766</v>
      </c>
      <c r="B314" t="s">
        <v>828</v>
      </c>
      <c r="C314" s="1" t="s">
        <v>966</v>
      </c>
      <c r="D314" s="1" t="s">
        <v>966</v>
      </c>
      <c r="E314" t="s">
        <v>968</v>
      </c>
      <c r="F314" t="s">
        <v>7000</v>
      </c>
      <c r="G314" t="s">
        <v>7004</v>
      </c>
      <c r="H314" t="s">
        <v>7005</v>
      </c>
      <c r="I314" t="s">
        <v>6934</v>
      </c>
      <c r="J314" t="s">
        <v>6914</v>
      </c>
      <c r="K314" t="s">
        <v>6915</v>
      </c>
      <c r="L314" t="s">
        <v>6916</v>
      </c>
    </row>
    <row r="315" spans="1:12" x14ac:dyDescent="0.25">
      <c r="A315" t="s">
        <v>5766</v>
      </c>
      <c r="B315" t="s">
        <v>828</v>
      </c>
      <c r="C315" s="1" t="s">
        <v>970</v>
      </c>
      <c r="D315" s="1" t="s">
        <v>970</v>
      </c>
      <c r="E315" t="s">
        <v>972</v>
      </c>
      <c r="F315" t="s">
        <v>7000</v>
      </c>
      <c r="G315" t="s">
        <v>7006</v>
      </c>
      <c r="H315" t="s">
        <v>7007</v>
      </c>
      <c r="I315" t="s">
        <v>6920</v>
      </c>
      <c r="J315" t="s">
        <v>6914</v>
      </c>
      <c r="K315" t="s">
        <v>6915</v>
      </c>
      <c r="L315" t="s">
        <v>6916</v>
      </c>
    </row>
    <row r="316" spans="1:12" x14ac:dyDescent="0.25">
      <c r="A316" t="s">
        <v>5766</v>
      </c>
      <c r="B316" t="s">
        <v>828</v>
      </c>
      <c r="C316" s="1" t="s">
        <v>974</v>
      </c>
      <c r="D316" s="1" t="s">
        <v>974</v>
      </c>
      <c r="E316" t="s">
        <v>976</v>
      </c>
      <c r="F316" t="s">
        <v>6910</v>
      </c>
      <c r="G316" t="s">
        <v>7008</v>
      </c>
      <c r="H316" t="s">
        <v>7009</v>
      </c>
      <c r="I316" t="s">
        <v>7010</v>
      </c>
      <c r="J316" t="s">
        <v>6914</v>
      </c>
      <c r="K316" t="s">
        <v>6915</v>
      </c>
      <c r="L316" t="s">
        <v>6916</v>
      </c>
    </row>
    <row r="317" spans="1:12" x14ac:dyDescent="0.25">
      <c r="A317" t="s">
        <v>5766</v>
      </c>
      <c r="B317" t="s">
        <v>828</v>
      </c>
      <c r="C317" s="1" t="s">
        <v>978</v>
      </c>
      <c r="D317" s="1" t="s">
        <v>978</v>
      </c>
      <c r="E317" t="s">
        <v>980</v>
      </c>
      <c r="F317" t="s">
        <v>6941</v>
      </c>
      <c r="G317" t="s">
        <v>7011</v>
      </c>
      <c r="H317" t="s">
        <v>7012</v>
      </c>
      <c r="I317" t="s">
        <v>6116</v>
      </c>
      <c r="J317" t="s">
        <v>6914</v>
      </c>
      <c r="K317" t="s">
        <v>6915</v>
      </c>
      <c r="L317" t="s">
        <v>6916</v>
      </c>
    </row>
    <row r="318" spans="1:12" x14ac:dyDescent="0.25">
      <c r="A318" t="s">
        <v>5766</v>
      </c>
      <c r="B318" t="s">
        <v>828</v>
      </c>
      <c r="C318" s="1" t="s">
        <v>982</v>
      </c>
      <c r="D318" s="1" t="s">
        <v>982</v>
      </c>
      <c r="E318" t="s">
        <v>984</v>
      </c>
      <c r="F318" t="s">
        <v>7013</v>
      </c>
      <c r="G318" t="s">
        <v>7014</v>
      </c>
      <c r="H318" t="s">
        <v>7015</v>
      </c>
      <c r="I318" t="s">
        <v>6903</v>
      </c>
      <c r="J318" t="s">
        <v>6914</v>
      </c>
      <c r="K318" t="s">
        <v>6915</v>
      </c>
      <c r="L318" t="s">
        <v>6916</v>
      </c>
    </row>
    <row r="319" spans="1:12" x14ac:dyDescent="0.25">
      <c r="A319" t="s">
        <v>5766</v>
      </c>
      <c r="B319" t="s">
        <v>828</v>
      </c>
      <c r="C319" s="1" t="s">
        <v>986</v>
      </c>
      <c r="D319" s="1" t="s">
        <v>986</v>
      </c>
      <c r="E319" t="s">
        <v>988</v>
      </c>
      <c r="F319" t="s">
        <v>6938</v>
      </c>
      <c r="G319" t="s">
        <v>7016</v>
      </c>
      <c r="H319" t="s">
        <v>7017</v>
      </c>
      <c r="I319" t="s">
        <v>6116</v>
      </c>
      <c r="J319" t="s">
        <v>6914</v>
      </c>
      <c r="K319" t="s">
        <v>6915</v>
      </c>
      <c r="L319" t="s">
        <v>6916</v>
      </c>
    </row>
    <row r="320" spans="1:12" x14ac:dyDescent="0.25">
      <c r="A320" t="s">
        <v>5766</v>
      </c>
      <c r="B320" t="s">
        <v>828</v>
      </c>
      <c r="C320" s="1" t="s">
        <v>990</v>
      </c>
      <c r="D320" s="1" t="s">
        <v>990</v>
      </c>
      <c r="E320" t="s">
        <v>992</v>
      </c>
      <c r="F320" t="s">
        <v>6910</v>
      </c>
      <c r="G320" t="s">
        <v>7018</v>
      </c>
      <c r="H320" t="s">
        <v>7019</v>
      </c>
      <c r="I320" t="s">
        <v>6937</v>
      </c>
      <c r="J320" t="s">
        <v>6914</v>
      </c>
      <c r="K320" t="s">
        <v>6915</v>
      </c>
      <c r="L320" t="s">
        <v>6916</v>
      </c>
    </row>
    <row r="321" spans="1:12" x14ac:dyDescent="0.25">
      <c r="A321" t="s">
        <v>5766</v>
      </c>
      <c r="B321" t="s">
        <v>828</v>
      </c>
      <c r="C321" s="1" t="s">
        <v>994</v>
      </c>
      <c r="D321" s="1" t="s">
        <v>994</v>
      </c>
      <c r="E321" t="s">
        <v>996</v>
      </c>
      <c r="F321" t="s">
        <v>6917</v>
      </c>
      <c r="G321" t="s">
        <v>7020</v>
      </c>
      <c r="H321" t="s">
        <v>7021</v>
      </c>
      <c r="I321" t="s">
        <v>6913</v>
      </c>
      <c r="J321" t="s">
        <v>6914</v>
      </c>
      <c r="K321" t="s">
        <v>6915</v>
      </c>
      <c r="L321" t="s">
        <v>6916</v>
      </c>
    </row>
    <row r="322" spans="1:12" x14ac:dyDescent="0.25">
      <c r="A322" t="s">
        <v>5766</v>
      </c>
      <c r="B322" t="s">
        <v>828</v>
      </c>
      <c r="C322" s="1" t="s">
        <v>998</v>
      </c>
      <c r="D322" s="1" t="s">
        <v>998</v>
      </c>
      <c r="E322" t="s">
        <v>1000</v>
      </c>
      <c r="F322" t="s">
        <v>6929</v>
      </c>
      <c r="G322" t="s">
        <v>7022</v>
      </c>
      <c r="H322" t="s">
        <v>7023</v>
      </c>
      <c r="I322" t="s">
        <v>5864</v>
      </c>
      <c r="J322" t="s">
        <v>6914</v>
      </c>
      <c r="K322" t="s">
        <v>6915</v>
      </c>
      <c r="L322" t="s">
        <v>6916</v>
      </c>
    </row>
    <row r="323" spans="1:12" x14ac:dyDescent="0.25">
      <c r="A323" t="s">
        <v>5766</v>
      </c>
      <c r="B323" t="s">
        <v>828</v>
      </c>
      <c r="C323" s="1" t="s">
        <v>1002</v>
      </c>
      <c r="D323" s="1" t="s">
        <v>1002</v>
      </c>
      <c r="E323" t="s">
        <v>1004</v>
      </c>
      <c r="F323" t="s">
        <v>6926</v>
      </c>
      <c r="G323" t="s">
        <v>7024</v>
      </c>
      <c r="H323" t="s">
        <v>7025</v>
      </c>
      <c r="I323" t="s">
        <v>6116</v>
      </c>
      <c r="J323" t="s">
        <v>6914</v>
      </c>
      <c r="K323" t="s">
        <v>6915</v>
      </c>
      <c r="L323" t="s">
        <v>6916</v>
      </c>
    </row>
    <row r="324" spans="1:12" x14ac:dyDescent="0.25">
      <c r="A324" t="s">
        <v>5766</v>
      </c>
      <c r="B324" t="s">
        <v>828</v>
      </c>
      <c r="C324" s="1" t="s">
        <v>1006</v>
      </c>
      <c r="D324" s="1" t="s">
        <v>1006</v>
      </c>
      <c r="E324" t="s">
        <v>1007</v>
      </c>
      <c r="F324" t="s">
        <v>6959</v>
      </c>
      <c r="G324" t="s">
        <v>7026</v>
      </c>
      <c r="H324" t="s">
        <v>7027</v>
      </c>
      <c r="I324" t="s">
        <v>7028</v>
      </c>
      <c r="J324" t="s">
        <v>6914</v>
      </c>
      <c r="K324" t="s">
        <v>6915</v>
      </c>
      <c r="L324" t="s">
        <v>6916</v>
      </c>
    </row>
    <row r="325" spans="1:12" x14ac:dyDescent="0.25">
      <c r="A325" t="s">
        <v>5766</v>
      </c>
      <c r="B325" t="s">
        <v>828</v>
      </c>
      <c r="C325" s="1" t="s">
        <v>1009</v>
      </c>
      <c r="D325" s="1" t="s">
        <v>1009</v>
      </c>
      <c r="E325" t="s">
        <v>1011</v>
      </c>
      <c r="F325" t="s">
        <v>6938</v>
      </c>
      <c r="G325" t="s">
        <v>7029</v>
      </c>
      <c r="H325" t="s">
        <v>7030</v>
      </c>
      <c r="I325" t="s">
        <v>6937</v>
      </c>
      <c r="J325" t="s">
        <v>6914</v>
      </c>
      <c r="K325" t="s">
        <v>6915</v>
      </c>
      <c r="L325" t="s">
        <v>6916</v>
      </c>
    </row>
    <row r="326" spans="1:12" x14ac:dyDescent="0.25">
      <c r="A326" t="s">
        <v>5766</v>
      </c>
      <c r="B326" t="s">
        <v>828</v>
      </c>
      <c r="C326" s="1" t="s">
        <v>1013</v>
      </c>
      <c r="D326" s="1" t="s">
        <v>1013</v>
      </c>
      <c r="E326" t="s">
        <v>1014</v>
      </c>
      <c r="F326" t="s">
        <v>6910</v>
      </c>
      <c r="G326" t="s">
        <v>7031</v>
      </c>
      <c r="H326" t="s">
        <v>7032</v>
      </c>
      <c r="I326" t="s">
        <v>6937</v>
      </c>
      <c r="J326" t="s">
        <v>6914</v>
      </c>
      <c r="K326" t="s">
        <v>6915</v>
      </c>
      <c r="L326" t="s">
        <v>6916</v>
      </c>
    </row>
    <row r="327" spans="1:12" x14ac:dyDescent="0.25">
      <c r="A327" t="s">
        <v>5766</v>
      </c>
      <c r="B327" t="s">
        <v>828</v>
      </c>
      <c r="C327" s="1" t="s">
        <v>1016</v>
      </c>
      <c r="D327" s="1" t="s">
        <v>1016</v>
      </c>
      <c r="E327" t="s">
        <v>1018</v>
      </c>
      <c r="F327" t="s">
        <v>6959</v>
      </c>
      <c r="G327" t="s">
        <v>7033</v>
      </c>
      <c r="H327" t="s">
        <v>7034</v>
      </c>
      <c r="I327" t="s">
        <v>7028</v>
      </c>
      <c r="J327" t="s">
        <v>6914</v>
      </c>
      <c r="K327" t="s">
        <v>6915</v>
      </c>
      <c r="L327" t="s">
        <v>6916</v>
      </c>
    </row>
    <row r="328" spans="1:12" x14ac:dyDescent="0.25">
      <c r="A328" t="s">
        <v>5766</v>
      </c>
      <c r="B328" t="s">
        <v>828</v>
      </c>
      <c r="C328" s="1" t="s">
        <v>1020</v>
      </c>
      <c r="D328" s="1" t="s">
        <v>1020</v>
      </c>
      <c r="E328" t="s">
        <v>1021</v>
      </c>
      <c r="F328" t="s">
        <v>6921</v>
      </c>
      <c r="G328" t="s">
        <v>7035</v>
      </c>
      <c r="H328" t="s">
        <v>7036</v>
      </c>
      <c r="I328" t="s">
        <v>7003</v>
      </c>
      <c r="J328" t="s">
        <v>6914</v>
      </c>
      <c r="K328" t="s">
        <v>6915</v>
      </c>
      <c r="L328" t="s">
        <v>6916</v>
      </c>
    </row>
    <row r="329" spans="1:12" x14ac:dyDescent="0.25">
      <c r="A329" t="s">
        <v>5766</v>
      </c>
      <c r="B329" t="s">
        <v>828</v>
      </c>
      <c r="C329" s="1" t="s">
        <v>1023</v>
      </c>
      <c r="D329" s="1" t="s">
        <v>1023</v>
      </c>
      <c r="E329" t="s">
        <v>1025</v>
      </c>
      <c r="F329" t="s">
        <v>6926</v>
      </c>
      <c r="G329" t="s">
        <v>7037</v>
      </c>
      <c r="H329" t="s">
        <v>7038</v>
      </c>
      <c r="I329" t="s">
        <v>6116</v>
      </c>
      <c r="J329" t="s">
        <v>6914</v>
      </c>
      <c r="K329" t="s">
        <v>6915</v>
      </c>
      <c r="L329" t="s">
        <v>6916</v>
      </c>
    </row>
    <row r="330" spans="1:12" x14ac:dyDescent="0.25">
      <c r="A330" t="s">
        <v>5766</v>
      </c>
      <c r="B330" t="s">
        <v>828</v>
      </c>
      <c r="C330" s="1" t="s">
        <v>1027</v>
      </c>
      <c r="D330" s="1" t="s">
        <v>1027</v>
      </c>
      <c r="E330" t="s">
        <v>1029</v>
      </c>
      <c r="F330" t="s">
        <v>6959</v>
      </c>
      <c r="G330" t="s">
        <v>7039</v>
      </c>
      <c r="H330" t="s">
        <v>7040</v>
      </c>
      <c r="I330" t="s">
        <v>6934</v>
      </c>
      <c r="J330" t="s">
        <v>6914</v>
      </c>
      <c r="K330" t="s">
        <v>6915</v>
      </c>
      <c r="L330" t="s">
        <v>6916</v>
      </c>
    </row>
    <row r="331" spans="1:12" x14ac:dyDescent="0.25">
      <c r="A331" t="s">
        <v>5766</v>
      </c>
      <c r="B331" t="s">
        <v>828</v>
      </c>
      <c r="C331" s="1" t="s">
        <v>1031</v>
      </c>
      <c r="D331" s="1" t="s">
        <v>1031</v>
      </c>
      <c r="E331" t="s">
        <v>1033</v>
      </c>
      <c r="F331" t="s">
        <v>7041</v>
      </c>
      <c r="G331" t="s">
        <v>7042</v>
      </c>
      <c r="H331" t="s">
        <v>7043</v>
      </c>
      <c r="I331" t="s">
        <v>6954</v>
      </c>
      <c r="J331" t="s">
        <v>6914</v>
      </c>
      <c r="K331" t="s">
        <v>6915</v>
      </c>
      <c r="L331" t="s">
        <v>6916</v>
      </c>
    </row>
    <row r="332" spans="1:12" x14ac:dyDescent="0.25">
      <c r="A332" t="s">
        <v>5766</v>
      </c>
      <c r="B332" t="s">
        <v>828</v>
      </c>
      <c r="C332" s="1" t="s">
        <v>1035</v>
      </c>
      <c r="D332" s="1" t="s">
        <v>1035</v>
      </c>
      <c r="E332" t="s">
        <v>1037</v>
      </c>
      <c r="F332" t="s">
        <v>7000</v>
      </c>
      <c r="G332" t="s">
        <v>7044</v>
      </c>
      <c r="H332" t="s">
        <v>7045</v>
      </c>
      <c r="I332" t="s">
        <v>6920</v>
      </c>
      <c r="J332" t="s">
        <v>6914</v>
      </c>
      <c r="K332" t="s">
        <v>6915</v>
      </c>
      <c r="L332" t="s">
        <v>6916</v>
      </c>
    </row>
    <row r="333" spans="1:12" x14ac:dyDescent="0.25">
      <c r="A333" t="s">
        <v>5766</v>
      </c>
      <c r="B333" t="s">
        <v>828</v>
      </c>
      <c r="C333" s="1" t="s">
        <v>1039</v>
      </c>
      <c r="D333" s="1" t="s">
        <v>1039</v>
      </c>
      <c r="E333" t="s">
        <v>1041</v>
      </c>
      <c r="F333" t="s">
        <v>7000</v>
      </c>
      <c r="G333" t="s">
        <v>7046</v>
      </c>
      <c r="H333" t="s">
        <v>7047</v>
      </c>
      <c r="I333" t="s">
        <v>6920</v>
      </c>
      <c r="J333" t="s">
        <v>6914</v>
      </c>
      <c r="K333" t="s">
        <v>6915</v>
      </c>
      <c r="L333" t="s">
        <v>6916</v>
      </c>
    </row>
    <row r="334" spans="1:12" x14ac:dyDescent="0.25">
      <c r="A334" t="s">
        <v>5766</v>
      </c>
      <c r="B334" t="s">
        <v>828</v>
      </c>
      <c r="C334" s="1" t="s">
        <v>1043</v>
      </c>
      <c r="D334" s="1" t="s">
        <v>1043</v>
      </c>
      <c r="E334" t="s">
        <v>1045</v>
      </c>
      <c r="F334" t="s">
        <v>7048</v>
      </c>
      <c r="G334" t="s">
        <v>7049</v>
      </c>
      <c r="H334" t="s">
        <v>7050</v>
      </c>
      <c r="I334" t="s">
        <v>6184</v>
      </c>
      <c r="J334" t="s">
        <v>6914</v>
      </c>
      <c r="K334" t="s">
        <v>6915</v>
      </c>
      <c r="L334" t="s">
        <v>6916</v>
      </c>
    </row>
    <row r="335" spans="1:12" x14ac:dyDescent="0.25">
      <c r="A335" t="s">
        <v>5766</v>
      </c>
      <c r="B335" t="s">
        <v>828</v>
      </c>
      <c r="C335" s="1" t="s">
        <v>1047</v>
      </c>
      <c r="D335" s="1" t="s">
        <v>1047</v>
      </c>
      <c r="E335" t="s">
        <v>1049</v>
      </c>
      <c r="F335" t="s">
        <v>6926</v>
      </c>
      <c r="G335" t="s">
        <v>7051</v>
      </c>
      <c r="H335" t="s">
        <v>7052</v>
      </c>
      <c r="I335" t="s">
        <v>6053</v>
      </c>
      <c r="J335" t="s">
        <v>6914</v>
      </c>
      <c r="K335" t="s">
        <v>6915</v>
      </c>
      <c r="L335" t="s">
        <v>6916</v>
      </c>
    </row>
    <row r="336" spans="1:12" x14ac:dyDescent="0.25">
      <c r="A336" t="s">
        <v>5766</v>
      </c>
      <c r="B336" t="s">
        <v>828</v>
      </c>
      <c r="C336" s="1" t="s">
        <v>1051</v>
      </c>
      <c r="D336" s="1" t="s">
        <v>1051</v>
      </c>
      <c r="E336" t="s">
        <v>1053</v>
      </c>
      <c r="F336" t="s">
        <v>6941</v>
      </c>
      <c r="G336" t="s">
        <v>7053</v>
      </c>
      <c r="H336" t="s">
        <v>7054</v>
      </c>
      <c r="I336" t="s">
        <v>6913</v>
      </c>
      <c r="J336" t="s">
        <v>6914</v>
      </c>
      <c r="K336" t="s">
        <v>6915</v>
      </c>
      <c r="L336" t="s">
        <v>6916</v>
      </c>
    </row>
    <row r="337" spans="1:12" x14ac:dyDescent="0.25">
      <c r="A337" t="s">
        <v>5766</v>
      </c>
      <c r="B337" t="s">
        <v>828</v>
      </c>
      <c r="C337" s="1" t="s">
        <v>1055</v>
      </c>
      <c r="D337" s="1" t="s">
        <v>1055</v>
      </c>
      <c r="E337" t="s">
        <v>1057</v>
      </c>
      <c r="F337" t="s">
        <v>6926</v>
      </c>
      <c r="G337" t="s">
        <v>7055</v>
      </c>
      <c r="H337" t="s">
        <v>7056</v>
      </c>
      <c r="I337" t="s">
        <v>6116</v>
      </c>
      <c r="J337" t="s">
        <v>6914</v>
      </c>
      <c r="K337" t="s">
        <v>6915</v>
      </c>
      <c r="L337" t="s">
        <v>6916</v>
      </c>
    </row>
    <row r="338" spans="1:12" x14ac:dyDescent="0.25">
      <c r="A338" t="s">
        <v>5766</v>
      </c>
      <c r="B338" t="s">
        <v>828</v>
      </c>
      <c r="C338" s="1" t="s">
        <v>1059</v>
      </c>
      <c r="D338" s="1" t="s">
        <v>1059</v>
      </c>
      <c r="E338" t="s">
        <v>1061</v>
      </c>
      <c r="F338" t="s">
        <v>6926</v>
      </c>
      <c r="G338" t="s">
        <v>7057</v>
      </c>
      <c r="H338" t="s">
        <v>7058</v>
      </c>
      <c r="I338" t="s">
        <v>6116</v>
      </c>
      <c r="J338" t="s">
        <v>6914</v>
      </c>
      <c r="K338" t="s">
        <v>6915</v>
      </c>
      <c r="L338" t="s">
        <v>6916</v>
      </c>
    </row>
    <row r="339" spans="1:12" x14ac:dyDescent="0.25">
      <c r="A339" t="s">
        <v>5766</v>
      </c>
      <c r="B339" t="s">
        <v>828</v>
      </c>
      <c r="C339" s="1" t="s">
        <v>1063</v>
      </c>
      <c r="D339" s="1" t="s">
        <v>1063</v>
      </c>
      <c r="E339" t="s">
        <v>1064</v>
      </c>
      <c r="F339" t="s">
        <v>6938</v>
      </c>
      <c r="G339" t="s">
        <v>7059</v>
      </c>
      <c r="H339" t="s">
        <v>7060</v>
      </c>
      <c r="I339" t="s">
        <v>6937</v>
      </c>
      <c r="J339" t="s">
        <v>6914</v>
      </c>
      <c r="K339" t="s">
        <v>6915</v>
      </c>
      <c r="L339" t="s">
        <v>6916</v>
      </c>
    </row>
    <row r="340" spans="1:12" x14ac:dyDescent="0.25">
      <c r="A340" t="s">
        <v>5766</v>
      </c>
      <c r="B340" t="s">
        <v>828</v>
      </c>
      <c r="C340" s="1" t="s">
        <v>1066</v>
      </c>
      <c r="D340" s="1" t="s">
        <v>1066</v>
      </c>
      <c r="E340" t="s">
        <v>1068</v>
      </c>
      <c r="F340" t="s">
        <v>6926</v>
      </c>
      <c r="G340" t="s">
        <v>7061</v>
      </c>
      <c r="H340" t="s">
        <v>7062</v>
      </c>
      <c r="I340" t="s">
        <v>6913</v>
      </c>
      <c r="J340" t="s">
        <v>6914</v>
      </c>
      <c r="K340" t="s">
        <v>6915</v>
      </c>
      <c r="L340" t="s">
        <v>6916</v>
      </c>
    </row>
    <row r="341" spans="1:12" x14ac:dyDescent="0.25">
      <c r="A341" t="s">
        <v>5766</v>
      </c>
      <c r="B341" t="s">
        <v>828</v>
      </c>
      <c r="C341" s="1" t="s">
        <v>1070</v>
      </c>
      <c r="D341" s="1" t="s">
        <v>1070</v>
      </c>
      <c r="E341" t="s">
        <v>1072</v>
      </c>
      <c r="F341" t="s">
        <v>6921</v>
      </c>
      <c r="G341" t="s">
        <v>7063</v>
      </c>
      <c r="H341" t="s">
        <v>7064</v>
      </c>
      <c r="I341" t="s">
        <v>6920</v>
      </c>
      <c r="J341" t="s">
        <v>6914</v>
      </c>
      <c r="K341" t="s">
        <v>6915</v>
      </c>
      <c r="L341" t="s">
        <v>6916</v>
      </c>
    </row>
    <row r="342" spans="1:12" x14ac:dyDescent="0.25">
      <c r="A342" t="s">
        <v>5766</v>
      </c>
      <c r="B342" t="s">
        <v>828</v>
      </c>
      <c r="C342" s="1" t="s">
        <v>1074</v>
      </c>
      <c r="D342" s="1" t="s">
        <v>1074</v>
      </c>
      <c r="E342" t="s">
        <v>1076</v>
      </c>
      <c r="F342" t="s">
        <v>6921</v>
      </c>
      <c r="G342" t="s">
        <v>7065</v>
      </c>
      <c r="H342" t="s">
        <v>7066</v>
      </c>
      <c r="I342" t="s">
        <v>5915</v>
      </c>
      <c r="J342" t="s">
        <v>6914</v>
      </c>
      <c r="K342" t="s">
        <v>6915</v>
      </c>
      <c r="L342" t="s">
        <v>6916</v>
      </c>
    </row>
    <row r="343" spans="1:12" x14ac:dyDescent="0.25">
      <c r="A343" t="s">
        <v>5766</v>
      </c>
      <c r="B343" t="s">
        <v>828</v>
      </c>
      <c r="C343" s="1" t="s">
        <v>1078</v>
      </c>
      <c r="D343" s="1" t="s">
        <v>1078</v>
      </c>
      <c r="E343" t="s">
        <v>1080</v>
      </c>
      <c r="F343" t="s">
        <v>6941</v>
      </c>
      <c r="G343" t="s">
        <v>7067</v>
      </c>
      <c r="H343" t="s">
        <v>7068</v>
      </c>
      <c r="I343" t="s">
        <v>6116</v>
      </c>
      <c r="J343" t="s">
        <v>6914</v>
      </c>
      <c r="K343" t="s">
        <v>6915</v>
      </c>
      <c r="L343" t="s">
        <v>6916</v>
      </c>
    </row>
    <row r="344" spans="1:12" x14ac:dyDescent="0.25">
      <c r="A344" t="s">
        <v>5766</v>
      </c>
      <c r="B344" t="s">
        <v>828</v>
      </c>
      <c r="C344" s="1" t="s">
        <v>1082</v>
      </c>
      <c r="D344" s="1" t="s">
        <v>1082</v>
      </c>
      <c r="E344" t="s">
        <v>1084</v>
      </c>
      <c r="F344" t="s">
        <v>6926</v>
      </c>
      <c r="G344" t="s">
        <v>7069</v>
      </c>
      <c r="H344" t="s">
        <v>7070</v>
      </c>
      <c r="I344" t="s">
        <v>6937</v>
      </c>
      <c r="J344" t="s">
        <v>6914</v>
      </c>
      <c r="K344" t="s">
        <v>6915</v>
      </c>
      <c r="L344" t="s">
        <v>6916</v>
      </c>
    </row>
    <row r="345" spans="1:12" x14ac:dyDescent="0.25">
      <c r="A345" t="s">
        <v>5766</v>
      </c>
      <c r="B345" t="s">
        <v>828</v>
      </c>
      <c r="C345" s="1" t="s">
        <v>1086</v>
      </c>
      <c r="D345" s="1" t="s">
        <v>1086</v>
      </c>
      <c r="E345" t="s">
        <v>1087</v>
      </c>
      <c r="F345" t="s">
        <v>6926</v>
      </c>
      <c r="G345" t="s">
        <v>7071</v>
      </c>
      <c r="H345" t="s">
        <v>7072</v>
      </c>
      <c r="I345" t="s">
        <v>6913</v>
      </c>
      <c r="J345" t="s">
        <v>6914</v>
      </c>
      <c r="K345" t="s">
        <v>6915</v>
      </c>
      <c r="L345" t="s">
        <v>6916</v>
      </c>
    </row>
    <row r="346" spans="1:12" x14ac:dyDescent="0.25">
      <c r="A346" t="s">
        <v>5766</v>
      </c>
      <c r="B346" t="s">
        <v>828</v>
      </c>
      <c r="C346" s="1" t="s">
        <v>1089</v>
      </c>
      <c r="D346" s="1" t="s">
        <v>1089</v>
      </c>
      <c r="E346" t="s">
        <v>1091</v>
      </c>
      <c r="F346" t="s">
        <v>6941</v>
      </c>
      <c r="G346" t="s">
        <v>7073</v>
      </c>
      <c r="H346" t="s">
        <v>7074</v>
      </c>
      <c r="I346" t="s">
        <v>6913</v>
      </c>
      <c r="J346" t="s">
        <v>6914</v>
      </c>
      <c r="K346" t="s">
        <v>6915</v>
      </c>
      <c r="L346" t="s">
        <v>6916</v>
      </c>
    </row>
    <row r="347" spans="1:12" x14ac:dyDescent="0.25">
      <c r="A347" t="s">
        <v>5766</v>
      </c>
      <c r="B347" t="s">
        <v>828</v>
      </c>
      <c r="C347" s="1" t="s">
        <v>1093</v>
      </c>
      <c r="D347" s="1" t="s">
        <v>1093</v>
      </c>
      <c r="E347" t="s">
        <v>1095</v>
      </c>
      <c r="F347" t="s">
        <v>6926</v>
      </c>
      <c r="G347" t="s">
        <v>7075</v>
      </c>
      <c r="H347" t="s">
        <v>7076</v>
      </c>
      <c r="I347" t="s">
        <v>6053</v>
      </c>
      <c r="J347" t="s">
        <v>6914</v>
      </c>
      <c r="K347" t="s">
        <v>6915</v>
      </c>
      <c r="L347" t="s">
        <v>6916</v>
      </c>
    </row>
    <row r="348" spans="1:12" x14ac:dyDescent="0.25">
      <c r="A348" t="s">
        <v>5766</v>
      </c>
      <c r="B348" t="s">
        <v>828</v>
      </c>
      <c r="C348" s="1" t="s">
        <v>1097</v>
      </c>
      <c r="D348" s="1" t="s">
        <v>1097</v>
      </c>
      <c r="E348" t="s">
        <v>1099</v>
      </c>
      <c r="F348" t="s">
        <v>7000</v>
      </c>
      <c r="G348" t="s">
        <v>7077</v>
      </c>
      <c r="H348" t="s">
        <v>7078</v>
      </c>
      <c r="I348" t="s">
        <v>6934</v>
      </c>
      <c r="J348" t="s">
        <v>6914</v>
      </c>
      <c r="K348" t="s">
        <v>6915</v>
      </c>
      <c r="L348" t="s">
        <v>6916</v>
      </c>
    </row>
    <row r="349" spans="1:12" x14ac:dyDescent="0.25">
      <c r="A349" t="s">
        <v>5766</v>
      </c>
      <c r="B349" t="s">
        <v>828</v>
      </c>
      <c r="C349" s="1" t="s">
        <v>1101</v>
      </c>
      <c r="D349" s="1" t="s">
        <v>1101</v>
      </c>
      <c r="E349" t="s">
        <v>1103</v>
      </c>
      <c r="F349" t="s">
        <v>6959</v>
      </c>
      <c r="G349" t="s">
        <v>7079</v>
      </c>
      <c r="H349" t="s">
        <v>7080</v>
      </c>
      <c r="I349" t="s">
        <v>5979</v>
      </c>
      <c r="J349" t="s">
        <v>6914</v>
      </c>
      <c r="K349" t="s">
        <v>6915</v>
      </c>
      <c r="L349" t="s">
        <v>6916</v>
      </c>
    </row>
    <row r="350" spans="1:12" x14ac:dyDescent="0.25">
      <c r="A350" t="s">
        <v>5766</v>
      </c>
      <c r="B350" t="s">
        <v>828</v>
      </c>
      <c r="C350" s="1" t="s">
        <v>1105</v>
      </c>
      <c r="D350" s="1" t="s">
        <v>1105</v>
      </c>
      <c r="E350" t="s">
        <v>1107</v>
      </c>
      <c r="F350" t="s">
        <v>6910</v>
      </c>
      <c r="G350" t="s">
        <v>7081</v>
      </c>
      <c r="H350" t="s">
        <v>7082</v>
      </c>
      <c r="I350" t="s">
        <v>6937</v>
      </c>
      <c r="J350" t="s">
        <v>6914</v>
      </c>
      <c r="K350" t="s">
        <v>6915</v>
      </c>
      <c r="L350" t="s">
        <v>6916</v>
      </c>
    </row>
    <row r="351" spans="1:12" x14ac:dyDescent="0.25">
      <c r="A351" t="s">
        <v>5766</v>
      </c>
      <c r="B351" t="s">
        <v>828</v>
      </c>
      <c r="C351" s="1" t="s">
        <v>1109</v>
      </c>
      <c r="D351" s="1" t="s">
        <v>1109</v>
      </c>
      <c r="E351" t="s">
        <v>1111</v>
      </c>
      <c r="F351" t="s">
        <v>6941</v>
      </c>
      <c r="G351" t="s">
        <v>7083</v>
      </c>
      <c r="H351" t="s">
        <v>7084</v>
      </c>
      <c r="I351" t="s">
        <v>6116</v>
      </c>
      <c r="J351" t="s">
        <v>6914</v>
      </c>
      <c r="K351" t="s">
        <v>6915</v>
      </c>
      <c r="L351" t="s">
        <v>6916</v>
      </c>
    </row>
    <row r="352" spans="1:12" x14ac:dyDescent="0.25">
      <c r="A352" t="s">
        <v>5766</v>
      </c>
      <c r="B352" t="s">
        <v>828</v>
      </c>
      <c r="C352" s="1" t="s">
        <v>1113</v>
      </c>
      <c r="D352" s="1" t="s">
        <v>1113</v>
      </c>
      <c r="E352" t="s">
        <v>1115</v>
      </c>
      <c r="F352" t="s">
        <v>6910</v>
      </c>
      <c r="G352" t="s">
        <v>7085</v>
      </c>
      <c r="H352" t="s">
        <v>7086</v>
      </c>
      <c r="I352" t="s">
        <v>6937</v>
      </c>
      <c r="J352" t="s">
        <v>6914</v>
      </c>
      <c r="K352" t="s">
        <v>6915</v>
      </c>
      <c r="L352" t="s">
        <v>6916</v>
      </c>
    </row>
    <row r="353" spans="1:12" x14ac:dyDescent="0.25">
      <c r="A353" t="s">
        <v>5766</v>
      </c>
      <c r="B353" t="s">
        <v>828</v>
      </c>
      <c r="C353" s="1" t="s">
        <v>1117</v>
      </c>
      <c r="D353" s="1" t="s">
        <v>1117</v>
      </c>
      <c r="E353" t="s">
        <v>1119</v>
      </c>
      <c r="F353" t="s">
        <v>7000</v>
      </c>
      <c r="G353" t="s">
        <v>7087</v>
      </c>
      <c r="H353" t="s">
        <v>7088</v>
      </c>
      <c r="I353" t="s">
        <v>7003</v>
      </c>
      <c r="J353" t="s">
        <v>6914</v>
      </c>
      <c r="K353" t="s">
        <v>6915</v>
      </c>
      <c r="L353" t="s">
        <v>6916</v>
      </c>
    </row>
    <row r="354" spans="1:12" x14ac:dyDescent="0.25">
      <c r="A354" t="s">
        <v>5766</v>
      </c>
      <c r="B354" t="s">
        <v>828</v>
      </c>
      <c r="C354" s="1" t="s">
        <v>1121</v>
      </c>
      <c r="D354" s="1" t="s">
        <v>1121</v>
      </c>
      <c r="E354" t="s">
        <v>1122</v>
      </c>
      <c r="F354" t="s">
        <v>6941</v>
      </c>
      <c r="G354" t="s">
        <v>7089</v>
      </c>
      <c r="H354" t="s">
        <v>7090</v>
      </c>
      <c r="I354" t="s">
        <v>6913</v>
      </c>
      <c r="J354" t="s">
        <v>6914</v>
      </c>
      <c r="K354" t="s">
        <v>6915</v>
      </c>
      <c r="L354" t="s">
        <v>6916</v>
      </c>
    </row>
    <row r="355" spans="1:12" x14ac:dyDescent="0.25">
      <c r="A355" t="s">
        <v>5766</v>
      </c>
      <c r="B355" t="s">
        <v>828</v>
      </c>
      <c r="C355" s="1" t="s">
        <v>1124</v>
      </c>
      <c r="D355" s="1" t="s">
        <v>1124</v>
      </c>
      <c r="E355" t="s">
        <v>1126</v>
      </c>
      <c r="F355" t="s">
        <v>6921</v>
      </c>
      <c r="G355" t="s">
        <v>7091</v>
      </c>
      <c r="H355" t="s">
        <v>7092</v>
      </c>
      <c r="I355" t="s">
        <v>7093</v>
      </c>
      <c r="J355" t="s">
        <v>6914</v>
      </c>
      <c r="K355" t="s">
        <v>6915</v>
      </c>
      <c r="L355" t="s">
        <v>6916</v>
      </c>
    </row>
    <row r="356" spans="1:12" x14ac:dyDescent="0.25">
      <c r="A356" t="s">
        <v>5766</v>
      </c>
      <c r="B356" t="s">
        <v>828</v>
      </c>
      <c r="C356" s="1" t="s">
        <v>1128</v>
      </c>
      <c r="D356" s="1" t="s">
        <v>1128</v>
      </c>
      <c r="E356" t="s">
        <v>1130</v>
      </c>
      <c r="F356" t="s">
        <v>6917</v>
      </c>
      <c r="G356" t="s">
        <v>7094</v>
      </c>
      <c r="H356" t="s">
        <v>7095</v>
      </c>
      <c r="I356" t="s">
        <v>7010</v>
      </c>
      <c r="J356" t="s">
        <v>6914</v>
      </c>
      <c r="K356" t="s">
        <v>6915</v>
      </c>
      <c r="L356" t="s">
        <v>6916</v>
      </c>
    </row>
    <row r="357" spans="1:12" x14ac:dyDescent="0.25">
      <c r="A357" t="s">
        <v>5766</v>
      </c>
      <c r="B357" t="s">
        <v>828</v>
      </c>
      <c r="C357" s="1" t="s">
        <v>1132</v>
      </c>
      <c r="D357" s="1" t="s">
        <v>1132</v>
      </c>
      <c r="E357" t="s">
        <v>1134</v>
      </c>
      <c r="F357" t="s">
        <v>6926</v>
      </c>
      <c r="G357" t="s">
        <v>7096</v>
      </c>
      <c r="H357" t="s">
        <v>7097</v>
      </c>
      <c r="I357" t="s">
        <v>6913</v>
      </c>
      <c r="J357" t="s">
        <v>6914</v>
      </c>
      <c r="K357" t="s">
        <v>6915</v>
      </c>
      <c r="L357" t="s">
        <v>6916</v>
      </c>
    </row>
    <row r="358" spans="1:12" x14ac:dyDescent="0.25">
      <c r="A358" t="s">
        <v>5766</v>
      </c>
      <c r="B358" t="s">
        <v>828</v>
      </c>
      <c r="C358" s="1" t="s">
        <v>1136</v>
      </c>
      <c r="D358" s="1" t="s">
        <v>1136</v>
      </c>
      <c r="E358" t="s">
        <v>1138</v>
      </c>
      <c r="F358" t="s">
        <v>6938</v>
      </c>
      <c r="G358" t="s">
        <v>7098</v>
      </c>
      <c r="H358" t="s">
        <v>7099</v>
      </c>
      <c r="I358" t="s">
        <v>6116</v>
      </c>
      <c r="J358" t="s">
        <v>6914</v>
      </c>
      <c r="K358" t="s">
        <v>6915</v>
      </c>
      <c r="L358" t="s">
        <v>6916</v>
      </c>
    </row>
    <row r="359" spans="1:12" x14ac:dyDescent="0.25">
      <c r="A359" t="s">
        <v>5766</v>
      </c>
      <c r="B359" t="s">
        <v>828</v>
      </c>
      <c r="C359" s="1" t="s">
        <v>1140</v>
      </c>
      <c r="D359" s="1" t="s">
        <v>1140</v>
      </c>
      <c r="E359" t="s">
        <v>1142</v>
      </c>
      <c r="F359" t="s">
        <v>6921</v>
      </c>
      <c r="G359" t="s">
        <v>7100</v>
      </c>
      <c r="H359" t="s">
        <v>7101</v>
      </c>
      <c r="I359" t="s">
        <v>7093</v>
      </c>
      <c r="J359" t="s">
        <v>6914</v>
      </c>
      <c r="K359" t="s">
        <v>6915</v>
      </c>
      <c r="L359" t="s">
        <v>6916</v>
      </c>
    </row>
    <row r="360" spans="1:12" x14ac:dyDescent="0.25">
      <c r="A360" t="s">
        <v>5766</v>
      </c>
      <c r="B360" t="s">
        <v>828</v>
      </c>
      <c r="C360" s="1" t="s">
        <v>1144</v>
      </c>
      <c r="D360" s="1" t="s">
        <v>1144</v>
      </c>
      <c r="E360" t="s">
        <v>1146</v>
      </c>
      <c r="F360" t="s">
        <v>6921</v>
      </c>
      <c r="G360" t="s">
        <v>7102</v>
      </c>
      <c r="H360" t="s">
        <v>7103</v>
      </c>
      <c r="I360" t="s">
        <v>7003</v>
      </c>
      <c r="J360" t="s">
        <v>6914</v>
      </c>
      <c r="K360" t="s">
        <v>6915</v>
      </c>
      <c r="L360" t="s">
        <v>6916</v>
      </c>
    </row>
    <row r="361" spans="1:12" x14ac:dyDescent="0.25">
      <c r="A361" t="s">
        <v>5766</v>
      </c>
      <c r="B361" t="s">
        <v>828</v>
      </c>
      <c r="C361" s="1" t="s">
        <v>1148</v>
      </c>
      <c r="D361" s="1" t="s">
        <v>1148</v>
      </c>
      <c r="E361" t="s">
        <v>1150</v>
      </c>
      <c r="F361" t="s">
        <v>6926</v>
      </c>
      <c r="G361" t="s">
        <v>7104</v>
      </c>
      <c r="H361" t="s">
        <v>7105</v>
      </c>
      <c r="I361" t="s">
        <v>6116</v>
      </c>
      <c r="J361" t="s">
        <v>6914</v>
      </c>
      <c r="K361" t="s">
        <v>6915</v>
      </c>
      <c r="L361" t="s">
        <v>6916</v>
      </c>
    </row>
    <row r="362" spans="1:12" x14ac:dyDescent="0.25">
      <c r="A362" t="s">
        <v>5766</v>
      </c>
      <c r="B362" t="s">
        <v>828</v>
      </c>
      <c r="C362" s="1" t="s">
        <v>1152</v>
      </c>
      <c r="D362" s="1" t="s">
        <v>1152</v>
      </c>
      <c r="E362" t="s">
        <v>1154</v>
      </c>
      <c r="F362" t="s">
        <v>6938</v>
      </c>
      <c r="G362" t="s">
        <v>7106</v>
      </c>
      <c r="H362" t="s">
        <v>7107</v>
      </c>
      <c r="I362" t="s">
        <v>6053</v>
      </c>
      <c r="J362" t="s">
        <v>6914</v>
      </c>
      <c r="K362" t="s">
        <v>6915</v>
      </c>
      <c r="L362" t="s">
        <v>6916</v>
      </c>
    </row>
    <row r="363" spans="1:12" x14ac:dyDescent="0.25">
      <c r="A363" t="s">
        <v>5766</v>
      </c>
      <c r="B363" t="s">
        <v>828</v>
      </c>
      <c r="C363" s="1" t="s">
        <v>1156</v>
      </c>
      <c r="D363" s="1" t="s">
        <v>1156</v>
      </c>
      <c r="E363" t="s">
        <v>1158</v>
      </c>
      <c r="F363" t="s">
        <v>6938</v>
      </c>
      <c r="G363" t="s">
        <v>7108</v>
      </c>
      <c r="H363" t="s">
        <v>7109</v>
      </c>
      <c r="I363" t="s">
        <v>6116</v>
      </c>
      <c r="J363" t="s">
        <v>6914</v>
      </c>
      <c r="K363" t="s">
        <v>6915</v>
      </c>
      <c r="L363" t="s">
        <v>6916</v>
      </c>
    </row>
    <row r="364" spans="1:12" x14ac:dyDescent="0.25">
      <c r="A364" t="s">
        <v>5766</v>
      </c>
      <c r="B364" t="s">
        <v>828</v>
      </c>
      <c r="C364" s="1" t="s">
        <v>1160</v>
      </c>
      <c r="D364" s="1" t="s">
        <v>1160</v>
      </c>
      <c r="E364" t="s">
        <v>1162</v>
      </c>
      <c r="F364" t="s">
        <v>6910</v>
      </c>
      <c r="G364" t="s">
        <v>7110</v>
      </c>
      <c r="H364" t="s">
        <v>7111</v>
      </c>
      <c r="I364" t="s">
        <v>6937</v>
      </c>
      <c r="J364" t="s">
        <v>6914</v>
      </c>
      <c r="K364" t="s">
        <v>6915</v>
      </c>
      <c r="L364" t="s">
        <v>6916</v>
      </c>
    </row>
    <row r="365" spans="1:12" x14ac:dyDescent="0.25">
      <c r="A365" t="s">
        <v>5766</v>
      </c>
      <c r="B365" t="s">
        <v>828</v>
      </c>
      <c r="C365" s="1" t="s">
        <v>1164</v>
      </c>
      <c r="D365" s="1" t="s">
        <v>1164</v>
      </c>
      <c r="E365" t="s">
        <v>1166</v>
      </c>
      <c r="F365" t="s">
        <v>6938</v>
      </c>
      <c r="G365" t="s">
        <v>7112</v>
      </c>
      <c r="H365" t="s">
        <v>7113</v>
      </c>
      <c r="I365" t="s">
        <v>6116</v>
      </c>
      <c r="J365" t="s">
        <v>6914</v>
      </c>
      <c r="K365" t="s">
        <v>6915</v>
      </c>
      <c r="L365" t="s">
        <v>6916</v>
      </c>
    </row>
    <row r="366" spans="1:12" x14ac:dyDescent="0.25">
      <c r="A366" t="s">
        <v>5766</v>
      </c>
      <c r="B366" t="s">
        <v>828</v>
      </c>
      <c r="C366" s="1" t="s">
        <v>1168</v>
      </c>
      <c r="D366" s="1" t="s">
        <v>1168</v>
      </c>
      <c r="E366" t="s">
        <v>1170</v>
      </c>
      <c r="F366" t="s">
        <v>7000</v>
      </c>
      <c r="G366" t="s">
        <v>7114</v>
      </c>
      <c r="H366" t="s">
        <v>7115</v>
      </c>
      <c r="I366" t="s">
        <v>6934</v>
      </c>
      <c r="J366" t="s">
        <v>6914</v>
      </c>
      <c r="K366" t="s">
        <v>6915</v>
      </c>
      <c r="L366" t="s">
        <v>6916</v>
      </c>
    </row>
    <row r="367" spans="1:12" x14ac:dyDescent="0.25">
      <c r="A367" t="s">
        <v>5766</v>
      </c>
      <c r="B367" t="s">
        <v>828</v>
      </c>
      <c r="C367" s="1" t="s">
        <v>1172</v>
      </c>
      <c r="D367" s="1" t="s">
        <v>1172</v>
      </c>
      <c r="E367" t="s">
        <v>1174</v>
      </c>
      <c r="F367" t="s">
        <v>6926</v>
      </c>
      <c r="G367" t="s">
        <v>7116</v>
      </c>
      <c r="H367" t="s">
        <v>7117</v>
      </c>
      <c r="I367" t="s">
        <v>6053</v>
      </c>
      <c r="J367" t="s">
        <v>6914</v>
      </c>
      <c r="K367" t="s">
        <v>6915</v>
      </c>
      <c r="L367" t="s">
        <v>6916</v>
      </c>
    </row>
    <row r="368" spans="1:12" x14ac:dyDescent="0.25">
      <c r="A368" t="s">
        <v>5766</v>
      </c>
      <c r="B368" t="s">
        <v>828</v>
      </c>
      <c r="C368" s="1" t="s">
        <v>1176</v>
      </c>
      <c r="D368" s="1" t="s">
        <v>1176</v>
      </c>
      <c r="E368" t="s">
        <v>1178</v>
      </c>
      <c r="F368" t="s">
        <v>6926</v>
      </c>
      <c r="G368" t="s">
        <v>7118</v>
      </c>
      <c r="H368" t="s">
        <v>7119</v>
      </c>
      <c r="I368" t="s">
        <v>6977</v>
      </c>
      <c r="J368" t="s">
        <v>6914</v>
      </c>
      <c r="K368" t="s">
        <v>6915</v>
      </c>
      <c r="L368" t="s">
        <v>6916</v>
      </c>
    </row>
    <row r="369" spans="1:12" x14ac:dyDescent="0.25">
      <c r="A369" t="s">
        <v>5766</v>
      </c>
      <c r="B369" t="s">
        <v>828</v>
      </c>
      <c r="C369" s="1" t="s">
        <v>1180</v>
      </c>
      <c r="D369" s="1" t="s">
        <v>1180</v>
      </c>
      <c r="E369" t="s">
        <v>1182</v>
      </c>
      <c r="F369" t="s">
        <v>7041</v>
      </c>
      <c r="G369" t="s">
        <v>7120</v>
      </c>
      <c r="H369" t="s">
        <v>7121</v>
      </c>
      <c r="I369" t="s">
        <v>6954</v>
      </c>
      <c r="J369" t="s">
        <v>6914</v>
      </c>
      <c r="K369" t="s">
        <v>6915</v>
      </c>
      <c r="L369" t="s">
        <v>6916</v>
      </c>
    </row>
    <row r="370" spans="1:12" x14ac:dyDescent="0.25">
      <c r="A370" t="s">
        <v>5766</v>
      </c>
      <c r="B370" t="s">
        <v>828</v>
      </c>
      <c r="C370" s="1" t="s">
        <v>1184</v>
      </c>
      <c r="D370" s="1" t="s">
        <v>1184</v>
      </c>
      <c r="E370" t="s">
        <v>1186</v>
      </c>
      <c r="F370" t="s">
        <v>7000</v>
      </c>
      <c r="G370" t="s">
        <v>7122</v>
      </c>
      <c r="H370" t="s">
        <v>7123</v>
      </c>
      <c r="I370" t="s">
        <v>6934</v>
      </c>
      <c r="J370" t="s">
        <v>6914</v>
      </c>
      <c r="K370" t="s">
        <v>6915</v>
      </c>
      <c r="L370" t="s">
        <v>6916</v>
      </c>
    </row>
    <row r="371" spans="1:12" x14ac:dyDescent="0.25">
      <c r="A371" t="s">
        <v>5766</v>
      </c>
      <c r="B371" t="s">
        <v>828</v>
      </c>
      <c r="C371" s="1" t="s">
        <v>1188</v>
      </c>
      <c r="D371" s="1" t="s">
        <v>1188</v>
      </c>
      <c r="E371" t="s">
        <v>1190</v>
      </c>
      <c r="F371" t="s">
        <v>6921</v>
      </c>
      <c r="G371" t="s">
        <v>7124</v>
      </c>
      <c r="H371" t="s">
        <v>7125</v>
      </c>
      <c r="I371" t="s">
        <v>7093</v>
      </c>
      <c r="J371" t="s">
        <v>6914</v>
      </c>
      <c r="K371" t="s">
        <v>6915</v>
      </c>
      <c r="L371" t="s">
        <v>6916</v>
      </c>
    </row>
    <row r="372" spans="1:12" x14ac:dyDescent="0.25">
      <c r="A372" t="s">
        <v>5766</v>
      </c>
      <c r="B372" t="s">
        <v>828</v>
      </c>
      <c r="C372" s="1" t="s">
        <v>1192</v>
      </c>
      <c r="D372" s="1" t="s">
        <v>1192</v>
      </c>
      <c r="E372" t="s">
        <v>1193</v>
      </c>
      <c r="F372" t="s">
        <v>6938</v>
      </c>
      <c r="G372" t="s">
        <v>7126</v>
      </c>
      <c r="H372" t="s">
        <v>7127</v>
      </c>
      <c r="I372" t="s">
        <v>6053</v>
      </c>
      <c r="J372" t="s">
        <v>6914</v>
      </c>
      <c r="K372" t="s">
        <v>6915</v>
      </c>
      <c r="L372" t="s">
        <v>6916</v>
      </c>
    </row>
    <row r="373" spans="1:12" x14ac:dyDescent="0.25">
      <c r="A373" t="s">
        <v>5766</v>
      </c>
      <c r="B373" t="s">
        <v>828</v>
      </c>
      <c r="C373" s="1" t="s">
        <v>1195</v>
      </c>
      <c r="D373" s="1" t="s">
        <v>1195</v>
      </c>
      <c r="E373" t="s">
        <v>1197</v>
      </c>
      <c r="F373" t="s">
        <v>6926</v>
      </c>
      <c r="G373" t="s">
        <v>7128</v>
      </c>
      <c r="H373" t="s">
        <v>7129</v>
      </c>
      <c r="I373" t="s">
        <v>6116</v>
      </c>
      <c r="J373" t="s">
        <v>6914</v>
      </c>
      <c r="K373" t="s">
        <v>6915</v>
      </c>
      <c r="L373" t="s">
        <v>6916</v>
      </c>
    </row>
    <row r="374" spans="1:12" x14ac:dyDescent="0.25">
      <c r="A374" t="s">
        <v>5766</v>
      </c>
      <c r="B374" t="s">
        <v>828</v>
      </c>
      <c r="C374" s="1" t="s">
        <v>1199</v>
      </c>
      <c r="D374" s="1" t="s">
        <v>1199</v>
      </c>
      <c r="E374" t="s">
        <v>1201</v>
      </c>
      <c r="F374" t="s">
        <v>6926</v>
      </c>
      <c r="G374" t="s">
        <v>7130</v>
      </c>
      <c r="H374" t="s">
        <v>7131</v>
      </c>
      <c r="I374" t="s">
        <v>6116</v>
      </c>
      <c r="J374" t="s">
        <v>6914</v>
      </c>
      <c r="K374" t="s">
        <v>6915</v>
      </c>
      <c r="L374" t="s">
        <v>6916</v>
      </c>
    </row>
    <row r="375" spans="1:12" x14ac:dyDescent="0.25">
      <c r="A375" t="s">
        <v>5766</v>
      </c>
      <c r="B375" t="s">
        <v>828</v>
      </c>
      <c r="C375" s="1" t="s">
        <v>1203</v>
      </c>
      <c r="D375" s="1" t="s">
        <v>1203</v>
      </c>
      <c r="E375" t="s">
        <v>1205</v>
      </c>
      <c r="F375" t="s">
        <v>6910</v>
      </c>
      <c r="G375" t="s">
        <v>7132</v>
      </c>
      <c r="H375" t="s">
        <v>7133</v>
      </c>
      <c r="I375" t="s">
        <v>6913</v>
      </c>
      <c r="J375" t="s">
        <v>6914</v>
      </c>
      <c r="K375" t="s">
        <v>6915</v>
      </c>
      <c r="L375" t="s">
        <v>6916</v>
      </c>
    </row>
    <row r="376" spans="1:12" x14ac:dyDescent="0.25">
      <c r="A376" t="s">
        <v>5766</v>
      </c>
      <c r="B376" t="s">
        <v>828</v>
      </c>
      <c r="C376" s="1" t="s">
        <v>1207</v>
      </c>
      <c r="D376" s="1" t="s">
        <v>1207</v>
      </c>
      <c r="E376" t="s">
        <v>1209</v>
      </c>
      <c r="F376" t="s">
        <v>6926</v>
      </c>
      <c r="G376" t="s">
        <v>7134</v>
      </c>
      <c r="H376" t="s">
        <v>7135</v>
      </c>
      <c r="I376" t="s">
        <v>6913</v>
      </c>
      <c r="J376" t="s">
        <v>6914</v>
      </c>
      <c r="K376" t="s">
        <v>6915</v>
      </c>
      <c r="L376" t="s">
        <v>6916</v>
      </c>
    </row>
    <row r="377" spans="1:12" x14ac:dyDescent="0.25">
      <c r="A377" t="s">
        <v>5766</v>
      </c>
      <c r="B377" t="s">
        <v>828</v>
      </c>
      <c r="C377" s="1" t="s">
        <v>1211</v>
      </c>
      <c r="D377" s="1" t="s">
        <v>1211</v>
      </c>
      <c r="E377" t="s">
        <v>1213</v>
      </c>
      <c r="F377" t="s">
        <v>7000</v>
      </c>
      <c r="G377" t="s">
        <v>7136</v>
      </c>
      <c r="H377" t="s">
        <v>7137</v>
      </c>
      <c r="I377" t="s">
        <v>6934</v>
      </c>
      <c r="J377" t="s">
        <v>6914</v>
      </c>
      <c r="K377" t="s">
        <v>6915</v>
      </c>
      <c r="L377" t="s">
        <v>6916</v>
      </c>
    </row>
    <row r="378" spans="1:12" x14ac:dyDescent="0.25">
      <c r="A378" t="s">
        <v>5766</v>
      </c>
      <c r="B378" t="s">
        <v>828</v>
      </c>
      <c r="C378" s="1" t="s">
        <v>1215</v>
      </c>
      <c r="D378" s="1" t="s">
        <v>1215</v>
      </c>
      <c r="E378" t="s">
        <v>1217</v>
      </c>
      <c r="F378" t="s">
        <v>6917</v>
      </c>
      <c r="G378" t="s">
        <v>7138</v>
      </c>
      <c r="H378" t="s">
        <v>7139</v>
      </c>
      <c r="I378" t="s">
        <v>6045</v>
      </c>
      <c r="J378" t="s">
        <v>6914</v>
      </c>
      <c r="K378" t="s">
        <v>6915</v>
      </c>
      <c r="L378" t="s">
        <v>6916</v>
      </c>
    </row>
    <row r="379" spans="1:12" x14ac:dyDescent="0.25">
      <c r="A379" t="s">
        <v>5766</v>
      </c>
      <c r="B379" t="s">
        <v>828</v>
      </c>
      <c r="C379" s="1" t="s">
        <v>1219</v>
      </c>
      <c r="D379" s="1" t="s">
        <v>1219</v>
      </c>
      <c r="E379" t="s">
        <v>1221</v>
      </c>
      <c r="F379" t="s">
        <v>6938</v>
      </c>
      <c r="G379" t="s">
        <v>7140</v>
      </c>
      <c r="H379" t="s">
        <v>7141</v>
      </c>
      <c r="I379" t="s">
        <v>6116</v>
      </c>
      <c r="J379" t="s">
        <v>6914</v>
      </c>
      <c r="K379" t="s">
        <v>6915</v>
      </c>
      <c r="L379" t="s">
        <v>6916</v>
      </c>
    </row>
    <row r="380" spans="1:12" x14ac:dyDescent="0.25">
      <c r="A380" t="s">
        <v>5766</v>
      </c>
      <c r="B380" t="s">
        <v>828</v>
      </c>
      <c r="C380" s="1" t="s">
        <v>1223</v>
      </c>
      <c r="D380" s="1" t="s">
        <v>1223</v>
      </c>
      <c r="E380" t="s">
        <v>1225</v>
      </c>
      <c r="F380" t="s">
        <v>7142</v>
      </c>
      <c r="G380" t="s">
        <v>7143</v>
      </c>
      <c r="H380" t="s">
        <v>7144</v>
      </c>
      <c r="I380" t="s">
        <v>6937</v>
      </c>
      <c r="J380" t="s">
        <v>6914</v>
      </c>
      <c r="K380" t="s">
        <v>6915</v>
      </c>
      <c r="L380" t="s">
        <v>6916</v>
      </c>
    </row>
    <row r="381" spans="1:12" x14ac:dyDescent="0.25">
      <c r="A381" t="s">
        <v>5766</v>
      </c>
      <c r="B381" t="s">
        <v>828</v>
      </c>
      <c r="C381" s="1" t="s">
        <v>1227</v>
      </c>
      <c r="D381" s="1" t="s">
        <v>1227</v>
      </c>
      <c r="E381" t="s">
        <v>1229</v>
      </c>
      <c r="F381" t="s">
        <v>6938</v>
      </c>
      <c r="G381" t="s">
        <v>7145</v>
      </c>
      <c r="H381" t="s">
        <v>7146</v>
      </c>
      <c r="I381" t="s">
        <v>6053</v>
      </c>
      <c r="J381" t="s">
        <v>6914</v>
      </c>
      <c r="K381" t="s">
        <v>6915</v>
      </c>
      <c r="L381" t="s">
        <v>6916</v>
      </c>
    </row>
    <row r="382" spans="1:12" x14ac:dyDescent="0.25">
      <c r="A382" t="s">
        <v>5766</v>
      </c>
      <c r="B382" t="s">
        <v>828</v>
      </c>
      <c r="C382" s="1" t="s">
        <v>1231</v>
      </c>
      <c r="D382" s="1" t="s">
        <v>1231</v>
      </c>
      <c r="E382" t="s">
        <v>1233</v>
      </c>
      <c r="F382" t="s">
        <v>6921</v>
      </c>
      <c r="G382" t="s">
        <v>7147</v>
      </c>
      <c r="H382" t="s">
        <v>7148</v>
      </c>
      <c r="I382" t="s">
        <v>7003</v>
      </c>
      <c r="J382" t="s">
        <v>6914</v>
      </c>
      <c r="K382" t="s">
        <v>6915</v>
      </c>
      <c r="L382" t="s">
        <v>6916</v>
      </c>
    </row>
    <row r="383" spans="1:12" x14ac:dyDescent="0.25">
      <c r="A383" t="s">
        <v>5766</v>
      </c>
      <c r="B383" t="s">
        <v>828</v>
      </c>
      <c r="C383" s="1" t="s">
        <v>1235</v>
      </c>
      <c r="D383" s="1" t="s">
        <v>1235</v>
      </c>
      <c r="E383" t="s">
        <v>1237</v>
      </c>
      <c r="F383" t="s">
        <v>6917</v>
      </c>
      <c r="G383" t="s">
        <v>7149</v>
      </c>
      <c r="H383" t="s">
        <v>7150</v>
      </c>
      <c r="I383" t="s">
        <v>7010</v>
      </c>
      <c r="J383" t="s">
        <v>6914</v>
      </c>
      <c r="K383" t="s">
        <v>6915</v>
      </c>
      <c r="L383" t="s">
        <v>6916</v>
      </c>
    </row>
    <row r="384" spans="1:12" x14ac:dyDescent="0.25">
      <c r="A384" t="s">
        <v>5766</v>
      </c>
      <c r="B384" t="s">
        <v>828</v>
      </c>
      <c r="C384" s="1" t="s">
        <v>1239</v>
      </c>
      <c r="D384" s="1" t="s">
        <v>1239</v>
      </c>
      <c r="E384" t="s">
        <v>1240</v>
      </c>
      <c r="F384" t="s">
        <v>7151</v>
      </c>
      <c r="G384" t="s">
        <v>7152</v>
      </c>
      <c r="H384" t="s">
        <v>7153</v>
      </c>
      <c r="I384" t="s">
        <v>6116</v>
      </c>
      <c r="J384" t="s">
        <v>6914</v>
      </c>
      <c r="K384" t="s">
        <v>6915</v>
      </c>
      <c r="L384" t="s">
        <v>6916</v>
      </c>
    </row>
    <row r="385" spans="1:12" x14ac:dyDescent="0.25">
      <c r="A385" t="s">
        <v>5766</v>
      </c>
      <c r="B385" t="s">
        <v>828</v>
      </c>
      <c r="C385" s="1" t="s">
        <v>1242</v>
      </c>
      <c r="D385" s="1" t="s">
        <v>1242</v>
      </c>
      <c r="E385" t="s">
        <v>1244</v>
      </c>
      <c r="F385" t="s">
        <v>6938</v>
      </c>
      <c r="G385" t="s">
        <v>7154</v>
      </c>
      <c r="H385" t="s">
        <v>7155</v>
      </c>
      <c r="I385" t="s">
        <v>6053</v>
      </c>
      <c r="J385" t="s">
        <v>6914</v>
      </c>
      <c r="K385" t="s">
        <v>6915</v>
      </c>
      <c r="L385" t="s">
        <v>6916</v>
      </c>
    </row>
    <row r="386" spans="1:12" x14ac:dyDescent="0.25">
      <c r="A386" t="s">
        <v>5766</v>
      </c>
      <c r="B386" t="s">
        <v>828</v>
      </c>
      <c r="C386" s="1" t="s">
        <v>1246</v>
      </c>
      <c r="D386" s="1" t="s">
        <v>1246</v>
      </c>
      <c r="E386" t="s">
        <v>1248</v>
      </c>
      <c r="F386" t="s">
        <v>6938</v>
      </c>
      <c r="G386" t="s">
        <v>7156</v>
      </c>
      <c r="H386" t="s">
        <v>7157</v>
      </c>
      <c r="I386" t="s">
        <v>6937</v>
      </c>
      <c r="J386" t="s">
        <v>6914</v>
      </c>
      <c r="K386" t="s">
        <v>6915</v>
      </c>
      <c r="L386" t="s">
        <v>6916</v>
      </c>
    </row>
    <row r="387" spans="1:12" x14ac:dyDescent="0.25">
      <c r="A387" t="s">
        <v>5766</v>
      </c>
      <c r="B387" t="s">
        <v>828</v>
      </c>
      <c r="C387" s="1" t="s">
        <v>1250</v>
      </c>
      <c r="D387" s="1" t="s">
        <v>1250</v>
      </c>
      <c r="E387" t="s">
        <v>1252</v>
      </c>
      <c r="F387" t="s">
        <v>6926</v>
      </c>
      <c r="G387" t="s">
        <v>7158</v>
      </c>
      <c r="H387" t="s">
        <v>7159</v>
      </c>
      <c r="I387" t="s">
        <v>6116</v>
      </c>
      <c r="J387" t="s">
        <v>6914</v>
      </c>
      <c r="K387" t="s">
        <v>6915</v>
      </c>
      <c r="L387" t="s">
        <v>6916</v>
      </c>
    </row>
    <row r="388" spans="1:12" x14ac:dyDescent="0.25">
      <c r="A388" t="s">
        <v>5766</v>
      </c>
      <c r="B388" t="s">
        <v>828</v>
      </c>
      <c r="C388" s="1" t="s">
        <v>1254</v>
      </c>
      <c r="D388" s="1" t="s">
        <v>1254</v>
      </c>
      <c r="E388" t="s">
        <v>1256</v>
      </c>
      <c r="F388" t="s">
        <v>6926</v>
      </c>
      <c r="G388" t="s">
        <v>7160</v>
      </c>
      <c r="H388" t="s">
        <v>7161</v>
      </c>
      <c r="I388" t="s">
        <v>6937</v>
      </c>
      <c r="J388" t="s">
        <v>6914</v>
      </c>
      <c r="K388" t="s">
        <v>6915</v>
      </c>
      <c r="L388" t="s">
        <v>6916</v>
      </c>
    </row>
    <row r="389" spans="1:12" x14ac:dyDescent="0.25">
      <c r="A389" t="s">
        <v>5766</v>
      </c>
      <c r="B389" t="s">
        <v>828</v>
      </c>
      <c r="C389" s="1" t="s">
        <v>1258</v>
      </c>
      <c r="D389" s="1" t="s">
        <v>1258</v>
      </c>
      <c r="E389" t="s">
        <v>1260</v>
      </c>
      <c r="F389" t="s">
        <v>6921</v>
      </c>
      <c r="G389" t="s">
        <v>7162</v>
      </c>
      <c r="H389" t="s">
        <v>7163</v>
      </c>
      <c r="I389" t="s">
        <v>6934</v>
      </c>
      <c r="J389" t="s">
        <v>6914</v>
      </c>
      <c r="K389" t="s">
        <v>6915</v>
      </c>
      <c r="L389" t="s">
        <v>6916</v>
      </c>
    </row>
    <row r="390" spans="1:12" x14ac:dyDescent="0.25">
      <c r="A390" t="s">
        <v>5766</v>
      </c>
      <c r="B390" t="s">
        <v>828</v>
      </c>
      <c r="C390" s="1" t="s">
        <v>1262</v>
      </c>
      <c r="D390" s="1" t="s">
        <v>1262</v>
      </c>
      <c r="E390" t="s">
        <v>1264</v>
      </c>
      <c r="F390" t="s">
        <v>6941</v>
      </c>
      <c r="G390" t="s">
        <v>7164</v>
      </c>
      <c r="H390" t="s">
        <v>7165</v>
      </c>
      <c r="I390" t="s">
        <v>6116</v>
      </c>
      <c r="J390" t="s">
        <v>6914</v>
      </c>
      <c r="K390" t="s">
        <v>6915</v>
      </c>
      <c r="L390" t="s">
        <v>6916</v>
      </c>
    </row>
    <row r="391" spans="1:12" x14ac:dyDescent="0.25">
      <c r="A391" t="s">
        <v>5766</v>
      </c>
      <c r="B391" t="s">
        <v>828</v>
      </c>
      <c r="C391" s="1" t="s">
        <v>1266</v>
      </c>
      <c r="D391" s="1" t="s">
        <v>1266</v>
      </c>
      <c r="E391" t="s">
        <v>1268</v>
      </c>
      <c r="F391" t="s">
        <v>6938</v>
      </c>
      <c r="G391" t="s">
        <v>7166</v>
      </c>
      <c r="H391" t="s">
        <v>7167</v>
      </c>
      <c r="I391" t="s">
        <v>6053</v>
      </c>
      <c r="J391" t="s">
        <v>6914</v>
      </c>
      <c r="K391" t="s">
        <v>6915</v>
      </c>
      <c r="L391" t="s">
        <v>6916</v>
      </c>
    </row>
    <row r="392" spans="1:12" x14ac:dyDescent="0.25">
      <c r="A392" t="s">
        <v>5766</v>
      </c>
      <c r="B392" t="s">
        <v>828</v>
      </c>
      <c r="C392" s="1" t="s">
        <v>1270</v>
      </c>
      <c r="D392" s="1" t="s">
        <v>1270</v>
      </c>
      <c r="E392" t="s">
        <v>1272</v>
      </c>
      <c r="F392" t="s">
        <v>6917</v>
      </c>
      <c r="G392" t="s">
        <v>7168</v>
      </c>
      <c r="H392" t="s">
        <v>7169</v>
      </c>
      <c r="I392" t="s">
        <v>6045</v>
      </c>
      <c r="J392" t="s">
        <v>6914</v>
      </c>
      <c r="K392" t="s">
        <v>6915</v>
      </c>
      <c r="L392" t="s">
        <v>6916</v>
      </c>
    </row>
    <row r="393" spans="1:12" x14ac:dyDescent="0.25">
      <c r="A393" t="s">
        <v>5766</v>
      </c>
      <c r="B393" t="s">
        <v>828</v>
      </c>
      <c r="C393" s="1" t="s">
        <v>1274</v>
      </c>
      <c r="D393" s="1" t="s">
        <v>1274</v>
      </c>
      <c r="E393" t="s">
        <v>1276</v>
      </c>
      <c r="F393" t="s">
        <v>7151</v>
      </c>
      <c r="G393" t="s">
        <v>7170</v>
      </c>
      <c r="H393" t="s">
        <v>7171</v>
      </c>
      <c r="I393" t="s">
        <v>6238</v>
      </c>
      <c r="J393" t="s">
        <v>6914</v>
      </c>
      <c r="K393" t="s">
        <v>6915</v>
      </c>
      <c r="L393" t="s">
        <v>6916</v>
      </c>
    </row>
    <row r="394" spans="1:12" x14ac:dyDescent="0.25">
      <c r="A394" t="s">
        <v>5766</v>
      </c>
      <c r="B394" t="s">
        <v>828</v>
      </c>
      <c r="C394" s="1" t="s">
        <v>1278</v>
      </c>
      <c r="D394" s="1" t="s">
        <v>1278</v>
      </c>
      <c r="E394" t="s">
        <v>1279</v>
      </c>
      <c r="F394" t="s">
        <v>7172</v>
      </c>
      <c r="G394" t="s">
        <v>7173</v>
      </c>
      <c r="H394" t="s">
        <v>7174</v>
      </c>
      <c r="I394" t="s">
        <v>6934</v>
      </c>
      <c r="J394" t="s">
        <v>6914</v>
      </c>
      <c r="K394" t="s">
        <v>6915</v>
      </c>
      <c r="L394" t="s">
        <v>6916</v>
      </c>
    </row>
    <row r="395" spans="1:12" x14ac:dyDescent="0.25">
      <c r="A395" t="s">
        <v>5766</v>
      </c>
      <c r="B395" t="s">
        <v>828</v>
      </c>
      <c r="C395" s="1" t="s">
        <v>1281</v>
      </c>
      <c r="D395" s="1" t="s">
        <v>1281</v>
      </c>
      <c r="E395" t="s">
        <v>1282</v>
      </c>
      <c r="F395" t="s">
        <v>6910</v>
      </c>
      <c r="G395" t="s">
        <v>7175</v>
      </c>
      <c r="H395" t="s">
        <v>7176</v>
      </c>
      <c r="I395" t="s">
        <v>6937</v>
      </c>
      <c r="J395" t="s">
        <v>6914</v>
      </c>
      <c r="K395" t="s">
        <v>6915</v>
      </c>
      <c r="L395" t="s">
        <v>6916</v>
      </c>
    </row>
    <row r="396" spans="1:12" x14ac:dyDescent="0.25">
      <c r="A396" t="s">
        <v>5766</v>
      </c>
      <c r="B396" t="s">
        <v>828</v>
      </c>
      <c r="C396" s="1" t="s">
        <v>1284</v>
      </c>
      <c r="D396" s="1" t="s">
        <v>1284</v>
      </c>
      <c r="E396" t="s">
        <v>1286</v>
      </c>
      <c r="F396" t="s">
        <v>6926</v>
      </c>
      <c r="G396" t="s">
        <v>7177</v>
      </c>
      <c r="H396" t="s">
        <v>7178</v>
      </c>
      <c r="I396" t="s">
        <v>6913</v>
      </c>
      <c r="J396" t="s">
        <v>6914</v>
      </c>
      <c r="K396" t="s">
        <v>6915</v>
      </c>
      <c r="L396" t="s">
        <v>6916</v>
      </c>
    </row>
    <row r="397" spans="1:12" x14ac:dyDescent="0.25">
      <c r="A397" t="s">
        <v>5766</v>
      </c>
      <c r="B397" t="s">
        <v>828</v>
      </c>
      <c r="C397" s="1" t="s">
        <v>1288</v>
      </c>
      <c r="D397" s="1" t="s">
        <v>1288</v>
      </c>
      <c r="E397" t="s">
        <v>1289</v>
      </c>
      <c r="F397" t="s">
        <v>7000</v>
      </c>
      <c r="G397" t="s">
        <v>7179</v>
      </c>
      <c r="H397" t="s">
        <v>7180</v>
      </c>
      <c r="I397" t="s">
        <v>6954</v>
      </c>
      <c r="J397" t="s">
        <v>6914</v>
      </c>
      <c r="K397" t="s">
        <v>6915</v>
      </c>
      <c r="L397" t="s">
        <v>6916</v>
      </c>
    </row>
    <row r="398" spans="1:12" x14ac:dyDescent="0.25">
      <c r="A398" t="s">
        <v>5766</v>
      </c>
      <c r="B398" t="s">
        <v>828</v>
      </c>
      <c r="C398" s="1" t="s">
        <v>1291</v>
      </c>
      <c r="D398" s="1" t="s">
        <v>1291</v>
      </c>
      <c r="E398" t="s">
        <v>1293</v>
      </c>
      <c r="F398" t="s">
        <v>6910</v>
      </c>
      <c r="G398" t="s">
        <v>7181</v>
      </c>
      <c r="H398" t="s">
        <v>7182</v>
      </c>
      <c r="I398" t="s">
        <v>6061</v>
      </c>
      <c r="J398" t="s">
        <v>6914</v>
      </c>
      <c r="K398" t="s">
        <v>6915</v>
      </c>
      <c r="L398" t="s">
        <v>6916</v>
      </c>
    </row>
    <row r="399" spans="1:12" x14ac:dyDescent="0.25">
      <c r="A399" t="s">
        <v>5766</v>
      </c>
      <c r="B399" t="s">
        <v>828</v>
      </c>
      <c r="C399" s="1" t="s">
        <v>1295</v>
      </c>
      <c r="D399" s="1" t="s">
        <v>1295</v>
      </c>
      <c r="E399" t="s">
        <v>1297</v>
      </c>
      <c r="F399" t="s">
        <v>6938</v>
      </c>
      <c r="G399" t="s">
        <v>7183</v>
      </c>
      <c r="H399" t="s">
        <v>7184</v>
      </c>
      <c r="I399" t="s">
        <v>6937</v>
      </c>
      <c r="J399" t="s">
        <v>6914</v>
      </c>
      <c r="K399" t="s">
        <v>6915</v>
      </c>
      <c r="L399" t="s">
        <v>6916</v>
      </c>
    </row>
    <row r="400" spans="1:12" x14ac:dyDescent="0.25">
      <c r="A400" t="s">
        <v>5766</v>
      </c>
      <c r="B400" t="s">
        <v>828</v>
      </c>
      <c r="C400" s="1" t="s">
        <v>1299</v>
      </c>
      <c r="D400" s="1" t="s">
        <v>1299</v>
      </c>
      <c r="E400" t="s">
        <v>1301</v>
      </c>
      <c r="F400" t="s">
        <v>7185</v>
      </c>
      <c r="G400" t="s">
        <v>7186</v>
      </c>
      <c r="H400" t="s">
        <v>7187</v>
      </c>
      <c r="I400" t="s">
        <v>7188</v>
      </c>
      <c r="J400" t="s">
        <v>6914</v>
      </c>
      <c r="K400" t="s">
        <v>6915</v>
      </c>
      <c r="L400" t="s">
        <v>6916</v>
      </c>
    </row>
    <row r="401" spans="1:12" x14ac:dyDescent="0.25">
      <c r="A401" t="s">
        <v>5766</v>
      </c>
      <c r="B401" t="s">
        <v>828</v>
      </c>
      <c r="C401" s="1" t="s">
        <v>1303</v>
      </c>
      <c r="D401" s="1" t="s">
        <v>1303</v>
      </c>
      <c r="E401" t="s">
        <v>1305</v>
      </c>
      <c r="F401" t="s">
        <v>6910</v>
      </c>
      <c r="G401" t="s">
        <v>7189</v>
      </c>
      <c r="H401" t="s">
        <v>7190</v>
      </c>
      <c r="I401" t="s">
        <v>6937</v>
      </c>
      <c r="J401" t="s">
        <v>6914</v>
      </c>
      <c r="K401" t="s">
        <v>6915</v>
      </c>
      <c r="L401" t="s">
        <v>6916</v>
      </c>
    </row>
    <row r="402" spans="1:12" x14ac:dyDescent="0.25">
      <c r="A402" t="s">
        <v>5766</v>
      </c>
      <c r="B402" t="s">
        <v>828</v>
      </c>
      <c r="C402" s="1" t="s">
        <v>1307</v>
      </c>
      <c r="D402" s="1" t="s">
        <v>1307</v>
      </c>
      <c r="E402" t="s">
        <v>1309</v>
      </c>
      <c r="F402" t="s">
        <v>6926</v>
      </c>
      <c r="G402" t="s">
        <v>7191</v>
      </c>
      <c r="H402" t="s">
        <v>7192</v>
      </c>
      <c r="I402" t="s">
        <v>6937</v>
      </c>
      <c r="J402" t="s">
        <v>6914</v>
      </c>
      <c r="K402" t="s">
        <v>6915</v>
      </c>
      <c r="L402" t="s">
        <v>6916</v>
      </c>
    </row>
    <row r="403" spans="1:12" x14ac:dyDescent="0.25">
      <c r="A403" t="s">
        <v>5766</v>
      </c>
      <c r="B403" t="s">
        <v>828</v>
      </c>
      <c r="C403" s="1" t="s">
        <v>1311</v>
      </c>
      <c r="D403" s="1" t="s">
        <v>1311</v>
      </c>
      <c r="E403" t="s">
        <v>1313</v>
      </c>
      <c r="F403" t="s">
        <v>6929</v>
      </c>
      <c r="G403" t="s">
        <v>7193</v>
      </c>
      <c r="H403" t="s">
        <v>7194</v>
      </c>
      <c r="I403" t="s">
        <v>6789</v>
      </c>
      <c r="J403" t="s">
        <v>6914</v>
      </c>
      <c r="K403" t="s">
        <v>6915</v>
      </c>
      <c r="L403" t="s">
        <v>6916</v>
      </c>
    </row>
    <row r="404" spans="1:12" x14ac:dyDescent="0.25">
      <c r="A404" t="s">
        <v>5766</v>
      </c>
      <c r="B404" t="s">
        <v>828</v>
      </c>
      <c r="C404" s="1" t="s">
        <v>1315</v>
      </c>
      <c r="D404" s="1" t="s">
        <v>1315</v>
      </c>
      <c r="E404" t="s">
        <v>1317</v>
      </c>
      <c r="F404" t="s">
        <v>6926</v>
      </c>
      <c r="G404" t="s">
        <v>7195</v>
      </c>
      <c r="H404" t="s">
        <v>7196</v>
      </c>
      <c r="I404" t="s">
        <v>6116</v>
      </c>
      <c r="J404" t="s">
        <v>6914</v>
      </c>
      <c r="K404" t="s">
        <v>6915</v>
      </c>
      <c r="L404" t="s">
        <v>6916</v>
      </c>
    </row>
    <row r="405" spans="1:12" x14ac:dyDescent="0.25">
      <c r="A405" t="s">
        <v>5766</v>
      </c>
      <c r="B405" t="s">
        <v>828</v>
      </c>
      <c r="C405" s="1" t="s">
        <v>1319</v>
      </c>
      <c r="D405" s="1" t="s">
        <v>1319</v>
      </c>
      <c r="E405" t="s">
        <v>1320</v>
      </c>
      <c r="F405" t="s">
        <v>6917</v>
      </c>
      <c r="G405" t="s">
        <v>7197</v>
      </c>
      <c r="H405" t="s">
        <v>7198</v>
      </c>
      <c r="I405" t="s">
        <v>6920</v>
      </c>
      <c r="J405" t="s">
        <v>6914</v>
      </c>
      <c r="K405" t="s">
        <v>6915</v>
      </c>
      <c r="L405" t="s">
        <v>6916</v>
      </c>
    </row>
    <row r="406" spans="1:12" x14ac:dyDescent="0.25">
      <c r="A406" t="s">
        <v>5766</v>
      </c>
      <c r="B406" t="s">
        <v>828</v>
      </c>
      <c r="C406" s="1" t="s">
        <v>1322</v>
      </c>
      <c r="D406" s="1" t="s">
        <v>1322</v>
      </c>
      <c r="E406" t="s">
        <v>1324</v>
      </c>
      <c r="F406" t="s">
        <v>6959</v>
      </c>
      <c r="G406" t="s">
        <v>7199</v>
      </c>
      <c r="H406" t="s">
        <v>7200</v>
      </c>
      <c r="I406" t="s">
        <v>7028</v>
      </c>
      <c r="J406" t="s">
        <v>6914</v>
      </c>
      <c r="K406" t="s">
        <v>6915</v>
      </c>
      <c r="L406" t="s">
        <v>6916</v>
      </c>
    </row>
    <row r="407" spans="1:12" x14ac:dyDescent="0.25">
      <c r="A407" t="s">
        <v>5766</v>
      </c>
      <c r="B407" t="s">
        <v>828</v>
      </c>
      <c r="C407" s="1" t="s">
        <v>1326</v>
      </c>
      <c r="D407" s="1" t="s">
        <v>1326</v>
      </c>
      <c r="E407" t="s">
        <v>1328</v>
      </c>
      <c r="F407" t="s">
        <v>6926</v>
      </c>
      <c r="G407" t="s">
        <v>7201</v>
      </c>
      <c r="H407" t="s">
        <v>7202</v>
      </c>
      <c r="I407" t="s">
        <v>6116</v>
      </c>
      <c r="J407" t="s">
        <v>6914</v>
      </c>
      <c r="K407" t="s">
        <v>6915</v>
      </c>
      <c r="L407" t="s">
        <v>6916</v>
      </c>
    </row>
    <row r="408" spans="1:12" x14ac:dyDescent="0.25">
      <c r="A408" t="s">
        <v>5766</v>
      </c>
      <c r="B408" t="s">
        <v>828</v>
      </c>
      <c r="C408" s="1" t="s">
        <v>1330</v>
      </c>
      <c r="D408" s="1" t="s">
        <v>1330</v>
      </c>
      <c r="E408" t="s">
        <v>1332</v>
      </c>
      <c r="F408" t="s">
        <v>7000</v>
      </c>
      <c r="G408" t="s">
        <v>7203</v>
      </c>
      <c r="H408" t="s">
        <v>7204</v>
      </c>
      <c r="I408" t="s">
        <v>6954</v>
      </c>
      <c r="J408" t="s">
        <v>6914</v>
      </c>
      <c r="K408" t="s">
        <v>6915</v>
      </c>
      <c r="L408" t="s">
        <v>6916</v>
      </c>
    </row>
    <row r="409" spans="1:12" x14ac:dyDescent="0.25">
      <c r="A409" t="s">
        <v>5766</v>
      </c>
      <c r="B409" t="s">
        <v>828</v>
      </c>
      <c r="C409" s="1" t="s">
        <v>1334</v>
      </c>
      <c r="D409" s="1" t="s">
        <v>1334</v>
      </c>
      <c r="E409" t="s">
        <v>1336</v>
      </c>
      <c r="F409" t="s">
        <v>7205</v>
      </c>
      <c r="G409" t="s">
        <v>7206</v>
      </c>
      <c r="H409" t="s">
        <v>7207</v>
      </c>
      <c r="I409" t="s">
        <v>6903</v>
      </c>
      <c r="J409" t="s">
        <v>6914</v>
      </c>
      <c r="K409" t="s">
        <v>6915</v>
      </c>
      <c r="L409" t="s">
        <v>6916</v>
      </c>
    </row>
    <row r="410" spans="1:12" x14ac:dyDescent="0.25">
      <c r="A410" t="s">
        <v>5766</v>
      </c>
      <c r="B410" t="s">
        <v>828</v>
      </c>
      <c r="C410" s="1" t="s">
        <v>1338</v>
      </c>
      <c r="D410" s="1" t="s">
        <v>1338</v>
      </c>
      <c r="E410" t="s">
        <v>1339</v>
      </c>
      <c r="F410" t="s">
        <v>6938</v>
      </c>
      <c r="G410" t="s">
        <v>7208</v>
      </c>
      <c r="H410" t="s">
        <v>7209</v>
      </c>
      <c r="I410" t="s">
        <v>6053</v>
      </c>
      <c r="J410" t="s">
        <v>6914</v>
      </c>
      <c r="K410" t="s">
        <v>6915</v>
      </c>
      <c r="L410" t="s">
        <v>6916</v>
      </c>
    </row>
    <row r="411" spans="1:12" x14ac:dyDescent="0.25">
      <c r="A411" t="s">
        <v>5766</v>
      </c>
      <c r="B411" t="s">
        <v>828</v>
      </c>
      <c r="C411" s="1" t="s">
        <v>1341</v>
      </c>
      <c r="D411" s="1" t="s">
        <v>1341</v>
      </c>
      <c r="E411" t="s">
        <v>1343</v>
      </c>
      <c r="F411" t="s">
        <v>6941</v>
      </c>
      <c r="G411" t="s">
        <v>7210</v>
      </c>
      <c r="H411" t="s">
        <v>7211</v>
      </c>
      <c r="I411" t="s">
        <v>6913</v>
      </c>
      <c r="J411" t="s">
        <v>6914</v>
      </c>
      <c r="K411" t="s">
        <v>6915</v>
      </c>
      <c r="L411" t="s">
        <v>6916</v>
      </c>
    </row>
    <row r="412" spans="1:12" x14ac:dyDescent="0.25">
      <c r="A412" t="s">
        <v>5766</v>
      </c>
      <c r="B412" t="s">
        <v>828</v>
      </c>
      <c r="C412" s="1" t="s">
        <v>1345</v>
      </c>
      <c r="D412" s="1" t="s">
        <v>1345</v>
      </c>
      <c r="E412" t="s">
        <v>1347</v>
      </c>
      <c r="F412" t="s">
        <v>6910</v>
      </c>
      <c r="G412" t="s">
        <v>7212</v>
      </c>
      <c r="H412" t="s">
        <v>7213</v>
      </c>
      <c r="I412" t="s">
        <v>6977</v>
      </c>
      <c r="J412" t="s">
        <v>6914</v>
      </c>
      <c r="K412" t="s">
        <v>6915</v>
      </c>
      <c r="L412" t="s">
        <v>6916</v>
      </c>
    </row>
    <row r="413" spans="1:12" x14ac:dyDescent="0.25">
      <c r="A413" t="s">
        <v>5766</v>
      </c>
      <c r="B413" t="s">
        <v>828</v>
      </c>
      <c r="C413" s="1" t="s">
        <v>1349</v>
      </c>
      <c r="D413" s="1" t="s">
        <v>1349</v>
      </c>
      <c r="E413" t="s">
        <v>1351</v>
      </c>
      <c r="F413" t="s">
        <v>6917</v>
      </c>
      <c r="G413" t="s">
        <v>7214</v>
      </c>
      <c r="H413" t="s">
        <v>7215</v>
      </c>
      <c r="I413" t="s">
        <v>6045</v>
      </c>
      <c r="J413" t="s">
        <v>6914</v>
      </c>
      <c r="K413" t="s">
        <v>6915</v>
      </c>
      <c r="L413" t="s">
        <v>6916</v>
      </c>
    </row>
    <row r="414" spans="1:12" x14ac:dyDescent="0.25">
      <c r="A414" t="s">
        <v>5766</v>
      </c>
      <c r="B414" t="s">
        <v>828</v>
      </c>
      <c r="C414" s="1" t="s">
        <v>1353</v>
      </c>
      <c r="D414" s="1" t="s">
        <v>1353</v>
      </c>
      <c r="E414" t="s">
        <v>1355</v>
      </c>
      <c r="F414" t="s">
        <v>6938</v>
      </c>
      <c r="G414" t="s">
        <v>7216</v>
      </c>
      <c r="H414" t="s">
        <v>7217</v>
      </c>
      <c r="I414" t="s">
        <v>6053</v>
      </c>
      <c r="J414" t="s">
        <v>6914</v>
      </c>
      <c r="K414" t="s">
        <v>6915</v>
      </c>
      <c r="L414" t="s">
        <v>6916</v>
      </c>
    </row>
    <row r="415" spans="1:12" x14ac:dyDescent="0.25">
      <c r="A415" t="s">
        <v>5766</v>
      </c>
      <c r="B415" t="s">
        <v>828</v>
      </c>
      <c r="C415" s="1" t="s">
        <v>1357</v>
      </c>
      <c r="D415" s="1" t="s">
        <v>1357</v>
      </c>
      <c r="E415" t="s">
        <v>1359</v>
      </c>
      <c r="F415" t="s">
        <v>6962</v>
      </c>
      <c r="G415" t="s">
        <v>7218</v>
      </c>
      <c r="H415" t="s">
        <v>7219</v>
      </c>
      <c r="I415" t="s">
        <v>6913</v>
      </c>
      <c r="J415" t="s">
        <v>6914</v>
      </c>
      <c r="K415" t="s">
        <v>6915</v>
      </c>
      <c r="L415" t="s">
        <v>6916</v>
      </c>
    </row>
    <row r="416" spans="1:12" x14ac:dyDescent="0.25">
      <c r="A416" t="s">
        <v>5766</v>
      </c>
      <c r="B416" t="s">
        <v>828</v>
      </c>
      <c r="C416" s="1" t="s">
        <v>1361</v>
      </c>
      <c r="D416" s="1" t="s">
        <v>1361</v>
      </c>
      <c r="E416" t="s">
        <v>1363</v>
      </c>
      <c r="F416" t="s">
        <v>6926</v>
      </c>
      <c r="G416" t="s">
        <v>7220</v>
      </c>
      <c r="H416" t="s">
        <v>7221</v>
      </c>
      <c r="I416" t="s">
        <v>6116</v>
      </c>
      <c r="J416" t="s">
        <v>6914</v>
      </c>
      <c r="K416" t="s">
        <v>6915</v>
      </c>
      <c r="L416" t="s">
        <v>6916</v>
      </c>
    </row>
    <row r="417" spans="1:12" x14ac:dyDescent="0.25">
      <c r="A417" t="s">
        <v>5766</v>
      </c>
      <c r="B417" t="s">
        <v>828</v>
      </c>
      <c r="C417" s="1" t="s">
        <v>1365</v>
      </c>
      <c r="D417" s="1" t="s">
        <v>1365</v>
      </c>
      <c r="E417" t="s">
        <v>1367</v>
      </c>
      <c r="F417" t="s">
        <v>7205</v>
      </c>
      <c r="G417" t="s">
        <v>7222</v>
      </c>
      <c r="H417" t="s">
        <v>7223</v>
      </c>
      <c r="I417" t="s">
        <v>6184</v>
      </c>
      <c r="J417" t="s">
        <v>6914</v>
      </c>
      <c r="K417" t="s">
        <v>6915</v>
      </c>
      <c r="L417" t="s">
        <v>6916</v>
      </c>
    </row>
    <row r="418" spans="1:12" x14ac:dyDescent="0.25">
      <c r="A418" t="s">
        <v>5766</v>
      </c>
      <c r="B418" t="s">
        <v>828</v>
      </c>
      <c r="C418" s="1" t="s">
        <v>1369</v>
      </c>
      <c r="D418" s="1" t="s">
        <v>1369</v>
      </c>
      <c r="E418" t="s">
        <v>1371</v>
      </c>
      <c r="F418" t="s">
        <v>6941</v>
      </c>
      <c r="G418" t="s">
        <v>7224</v>
      </c>
      <c r="H418" t="s">
        <v>7225</v>
      </c>
      <c r="I418" t="s">
        <v>7010</v>
      </c>
      <c r="J418" t="s">
        <v>6914</v>
      </c>
      <c r="K418" t="s">
        <v>6915</v>
      </c>
      <c r="L418" t="s">
        <v>6916</v>
      </c>
    </row>
    <row r="419" spans="1:12" x14ac:dyDescent="0.25">
      <c r="A419" t="s">
        <v>5766</v>
      </c>
      <c r="B419" t="s">
        <v>828</v>
      </c>
      <c r="C419" s="1" t="s">
        <v>1373</v>
      </c>
      <c r="D419" s="1" t="s">
        <v>1373</v>
      </c>
      <c r="E419" t="s">
        <v>1375</v>
      </c>
      <c r="F419" t="s">
        <v>6962</v>
      </c>
      <c r="G419" t="s">
        <v>7226</v>
      </c>
      <c r="H419" t="s">
        <v>7227</v>
      </c>
      <c r="I419" t="s">
        <v>6937</v>
      </c>
      <c r="J419" t="s">
        <v>6914</v>
      </c>
      <c r="K419" t="s">
        <v>6915</v>
      </c>
      <c r="L419" t="s">
        <v>6916</v>
      </c>
    </row>
    <row r="420" spans="1:12" x14ac:dyDescent="0.25">
      <c r="A420" t="s">
        <v>5766</v>
      </c>
      <c r="B420" t="s">
        <v>828</v>
      </c>
      <c r="C420" s="1" t="s">
        <v>1377</v>
      </c>
      <c r="D420" s="1" t="s">
        <v>1377</v>
      </c>
      <c r="E420" t="s">
        <v>1379</v>
      </c>
      <c r="F420" t="s">
        <v>6926</v>
      </c>
      <c r="G420" t="s">
        <v>7228</v>
      </c>
      <c r="H420" t="s">
        <v>7229</v>
      </c>
      <c r="I420" t="s">
        <v>6937</v>
      </c>
      <c r="J420" t="s">
        <v>6914</v>
      </c>
      <c r="K420" t="s">
        <v>6915</v>
      </c>
      <c r="L420" t="s">
        <v>6916</v>
      </c>
    </row>
    <row r="421" spans="1:12" x14ac:dyDescent="0.25">
      <c r="A421" t="s">
        <v>5766</v>
      </c>
      <c r="B421" t="s">
        <v>828</v>
      </c>
      <c r="C421" s="1" t="s">
        <v>1381</v>
      </c>
      <c r="D421" s="1" t="s">
        <v>1381</v>
      </c>
      <c r="E421" t="s">
        <v>1383</v>
      </c>
      <c r="F421" t="s">
        <v>6929</v>
      </c>
      <c r="G421" t="s">
        <v>7230</v>
      </c>
      <c r="H421" t="s">
        <v>7231</v>
      </c>
      <c r="I421" t="s">
        <v>6053</v>
      </c>
      <c r="J421" t="s">
        <v>6914</v>
      </c>
      <c r="K421" t="s">
        <v>6915</v>
      </c>
      <c r="L421" t="s">
        <v>6916</v>
      </c>
    </row>
    <row r="422" spans="1:12" x14ac:dyDescent="0.25">
      <c r="A422" t="s">
        <v>5766</v>
      </c>
      <c r="B422" t="s">
        <v>828</v>
      </c>
      <c r="C422" s="1" t="s">
        <v>1385</v>
      </c>
      <c r="D422" s="1" t="s">
        <v>1385</v>
      </c>
      <c r="E422" t="s">
        <v>1387</v>
      </c>
      <c r="F422" t="s">
        <v>6959</v>
      </c>
      <c r="G422" t="s">
        <v>7232</v>
      </c>
      <c r="H422" t="s">
        <v>7233</v>
      </c>
      <c r="I422" t="s">
        <v>6920</v>
      </c>
      <c r="J422" t="s">
        <v>6914</v>
      </c>
      <c r="K422" t="s">
        <v>6915</v>
      </c>
      <c r="L422" t="s">
        <v>6916</v>
      </c>
    </row>
    <row r="423" spans="1:12" x14ac:dyDescent="0.25">
      <c r="A423" t="s">
        <v>5766</v>
      </c>
      <c r="B423" t="s">
        <v>828</v>
      </c>
      <c r="C423" s="1" t="s">
        <v>1389</v>
      </c>
      <c r="D423" s="1" t="s">
        <v>1389</v>
      </c>
      <c r="E423" t="s">
        <v>1391</v>
      </c>
      <c r="F423" t="s">
        <v>6941</v>
      </c>
      <c r="G423" t="s">
        <v>7234</v>
      </c>
      <c r="H423" t="s">
        <v>7235</v>
      </c>
      <c r="I423" t="s">
        <v>6116</v>
      </c>
      <c r="J423" t="s">
        <v>6914</v>
      </c>
      <c r="K423" t="s">
        <v>6915</v>
      </c>
      <c r="L423" t="s">
        <v>6916</v>
      </c>
    </row>
    <row r="424" spans="1:12" x14ac:dyDescent="0.25">
      <c r="A424" t="s">
        <v>5766</v>
      </c>
      <c r="B424" t="s">
        <v>828</v>
      </c>
      <c r="C424" s="1" t="s">
        <v>1393</v>
      </c>
      <c r="D424" s="1" t="s">
        <v>1393</v>
      </c>
      <c r="E424" t="s">
        <v>1395</v>
      </c>
      <c r="F424" t="s">
        <v>6926</v>
      </c>
      <c r="G424" t="s">
        <v>7236</v>
      </c>
      <c r="H424" t="s">
        <v>7237</v>
      </c>
      <c r="I424" t="s">
        <v>6053</v>
      </c>
      <c r="J424" t="s">
        <v>6914</v>
      </c>
      <c r="K424" t="s">
        <v>6915</v>
      </c>
      <c r="L424" t="s">
        <v>6916</v>
      </c>
    </row>
    <row r="425" spans="1:12" x14ac:dyDescent="0.25">
      <c r="A425" t="s">
        <v>5766</v>
      </c>
      <c r="B425" t="s">
        <v>828</v>
      </c>
      <c r="C425" s="1" t="s">
        <v>1397</v>
      </c>
      <c r="D425" s="1" t="s">
        <v>1397</v>
      </c>
      <c r="E425" t="s">
        <v>1399</v>
      </c>
      <c r="F425" t="s">
        <v>6959</v>
      </c>
      <c r="G425" t="s">
        <v>7238</v>
      </c>
      <c r="H425" t="s">
        <v>7239</v>
      </c>
      <c r="I425" t="s">
        <v>6954</v>
      </c>
      <c r="J425" t="s">
        <v>6914</v>
      </c>
      <c r="K425" t="s">
        <v>6915</v>
      </c>
      <c r="L425" t="s">
        <v>6916</v>
      </c>
    </row>
    <row r="426" spans="1:12" x14ac:dyDescent="0.25">
      <c r="A426" t="s">
        <v>5766</v>
      </c>
      <c r="B426" t="s">
        <v>828</v>
      </c>
      <c r="C426" s="1" t="s">
        <v>1401</v>
      </c>
      <c r="D426" s="1" t="s">
        <v>1401</v>
      </c>
      <c r="E426" t="s">
        <v>1402</v>
      </c>
      <c r="F426" t="s">
        <v>6926</v>
      </c>
      <c r="G426" t="s">
        <v>7240</v>
      </c>
      <c r="H426" t="s">
        <v>7241</v>
      </c>
      <c r="I426" t="s">
        <v>6053</v>
      </c>
      <c r="J426" t="s">
        <v>6914</v>
      </c>
      <c r="K426" t="s">
        <v>6915</v>
      </c>
      <c r="L426" t="s">
        <v>6916</v>
      </c>
    </row>
    <row r="427" spans="1:12" x14ac:dyDescent="0.25">
      <c r="A427" t="s">
        <v>5766</v>
      </c>
      <c r="B427" t="s">
        <v>828</v>
      </c>
      <c r="C427" s="1" t="s">
        <v>1404</v>
      </c>
      <c r="D427" s="1" t="s">
        <v>1404</v>
      </c>
      <c r="E427" t="s">
        <v>1405</v>
      </c>
      <c r="F427" t="s">
        <v>7000</v>
      </c>
      <c r="G427" t="s">
        <v>7242</v>
      </c>
      <c r="H427" t="s">
        <v>7243</v>
      </c>
      <c r="I427" t="s">
        <v>6934</v>
      </c>
      <c r="J427" t="s">
        <v>6914</v>
      </c>
      <c r="K427" t="s">
        <v>6915</v>
      </c>
      <c r="L427" t="s">
        <v>6916</v>
      </c>
    </row>
    <row r="428" spans="1:12" x14ac:dyDescent="0.25">
      <c r="A428" t="s">
        <v>5766</v>
      </c>
      <c r="B428" t="s">
        <v>828</v>
      </c>
      <c r="C428" s="1" t="s">
        <v>1407</v>
      </c>
      <c r="D428" s="1" t="s">
        <v>1407</v>
      </c>
      <c r="E428" t="s">
        <v>1409</v>
      </c>
      <c r="F428" t="s">
        <v>6921</v>
      </c>
      <c r="G428" t="s">
        <v>7244</v>
      </c>
      <c r="H428" t="s">
        <v>7245</v>
      </c>
      <c r="I428" t="s">
        <v>6920</v>
      </c>
      <c r="J428" t="s">
        <v>6914</v>
      </c>
      <c r="K428" t="s">
        <v>6915</v>
      </c>
      <c r="L428" t="s">
        <v>6916</v>
      </c>
    </row>
    <row r="429" spans="1:12" x14ac:dyDescent="0.25">
      <c r="A429" t="s">
        <v>5766</v>
      </c>
      <c r="B429" t="s">
        <v>828</v>
      </c>
      <c r="C429" s="1" t="s">
        <v>1411</v>
      </c>
      <c r="D429" s="1" t="s">
        <v>1411</v>
      </c>
      <c r="E429" t="s">
        <v>1413</v>
      </c>
      <c r="F429" t="s">
        <v>6962</v>
      </c>
      <c r="G429" t="s">
        <v>7246</v>
      </c>
      <c r="H429" t="s">
        <v>7247</v>
      </c>
      <c r="I429" t="s">
        <v>6903</v>
      </c>
      <c r="J429" t="s">
        <v>6914</v>
      </c>
      <c r="K429" t="s">
        <v>6915</v>
      </c>
      <c r="L429" t="s">
        <v>6916</v>
      </c>
    </row>
    <row r="430" spans="1:12" x14ac:dyDescent="0.25">
      <c r="A430" t="s">
        <v>5766</v>
      </c>
      <c r="B430" t="s">
        <v>828</v>
      </c>
      <c r="C430" s="1" t="s">
        <v>1415</v>
      </c>
      <c r="D430" s="1" t="s">
        <v>1415</v>
      </c>
      <c r="E430" t="s">
        <v>1417</v>
      </c>
      <c r="F430" t="s">
        <v>6938</v>
      </c>
      <c r="G430" t="s">
        <v>7248</v>
      </c>
      <c r="H430" t="s">
        <v>7249</v>
      </c>
      <c r="I430" t="s">
        <v>6053</v>
      </c>
      <c r="J430" t="s">
        <v>6914</v>
      </c>
      <c r="K430" t="s">
        <v>6915</v>
      </c>
      <c r="L430" t="s">
        <v>6916</v>
      </c>
    </row>
    <row r="431" spans="1:12" x14ac:dyDescent="0.25">
      <c r="A431" t="s">
        <v>5766</v>
      </c>
      <c r="B431" t="s">
        <v>828</v>
      </c>
      <c r="C431" s="1" t="s">
        <v>1419</v>
      </c>
      <c r="D431" s="1" t="s">
        <v>1419</v>
      </c>
      <c r="E431" t="s">
        <v>1421</v>
      </c>
      <c r="F431" t="s">
        <v>6926</v>
      </c>
      <c r="G431" t="s">
        <v>7250</v>
      </c>
      <c r="H431" t="s">
        <v>7251</v>
      </c>
      <c r="I431" t="s">
        <v>6053</v>
      </c>
      <c r="J431" t="s">
        <v>6914</v>
      </c>
      <c r="K431" t="s">
        <v>6915</v>
      </c>
      <c r="L431" t="s">
        <v>6916</v>
      </c>
    </row>
    <row r="432" spans="1:12" x14ac:dyDescent="0.25">
      <c r="A432" t="s">
        <v>5766</v>
      </c>
      <c r="B432" t="s">
        <v>828</v>
      </c>
      <c r="C432" s="1" t="s">
        <v>1423</v>
      </c>
      <c r="D432" s="1" t="s">
        <v>1423</v>
      </c>
      <c r="E432" t="s">
        <v>1425</v>
      </c>
      <c r="F432" t="s">
        <v>6938</v>
      </c>
      <c r="G432" t="s">
        <v>7252</v>
      </c>
      <c r="H432" t="s">
        <v>7253</v>
      </c>
      <c r="I432" t="s">
        <v>6116</v>
      </c>
      <c r="J432" t="s">
        <v>6914</v>
      </c>
      <c r="K432" t="s">
        <v>6915</v>
      </c>
      <c r="L432" t="s">
        <v>6916</v>
      </c>
    </row>
    <row r="433" spans="1:12" x14ac:dyDescent="0.25">
      <c r="A433" t="s">
        <v>5766</v>
      </c>
      <c r="B433" t="s">
        <v>828</v>
      </c>
      <c r="C433" s="1" t="s">
        <v>1427</v>
      </c>
      <c r="D433" s="1" t="s">
        <v>1427</v>
      </c>
      <c r="E433" t="s">
        <v>1429</v>
      </c>
      <c r="F433" t="s">
        <v>7041</v>
      </c>
      <c r="G433" t="s">
        <v>7254</v>
      </c>
      <c r="H433" t="s">
        <v>7255</v>
      </c>
      <c r="I433" t="s">
        <v>7256</v>
      </c>
      <c r="J433" t="s">
        <v>6914</v>
      </c>
      <c r="K433" t="s">
        <v>6915</v>
      </c>
      <c r="L433" t="s">
        <v>6916</v>
      </c>
    </row>
    <row r="434" spans="1:12" x14ac:dyDescent="0.25">
      <c r="A434" t="s">
        <v>5766</v>
      </c>
      <c r="B434" t="s">
        <v>828</v>
      </c>
      <c r="C434" s="1" t="s">
        <v>1431</v>
      </c>
      <c r="D434" s="1" t="s">
        <v>1431</v>
      </c>
      <c r="E434" t="s">
        <v>1433</v>
      </c>
      <c r="F434" t="s">
        <v>7000</v>
      </c>
      <c r="G434" t="s">
        <v>7257</v>
      </c>
      <c r="H434" t="s">
        <v>7258</v>
      </c>
      <c r="I434" t="s">
        <v>6934</v>
      </c>
      <c r="J434" t="s">
        <v>6914</v>
      </c>
      <c r="K434" t="s">
        <v>6915</v>
      </c>
      <c r="L434" t="s">
        <v>6916</v>
      </c>
    </row>
    <row r="435" spans="1:12" x14ac:dyDescent="0.25">
      <c r="A435" t="s">
        <v>5766</v>
      </c>
      <c r="B435" t="s">
        <v>828</v>
      </c>
      <c r="C435" s="1" t="s">
        <v>1435</v>
      </c>
      <c r="D435" s="1" t="s">
        <v>1435</v>
      </c>
      <c r="E435" t="s">
        <v>1437</v>
      </c>
      <c r="F435" t="s">
        <v>7000</v>
      </c>
      <c r="G435" t="s">
        <v>7259</v>
      </c>
      <c r="H435" t="s">
        <v>7260</v>
      </c>
      <c r="I435" t="s">
        <v>7003</v>
      </c>
      <c r="J435" t="s">
        <v>6914</v>
      </c>
      <c r="K435" t="s">
        <v>6915</v>
      </c>
      <c r="L435" t="s">
        <v>6916</v>
      </c>
    </row>
    <row r="436" spans="1:12" x14ac:dyDescent="0.25">
      <c r="A436" t="s">
        <v>5766</v>
      </c>
      <c r="B436" t="s">
        <v>828</v>
      </c>
      <c r="C436" s="1" t="s">
        <v>1439</v>
      </c>
      <c r="D436" s="1" t="s">
        <v>1439</v>
      </c>
      <c r="E436" t="s">
        <v>1441</v>
      </c>
      <c r="F436" t="s">
        <v>6941</v>
      </c>
      <c r="G436" t="s">
        <v>7261</v>
      </c>
      <c r="H436" t="s">
        <v>7262</v>
      </c>
      <c r="I436" t="s">
        <v>7010</v>
      </c>
      <c r="J436" t="s">
        <v>6914</v>
      </c>
      <c r="K436" t="s">
        <v>6915</v>
      </c>
      <c r="L436" t="s">
        <v>6916</v>
      </c>
    </row>
    <row r="437" spans="1:12" x14ac:dyDescent="0.25">
      <c r="A437" t="s">
        <v>5766</v>
      </c>
      <c r="B437" t="s">
        <v>828</v>
      </c>
      <c r="C437" s="1" t="s">
        <v>1443</v>
      </c>
      <c r="D437" s="1" t="s">
        <v>1443</v>
      </c>
      <c r="E437" t="s">
        <v>1444</v>
      </c>
      <c r="F437" t="s">
        <v>6938</v>
      </c>
      <c r="G437" t="s">
        <v>7263</v>
      </c>
      <c r="H437" t="s">
        <v>7264</v>
      </c>
      <c r="I437" t="s">
        <v>6116</v>
      </c>
      <c r="J437" t="s">
        <v>6914</v>
      </c>
      <c r="K437" t="s">
        <v>6915</v>
      </c>
      <c r="L437" t="s">
        <v>6916</v>
      </c>
    </row>
    <row r="438" spans="1:12" x14ac:dyDescent="0.25">
      <c r="A438" t="s">
        <v>5766</v>
      </c>
      <c r="B438" t="s">
        <v>828</v>
      </c>
      <c r="C438" s="1" t="s">
        <v>1446</v>
      </c>
      <c r="D438" s="1" t="s">
        <v>1446</v>
      </c>
      <c r="E438" t="s">
        <v>1448</v>
      </c>
      <c r="F438" t="s">
        <v>6910</v>
      </c>
      <c r="G438" t="s">
        <v>7265</v>
      </c>
      <c r="H438" t="s">
        <v>7266</v>
      </c>
      <c r="I438" t="s">
        <v>6977</v>
      </c>
      <c r="J438" t="s">
        <v>6914</v>
      </c>
      <c r="K438" t="s">
        <v>6915</v>
      </c>
      <c r="L438" t="s">
        <v>6916</v>
      </c>
    </row>
    <row r="439" spans="1:12" x14ac:dyDescent="0.25">
      <c r="A439" t="s">
        <v>5766</v>
      </c>
      <c r="B439" t="s">
        <v>828</v>
      </c>
      <c r="C439" s="1" t="s">
        <v>1450</v>
      </c>
      <c r="D439" s="1" t="s">
        <v>1450</v>
      </c>
      <c r="E439" t="s">
        <v>1452</v>
      </c>
      <c r="F439" t="s">
        <v>7000</v>
      </c>
      <c r="G439" t="s">
        <v>7267</v>
      </c>
      <c r="H439" t="s">
        <v>7268</v>
      </c>
      <c r="I439" t="s">
        <v>6934</v>
      </c>
      <c r="J439" t="s">
        <v>6914</v>
      </c>
      <c r="K439" t="s">
        <v>6915</v>
      </c>
      <c r="L439" t="s">
        <v>6916</v>
      </c>
    </row>
    <row r="440" spans="1:12" x14ac:dyDescent="0.25">
      <c r="A440" t="s">
        <v>5766</v>
      </c>
      <c r="B440" t="s">
        <v>828</v>
      </c>
      <c r="C440" s="1" t="s">
        <v>1454</v>
      </c>
      <c r="D440" s="1" t="s">
        <v>1454</v>
      </c>
      <c r="E440" t="s">
        <v>1455</v>
      </c>
      <c r="F440" t="s">
        <v>6938</v>
      </c>
      <c r="G440" t="s">
        <v>7269</v>
      </c>
      <c r="H440" t="s">
        <v>7192</v>
      </c>
      <c r="I440" t="s">
        <v>6937</v>
      </c>
      <c r="J440" t="s">
        <v>6914</v>
      </c>
      <c r="K440" t="s">
        <v>6915</v>
      </c>
      <c r="L440" t="s">
        <v>6916</v>
      </c>
    </row>
    <row r="441" spans="1:12" x14ac:dyDescent="0.25">
      <c r="A441" t="s">
        <v>5766</v>
      </c>
      <c r="B441" t="s">
        <v>828</v>
      </c>
      <c r="C441" s="1" t="s">
        <v>1457</v>
      </c>
      <c r="D441" s="1" t="s">
        <v>1457</v>
      </c>
      <c r="E441" t="s">
        <v>1459</v>
      </c>
      <c r="F441" t="s">
        <v>6926</v>
      </c>
      <c r="G441" t="s">
        <v>7270</v>
      </c>
      <c r="H441" t="s">
        <v>7271</v>
      </c>
      <c r="I441" t="s">
        <v>6116</v>
      </c>
      <c r="J441" t="s">
        <v>6914</v>
      </c>
      <c r="K441" t="s">
        <v>6915</v>
      </c>
      <c r="L441" t="s">
        <v>6916</v>
      </c>
    </row>
    <row r="442" spans="1:12" x14ac:dyDescent="0.25">
      <c r="A442" t="s">
        <v>5766</v>
      </c>
      <c r="B442" t="s">
        <v>828</v>
      </c>
      <c r="C442" s="1" t="s">
        <v>1461</v>
      </c>
      <c r="D442" s="1" t="s">
        <v>1461</v>
      </c>
      <c r="E442" t="s">
        <v>1463</v>
      </c>
      <c r="F442" t="s">
        <v>7000</v>
      </c>
      <c r="G442" t="s">
        <v>7272</v>
      </c>
      <c r="H442" t="s">
        <v>7273</v>
      </c>
      <c r="I442" t="s">
        <v>6954</v>
      </c>
      <c r="J442" t="s">
        <v>6914</v>
      </c>
      <c r="K442" t="s">
        <v>6915</v>
      </c>
      <c r="L442" t="s">
        <v>6916</v>
      </c>
    </row>
    <row r="443" spans="1:12" x14ac:dyDescent="0.25">
      <c r="A443" t="s">
        <v>5766</v>
      </c>
      <c r="B443" t="s">
        <v>828</v>
      </c>
      <c r="C443" s="1" t="s">
        <v>1465</v>
      </c>
      <c r="D443" s="1" t="s">
        <v>1465</v>
      </c>
      <c r="E443" t="s">
        <v>1467</v>
      </c>
      <c r="F443" t="s">
        <v>6948</v>
      </c>
      <c r="G443" t="s">
        <v>7274</v>
      </c>
      <c r="H443" t="s">
        <v>7275</v>
      </c>
      <c r="I443" t="s">
        <v>6951</v>
      </c>
      <c r="J443" t="s">
        <v>6914</v>
      </c>
      <c r="K443" t="s">
        <v>6915</v>
      </c>
      <c r="L443" t="s">
        <v>6916</v>
      </c>
    </row>
    <row r="444" spans="1:12" x14ac:dyDescent="0.25">
      <c r="A444" t="s">
        <v>5766</v>
      </c>
      <c r="B444" t="s">
        <v>828</v>
      </c>
      <c r="C444" s="1" t="s">
        <v>1469</v>
      </c>
      <c r="D444" s="1" t="s">
        <v>1469</v>
      </c>
      <c r="E444" t="s">
        <v>1471</v>
      </c>
      <c r="F444" t="s">
        <v>7041</v>
      </c>
      <c r="G444" t="s">
        <v>7276</v>
      </c>
      <c r="H444" t="s">
        <v>7277</v>
      </c>
      <c r="I444" t="s">
        <v>7028</v>
      </c>
      <c r="J444" t="s">
        <v>6914</v>
      </c>
      <c r="K444" t="s">
        <v>6915</v>
      </c>
      <c r="L444" t="s">
        <v>6916</v>
      </c>
    </row>
    <row r="445" spans="1:12" x14ac:dyDescent="0.25">
      <c r="A445" t="s">
        <v>5766</v>
      </c>
      <c r="B445" t="s">
        <v>828</v>
      </c>
      <c r="C445" s="1" t="s">
        <v>1473</v>
      </c>
      <c r="D445" s="1" t="s">
        <v>1473</v>
      </c>
      <c r="E445" t="s">
        <v>1474</v>
      </c>
      <c r="F445" t="s">
        <v>6938</v>
      </c>
      <c r="G445" t="s">
        <v>7278</v>
      </c>
      <c r="H445" t="s">
        <v>7279</v>
      </c>
      <c r="I445" t="s">
        <v>6053</v>
      </c>
      <c r="J445" t="s">
        <v>6914</v>
      </c>
      <c r="K445" t="s">
        <v>6915</v>
      </c>
      <c r="L445" t="s">
        <v>6916</v>
      </c>
    </row>
    <row r="446" spans="1:12" x14ac:dyDescent="0.25">
      <c r="A446" t="s">
        <v>5766</v>
      </c>
      <c r="B446" t="s">
        <v>828</v>
      </c>
      <c r="C446" s="1" t="s">
        <v>1476</v>
      </c>
      <c r="D446" s="1" t="s">
        <v>1476</v>
      </c>
      <c r="E446" t="s">
        <v>1478</v>
      </c>
      <c r="F446" t="s">
        <v>6921</v>
      </c>
      <c r="G446" t="s">
        <v>7280</v>
      </c>
      <c r="H446" t="s">
        <v>7281</v>
      </c>
      <c r="I446" t="s">
        <v>6045</v>
      </c>
      <c r="J446" t="s">
        <v>6914</v>
      </c>
      <c r="K446" t="s">
        <v>6915</v>
      </c>
      <c r="L446" t="s">
        <v>6916</v>
      </c>
    </row>
    <row r="447" spans="1:12" x14ac:dyDescent="0.25">
      <c r="A447" t="s">
        <v>5766</v>
      </c>
      <c r="B447" t="s">
        <v>828</v>
      </c>
      <c r="C447" s="1" t="s">
        <v>1480</v>
      </c>
      <c r="D447" s="1" t="s">
        <v>1480</v>
      </c>
      <c r="E447" t="s">
        <v>1482</v>
      </c>
      <c r="F447" t="s">
        <v>6941</v>
      </c>
      <c r="G447" t="s">
        <v>7282</v>
      </c>
      <c r="H447" t="s">
        <v>7283</v>
      </c>
      <c r="I447" t="s">
        <v>6116</v>
      </c>
      <c r="J447" t="s">
        <v>6914</v>
      </c>
      <c r="K447" t="s">
        <v>6915</v>
      </c>
      <c r="L447" t="s">
        <v>6916</v>
      </c>
    </row>
    <row r="448" spans="1:12" x14ac:dyDescent="0.25">
      <c r="A448" t="s">
        <v>5766</v>
      </c>
      <c r="B448" t="s">
        <v>828</v>
      </c>
      <c r="C448" s="1" t="s">
        <v>1484</v>
      </c>
      <c r="D448" s="1" t="s">
        <v>1484</v>
      </c>
      <c r="E448" t="s">
        <v>1486</v>
      </c>
      <c r="F448" t="s">
        <v>6941</v>
      </c>
      <c r="G448" t="s">
        <v>7284</v>
      </c>
      <c r="H448" t="s">
        <v>7285</v>
      </c>
      <c r="I448" t="s">
        <v>6913</v>
      </c>
      <c r="J448" t="s">
        <v>6914</v>
      </c>
      <c r="K448" t="s">
        <v>6915</v>
      </c>
      <c r="L448" t="s">
        <v>6916</v>
      </c>
    </row>
    <row r="449" spans="1:12" x14ac:dyDescent="0.25">
      <c r="A449" t="s">
        <v>5766</v>
      </c>
      <c r="B449" t="s">
        <v>828</v>
      </c>
      <c r="C449" s="1" t="s">
        <v>1488</v>
      </c>
      <c r="D449" s="1" t="s">
        <v>1488</v>
      </c>
      <c r="E449" t="s">
        <v>1490</v>
      </c>
      <c r="F449" t="s">
        <v>7000</v>
      </c>
      <c r="G449" t="s">
        <v>7286</v>
      </c>
      <c r="H449" t="s">
        <v>7287</v>
      </c>
      <c r="I449" t="s">
        <v>6934</v>
      </c>
      <c r="J449" t="s">
        <v>6914</v>
      </c>
      <c r="K449" t="s">
        <v>6915</v>
      </c>
      <c r="L449" t="s">
        <v>6916</v>
      </c>
    </row>
    <row r="450" spans="1:12" x14ac:dyDescent="0.25">
      <c r="A450" t="s">
        <v>5766</v>
      </c>
      <c r="B450" t="s">
        <v>828</v>
      </c>
      <c r="C450" s="1" t="s">
        <v>1492</v>
      </c>
      <c r="D450" s="1" t="s">
        <v>1492</v>
      </c>
      <c r="E450" t="s">
        <v>1494</v>
      </c>
      <c r="F450" t="s">
        <v>6917</v>
      </c>
      <c r="G450" t="s">
        <v>7288</v>
      </c>
      <c r="H450" t="s">
        <v>7289</v>
      </c>
      <c r="I450" t="s">
        <v>6913</v>
      </c>
      <c r="J450" t="s">
        <v>6914</v>
      </c>
      <c r="K450" t="s">
        <v>6915</v>
      </c>
      <c r="L450" t="s">
        <v>6916</v>
      </c>
    </row>
    <row r="451" spans="1:12" x14ac:dyDescent="0.25">
      <c r="A451" t="s">
        <v>5766</v>
      </c>
      <c r="B451" t="s">
        <v>828</v>
      </c>
      <c r="C451" s="1" t="s">
        <v>1496</v>
      </c>
      <c r="D451" s="1" t="s">
        <v>1496</v>
      </c>
      <c r="E451" t="s">
        <v>1498</v>
      </c>
      <c r="F451" t="s">
        <v>7000</v>
      </c>
      <c r="G451" t="s">
        <v>7290</v>
      </c>
      <c r="H451" t="s">
        <v>7291</v>
      </c>
      <c r="I451" t="s">
        <v>6934</v>
      </c>
      <c r="J451" t="s">
        <v>6914</v>
      </c>
      <c r="K451" t="s">
        <v>6915</v>
      </c>
      <c r="L451" t="s">
        <v>6916</v>
      </c>
    </row>
    <row r="452" spans="1:12" x14ac:dyDescent="0.25">
      <c r="A452" t="s">
        <v>5766</v>
      </c>
      <c r="B452" t="s">
        <v>828</v>
      </c>
      <c r="C452" s="1" t="s">
        <v>1500</v>
      </c>
      <c r="D452" s="1" t="s">
        <v>1500</v>
      </c>
      <c r="E452" t="s">
        <v>1502</v>
      </c>
      <c r="F452" t="s">
        <v>6938</v>
      </c>
      <c r="G452" t="s">
        <v>7292</v>
      </c>
      <c r="H452" t="s">
        <v>7293</v>
      </c>
      <c r="I452" t="s">
        <v>6053</v>
      </c>
      <c r="J452" t="s">
        <v>6914</v>
      </c>
      <c r="K452" t="s">
        <v>6915</v>
      </c>
      <c r="L452" t="s">
        <v>6916</v>
      </c>
    </row>
    <row r="453" spans="1:12" x14ac:dyDescent="0.25">
      <c r="A453" t="s">
        <v>5766</v>
      </c>
      <c r="B453" t="s">
        <v>828</v>
      </c>
      <c r="C453" s="1" t="s">
        <v>1504</v>
      </c>
      <c r="D453" s="1" t="s">
        <v>1504</v>
      </c>
      <c r="E453" t="s">
        <v>1506</v>
      </c>
      <c r="F453" t="s">
        <v>6910</v>
      </c>
      <c r="G453" t="s">
        <v>7294</v>
      </c>
      <c r="H453" t="s">
        <v>7295</v>
      </c>
      <c r="I453" t="s">
        <v>6053</v>
      </c>
      <c r="J453" t="s">
        <v>6914</v>
      </c>
      <c r="K453" t="s">
        <v>6915</v>
      </c>
      <c r="L453" t="s">
        <v>6916</v>
      </c>
    </row>
    <row r="454" spans="1:12" x14ac:dyDescent="0.25">
      <c r="A454" t="s">
        <v>5766</v>
      </c>
      <c r="B454" t="s">
        <v>828</v>
      </c>
      <c r="C454" s="1" t="s">
        <v>1508</v>
      </c>
      <c r="D454" s="1" t="s">
        <v>1508</v>
      </c>
      <c r="E454" t="s">
        <v>1510</v>
      </c>
      <c r="F454" t="s">
        <v>6921</v>
      </c>
      <c r="G454" t="s">
        <v>7296</v>
      </c>
      <c r="H454" t="s">
        <v>7297</v>
      </c>
      <c r="I454" t="s">
        <v>6920</v>
      </c>
      <c r="J454" t="s">
        <v>6914</v>
      </c>
      <c r="K454" t="s">
        <v>6915</v>
      </c>
      <c r="L454" t="s">
        <v>6916</v>
      </c>
    </row>
    <row r="455" spans="1:12" x14ac:dyDescent="0.25">
      <c r="A455" t="s">
        <v>5766</v>
      </c>
      <c r="B455" t="s">
        <v>828</v>
      </c>
      <c r="C455" s="1" t="s">
        <v>1512</v>
      </c>
      <c r="D455" s="1" t="s">
        <v>1512</v>
      </c>
      <c r="E455" t="s">
        <v>1513</v>
      </c>
      <c r="F455" t="s">
        <v>6938</v>
      </c>
      <c r="G455" t="s">
        <v>7298</v>
      </c>
      <c r="H455" t="s">
        <v>7299</v>
      </c>
      <c r="I455" t="s">
        <v>6937</v>
      </c>
      <c r="J455" t="s">
        <v>6914</v>
      </c>
      <c r="K455" t="s">
        <v>6915</v>
      </c>
      <c r="L455" t="s">
        <v>6916</v>
      </c>
    </row>
    <row r="456" spans="1:12" x14ac:dyDescent="0.25">
      <c r="A456" t="s">
        <v>5766</v>
      </c>
      <c r="B456" t="s">
        <v>828</v>
      </c>
      <c r="C456" s="1" t="s">
        <v>1515</v>
      </c>
      <c r="D456" s="1" t="s">
        <v>1515</v>
      </c>
      <c r="E456" t="s">
        <v>1517</v>
      </c>
      <c r="F456" t="s">
        <v>6917</v>
      </c>
      <c r="G456" t="s">
        <v>7300</v>
      </c>
      <c r="H456" t="s">
        <v>7301</v>
      </c>
      <c r="I456" t="s">
        <v>6116</v>
      </c>
      <c r="J456" t="s">
        <v>6914</v>
      </c>
      <c r="K456" t="s">
        <v>6915</v>
      </c>
      <c r="L456" t="s">
        <v>6916</v>
      </c>
    </row>
    <row r="457" spans="1:12" x14ac:dyDescent="0.25">
      <c r="A457" t="s">
        <v>5766</v>
      </c>
      <c r="B457" t="s">
        <v>828</v>
      </c>
      <c r="C457" s="1" t="s">
        <v>1519</v>
      </c>
      <c r="D457" s="1" t="s">
        <v>1519</v>
      </c>
      <c r="E457" t="s">
        <v>1521</v>
      </c>
      <c r="F457" t="s">
        <v>6921</v>
      </c>
      <c r="G457" t="s">
        <v>7302</v>
      </c>
      <c r="H457" t="s">
        <v>7303</v>
      </c>
      <c r="I457" t="s">
        <v>7093</v>
      </c>
      <c r="J457" t="s">
        <v>6914</v>
      </c>
      <c r="K457" t="s">
        <v>6915</v>
      </c>
      <c r="L457" t="s">
        <v>6916</v>
      </c>
    </row>
    <row r="458" spans="1:12" x14ac:dyDescent="0.25">
      <c r="A458" t="s">
        <v>5766</v>
      </c>
      <c r="B458" t="s">
        <v>828</v>
      </c>
      <c r="C458" s="1" t="s">
        <v>1523</v>
      </c>
      <c r="D458" s="1" t="s">
        <v>1523</v>
      </c>
      <c r="E458" t="s">
        <v>1525</v>
      </c>
      <c r="F458" t="s">
        <v>6926</v>
      </c>
      <c r="G458" t="s">
        <v>7304</v>
      </c>
      <c r="H458" t="s">
        <v>7305</v>
      </c>
      <c r="I458" t="s">
        <v>6053</v>
      </c>
      <c r="J458" t="s">
        <v>6914</v>
      </c>
      <c r="K458" t="s">
        <v>6915</v>
      </c>
      <c r="L458" t="s">
        <v>6916</v>
      </c>
    </row>
    <row r="459" spans="1:12" x14ac:dyDescent="0.25">
      <c r="A459" t="s">
        <v>5766</v>
      </c>
      <c r="B459" t="s">
        <v>828</v>
      </c>
      <c r="C459" s="1" t="s">
        <v>1527</v>
      </c>
      <c r="D459" s="1" t="s">
        <v>1527</v>
      </c>
      <c r="E459" t="s">
        <v>1528</v>
      </c>
      <c r="F459" t="s">
        <v>6938</v>
      </c>
      <c r="G459" t="s">
        <v>7306</v>
      </c>
      <c r="H459" t="s">
        <v>7307</v>
      </c>
      <c r="I459" t="s">
        <v>6053</v>
      </c>
      <c r="J459" t="s">
        <v>6914</v>
      </c>
      <c r="K459" t="s">
        <v>6915</v>
      </c>
      <c r="L459" t="s">
        <v>6916</v>
      </c>
    </row>
    <row r="460" spans="1:12" x14ac:dyDescent="0.25">
      <c r="A460" t="s">
        <v>5766</v>
      </c>
      <c r="B460" t="s">
        <v>828</v>
      </c>
      <c r="C460" s="1" t="s">
        <v>1530</v>
      </c>
      <c r="D460" s="1" t="s">
        <v>1530</v>
      </c>
      <c r="E460" t="s">
        <v>1531</v>
      </c>
      <c r="F460" t="s">
        <v>6959</v>
      </c>
      <c r="G460" t="s">
        <v>7308</v>
      </c>
      <c r="H460" t="s">
        <v>7309</v>
      </c>
      <c r="I460" t="s">
        <v>5979</v>
      </c>
      <c r="J460" t="s">
        <v>6914</v>
      </c>
      <c r="K460" t="s">
        <v>6915</v>
      </c>
      <c r="L460" t="s">
        <v>6916</v>
      </c>
    </row>
    <row r="461" spans="1:12" x14ac:dyDescent="0.25">
      <c r="A461" t="s">
        <v>5766</v>
      </c>
      <c r="B461" t="s">
        <v>828</v>
      </c>
      <c r="C461" s="1" t="s">
        <v>1533</v>
      </c>
      <c r="D461" s="1" t="s">
        <v>1533</v>
      </c>
      <c r="E461" t="s">
        <v>1535</v>
      </c>
      <c r="F461" t="s">
        <v>6926</v>
      </c>
      <c r="G461" t="s">
        <v>7310</v>
      </c>
      <c r="H461" t="s">
        <v>7311</v>
      </c>
      <c r="I461" t="s">
        <v>6913</v>
      </c>
      <c r="J461" t="s">
        <v>6914</v>
      </c>
      <c r="K461" t="s">
        <v>6915</v>
      </c>
      <c r="L461" t="s">
        <v>6916</v>
      </c>
    </row>
    <row r="462" spans="1:12" x14ac:dyDescent="0.25">
      <c r="A462" t="s">
        <v>5766</v>
      </c>
      <c r="B462" t="s">
        <v>828</v>
      </c>
      <c r="C462" s="1" t="s">
        <v>1537</v>
      </c>
      <c r="D462" s="1" t="s">
        <v>1537</v>
      </c>
      <c r="E462" t="s">
        <v>1539</v>
      </c>
      <c r="F462" t="s">
        <v>6941</v>
      </c>
      <c r="G462" t="s">
        <v>7312</v>
      </c>
      <c r="H462" t="s">
        <v>7313</v>
      </c>
      <c r="I462" t="s">
        <v>7010</v>
      </c>
      <c r="J462" t="s">
        <v>6914</v>
      </c>
      <c r="K462" t="s">
        <v>6915</v>
      </c>
      <c r="L462" t="s">
        <v>6916</v>
      </c>
    </row>
    <row r="463" spans="1:12" x14ac:dyDescent="0.25">
      <c r="A463" t="s">
        <v>5766</v>
      </c>
      <c r="B463" t="s">
        <v>828</v>
      </c>
      <c r="C463" s="1" t="s">
        <v>1541</v>
      </c>
      <c r="D463" s="1" t="s">
        <v>1541</v>
      </c>
      <c r="E463" t="s">
        <v>1542</v>
      </c>
      <c r="F463" t="s">
        <v>6929</v>
      </c>
      <c r="G463" t="s">
        <v>7314</v>
      </c>
      <c r="H463" t="s">
        <v>7315</v>
      </c>
      <c r="I463" t="s">
        <v>6116</v>
      </c>
      <c r="J463" t="s">
        <v>6914</v>
      </c>
      <c r="K463" t="s">
        <v>6915</v>
      </c>
      <c r="L463" t="s">
        <v>6916</v>
      </c>
    </row>
    <row r="464" spans="1:12" x14ac:dyDescent="0.25">
      <c r="A464" t="s">
        <v>5766</v>
      </c>
      <c r="B464" t="s">
        <v>828</v>
      </c>
      <c r="C464" s="1" t="s">
        <v>1544</v>
      </c>
      <c r="D464" s="1" t="s">
        <v>1544</v>
      </c>
      <c r="E464" t="s">
        <v>1546</v>
      </c>
      <c r="F464" t="s">
        <v>6921</v>
      </c>
      <c r="G464" t="s">
        <v>7316</v>
      </c>
      <c r="H464" t="s">
        <v>7317</v>
      </c>
      <c r="I464" t="s">
        <v>6920</v>
      </c>
      <c r="J464" t="s">
        <v>6914</v>
      </c>
      <c r="K464" t="s">
        <v>6915</v>
      </c>
      <c r="L464" t="s">
        <v>6916</v>
      </c>
    </row>
    <row r="465" spans="1:13" x14ac:dyDescent="0.25">
      <c r="A465" t="s">
        <v>5766</v>
      </c>
      <c r="B465" t="s">
        <v>828</v>
      </c>
      <c r="C465" s="1" t="s">
        <v>1548</v>
      </c>
      <c r="D465" s="1" t="s">
        <v>1548</v>
      </c>
      <c r="E465" t="s">
        <v>1550</v>
      </c>
      <c r="F465" t="s">
        <v>6926</v>
      </c>
      <c r="G465" t="s">
        <v>7318</v>
      </c>
      <c r="H465" t="s">
        <v>7319</v>
      </c>
      <c r="I465" t="s">
        <v>6053</v>
      </c>
      <c r="J465" t="s">
        <v>6914</v>
      </c>
      <c r="K465" t="s">
        <v>6915</v>
      </c>
      <c r="L465" t="s">
        <v>6916</v>
      </c>
    </row>
    <row r="466" spans="1:13" x14ac:dyDescent="0.25">
      <c r="A466" t="s">
        <v>5766</v>
      </c>
      <c r="B466" t="s">
        <v>828</v>
      </c>
      <c r="C466" s="1" t="s">
        <v>1552</v>
      </c>
      <c r="D466" s="1" t="s">
        <v>1552</v>
      </c>
      <c r="E466" t="s">
        <v>1554</v>
      </c>
      <c r="F466" t="s">
        <v>7142</v>
      </c>
      <c r="G466" t="s">
        <v>7320</v>
      </c>
      <c r="H466" t="s">
        <v>7321</v>
      </c>
      <c r="I466" t="s">
        <v>6913</v>
      </c>
      <c r="J466" t="s">
        <v>6914</v>
      </c>
      <c r="K466" t="s">
        <v>6915</v>
      </c>
      <c r="L466" t="s">
        <v>6916</v>
      </c>
    </row>
    <row r="467" spans="1:13" x14ac:dyDescent="0.25">
      <c r="A467" t="s">
        <v>5766</v>
      </c>
      <c r="B467" t="s">
        <v>828</v>
      </c>
      <c r="C467" s="1" t="s">
        <v>1556</v>
      </c>
      <c r="D467" s="1" t="s">
        <v>1556</v>
      </c>
      <c r="E467" t="s">
        <v>1558</v>
      </c>
      <c r="F467" t="s">
        <v>6929</v>
      </c>
      <c r="G467" t="s">
        <v>7322</v>
      </c>
      <c r="H467" t="s">
        <v>7323</v>
      </c>
      <c r="I467" t="s">
        <v>6937</v>
      </c>
      <c r="J467" t="s">
        <v>6914</v>
      </c>
      <c r="K467" t="s">
        <v>6915</v>
      </c>
      <c r="L467" t="s">
        <v>6916</v>
      </c>
    </row>
    <row r="468" spans="1:13" x14ac:dyDescent="0.25">
      <c r="A468" t="s">
        <v>5766</v>
      </c>
      <c r="B468" t="s">
        <v>828</v>
      </c>
      <c r="C468" s="1" t="s">
        <v>1560</v>
      </c>
      <c r="D468" s="1" t="s">
        <v>1560</v>
      </c>
      <c r="E468" t="s">
        <v>1562</v>
      </c>
      <c r="F468" t="s">
        <v>6926</v>
      </c>
      <c r="G468" t="s">
        <v>7324</v>
      </c>
      <c r="H468" t="s">
        <v>7325</v>
      </c>
      <c r="I468" t="s">
        <v>6937</v>
      </c>
      <c r="J468" t="s">
        <v>6914</v>
      </c>
      <c r="K468" t="s">
        <v>6915</v>
      </c>
      <c r="L468" t="s">
        <v>6916</v>
      </c>
    </row>
    <row r="469" spans="1:13" x14ac:dyDescent="0.25">
      <c r="A469" t="s">
        <v>5766</v>
      </c>
      <c r="B469" t="s">
        <v>828</v>
      </c>
      <c r="C469" s="1" t="s">
        <v>1564</v>
      </c>
      <c r="D469" s="1" t="s">
        <v>1564</v>
      </c>
      <c r="E469" t="s">
        <v>1566</v>
      </c>
      <c r="F469" t="s">
        <v>7041</v>
      </c>
      <c r="G469" t="s">
        <v>7326</v>
      </c>
      <c r="H469" t="s">
        <v>7327</v>
      </c>
      <c r="I469" t="s">
        <v>7028</v>
      </c>
      <c r="J469" t="s">
        <v>6914</v>
      </c>
      <c r="K469" t="s">
        <v>6915</v>
      </c>
      <c r="L469" t="s">
        <v>6916</v>
      </c>
    </row>
    <row r="470" spans="1:13" x14ac:dyDescent="0.25">
      <c r="A470" t="s">
        <v>5766</v>
      </c>
      <c r="B470" t="s">
        <v>828</v>
      </c>
      <c r="C470" s="1" t="s">
        <v>1568</v>
      </c>
      <c r="D470" s="1" t="s">
        <v>1568</v>
      </c>
      <c r="E470" t="s">
        <v>1570</v>
      </c>
      <c r="F470" t="s">
        <v>6917</v>
      </c>
      <c r="G470" t="s">
        <v>7328</v>
      </c>
      <c r="H470" t="s">
        <v>7329</v>
      </c>
      <c r="I470" t="s">
        <v>6913</v>
      </c>
      <c r="J470" t="s">
        <v>6914</v>
      </c>
      <c r="K470" t="s">
        <v>6915</v>
      </c>
      <c r="L470" t="s">
        <v>6916</v>
      </c>
    </row>
    <row r="471" spans="1:13" x14ac:dyDescent="0.25">
      <c r="A471" t="s">
        <v>5766</v>
      </c>
      <c r="B471" t="s">
        <v>828</v>
      </c>
      <c r="C471" s="1" t="s">
        <v>78</v>
      </c>
      <c r="D471" s="1" t="s">
        <v>5780</v>
      </c>
      <c r="E471" t="s">
        <v>5781</v>
      </c>
      <c r="F471" t="s">
        <v>7330</v>
      </c>
      <c r="G471" t="s">
        <v>5783</v>
      </c>
      <c r="H471" t="s">
        <v>7331</v>
      </c>
      <c r="I471" t="s">
        <v>7332</v>
      </c>
      <c r="J471" t="s">
        <v>6914</v>
      </c>
      <c r="K471" t="s">
        <v>6915</v>
      </c>
      <c r="L471" t="s">
        <v>6916</v>
      </c>
      <c r="M471" t="s">
        <v>65</v>
      </c>
    </row>
    <row r="472" spans="1:13" x14ac:dyDescent="0.25">
      <c r="A472" t="s">
        <v>5766</v>
      </c>
      <c r="B472" t="s">
        <v>828</v>
      </c>
      <c r="C472" s="1" t="s">
        <v>52</v>
      </c>
      <c r="D472" s="1" t="s">
        <v>52</v>
      </c>
      <c r="E472" t="s">
        <v>5767</v>
      </c>
      <c r="F472" t="s">
        <v>7333</v>
      </c>
      <c r="G472" t="s">
        <v>5769</v>
      </c>
      <c r="H472" t="s">
        <v>7334</v>
      </c>
      <c r="I472" t="s">
        <v>7335</v>
      </c>
      <c r="J472" t="s">
        <v>6914</v>
      </c>
      <c r="K472" t="s">
        <v>6915</v>
      </c>
      <c r="L472" t="s">
        <v>6916</v>
      </c>
      <c r="M472" t="s">
        <v>65</v>
      </c>
    </row>
    <row r="473" spans="1:13" x14ac:dyDescent="0.25">
      <c r="A473" t="s">
        <v>5766</v>
      </c>
      <c r="B473" t="s">
        <v>1571</v>
      </c>
      <c r="C473" s="1" t="s">
        <v>1573</v>
      </c>
      <c r="D473" s="1" t="s">
        <v>1573</v>
      </c>
      <c r="E473" t="s">
        <v>1575</v>
      </c>
      <c r="F473" t="s">
        <v>7336</v>
      </c>
      <c r="G473" t="s">
        <v>7337</v>
      </c>
      <c r="H473" t="s">
        <v>7338</v>
      </c>
      <c r="I473" t="s">
        <v>7339</v>
      </c>
      <c r="J473" t="s">
        <v>7340</v>
      </c>
      <c r="K473" t="s">
        <v>7341</v>
      </c>
      <c r="L473" t="s">
        <v>7342</v>
      </c>
    </row>
    <row r="474" spans="1:13" x14ac:dyDescent="0.25">
      <c r="A474" t="s">
        <v>5766</v>
      </c>
      <c r="B474" t="s">
        <v>1571</v>
      </c>
      <c r="C474" s="1" t="s">
        <v>1577</v>
      </c>
      <c r="D474" s="1" t="s">
        <v>1577</v>
      </c>
      <c r="E474" t="s">
        <v>1578</v>
      </c>
      <c r="F474" t="s">
        <v>7343</v>
      </c>
      <c r="G474" t="s">
        <v>7344</v>
      </c>
      <c r="H474" t="s">
        <v>7345</v>
      </c>
      <c r="I474" t="s">
        <v>6248</v>
      </c>
      <c r="J474" t="s">
        <v>7340</v>
      </c>
      <c r="K474" t="s">
        <v>7341</v>
      </c>
      <c r="L474" t="s">
        <v>7342</v>
      </c>
    </row>
    <row r="475" spans="1:13" x14ac:dyDescent="0.25">
      <c r="A475" t="s">
        <v>5766</v>
      </c>
      <c r="B475" t="s">
        <v>1571</v>
      </c>
      <c r="C475" s="1" t="s">
        <v>1580</v>
      </c>
      <c r="D475" s="1" t="s">
        <v>1580</v>
      </c>
      <c r="E475" t="s">
        <v>1581</v>
      </c>
      <c r="F475" t="s">
        <v>7185</v>
      </c>
      <c r="G475" t="s">
        <v>7346</v>
      </c>
      <c r="H475" t="s">
        <v>7347</v>
      </c>
      <c r="I475" t="s">
        <v>6234</v>
      </c>
      <c r="J475" t="s">
        <v>7340</v>
      </c>
      <c r="K475" t="s">
        <v>7341</v>
      </c>
      <c r="L475" t="s">
        <v>7342</v>
      </c>
    </row>
    <row r="476" spans="1:13" x14ac:dyDescent="0.25">
      <c r="A476" t="s">
        <v>5766</v>
      </c>
      <c r="B476" t="s">
        <v>1571</v>
      </c>
      <c r="C476" s="1" t="s">
        <v>1583</v>
      </c>
      <c r="D476" s="1" t="s">
        <v>1583</v>
      </c>
      <c r="E476" t="s">
        <v>1584</v>
      </c>
      <c r="F476" t="s">
        <v>7348</v>
      </c>
      <c r="G476" t="s">
        <v>7349</v>
      </c>
      <c r="H476" t="s">
        <v>7350</v>
      </c>
      <c r="I476" t="s">
        <v>6018</v>
      </c>
      <c r="J476" t="s">
        <v>7340</v>
      </c>
      <c r="K476" t="s">
        <v>7341</v>
      </c>
      <c r="L476" t="s">
        <v>7342</v>
      </c>
    </row>
    <row r="477" spans="1:13" x14ac:dyDescent="0.25">
      <c r="A477" t="s">
        <v>5766</v>
      </c>
      <c r="B477" t="s">
        <v>1571</v>
      </c>
      <c r="C477" s="1" t="s">
        <v>1586</v>
      </c>
      <c r="D477" s="1" t="s">
        <v>1586</v>
      </c>
      <c r="E477" t="s">
        <v>1587</v>
      </c>
      <c r="F477" t="s">
        <v>6917</v>
      </c>
      <c r="G477" t="s">
        <v>7351</v>
      </c>
      <c r="H477" t="s">
        <v>7352</v>
      </c>
      <c r="I477" t="s">
        <v>7353</v>
      </c>
      <c r="J477" t="s">
        <v>7340</v>
      </c>
      <c r="K477" t="s">
        <v>7341</v>
      </c>
      <c r="L477" t="s">
        <v>7342</v>
      </c>
    </row>
    <row r="478" spans="1:13" x14ac:dyDescent="0.25">
      <c r="A478" t="s">
        <v>5766</v>
      </c>
      <c r="B478" t="s">
        <v>1571</v>
      </c>
      <c r="C478" s="1" t="s">
        <v>1589</v>
      </c>
      <c r="D478" s="1" t="s">
        <v>1589</v>
      </c>
      <c r="E478" t="s">
        <v>1590</v>
      </c>
      <c r="F478" t="s">
        <v>7142</v>
      </c>
      <c r="G478" t="s">
        <v>7354</v>
      </c>
      <c r="H478" t="s">
        <v>7355</v>
      </c>
      <c r="I478" t="s">
        <v>6049</v>
      </c>
      <c r="J478" t="s">
        <v>7340</v>
      </c>
      <c r="K478" t="s">
        <v>7341</v>
      </c>
      <c r="L478" t="s">
        <v>7342</v>
      </c>
    </row>
    <row r="479" spans="1:13" x14ac:dyDescent="0.25">
      <c r="A479" t="s">
        <v>5766</v>
      </c>
      <c r="B479" t="s">
        <v>1571</v>
      </c>
      <c r="C479" s="1" t="s">
        <v>1592</v>
      </c>
      <c r="D479" s="1" t="s">
        <v>1592</v>
      </c>
      <c r="E479" t="s">
        <v>1593</v>
      </c>
      <c r="F479" t="s">
        <v>7356</v>
      </c>
      <c r="G479" t="s">
        <v>7357</v>
      </c>
      <c r="H479" t="s">
        <v>7358</v>
      </c>
      <c r="I479" t="s">
        <v>7359</v>
      </c>
      <c r="J479" t="s">
        <v>7340</v>
      </c>
      <c r="K479" t="s">
        <v>7341</v>
      </c>
      <c r="L479" t="s">
        <v>7342</v>
      </c>
    </row>
    <row r="480" spans="1:13" x14ac:dyDescent="0.25">
      <c r="A480" t="s">
        <v>5766</v>
      </c>
      <c r="B480" t="s">
        <v>1571</v>
      </c>
      <c r="C480" s="1" t="s">
        <v>1595</v>
      </c>
      <c r="D480" s="1" t="s">
        <v>1595</v>
      </c>
      <c r="E480" t="s">
        <v>1596</v>
      </c>
      <c r="F480" t="s">
        <v>7360</v>
      </c>
      <c r="G480" t="s">
        <v>7361</v>
      </c>
      <c r="H480" t="s">
        <v>7362</v>
      </c>
      <c r="I480" t="s">
        <v>7363</v>
      </c>
      <c r="J480" t="s">
        <v>7340</v>
      </c>
      <c r="K480" t="s">
        <v>7341</v>
      </c>
      <c r="L480" t="s">
        <v>7342</v>
      </c>
    </row>
    <row r="481" spans="1:12" x14ac:dyDescent="0.25">
      <c r="A481" t="s">
        <v>5766</v>
      </c>
      <c r="B481" t="s">
        <v>1571</v>
      </c>
      <c r="C481" s="1" t="s">
        <v>1598</v>
      </c>
      <c r="D481" s="1" t="s">
        <v>1598</v>
      </c>
      <c r="E481" t="s">
        <v>1599</v>
      </c>
      <c r="F481" t="s">
        <v>7356</v>
      </c>
      <c r="G481" t="s">
        <v>7364</v>
      </c>
      <c r="H481" t="s">
        <v>7365</v>
      </c>
      <c r="I481" t="s">
        <v>6305</v>
      </c>
      <c r="J481" t="s">
        <v>7340</v>
      </c>
      <c r="K481" t="s">
        <v>7341</v>
      </c>
      <c r="L481" t="s">
        <v>7342</v>
      </c>
    </row>
    <row r="482" spans="1:12" x14ac:dyDescent="0.25">
      <c r="A482" t="s">
        <v>5766</v>
      </c>
      <c r="B482" t="s">
        <v>1571</v>
      </c>
      <c r="C482" s="1" t="s">
        <v>1601</v>
      </c>
      <c r="D482" s="1" t="s">
        <v>1601</v>
      </c>
      <c r="E482" t="s">
        <v>1602</v>
      </c>
      <c r="F482" t="s">
        <v>7356</v>
      </c>
      <c r="G482" t="s">
        <v>7366</v>
      </c>
      <c r="H482" t="s">
        <v>7367</v>
      </c>
      <c r="I482" t="s">
        <v>6468</v>
      </c>
      <c r="J482" t="s">
        <v>7340</v>
      </c>
      <c r="K482" t="s">
        <v>7341</v>
      </c>
      <c r="L482" t="s">
        <v>7342</v>
      </c>
    </row>
    <row r="483" spans="1:12" x14ac:dyDescent="0.25">
      <c r="A483" t="s">
        <v>5766</v>
      </c>
      <c r="B483" t="s">
        <v>1571</v>
      </c>
      <c r="C483" s="1" t="s">
        <v>1604</v>
      </c>
      <c r="D483" s="1" t="s">
        <v>1604</v>
      </c>
      <c r="E483" t="s">
        <v>1605</v>
      </c>
      <c r="F483" t="s">
        <v>7368</v>
      </c>
      <c r="G483" t="s">
        <v>7369</v>
      </c>
      <c r="H483" t="s">
        <v>7370</v>
      </c>
      <c r="I483" t="s">
        <v>7371</v>
      </c>
      <c r="J483" t="s">
        <v>7340</v>
      </c>
      <c r="K483" t="s">
        <v>7341</v>
      </c>
      <c r="L483" t="s">
        <v>7342</v>
      </c>
    </row>
    <row r="484" spans="1:12" x14ac:dyDescent="0.25">
      <c r="A484" t="s">
        <v>5766</v>
      </c>
      <c r="B484" t="s">
        <v>1571</v>
      </c>
      <c r="C484" s="1" t="s">
        <v>1607</v>
      </c>
      <c r="D484" s="1" t="s">
        <v>1607</v>
      </c>
      <c r="E484" t="s">
        <v>1608</v>
      </c>
      <c r="F484" t="s">
        <v>7360</v>
      </c>
      <c r="G484" t="s">
        <v>7372</v>
      </c>
      <c r="H484" t="s">
        <v>7373</v>
      </c>
      <c r="I484" t="s">
        <v>7374</v>
      </c>
      <c r="J484" t="s">
        <v>7340</v>
      </c>
      <c r="K484" t="s">
        <v>7341</v>
      </c>
      <c r="L484" t="s">
        <v>7342</v>
      </c>
    </row>
    <row r="485" spans="1:12" x14ac:dyDescent="0.25">
      <c r="A485" t="s">
        <v>5766</v>
      </c>
      <c r="B485" t="s">
        <v>1571</v>
      </c>
      <c r="C485" s="1" t="s">
        <v>1610</v>
      </c>
      <c r="D485" s="1" t="s">
        <v>1610</v>
      </c>
      <c r="E485" t="s">
        <v>1611</v>
      </c>
      <c r="F485" t="s">
        <v>7356</v>
      </c>
      <c r="G485" t="s">
        <v>7375</v>
      </c>
      <c r="H485" t="s">
        <v>7376</v>
      </c>
      <c r="I485" t="s">
        <v>7377</v>
      </c>
      <c r="J485" t="s">
        <v>7340</v>
      </c>
      <c r="K485" t="s">
        <v>7341</v>
      </c>
      <c r="L485" t="s">
        <v>7342</v>
      </c>
    </row>
    <row r="486" spans="1:12" x14ac:dyDescent="0.25">
      <c r="A486" t="s">
        <v>5766</v>
      </c>
      <c r="B486" t="s">
        <v>1571</v>
      </c>
      <c r="C486" s="1" t="s">
        <v>1613</v>
      </c>
      <c r="D486" s="1" t="s">
        <v>1613</v>
      </c>
      <c r="E486" t="s">
        <v>1614</v>
      </c>
      <c r="F486" t="s">
        <v>7378</v>
      </c>
      <c r="G486" t="s">
        <v>7379</v>
      </c>
      <c r="H486" t="s">
        <v>7380</v>
      </c>
      <c r="I486" t="s">
        <v>5901</v>
      </c>
      <c r="J486" t="s">
        <v>7340</v>
      </c>
      <c r="K486" t="s">
        <v>7341</v>
      </c>
      <c r="L486" t="s">
        <v>7342</v>
      </c>
    </row>
    <row r="487" spans="1:12" x14ac:dyDescent="0.25">
      <c r="A487" t="s">
        <v>5766</v>
      </c>
      <c r="B487" t="s">
        <v>1571</v>
      </c>
      <c r="C487" s="1" t="s">
        <v>1616</v>
      </c>
      <c r="D487" s="1" t="s">
        <v>1616</v>
      </c>
      <c r="E487" t="s">
        <v>1617</v>
      </c>
      <c r="F487" t="s">
        <v>7381</v>
      </c>
      <c r="G487" t="s">
        <v>7382</v>
      </c>
      <c r="H487" t="s">
        <v>7383</v>
      </c>
      <c r="I487" t="s">
        <v>6518</v>
      </c>
      <c r="J487" t="s">
        <v>7340</v>
      </c>
      <c r="K487" t="s">
        <v>7341</v>
      </c>
      <c r="L487" t="s">
        <v>7342</v>
      </c>
    </row>
    <row r="488" spans="1:12" x14ac:dyDescent="0.25">
      <c r="A488" t="s">
        <v>5766</v>
      </c>
      <c r="B488" t="s">
        <v>1571</v>
      </c>
      <c r="C488" s="1" t="s">
        <v>1619</v>
      </c>
      <c r="D488" s="1" t="s">
        <v>1619</v>
      </c>
      <c r="E488" t="s">
        <v>1620</v>
      </c>
      <c r="F488" t="s">
        <v>7381</v>
      </c>
      <c r="G488" t="s">
        <v>7384</v>
      </c>
      <c r="H488" t="s">
        <v>7385</v>
      </c>
      <c r="I488" t="s">
        <v>6278</v>
      </c>
      <c r="J488" t="s">
        <v>7340</v>
      </c>
      <c r="K488" t="s">
        <v>7341</v>
      </c>
      <c r="L488" t="s">
        <v>7342</v>
      </c>
    </row>
    <row r="489" spans="1:12" x14ac:dyDescent="0.25">
      <c r="A489" t="s">
        <v>5766</v>
      </c>
      <c r="B489" t="s">
        <v>1571</v>
      </c>
      <c r="C489" s="1" t="s">
        <v>1622</v>
      </c>
      <c r="D489" s="1" t="s">
        <v>1622</v>
      </c>
      <c r="E489" t="s">
        <v>1623</v>
      </c>
      <c r="F489" t="s">
        <v>7348</v>
      </c>
      <c r="G489" t="s">
        <v>7386</v>
      </c>
      <c r="H489" t="s">
        <v>7387</v>
      </c>
      <c r="I489" t="s">
        <v>6169</v>
      </c>
      <c r="J489" t="s">
        <v>7340</v>
      </c>
      <c r="K489" t="s">
        <v>7341</v>
      </c>
      <c r="L489" t="s">
        <v>7342</v>
      </c>
    </row>
    <row r="490" spans="1:12" x14ac:dyDescent="0.25">
      <c r="A490" t="s">
        <v>5766</v>
      </c>
      <c r="B490" t="s">
        <v>1571</v>
      </c>
      <c r="C490" s="1" t="s">
        <v>1625</v>
      </c>
      <c r="D490" s="1" t="s">
        <v>1625</v>
      </c>
      <c r="E490" t="s">
        <v>1626</v>
      </c>
      <c r="F490" t="s">
        <v>7388</v>
      </c>
      <c r="G490" t="s">
        <v>7389</v>
      </c>
      <c r="H490" t="s">
        <v>7390</v>
      </c>
      <c r="I490" t="s">
        <v>7391</v>
      </c>
      <c r="J490" t="s">
        <v>7340</v>
      </c>
      <c r="K490" t="s">
        <v>7341</v>
      </c>
      <c r="L490" t="s">
        <v>7342</v>
      </c>
    </row>
    <row r="491" spans="1:12" x14ac:dyDescent="0.25">
      <c r="A491" t="s">
        <v>5766</v>
      </c>
      <c r="B491" t="s">
        <v>1571</v>
      </c>
      <c r="C491" s="1" t="s">
        <v>1628</v>
      </c>
      <c r="D491" s="1" t="s">
        <v>1628</v>
      </c>
      <c r="E491" t="s">
        <v>1629</v>
      </c>
      <c r="F491" t="s">
        <v>7348</v>
      </c>
      <c r="G491" t="s">
        <v>7392</v>
      </c>
      <c r="H491" t="s">
        <v>7393</v>
      </c>
      <c r="I491" t="s">
        <v>6173</v>
      </c>
      <c r="J491" t="s">
        <v>7340</v>
      </c>
      <c r="K491" t="s">
        <v>7341</v>
      </c>
      <c r="L491" t="s">
        <v>7342</v>
      </c>
    </row>
    <row r="492" spans="1:12" x14ac:dyDescent="0.25">
      <c r="A492" t="s">
        <v>5766</v>
      </c>
      <c r="B492" t="s">
        <v>1571</v>
      </c>
      <c r="C492" s="1" t="s">
        <v>1631</v>
      </c>
      <c r="D492" s="1" t="s">
        <v>1631</v>
      </c>
      <c r="E492" t="s">
        <v>1632</v>
      </c>
      <c r="F492" t="s">
        <v>7348</v>
      </c>
      <c r="G492" t="s">
        <v>7394</v>
      </c>
      <c r="H492" t="s">
        <v>7395</v>
      </c>
      <c r="I492" t="s">
        <v>7396</v>
      </c>
      <c r="J492" t="s">
        <v>7340</v>
      </c>
      <c r="K492" t="s">
        <v>7341</v>
      </c>
      <c r="L492" t="s">
        <v>7342</v>
      </c>
    </row>
    <row r="493" spans="1:12" x14ac:dyDescent="0.25">
      <c r="A493" t="s">
        <v>5766</v>
      </c>
      <c r="B493" t="s">
        <v>1571</v>
      </c>
      <c r="C493" s="1" t="s">
        <v>1634</v>
      </c>
      <c r="D493" s="1" t="s">
        <v>1634</v>
      </c>
      <c r="E493" t="s">
        <v>1635</v>
      </c>
      <c r="F493" t="s">
        <v>7348</v>
      </c>
      <c r="G493" t="s">
        <v>7397</v>
      </c>
      <c r="H493" t="s">
        <v>7398</v>
      </c>
      <c r="I493" t="s">
        <v>7396</v>
      </c>
      <c r="J493" t="s">
        <v>7340</v>
      </c>
      <c r="K493" t="s">
        <v>7341</v>
      </c>
      <c r="L493" t="s">
        <v>7342</v>
      </c>
    </row>
    <row r="494" spans="1:12" x14ac:dyDescent="0.25">
      <c r="A494" t="s">
        <v>5766</v>
      </c>
      <c r="B494" t="s">
        <v>1571</v>
      </c>
      <c r="C494" s="1" t="s">
        <v>1637</v>
      </c>
      <c r="D494" s="1" t="s">
        <v>1637</v>
      </c>
      <c r="E494" t="s">
        <v>1638</v>
      </c>
      <c r="F494" t="s">
        <v>7388</v>
      </c>
      <c r="G494" t="s">
        <v>7399</v>
      </c>
      <c r="H494" t="s">
        <v>7400</v>
      </c>
      <c r="I494" t="s">
        <v>7401</v>
      </c>
      <c r="J494" t="s">
        <v>7340</v>
      </c>
      <c r="K494" t="s">
        <v>7341</v>
      </c>
      <c r="L494" t="s">
        <v>7342</v>
      </c>
    </row>
    <row r="495" spans="1:12" x14ac:dyDescent="0.25">
      <c r="A495" t="s">
        <v>5766</v>
      </c>
      <c r="B495" t="s">
        <v>1571</v>
      </c>
      <c r="C495" s="1" t="s">
        <v>1640</v>
      </c>
      <c r="D495" s="1" t="s">
        <v>1640</v>
      </c>
      <c r="E495" t="s">
        <v>1641</v>
      </c>
      <c r="F495" t="s">
        <v>7348</v>
      </c>
      <c r="G495" t="s">
        <v>7402</v>
      </c>
      <c r="H495" t="s">
        <v>7403</v>
      </c>
      <c r="I495" t="s">
        <v>7396</v>
      </c>
      <c r="J495" t="s">
        <v>7340</v>
      </c>
      <c r="K495" t="s">
        <v>7341</v>
      </c>
      <c r="L495" t="s">
        <v>7342</v>
      </c>
    </row>
    <row r="496" spans="1:12" x14ac:dyDescent="0.25">
      <c r="A496" t="s">
        <v>5766</v>
      </c>
      <c r="B496" t="s">
        <v>1571</v>
      </c>
      <c r="C496" s="1" t="s">
        <v>1643</v>
      </c>
      <c r="D496" s="1" t="s">
        <v>1643</v>
      </c>
      <c r="E496" t="s">
        <v>1644</v>
      </c>
      <c r="F496" t="s">
        <v>7348</v>
      </c>
      <c r="G496" t="s">
        <v>7404</v>
      </c>
      <c r="H496" t="s">
        <v>7405</v>
      </c>
      <c r="I496" t="s">
        <v>7396</v>
      </c>
      <c r="J496" t="s">
        <v>7340</v>
      </c>
      <c r="K496" t="s">
        <v>7341</v>
      </c>
      <c r="L496" t="s">
        <v>7342</v>
      </c>
    </row>
    <row r="497" spans="1:12" x14ac:dyDescent="0.25">
      <c r="A497" t="s">
        <v>5766</v>
      </c>
      <c r="B497" t="s">
        <v>1571</v>
      </c>
      <c r="C497" s="1" t="s">
        <v>1646</v>
      </c>
      <c r="D497" s="1" t="s">
        <v>1646</v>
      </c>
      <c r="E497" t="s">
        <v>1647</v>
      </c>
      <c r="F497" t="s">
        <v>7348</v>
      </c>
      <c r="G497" t="s">
        <v>7406</v>
      </c>
      <c r="H497" t="s">
        <v>7407</v>
      </c>
      <c r="I497" t="s">
        <v>6173</v>
      </c>
      <c r="J497" t="s">
        <v>7340</v>
      </c>
      <c r="K497" t="s">
        <v>7341</v>
      </c>
      <c r="L497" t="s">
        <v>7342</v>
      </c>
    </row>
    <row r="498" spans="1:12" x14ac:dyDescent="0.25">
      <c r="A498" t="s">
        <v>5766</v>
      </c>
      <c r="B498" t="s">
        <v>1571</v>
      </c>
      <c r="C498" s="1" t="s">
        <v>1649</v>
      </c>
      <c r="D498" s="1" t="s">
        <v>1649</v>
      </c>
      <c r="E498" t="s">
        <v>1650</v>
      </c>
      <c r="F498" t="s">
        <v>7388</v>
      </c>
      <c r="G498" t="s">
        <v>7408</v>
      </c>
      <c r="H498" t="s">
        <v>7409</v>
      </c>
      <c r="I498" t="s">
        <v>7410</v>
      </c>
      <c r="J498" t="s">
        <v>7340</v>
      </c>
      <c r="K498" t="s">
        <v>7341</v>
      </c>
      <c r="L498" t="s">
        <v>7342</v>
      </c>
    </row>
    <row r="499" spans="1:12" x14ac:dyDescent="0.25">
      <c r="A499" t="s">
        <v>5766</v>
      </c>
      <c r="B499" t="s">
        <v>1571</v>
      </c>
      <c r="C499" s="1" t="s">
        <v>1652</v>
      </c>
      <c r="D499" s="1" t="s">
        <v>1652</v>
      </c>
      <c r="E499" t="s">
        <v>1653</v>
      </c>
      <c r="F499" t="s">
        <v>7205</v>
      </c>
      <c r="G499" t="s">
        <v>7411</v>
      </c>
      <c r="H499" t="s">
        <v>7412</v>
      </c>
      <c r="I499" t="s">
        <v>7335</v>
      </c>
      <c r="J499" t="s">
        <v>7340</v>
      </c>
      <c r="K499" t="s">
        <v>7341</v>
      </c>
      <c r="L499" t="s">
        <v>7342</v>
      </c>
    </row>
    <row r="500" spans="1:12" x14ac:dyDescent="0.25">
      <c r="A500" t="s">
        <v>5766</v>
      </c>
      <c r="B500" t="s">
        <v>1571</v>
      </c>
      <c r="C500" s="1" t="s">
        <v>1655</v>
      </c>
      <c r="D500" s="1" t="s">
        <v>1655</v>
      </c>
      <c r="E500" t="s">
        <v>1656</v>
      </c>
      <c r="F500" t="s">
        <v>7348</v>
      </c>
      <c r="G500" t="s">
        <v>7413</v>
      </c>
      <c r="H500" t="s">
        <v>7414</v>
      </c>
      <c r="I500" t="s">
        <v>7396</v>
      </c>
      <c r="J500" t="s">
        <v>7340</v>
      </c>
      <c r="K500" t="s">
        <v>7341</v>
      </c>
      <c r="L500" t="s">
        <v>7342</v>
      </c>
    </row>
    <row r="501" spans="1:12" x14ac:dyDescent="0.25">
      <c r="A501" t="s">
        <v>5766</v>
      </c>
      <c r="B501" t="s">
        <v>1571</v>
      </c>
      <c r="C501" s="1" t="s">
        <v>1658</v>
      </c>
      <c r="D501" s="1" t="s">
        <v>1658</v>
      </c>
      <c r="E501" t="s">
        <v>1659</v>
      </c>
      <c r="F501" t="s">
        <v>7348</v>
      </c>
      <c r="G501" t="s">
        <v>7415</v>
      </c>
      <c r="H501" t="s">
        <v>7416</v>
      </c>
      <c r="I501" t="s">
        <v>6173</v>
      </c>
      <c r="J501" t="s">
        <v>7340</v>
      </c>
      <c r="K501" t="s">
        <v>7341</v>
      </c>
      <c r="L501" t="s">
        <v>7342</v>
      </c>
    </row>
    <row r="502" spans="1:12" x14ac:dyDescent="0.25">
      <c r="A502" t="s">
        <v>5766</v>
      </c>
      <c r="B502" t="s">
        <v>1571</v>
      </c>
      <c r="C502" s="1" t="s">
        <v>1661</v>
      </c>
      <c r="D502" s="1" t="s">
        <v>1661</v>
      </c>
      <c r="E502" t="s">
        <v>1662</v>
      </c>
      <c r="F502" t="s">
        <v>7417</v>
      </c>
      <c r="G502" t="s">
        <v>7418</v>
      </c>
      <c r="H502" t="s">
        <v>7419</v>
      </c>
      <c r="I502" t="s">
        <v>7359</v>
      </c>
      <c r="J502" t="s">
        <v>7340</v>
      </c>
      <c r="K502" t="s">
        <v>7341</v>
      </c>
      <c r="L502" t="s">
        <v>7342</v>
      </c>
    </row>
    <row r="503" spans="1:12" x14ac:dyDescent="0.25">
      <c r="A503" t="s">
        <v>5766</v>
      </c>
      <c r="B503" t="s">
        <v>1571</v>
      </c>
      <c r="C503" s="1" t="s">
        <v>1664</v>
      </c>
      <c r="D503" s="1" t="s">
        <v>1664</v>
      </c>
      <c r="E503" t="s">
        <v>1665</v>
      </c>
      <c r="F503" t="s">
        <v>7348</v>
      </c>
      <c r="G503" t="s">
        <v>7420</v>
      </c>
      <c r="H503" t="s">
        <v>7421</v>
      </c>
      <c r="I503" t="s">
        <v>7396</v>
      </c>
      <c r="J503" t="s">
        <v>7340</v>
      </c>
      <c r="K503" t="s">
        <v>7341</v>
      </c>
      <c r="L503" t="s">
        <v>7342</v>
      </c>
    </row>
    <row r="504" spans="1:12" x14ac:dyDescent="0.25">
      <c r="A504" t="s">
        <v>5766</v>
      </c>
      <c r="B504" t="s">
        <v>1571</v>
      </c>
      <c r="C504" s="1" t="s">
        <v>1667</v>
      </c>
      <c r="D504" s="1" t="s">
        <v>1667</v>
      </c>
      <c r="E504" t="s">
        <v>1668</v>
      </c>
      <c r="F504" t="s">
        <v>7348</v>
      </c>
      <c r="G504" t="s">
        <v>7422</v>
      </c>
      <c r="H504" t="s">
        <v>7423</v>
      </c>
      <c r="I504" t="s">
        <v>7396</v>
      </c>
      <c r="J504" t="s">
        <v>7340</v>
      </c>
      <c r="K504" t="s">
        <v>7341</v>
      </c>
      <c r="L504" t="s">
        <v>7342</v>
      </c>
    </row>
    <row r="505" spans="1:12" x14ac:dyDescent="0.25">
      <c r="A505" t="s">
        <v>5766</v>
      </c>
      <c r="B505" t="s">
        <v>1571</v>
      </c>
      <c r="C505" s="1" t="s">
        <v>1670</v>
      </c>
      <c r="D505" s="1" t="s">
        <v>1670</v>
      </c>
      <c r="E505" t="s">
        <v>1671</v>
      </c>
      <c r="F505" t="s">
        <v>7348</v>
      </c>
      <c r="G505" t="s">
        <v>7424</v>
      </c>
      <c r="H505" t="s">
        <v>7425</v>
      </c>
      <c r="I505" t="s">
        <v>7396</v>
      </c>
      <c r="J505" t="s">
        <v>7340</v>
      </c>
      <c r="K505" t="s">
        <v>7341</v>
      </c>
      <c r="L505" t="s">
        <v>7342</v>
      </c>
    </row>
    <row r="506" spans="1:12" x14ac:dyDescent="0.25">
      <c r="A506" t="s">
        <v>5766</v>
      </c>
      <c r="B506" t="s">
        <v>1571</v>
      </c>
      <c r="C506" s="1" t="s">
        <v>1673</v>
      </c>
      <c r="D506" s="1" t="s">
        <v>1673</v>
      </c>
      <c r="E506" t="s">
        <v>1674</v>
      </c>
      <c r="F506" t="s">
        <v>7348</v>
      </c>
      <c r="G506" t="s">
        <v>7426</v>
      </c>
      <c r="H506" t="s">
        <v>7427</v>
      </c>
      <c r="I506" t="s">
        <v>6106</v>
      </c>
      <c r="J506" t="s">
        <v>7340</v>
      </c>
      <c r="K506" t="s">
        <v>7341</v>
      </c>
      <c r="L506" t="s">
        <v>7342</v>
      </c>
    </row>
    <row r="507" spans="1:12" x14ac:dyDescent="0.25">
      <c r="A507" t="s">
        <v>5766</v>
      </c>
      <c r="B507" t="s">
        <v>1571</v>
      </c>
      <c r="C507" s="1" t="s">
        <v>1676</v>
      </c>
      <c r="D507" s="1" t="s">
        <v>1676</v>
      </c>
      <c r="E507" t="s">
        <v>1677</v>
      </c>
      <c r="F507" t="s">
        <v>7348</v>
      </c>
      <c r="G507" t="s">
        <v>7428</v>
      </c>
      <c r="H507" t="s">
        <v>7429</v>
      </c>
      <c r="I507" t="s">
        <v>7430</v>
      </c>
      <c r="J507" t="s">
        <v>7340</v>
      </c>
      <c r="K507" t="s">
        <v>7341</v>
      </c>
      <c r="L507" t="s">
        <v>7342</v>
      </c>
    </row>
    <row r="508" spans="1:12" x14ac:dyDescent="0.25">
      <c r="A508" t="s">
        <v>5766</v>
      </c>
      <c r="B508" t="s">
        <v>1571</v>
      </c>
      <c r="C508" s="1" t="s">
        <v>1679</v>
      </c>
      <c r="D508" s="1" t="s">
        <v>1679</v>
      </c>
      <c r="E508" t="s">
        <v>1680</v>
      </c>
      <c r="F508" t="s">
        <v>7381</v>
      </c>
      <c r="G508" t="s">
        <v>7431</v>
      </c>
      <c r="H508" t="s">
        <v>7432</v>
      </c>
      <c r="I508" t="s">
        <v>6013</v>
      </c>
      <c r="J508" t="s">
        <v>7340</v>
      </c>
      <c r="K508" t="s">
        <v>7341</v>
      </c>
      <c r="L508" t="s">
        <v>7342</v>
      </c>
    </row>
    <row r="509" spans="1:12" x14ac:dyDescent="0.25">
      <c r="A509" t="s">
        <v>5766</v>
      </c>
      <c r="B509" t="s">
        <v>1571</v>
      </c>
      <c r="C509" s="1" t="s">
        <v>1682</v>
      </c>
      <c r="D509" s="1" t="s">
        <v>1682</v>
      </c>
      <c r="E509" t="s">
        <v>1683</v>
      </c>
      <c r="F509" t="s">
        <v>7381</v>
      </c>
      <c r="G509" t="s">
        <v>7433</v>
      </c>
      <c r="H509" t="s">
        <v>7434</v>
      </c>
      <c r="I509" t="s">
        <v>6192</v>
      </c>
      <c r="J509" t="s">
        <v>7340</v>
      </c>
      <c r="K509" t="s">
        <v>7341</v>
      </c>
      <c r="L509" t="s">
        <v>7342</v>
      </c>
    </row>
    <row r="510" spans="1:12" x14ac:dyDescent="0.25">
      <c r="A510" t="s">
        <v>5766</v>
      </c>
      <c r="B510" t="s">
        <v>1571</v>
      </c>
      <c r="C510" s="1" t="s">
        <v>1685</v>
      </c>
      <c r="D510" s="1" t="s">
        <v>1685</v>
      </c>
      <c r="E510" t="s">
        <v>1686</v>
      </c>
      <c r="F510" t="s">
        <v>7381</v>
      </c>
      <c r="G510" t="s">
        <v>7435</v>
      </c>
      <c r="H510" t="s">
        <v>7436</v>
      </c>
      <c r="I510" t="s">
        <v>6278</v>
      </c>
      <c r="J510" t="s">
        <v>7340</v>
      </c>
      <c r="K510" t="s">
        <v>7341</v>
      </c>
      <c r="L510" t="s">
        <v>7342</v>
      </c>
    </row>
    <row r="511" spans="1:12" x14ac:dyDescent="0.25">
      <c r="A511" t="s">
        <v>5766</v>
      </c>
      <c r="B511" t="s">
        <v>1571</v>
      </c>
      <c r="C511" s="1" t="s">
        <v>1688</v>
      </c>
      <c r="D511" s="1" t="s">
        <v>1688</v>
      </c>
      <c r="E511" t="s">
        <v>1689</v>
      </c>
      <c r="F511" t="s">
        <v>7381</v>
      </c>
      <c r="G511" t="s">
        <v>7437</v>
      </c>
      <c r="H511" t="s">
        <v>7438</v>
      </c>
      <c r="I511" t="s">
        <v>7439</v>
      </c>
      <c r="J511" t="s">
        <v>7340</v>
      </c>
      <c r="K511" t="s">
        <v>7341</v>
      </c>
      <c r="L511" t="s">
        <v>7342</v>
      </c>
    </row>
    <row r="512" spans="1:12" x14ac:dyDescent="0.25">
      <c r="A512" t="s">
        <v>5766</v>
      </c>
      <c r="B512" t="s">
        <v>1571</v>
      </c>
      <c r="C512" s="1" t="s">
        <v>1691</v>
      </c>
      <c r="D512" s="1" t="s">
        <v>1691</v>
      </c>
      <c r="E512" t="s">
        <v>1692</v>
      </c>
      <c r="F512" t="s">
        <v>7381</v>
      </c>
      <c r="G512" t="s">
        <v>7440</v>
      </c>
      <c r="H512" t="s">
        <v>7441</v>
      </c>
      <c r="I512" t="s">
        <v>6192</v>
      </c>
      <c r="J512" t="s">
        <v>7340</v>
      </c>
      <c r="K512" t="s">
        <v>7341</v>
      </c>
      <c r="L512" t="s">
        <v>7342</v>
      </c>
    </row>
    <row r="513" spans="1:12" x14ac:dyDescent="0.25">
      <c r="A513" t="s">
        <v>5766</v>
      </c>
      <c r="B513" t="s">
        <v>1571</v>
      </c>
      <c r="C513" s="1" t="s">
        <v>1694</v>
      </c>
      <c r="D513" s="1" t="s">
        <v>1694</v>
      </c>
      <c r="E513" t="s">
        <v>1695</v>
      </c>
      <c r="F513" t="s">
        <v>7442</v>
      </c>
      <c r="G513" t="s">
        <v>7443</v>
      </c>
      <c r="H513" t="s">
        <v>7444</v>
      </c>
      <c r="I513" t="s">
        <v>5850</v>
      </c>
      <c r="J513" t="s">
        <v>7340</v>
      </c>
      <c r="K513" t="s">
        <v>7341</v>
      </c>
      <c r="L513" t="s">
        <v>7342</v>
      </c>
    </row>
    <row r="514" spans="1:12" x14ac:dyDescent="0.25">
      <c r="A514" t="s">
        <v>5766</v>
      </c>
      <c r="B514" t="s">
        <v>1571</v>
      </c>
      <c r="C514" s="1" t="s">
        <v>1697</v>
      </c>
      <c r="D514" s="1" t="s">
        <v>1697</v>
      </c>
      <c r="E514" t="s">
        <v>1698</v>
      </c>
      <c r="F514" t="s">
        <v>7442</v>
      </c>
      <c r="G514" t="s">
        <v>7445</v>
      </c>
      <c r="H514" t="s">
        <v>7446</v>
      </c>
      <c r="I514" t="s">
        <v>7447</v>
      </c>
      <c r="J514" t="s">
        <v>7340</v>
      </c>
      <c r="K514" t="s">
        <v>7341</v>
      </c>
      <c r="L514" t="s">
        <v>7342</v>
      </c>
    </row>
    <row r="515" spans="1:12" x14ac:dyDescent="0.25">
      <c r="A515" t="s">
        <v>5766</v>
      </c>
      <c r="B515" t="s">
        <v>1571</v>
      </c>
      <c r="C515" s="1" t="s">
        <v>1700</v>
      </c>
      <c r="D515" s="1" t="s">
        <v>1700</v>
      </c>
      <c r="E515" t="s">
        <v>1701</v>
      </c>
      <c r="F515" t="s">
        <v>6929</v>
      </c>
      <c r="G515" t="s">
        <v>7448</v>
      </c>
      <c r="H515" t="s">
        <v>7449</v>
      </c>
      <c r="I515" t="s">
        <v>6120</v>
      </c>
      <c r="J515" t="s">
        <v>7340</v>
      </c>
      <c r="K515" t="s">
        <v>7341</v>
      </c>
      <c r="L515" t="s">
        <v>7342</v>
      </c>
    </row>
    <row r="516" spans="1:12" x14ac:dyDescent="0.25">
      <c r="A516" t="s">
        <v>5766</v>
      </c>
      <c r="B516" t="s">
        <v>1571</v>
      </c>
      <c r="C516" s="1" t="s">
        <v>1703</v>
      </c>
      <c r="D516" s="1" t="s">
        <v>1703</v>
      </c>
      <c r="E516" t="s">
        <v>1704</v>
      </c>
      <c r="F516" t="s">
        <v>7442</v>
      </c>
      <c r="G516" t="s">
        <v>7450</v>
      </c>
      <c r="H516" t="s">
        <v>7451</v>
      </c>
      <c r="I516" t="s">
        <v>7447</v>
      </c>
      <c r="J516" t="s">
        <v>7340</v>
      </c>
      <c r="K516" t="s">
        <v>7341</v>
      </c>
      <c r="L516" t="s">
        <v>7342</v>
      </c>
    </row>
    <row r="517" spans="1:12" x14ac:dyDescent="0.25">
      <c r="A517" t="s">
        <v>5766</v>
      </c>
      <c r="B517" t="s">
        <v>1571</v>
      </c>
      <c r="C517" s="1" t="s">
        <v>1706</v>
      </c>
      <c r="D517" s="1" t="s">
        <v>1706</v>
      </c>
      <c r="E517" t="s">
        <v>1707</v>
      </c>
      <c r="F517" t="s">
        <v>7185</v>
      </c>
      <c r="G517" t="s">
        <v>7452</v>
      </c>
      <c r="H517" t="s">
        <v>7453</v>
      </c>
      <c r="I517" t="s">
        <v>5816</v>
      </c>
      <c r="J517" t="s">
        <v>7340</v>
      </c>
      <c r="K517" t="s">
        <v>7341</v>
      </c>
      <c r="L517" t="s">
        <v>7342</v>
      </c>
    </row>
    <row r="518" spans="1:12" x14ac:dyDescent="0.25">
      <c r="A518" t="s">
        <v>5766</v>
      </c>
      <c r="B518" t="s">
        <v>1571</v>
      </c>
      <c r="C518" s="1" t="s">
        <v>1709</v>
      </c>
      <c r="D518" s="1" t="s">
        <v>1709</v>
      </c>
      <c r="E518" t="s">
        <v>1710</v>
      </c>
      <c r="F518" t="s">
        <v>6917</v>
      </c>
      <c r="G518" t="s">
        <v>7454</v>
      </c>
      <c r="H518" t="s">
        <v>7455</v>
      </c>
      <c r="I518" t="s">
        <v>6125</v>
      </c>
      <c r="J518" t="s">
        <v>7340</v>
      </c>
      <c r="K518" t="s">
        <v>7341</v>
      </c>
      <c r="L518" t="s">
        <v>7342</v>
      </c>
    </row>
    <row r="519" spans="1:12" x14ac:dyDescent="0.25">
      <c r="A519" t="s">
        <v>5766</v>
      </c>
      <c r="B519" t="s">
        <v>1571</v>
      </c>
      <c r="C519" s="1" t="s">
        <v>1712</v>
      </c>
      <c r="D519" s="1" t="s">
        <v>1712</v>
      </c>
      <c r="E519" t="s">
        <v>1713</v>
      </c>
      <c r="F519" t="s">
        <v>6929</v>
      </c>
      <c r="G519" t="s">
        <v>7456</v>
      </c>
      <c r="H519" t="s">
        <v>7457</v>
      </c>
      <c r="I519" t="s">
        <v>6066</v>
      </c>
      <c r="J519" t="s">
        <v>7340</v>
      </c>
      <c r="K519" t="s">
        <v>7341</v>
      </c>
      <c r="L519" t="s">
        <v>7342</v>
      </c>
    </row>
    <row r="520" spans="1:12" x14ac:dyDescent="0.25">
      <c r="A520" t="s">
        <v>5766</v>
      </c>
      <c r="B520" t="s">
        <v>1571</v>
      </c>
      <c r="C520" s="1" t="s">
        <v>1715</v>
      </c>
      <c r="D520" s="1" t="s">
        <v>1715</v>
      </c>
      <c r="E520" t="s">
        <v>1716</v>
      </c>
      <c r="F520" t="s">
        <v>7442</v>
      </c>
      <c r="G520" t="s">
        <v>7458</v>
      </c>
      <c r="H520" t="s">
        <v>7459</v>
      </c>
      <c r="I520" t="s">
        <v>5850</v>
      </c>
      <c r="J520" t="s">
        <v>7340</v>
      </c>
      <c r="K520" t="s">
        <v>7341</v>
      </c>
      <c r="L520" t="s">
        <v>7342</v>
      </c>
    </row>
    <row r="521" spans="1:12" x14ac:dyDescent="0.25">
      <c r="A521" t="s">
        <v>5766</v>
      </c>
      <c r="B521" t="s">
        <v>1571</v>
      </c>
      <c r="C521" s="1" t="s">
        <v>1718</v>
      </c>
      <c r="D521" s="1" t="s">
        <v>1718</v>
      </c>
      <c r="E521" t="s">
        <v>1719</v>
      </c>
      <c r="F521" t="s">
        <v>7185</v>
      </c>
      <c r="G521" t="s">
        <v>7460</v>
      </c>
      <c r="H521" t="s">
        <v>7461</v>
      </c>
      <c r="I521" t="s">
        <v>6165</v>
      </c>
      <c r="J521" t="s">
        <v>7340</v>
      </c>
      <c r="K521" t="s">
        <v>7341</v>
      </c>
      <c r="L521" t="s">
        <v>7342</v>
      </c>
    </row>
    <row r="522" spans="1:12" x14ac:dyDescent="0.25">
      <c r="A522" t="s">
        <v>5766</v>
      </c>
      <c r="B522" t="s">
        <v>1571</v>
      </c>
      <c r="C522" s="1" t="s">
        <v>1721</v>
      </c>
      <c r="D522" s="1" t="s">
        <v>1721</v>
      </c>
      <c r="E522" t="s">
        <v>1722</v>
      </c>
      <c r="F522" t="s">
        <v>6929</v>
      </c>
      <c r="G522" t="s">
        <v>7462</v>
      </c>
      <c r="H522" t="s">
        <v>7463</v>
      </c>
      <c r="I522" t="s">
        <v>6049</v>
      </c>
      <c r="J522" t="s">
        <v>7340</v>
      </c>
      <c r="K522" t="s">
        <v>7341</v>
      </c>
      <c r="L522" t="s">
        <v>7342</v>
      </c>
    </row>
    <row r="523" spans="1:12" x14ac:dyDescent="0.25">
      <c r="A523" t="s">
        <v>5766</v>
      </c>
      <c r="B523" t="s">
        <v>1571</v>
      </c>
      <c r="C523" s="1" t="s">
        <v>1724</v>
      </c>
      <c r="D523" s="1" t="s">
        <v>1724</v>
      </c>
      <c r="E523" t="s">
        <v>1725</v>
      </c>
      <c r="F523" t="s">
        <v>7185</v>
      </c>
      <c r="G523" t="s">
        <v>7464</v>
      </c>
      <c r="H523" t="s">
        <v>7465</v>
      </c>
      <c r="I523" t="s">
        <v>7447</v>
      </c>
      <c r="J523" t="s">
        <v>7340</v>
      </c>
      <c r="K523" t="s">
        <v>7341</v>
      </c>
      <c r="L523" t="s">
        <v>7342</v>
      </c>
    </row>
    <row r="524" spans="1:12" x14ac:dyDescent="0.25">
      <c r="A524" t="s">
        <v>5766</v>
      </c>
      <c r="B524" t="s">
        <v>1571</v>
      </c>
      <c r="C524" s="1" t="s">
        <v>1727</v>
      </c>
      <c r="D524" s="1" t="s">
        <v>1727</v>
      </c>
      <c r="E524" t="s">
        <v>1728</v>
      </c>
      <c r="F524" t="s">
        <v>6929</v>
      </c>
      <c r="G524" t="s">
        <v>7466</v>
      </c>
      <c r="H524" t="s">
        <v>7467</v>
      </c>
      <c r="I524" t="s">
        <v>6049</v>
      </c>
      <c r="J524" t="s">
        <v>7340</v>
      </c>
      <c r="K524" t="s">
        <v>7341</v>
      </c>
      <c r="L524" t="s">
        <v>7342</v>
      </c>
    </row>
    <row r="525" spans="1:12" x14ac:dyDescent="0.25">
      <c r="A525" t="s">
        <v>5766</v>
      </c>
      <c r="B525" t="s">
        <v>1571</v>
      </c>
      <c r="C525" s="1" t="s">
        <v>1730</v>
      </c>
      <c r="D525" s="1" t="s">
        <v>1730</v>
      </c>
      <c r="E525" t="s">
        <v>1731</v>
      </c>
      <c r="F525" t="s">
        <v>6929</v>
      </c>
      <c r="G525" t="s">
        <v>7468</v>
      </c>
      <c r="H525" t="s">
        <v>7469</v>
      </c>
      <c r="I525" t="s">
        <v>5938</v>
      </c>
      <c r="J525" t="s">
        <v>7340</v>
      </c>
      <c r="K525" t="s">
        <v>7341</v>
      </c>
      <c r="L525" t="s">
        <v>7342</v>
      </c>
    </row>
    <row r="526" spans="1:12" x14ac:dyDescent="0.25">
      <c r="A526" t="s">
        <v>5766</v>
      </c>
      <c r="B526" t="s">
        <v>1571</v>
      </c>
      <c r="C526" s="1" t="s">
        <v>1733</v>
      </c>
      <c r="D526" s="1" t="s">
        <v>1733</v>
      </c>
      <c r="E526" t="s">
        <v>1734</v>
      </c>
      <c r="F526" t="s">
        <v>7442</v>
      </c>
      <c r="G526" t="s">
        <v>7470</v>
      </c>
      <c r="H526" t="s">
        <v>7471</v>
      </c>
      <c r="I526" t="s">
        <v>5850</v>
      </c>
      <c r="J526" t="s">
        <v>7340</v>
      </c>
      <c r="K526" t="s">
        <v>7341</v>
      </c>
      <c r="L526" t="s">
        <v>7342</v>
      </c>
    </row>
    <row r="527" spans="1:12" x14ac:dyDescent="0.25">
      <c r="A527" t="s">
        <v>5766</v>
      </c>
      <c r="B527" t="s">
        <v>1571</v>
      </c>
      <c r="C527" s="1" t="s">
        <v>1736</v>
      </c>
      <c r="D527" s="1" t="s">
        <v>1736</v>
      </c>
      <c r="E527" t="s">
        <v>1737</v>
      </c>
      <c r="F527" t="s">
        <v>7185</v>
      </c>
      <c r="G527" t="s">
        <v>7472</v>
      </c>
      <c r="H527" t="s">
        <v>7473</v>
      </c>
      <c r="I527" t="s">
        <v>5816</v>
      </c>
      <c r="J527" t="s">
        <v>7340</v>
      </c>
      <c r="K527" t="s">
        <v>7341</v>
      </c>
      <c r="L527" t="s">
        <v>7342</v>
      </c>
    </row>
    <row r="528" spans="1:12" x14ac:dyDescent="0.25">
      <c r="A528" t="s">
        <v>5766</v>
      </c>
      <c r="B528" t="s">
        <v>1571</v>
      </c>
      <c r="C528" s="1" t="s">
        <v>1739</v>
      </c>
      <c r="D528" s="1" t="s">
        <v>1739</v>
      </c>
      <c r="E528" t="s">
        <v>1740</v>
      </c>
      <c r="F528" t="s">
        <v>6929</v>
      </c>
      <c r="G528" t="s">
        <v>7474</v>
      </c>
      <c r="H528" t="s">
        <v>7475</v>
      </c>
      <c r="I528" t="s">
        <v>5938</v>
      </c>
      <c r="J528" t="s">
        <v>7340</v>
      </c>
      <c r="K528" t="s">
        <v>7341</v>
      </c>
      <c r="L528" t="s">
        <v>7342</v>
      </c>
    </row>
    <row r="529" spans="1:12" x14ac:dyDescent="0.25">
      <c r="A529" t="s">
        <v>5766</v>
      </c>
      <c r="B529" t="s">
        <v>1571</v>
      </c>
      <c r="C529" s="1" t="s">
        <v>1742</v>
      </c>
      <c r="D529" s="1" t="s">
        <v>1742</v>
      </c>
      <c r="E529" t="s">
        <v>1743</v>
      </c>
      <c r="F529" t="s">
        <v>7185</v>
      </c>
      <c r="G529" t="s">
        <v>7476</v>
      </c>
      <c r="H529" t="s">
        <v>7477</v>
      </c>
      <c r="I529" t="s">
        <v>7478</v>
      </c>
      <c r="J529" t="s">
        <v>7340</v>
      </c>
      <c r="K529" t="s">
        <v>7341</v>
      </c>
      <c r="L529" t="s">
        <v>7342</v>
      </c>
    </row>
    <row r="530" spans="1:12" x14ac:dyDescent="0.25">
      <c r="A530" t="s">
        <v>5766</v>
      </c>
      <c r="B530" t="s">
        <v>1571</v>
      </c>
      <c r="C530" s="1" t="s">
        <v>1745</v>
      </c>
      <c r="D530" s="1" t="s">
        <v>1745</v>
      </c>
      <c r="E530" t="s">
        <v>1746</v>
      </c>
      <c r="F530" t="s">
        <v>6929</v>
      </c>
      <c r="G530" t="s">
        <v>7479</v>
      </c>
      <c r="H530" t="s">
        <v>7480</v>
      </c>
      <c r="I530" t="s">
        <v>6120</v>
      </c>
      <c r="J530" t="s">
        <v>7340</v>
      </c>
      <c r="K530" t="s">
        <v>7341</v>
      </c>
      <c r="L530" t="s">
        <v>7342</v>
      </c>
    </row>
    <row r="531" spans="1:12" x14ac:dyDescent="0.25">
      <c r="A531" t="s">
        <v>5766</v>
      </c>
      <c r="B531" t="s">
        <v>1571</v>
      </c>
      <c r="C531" s="1" t="s">
        <v>1748</v>
      </c>
      <c r="D531" s="1" t="s">
        <v>1748</v>
      </c>
      <c r="E531" t="s">
        <v>1749</v>
      </c>
      <c r="F531" t="s">
        <v>6929</v>
      </c>
      <c r="G531" t="s">
        <v>7481</v>
      </c>
      <c r="H531" t="s">
        <v>7482</v>
      </c>
      <c r="I531" t="s">
        <v>5938</v>
      </c>
      <c r="J531" t="s">
        <v>7340</v>
      </c>
      <c r="K531" t="s">
        <v>7341</v>
      </c>
      <c r="L531" t="s">
        <v>7342</v>
      </c>
    </row>
    <row r="532" spans="1:12" x14ac:dyDescent="0.25">
      <c r="A532" t="s">
        <v>5766</v>
      </c>
      <c r="B532" t="s">
        <v>1571</v>
      </c>
      <c r="C532" s="1" t="s">
        <v>1751</v>
      </c>
      <c r="D532" s="1" t="s">
        <v>1751</v>
      </c>
      <c r="E532" t="s">
        <v>1752</v>
      </c>
      <c r="F532" t="s">
        <v>7442</v>
      </c>
      <c r="G532" t="s">
        <v>7483</v>
      </c>
      <c r="H532" t="s">
        <v>7484</v>
      </c>
      <c r="I532" t="s">
        <v>7485</v>
      </c>
      <c r="J532" t="s">
        <v>7340</v>
      </c>
      <c r="K532" t="s">
        <v>7341</v>
      </c>
      <c r="L532" t="s">
        <v>7342</v>
      </c>
    </row>
    <row r="533" spans="1:12" x14ac:dyDescent="0.25">
      <c r="A533" t="s">
        <v>5766</v>
      </c>
      <c r="B533" t="s">
        <v>1571</v>
      </c>
      <c r="C533" s="1" t="s">
        <v>1754</v>
      </c>
      <c r="D533" s="1" t="s">
        <v>1754</v>
      </c>
      <c r="E533" t="s">
        <v>1755</v>
      </c>
      <c r="F533" t="s">
        <v>7442</v>
      </c>
      <c r="G533" t="s">
        <v>7486</v>
      </c>
      <c r="H533" t="s">
        <v>7487</v>
      </c>
      <c r="I533" t="s">
        <v>5850</v>
      </c>
      <c r="J533" t="s">
        <v>7340</v>
      </c>
      <c r="K533" t="s">
        <v>7341</v>
      </c>
      <c r="L533" t="s">
        <v>7342</v>
      </c>
    </row>
    <row r="534" spans="1:12" x14ac:dyDescent="0.25">
      <c r="A534" t="s">
        <v>5766</v>
      </c>
      <c r="B534" t="s">
        <v>1571</v>
      </c>
      <c r="C534" s="1" t="s">
        <v>1757</v>
      </c>
      <c r="D534" s="1" t="s">
        <v>1757</v>
      </c>
      <c r="E534" t="s">
        <v>1758</v>
      </c>
      <c r="F534" t="s">
        <v>7442</v>
      </c>
      <c r="G534" t="s">
        <v>7488</v>
      </c>
      <c r="H534" t="s">
        <v>7489</v>
      </c>
      <c r="I534" t="s">
        <v>5850</v>
      </c>
      <c r="J534" t="s">
        <v>7340</v>
      </c>
      <c r="K534" t="s">
        <v>7341</v>
      </c>
      <c r="L534" t="s">
        <v>7342</v>
      </c>
    </row>
    <row r="535" spans="1:12" x14ac:dyDescent="0.25">
      <c r="A535" t="s">
        <v>5766</v>
      </c>
      <c r="B535" t="s">
        <v>1571</v>
      </c>
      <c r="C535" s="1" t="s">
        <v>1760</v>
      </c>
      <c r="D535" s="1" t="s">
        <v>1760</v>
      </c>
      <c r="E535" t="s">
        <v>1761</v>
      </c>
      <c r="F535" t="s">
        <v>6929</v>
      </c>
      <c r="G535" t="s">
        <v>7490</v>
      </c>
      <c r="H535" t="s">
        <v>7491</v>
      </c>
      <c r="I535" t="s">
        <v>6066</v>
      </c>
      <c r="J535" t="s">
        <v>7340</v>
      </c>
      <c r="K535" t="s">
        <v>7341</v>
      </c>
      <c r="L535" t="s">
        <v>7342</v>
      </c>
    </row>
    <row r="536" spans="1:12" x14ac:dyDescent="0.25">
      <c r="A536" t="s">
        <v>5766</v>
      </c>
      <c r="B536" t="s">
        <v>1571</v>
      </c>
      <c r="C536" s="1" t="s">
        <v>1763</v>
      </c>
      <c r="D536" s="1" t="s">
        <v>1763</v>
      </c>
      <c r="E536" t="s">
        <v>1764</v>
      </c>
      <c r="F536" t="s">
        <v>6929</v>
      </c>
      <c r="G536" t="s">
        <v>7492</v>
      </c>
      <c r="H536" t="s">
        <v>7493</v>
      </c>
      <c r="I536" t="s">
        <v>7494</v>
      </c>
      <c r="J536" t="s">
        <v>7340</v>
      </c>
      <c r="K536" t="s">
        <v>7341</v>
      </c>
      <c r="L536" t="s">
        <v>7342</v>
      </c>
    </row>
    <row r="537" spans="1:12" x14ac:dyDescent="0.25">
      <c r="A537" t="s">
        <v>5766</v>
      </c>
      <c r="B537" t="s">
        <v>1571</v>
      </c>
      <c r="C537" s="1" t="s">
        <v>1766</v>
      </c>
      <c r="D537" s="1" t="s">
        <v>1766</v>
      </c>
      <c r="E537" t="s">
        <v>1767</v>
      </c>
      <c r="F537" t="s">
        <v>7442</v>
      </c>
      <c r="G537" t="s">
        <v>7495</v>
      </c>
      <c r="H537" t="s">
        <v>7496</v>
      </c>
      <c r="I537" t="s">
        <v>7497</v>
      </c>
      <c r="J537" t="s">
        <v>7340</v>
      </c>
      <c r="K537" t="s">
        <v>7341</v>
      </c>
      <c r="L537" t="s">
        <v>7342</v>
      </c>
    </row>
    <row r="538" spans="1:12" x14ac:dyDescent="0.25">
      <c r="A538" t="s">
        <v>5766</v>
      </c>
      <c r="B538" t="s">
        <v>1571</v>
      </c>
      <c r="C538" s="1" t="s">
        <v>1769</v>
      </c>
      <c r="D538" s="1" t="s">
        <v>1769</v>
      </c>
      <c r="E538" t="s">
        <v>1770</v>
      </c>
      <c r="F538" t="s">
        <v>7442</v>
      </c>
      <c r="G538" t="s">
        <v>7498</v>
      </c>
      <c r="H538" t="s">
        <v>7499</v>
      </c>
      <c r="I538" t="s">
        <v>5850</v>
      </c>
      <c r="J538" t="s">
        <v>7340</v>
      </c>
      <c r="K538" t="s">
        <v>7341</v>
      </c>
      <c r="L538" t="s">
        <v>7342</v>
      </c>
    </row>
    <row r="539" spans="1:12" x14ac:dyDescent="0.25">
      <c r="A539" t="s">
        <v>5766</v>
      </c>
      <c r="B539" t="s">
        <v>1571</v>
      </c>
      <c r="C539" s="1" t="s">
        <v>1772</v>
      </c>
      <c r="D539" s="1" t="s">
        <v>1772</v>
      </c>
      <c r="E539" t="s">
        <v>1773</v>
      </c>
      <c r="F539" t="s">
        <v>6929</v>
      </c>
      <c r="G539" t="s">
        <v>7500</v>
      </c>
      <c r="H539" t="s">
        <v>7501</v>
      </c>
      <c r="I539" t="s">
        <v>6066</v>
      </c>
      <c r="J539" t="s">
        <v>7340</v>
      </c>
      <c r="K539" t="s">
        <v>7341</v>
      </c>
      <c r="L539" t="s">
        <v>7342</v>
      </c>
    </row>
    <row r="540" spans="1:12" x14ac:dyDescent="0.25">
      <c r="A540" t="s">
        <v>5766</v>
      </c>
      <c r="B540" t="s">
        <v>1571</v>
      </c>
      <c r="C540" s="1" t="s">
        <v>1775</v>
      </c>
      <c r="D540" s="1" t="s">
        <v>1775</v>
      </c>
      <c r="E540" t="s">
        <v>1776</v>
      </c>
      <c r="F540" t="s">
        <v>7442</v>
      </c>
      <c r="G540" t="s">
        <v>7502</v>
      </c>
      <c r="H540" t="s">
        <v>7503</v>
      </c>
      <c r="I540" t="s">
        <v>7497</v>
      </c>
      <c r="J540" t="s">
        <v>7340</v>
      </c>
      <c r="K540" t="s">
        <v>7341</v>
      </c>
      <c r="L540" t="s">
        <v>7342</v>
      </c>
    </row>
    <row r="541" spans="1:12" x14ac:dyDescent="0.25">
      <c r="A541" t="s">
        <v>5766</v>
      </c>
      <c r="B541" t="s">
        <v>1571</v>
      </c>
      <c r="C541" s="1" t="s">
        <v>1778</v>
      </c>
      <c r="D541" s="1" t="s">
        <v>1778</v>
      </c>
      <c r="E541" t="s">
        <v>1779</v>
      </c>
      <c r="F541" t="s">
        <v>6929</v>
      </c>
      <c r="G541" t="s">
        <v>7504</v>
      </c>
      <c r="H541" t="s">
        <v>7505</v>
      </c>
      <c r="I541" t="s">
        <v>7494</v>
      </c>
      <c r="J541" t="s">
        <v>7340</v>
      </c>
      <c r="K541" t="s">
        <v>7341</v>
      </c>
      <c r="L541" t="s">
        <v>7342</v>
      </c>
    </row>
    <row r="542" spans="1:12" x14ac:dyDescent="0.25">
      <c r="A542" t="s">
        <v>5766</v>
      </c>
      <c r="B542" t="s">
        <v>1571</v>
      </c>
      <c r="C542" s="1" t="s">
        <v>1781</v>
      </c>
      <c r="D542" s="1" t="s">
        <v>1781</v>
      </c>
      <c r="E542" t="s">
        <v>1782</v>
      </c>
      <c r="F542" t="s">
        <v>6929</v>
      </c>
      <c r="G542" t="s">
        <v>7506</v>
      </c>
      <c r="H542" t="s">
        <v>7507</v>
      </c>
      <c r="I542" t="s">
        <v>7494</v>
      </c>
      <c r="J542" t="s">
        <v>7340</v>
      </c>
      <c r="K542" t="s">
        <v>7341</v>
      </c>
      <c r="L542" t="s">
        <v>7342</v>
      </c>
    </row>
    <row r="543" spans="1:12" x14ac:dyDescent="0.25">
      <c r="A543" t="s">
        <v>5766</v>
      </c>
      <c r="B543" t="s">
        <v>1571</v>
      </c>
      <c r="C543" s="1" t="s">
        <v>1784</v>
      </c>
      <c r="D543" s="1" t="s">
        <v>1784</v>
      </c>
      <c r="E543" t="s">
        <v>1785</v>
      </c>
      <c r="F543" t="s">
        <v>7185</v>
      </c>
      <c r="G543" t="s">
        <v>7508</v>
      </c>
      <c r="H543" t="s">
        <v>7509</v>
      </c>
      <c r="I543" t="s">
        <v>7510</v>
      </c>
      <c r="J543" t="s">
        <v>7340</v>
      </c>
      <c r="K543" t="s">
        <v>7341</v>
      </c>
      <c r="L543" t="s">
        <v>7342</v>
      </c>
    </row>
    <row r="544" spans="1:12" x14ac:dyDescent="0.25">
      <c r="A544" t="s">
        <v>5766</v>
      </c>
      <c r="B544" t="s">
        <v>1571</v>
      </c>
      <c r="C544" s="1" t="s">
        <v>1787</v>
      </c>
      <c r="D544" s="1" t="s">
        <v>1787</v>
      </c>
      <c r="E544" t="s">
        <v>1788</v>
      </c>
      <c r="F544" t="s">
        <v>7185</v>
      </c>
      <c r="G544" t="s">
        <v>7511</v>
      </c>
      <c r="H544" t="s">
        <v>7512</v>
      </c>
      <c r="I544" t="s">
        <v>6165</v>
      </c>
      <c r="J544" t="s">
        <v>7340</v>
      </c>
      <c r="K544" t="s">
        <v>7341</v>
      </c>
      <c r="L544" t="s">
        <v>7342</v>
      </c>
    </row>
    <row r="545" spans="1:12" x14ac:dyDescent="0.25">
      <c r="A545" t="s">
        <v>5766</v>
      </c>
      <c r="B545" t="s">
        <v>1571</v>
      </c>
      <c r="C545" s="1" t="s">
        <v>1790</v>
      </c>
      <c r="D545" s="1" t="s">
        <v>1790</v>
      </c>
      <c r="E545" t="s">
        <v>1791</v>
      </c>
      <c r="F545" t="s">
        <v>6929</v>
      </c>
      <c r="G545" t="s">
        <v>7513</v>
      </c>
      <c r="H545" t="s">
        <v>7514</v>
      </c>
      <c r="I545" t="s">
        <v>6049</v>
      </c>
      <c r="J545" t="s">
        <v>7340</v>
      </c>
      <c r="K545" t="s">
        <v>7341</v>
      </c>
      <c r="L545" t="s">
        <v>7342</v>
      </c>
    </row>
    <row r="546" spans="1:12" x14ac:dyDescent="0.25">
      <c r="A546" t="s">
        <v>5766</v>
      </c>
      <c r="B546" t="s">
        <v>1571</v>
      </c>
      <c r="C546" s="1" t="s">
        <v>1793</v>
      </c>
      <c r="D546" s="1" t="s">
        <v>1793</v>
      </c>
      <c r="E546" t="s">
        <v>1794</v>
      </c>
      <c r="F546" t="s">
        <v>7442</v>
      </c>
      <c r="G546" t="s">
        <v>7515</v>
      </c>
      <c r="H546" t="s">
        <v>7516</v>
      </c>
      <c r="I546" t="s">
        <v>7497</v>
      </c>
      <c r="J546" t="s">
        <v>7340</v>
      </c>
      <c r="K546" t="s">
        <v>7341</v>
      </c>
      <c r="L546" t="s">
        <v>7342</v>
      </c>
    </row>
    <row r="547" spans="1:12" x14ac:dyDescent="0.25">
      <c r="A547" t="s">
        <v>5766</v>
      </c>
      <c r="B547" t="s">
        <v>1571</v>
      </c>
      <c r="C547" s="1" t="s">
        <v>1796</v>
      </c>
      <c r="D547" s="1" t="s">
        <v>1796</v>
      </c>
      <c r="E547" t="s">
        <v>1797</v>
      </c>
      <c r="F547" t="s">
        <v>6929</v>
      </c>
      <c r="G547" t="s">
        <v>7517</v>
      </c>
      <c r="H547" t="s">
        <v>7518</v>
      </c>
      <c r="I547" t="s">
        <v>6049</v>
      </c>
      <c r="J547" t="s">
        <v>7340</v>
      </c>
      <c r="K547" t="s">
        <v>7341</v>
      </c>
      <c r="L547" t="s">
        <v>7342</v>
      </c>
    </row>
    <row r="548" spans="1:12" x14ac:dyDescent="0.25">
      <c r="A548" t="s">
        <v>5766</v>
      </c>
      <c r="B548" t="s">
        <v>1571</v>
      </c>
      <c r="C548" s="1" t="s">
        <v>1799</v>
      </c>
      <c r="D548" s="1" t="s">
        <v>1799</v>
      </c>
      <c r="E548" t="s">
        <v>1800</v>
      </c>
      <c r="F548" t="s">
        <v>6929</v>
      </c>
      <c r="G548" t="s">
        <v>7519</v>
      </c>
      <c r="H548" t="s">
        <v>7520</v>
      </c>
      <c r="I548" t="s">
        <v>6049</v>
      </c>
      <c r="J548" t="s">
        <v>7340</v>
      </c>
      <c r="K548" t="s">
        <v>7341</v>
      </c>
      <c r="L548" t="s">
        <v>7342</v>
      </c>
    </row>
    <row r="549" spans="1:12" x14ac:dyDescent="0.25">
      <c r="A549" t="s">
        <v>5766</v>
      </c>
      <c r="B549" t="s">
        <v>1571</v>
      </c>
      <c r="C549" s="1" t="s">
        <v>1802</v>
      </c>
      <c r="D549" s="1" t="s">
        <v>1802</v>
      </c>
      <c r="E549" t="s">
        <v>1803</v>
      </c>
      <c r="F549" t="s">
        <v>7442</v>
      </c>
      <c r="G549" t="s">
        <v>7521</v>
      </c>
      <c r="H549" t="s">
        <v>7522</v>
      </c>
      <c r="I549" t="s">
        <v>6234</v>
      </c>
      <c r="J549" t="s">
        <v>7340</v>
      </c>
      <c r="K549" t="s">
        <v>7341</v>
      </c>
      <c r="L549" t="s">
        <v>7342</v>
      </c>
    </row>
    <row r="550" spans="1:12" x14ac:dyDescent="0.25">
      <c r="A550" t="s">
        <v>5766</v>
      </c>
      <c r="B550" t="s">
        <v>1571</v>
      </c>
      <c r="C550" s="1" t="s">
        <v>1805</v>
      </c>
      <c r="D550" s="1" t="s">
        <v>1805</v>
      </c>
      <c r="E550" t="s">
        <v>1806</v>
      </c>
      <c r="F550" t="s">
        <v>7442</v>
      </c>
      <c r="G550" t="s">
        <v>7523</v>
      </c>
      <c r="H550" t="s">
        <v>7524</v>
      </c>
      <c r="I550" t="s">
        <v>6234</v>
      </c>
      <c r="J550" t="s">
        <v>7340</v>
      </c>
      <c r="K550" t="s">
        <v>7341</v>
      </c>
      <c r="L550" t="s">
        <v>7342</v>
      </c>
    </row>
    <row r="551" spans="1:12" x14ac:dyDescent="0.25">
      <c r="A551" t="s">
        <v>5766</v>
      </c>
      <c r="B551" t="s">
        <v>1571</v>
      </c>
      <c r="C551" s="1" t="s">
        <v>1808</v>
      </c>
      <c r="D551" s="1" t="s">
        <v>1808</v>
      </c>
      <c r="E551" t="s">
        <v>1809</v>
      </c>
      <c r="F551" t="s">
        <v>6929</v>
      </c>
      <c r="G551" t="s">
        <v>7525</v>
      </c>
      <c r="H551" t="s">
        <v>7526</v>
      </c>
      <c r="I551" t="s">
        <v>5947</v>
      </c>
      <c r="J551" t="s">
        <v>7340</v>
      </c>
      <c r="K551" t="s">
        <v>7341</v>
      </c>
      <c r="L551" t="s">
        <v>7342</v>
      </c>
    </row>
    <row r="552" spans="1:12" x14ac:dyDescent="0.25">
      <c r="A552" t="s">
        <v>5766</v>
      </c>
      <c r="B552" t="s">
        <v>1571</v>
      </c>
      <c r="C552" s="1" t="s">
        <v>1811</v>
      </c>
      <c r="D552" s="1" t="s">
        <v>1811</v>
      </c>
      <c r="E552" t="s">
        <v>1812</v>
      </c>
      <c r="F552" t="s">
        <v>7442</v>
      </c>
      <c r="G552" t="s">
        <v>7527</v>
      </c>
      <c r="H552" t="s">
        <v>7528</v>
      </c>
      <c r="I552" t="s">
        <v>7497</v>
      </c>
      <c r="J552" t="s">
        <v>7340</v>
      </c>
      <c r="K552" t="s">
        <v>7341</v>
      </c>
      <c r="L552" t="s">
        <v>7342</v>
      </c>
    </row>
    <row r="553" spans="1:12" x14ac:dyDescent="0.25">
      <c r="A553" t="s">
        <v>5766</v>
      </c>
      <c r="B553" t="s">
        <v>1571</v>
      </c>
      <c r="C553" s="1" t="s">
        <v>1814</v>
      </c>
      <c r="D553" s="1" t="s">
        <v>1814</v>
      </c>
      <c r="E553" t="s">
        <v>1815</v>
      </c>
      <c r="F553" t="s">
        <v>6929</v>
      </c>
      <c r="G553" t="s">
        <v>7529</v>
      </c>
      <c r="H553" t="s">
        <v>7530</v>
      </c>
      <c r="I553" t="s">
        <v>5947</v>
      </c>
      <c r="J553" t="s">
        <v>7340</v>
      </c>
      <c r="K553" t="s">
        <v>7341</v>
      </c>
      <c r="L553" t="s">
        <v>7342</v>
      </c>
    </row>
    <row r="554" spans="1:12" x14ac:dyDescent="0.25">
      <c r="A554" t="s">
        <v>5766</v>
      </c>
      <c r="B554" t="s">
        <v>1571</v>
      </c>
      <c r="C554" s="1" t="s">
        <v>1817</v>
      </c>
      <c r="D554" s="1" t="s">
        <v>1817</v>
      </c>
      <c r="E554" t="s">
        <v>1818</v>
      </c>
      <c r="F554" t="s">
        <v>6929</v>
      </c>
      <c r="G554" t="s">
        <v>7531</v>
      </c>
      <c r="H554" t="s">
        <v>7532</v>
      </c>
      <c r="I554" t="s">
        <v>6049</v>
      </c>
      <c r="J554" t="s">
        <v>7340</v>
      </c>
      <c r="K554" t="s">
        <v>7341</v>
      </c>
      <c r="L554" t="s">
        <v>7342</v>
      </c>
    </row>
    <row r="555" spans="1:12" x14ac:dyDescent="0.25">
      <c r="A555" t="s">
        <v>5766</v>
      </c>
      <c r="B555" t="s">
        <v>1571</v>
      </c>
      <c r="C555" s="1" t="s">
        <v>1820</v>
      </c>
      <c r="D555" s="1" t="s">
        <v>1820</v>
      </c>
      <c r="E555" t="s">
        <v>1821</v>
      </c>
      <c r="F555" t="s">
        <v>7185</v>
      </c>
      <c r="G555" t="s">
        <v>7533</v>
      </c>
      <c r="H555" t="s">
        <v>7534</v>
      </c>
      <c r="I555" t="s">
        <v>7510</v>
      </c>
      <c r="J555" t="s">
        <v>7340</v>
      </c>
      <c r="K555" t="s">
        <v>7341</v>
      </c>
      <c r="L555" t="s">
        <v>7342</v>
      </c>
    </row>
    <row r="556" spans="1:12" x14ac:dyDescent="0.25">
      <c r="A556" t="s">
        <v>5766</v>
      </c>
      <c r="B556" t="s">
        <v>1571</v>
      </c>
      <c r="C556" s="1" t="s">
        <v>1823</v>
      </c>
      <c r="D556" s="1" t="s">
        <v>1823</v>
      </c>
      <c r="E556" t="s">
        <v>1824</v>
      </c>
      <c r="F556" t="s">
        <v>7442</v>
      </c>
      <c r="G556" t="s">
        <v>7535</v>
      </c>
      <c r="H556" t="s">
        <v>7536</v>
      </c>
      <c r="I556" t="s">
        <v>6234</v>
      </c>
      <c r="J556" t="s">
        <v>7340</v>
      </c>
      <c r="K556" t="s">
        <v>7341</v>
      </c>
      <c r="L556" t="s">
        <v>7342</v>
      </c>
    </row>
    <row r="557" spans="1:12" x14ac:dyDescent="0.25">
      <c r="A557" t="s">
        <v>5766</v>
      </c>
      <c r="B557" t="s">
        <v>1571</v>
      </c>
      <c r="C557" s="1" t="s">
        <v>1826</v>
      </c>
      <c r="D557" s="1" t="s">
        <v>1826</v>
      </c>
      <c r="E557" t="s">
        <v>1827</v>
      </c>
      <c r="F557" t="s">
        <v>6929</v>
      </c>
      <c r="G557" t="s">
        <v>7537</v>
      </c>
      <c r="H557" t="s">
        <v>7538</v>
      </c>
      <c r="I557" t="s">
        <v>5947</v>
      </c>
      <c r="J557" t="s">
        <v>7340</v>
      </c>
      <c r="K557" t="s">
        <v>7341</v>
      </c>
      <c r="L557" t="s">
        <v>7342</v>
      </c>
    </row>
    <row r="558" spans="1:12" x14ac:dyDescent="0.25">
      <c r="A558" t="s">
        <v>5766</v>
      </c>
      <c r="B558" t="s">
        <v>1571</v>
      </c>
      <c r="C558" s="1" t="s">
        <v>1829</v>
      </c>
      <c r="D558" s="1" t="s">
        <v>1829</v>
      </c>
      <c r="E558" t="s">
        <v>1830</v>
      </c>
      <c r="F558" t="s">
        <v>7442</v>
      </c>
      <c r="G558" t="s">
        <v>7539</v>
      </c>
      <c r="H558" t="s">
        <v>7540</v>
      </c>
      <c r="I558" t="s">
        <v>5850</v>
      </c>
      <c r="J558" t="s">
        <v>7340</v>
      </c>
      <c r="K558" t="s">
        <v>7341</v>
      </c>
      <c r="L558" t="s">
        <v>7342</v>
      </c>
    </row>
    <row r="559" spans="1:12" x14ac:dyDescent="0.25">
      <c r="A559" t="s">
        <v>5766</v>
      </c>
      <c r="B559" t="s">
        <v>1571</v>
      </c>
      <c r="C559" s="1" t="s">
        <v>1832</v>
      </c>
      <c r="D559" s="1" t="s">
        <v>1832</v>
      </c>
      <c r="E559" t="s">
        <v>1833</v>
      </c>
      <c r="F559" t="s">
        <v>6959</v>
      </c>
      <c r="G559" t="s">
        <v>7541</v>
      </c>
      <c r="H559" t="s">
        <v>7542</v>
      </c>
      <c r="I559" t="s">
        <v>6337</v>
      </c>
      <c r="J559" t="s">
        <v>7340</v>
      </c>
      <c r="K559" t="s">
        <v>7341</v>
      </c>
      <c r="L559" t="s">
        <v>7342</v>
      </c>
    </row>
    <row r="560" spans="1:12" x14ac:dyDescent="0.25">
      <c r="A560" t="s">
        <v>5766</v>
      </c>
      <c r="B560" t="s">
        <v>1571</v>
      </c>
      <c r="C560" s="1" t="s">
        <v>1835</v>
      </c>
      <c r="D560" s="1" t="s">
        <v>1835</v>
      </c>
      <c r="E560" t="s">
        <v>1836</v>
      </c>
      <c r="F560" t="s">
        <v>6929</v>
      </c>
      <c r="G560" t="s">
        <v>7543</v>
      </c>
      <c r="H560" t="s">
        <v>7544</v>
      </c>
      <c r="I560" t="s">
        <v>7494</v>
      </c>
      <c r="J560" t="s">
        <v>7340</v>
      </c>
      <c r="K560" t="s">
        <v>7341</v>
      </c>
      <c r="L560" t="s">
        <v>7342</v>
      </c>
    </row>
    <row r="561" spans="1:13" x14ac:dyDescent="0.25">
      <c r="A561" t="s">
        <v>5766</v>
      </c>
      <c r="B561" t="s">
        <v>1571</v>
      </c>
      <c r="C561" s="1" t="s">
        <v>1838</v>
      </c>
      <c r="D561" s="1" t="s">
        <v>1838</v>
      </c>
      <c r="E561" t="s">
        <v>1839</v>
      </c>
      <c r="F561" t="s">
        <v>7185</v>
      </c>
      <c r="G561" t="s">
        <v>7545</v>
      </c>
      <c r="H561" t="s">
        <v>7546</v>
      </c>
      <c r="I561" t="s">
        <v>7510</v>
      </c>
      <c r="J561" t="s">
        <v>7340</v>
      </c>
      <c r="K561" t="s">
        <v>7341</v>
      </c>
      <c r="L561" t="s">
        <v>7342</v>
      </c>
    </row>
    <row r="562" spans="1:13" x14ac:dyDescent="0.25">
      <c r="A562" t="s">
        <v>5766</v>
      </c>
      <c r="B562" t="s">
        <v>1571</v>
      </c>
      <c r="C562" s="1" t="s">
        <v>78</v>
      </c>
      <c r="D562" s="1" t="s">
        <v>5780</v>
      </c>
      <c r="E562" t="s">
        <v>5781</v>
      </c>
      <c r="F562" t="s">
        <v>7547</v>
      </c>
      <c r="G562" t="s">
        <v>5783</v>
      </c>
      <c r="H562" t="s">
        <v>7548</v>
      </c>
      <c r="I562" t="s">
        <v>7549</v>
      </c>
      <c r="J562" t="s">
        <v>7340</v>
      </c>
      <c r="K562" t="s">
        <v>7341</v>
      </c>
      <c r="L562" t="s">
        <v>7342</v>
      </c>
      <c r="M562" t="s">
        <v>65</v>
      </c>
    </row>
    <row r="563" spans="1:13" x14ac:dyDescent="0.25">
      <c r="A563" t="s">
        <v>5766</v>
      </c>
      <c r="B563" t="s">
        <v>1571</v>
      </c>
      <c r="C563" s="1" t="s">
        <v>52</v>
      </c>
      <c r="D563" s="1" t="s">
        <v>52</v>
      </c>
      <c r="E563" t="s">
        <v>5767</v>
      </c>
      <c r="F563" t="s">
        <v>7550</v>
      </c>
      <c r="G563" t="s">
        <v>5769</v>
      </c>
      <c r="H563" t="s">
        <v>7551</v>
      </c>
      <c r="I563" t="s">
        <v>5816</v>
      </c>
      <c r="J563" t="s">
        <v>7340</v>
      </c>
      <c r="K563" t="s">
        <v>7341</v>
      </c>
      <c r="L563" t="s">
        <v>7342</v>
      </c>
      <c r="M563" t="s">
        <v>65</v>
      </c>
    </row>
    <row r="564" spans="1:13" x14ac:dyDescent="0.25">
      <c r="A564" t="s">
        <v>5766</v>
      </c>
      <c r="B564" t="s">
        <v>1840</v>
      </c>
      <c r="C564" s="1" t="s">
        <v>1842</v>
      </c>
      <c r="D564" s="1" t="s">
        <v>1842</v>
      </c>
      <c r="E564" t="s">
        <v>1843</v>
      </c>
      <c r="F564" t="s">
        <v>7552</v>
      </c>
      <c r="G564" t="s">
        <v>7553</v>
      </c>
      <c r="H564" t="s">
        <v>7554</v>
      </c>
      <c r="I564" t="s">
        <v>5850</v>
      </c>
      <c r="J564" t="s">
        <v>7555</v>
      </c>
      <c r="K564" t="s">
        <v>7556</v>
      </c>
      <c r="L564" t="s">
        <v>7557</v>
      </c>
    </row>
    <row r="565" spans="1:13" x14ac:dyDescent="0.25">
      <c r="A565" t="s">
        <v>5766</v>
      </c>
      <c r="B565" t="s">
        <v>1840</v>
      </c>
      <c r="C565" s="1" t="s">
        <v>1845</v>
      </c>
      <c r="D565" s="1" t="s">
        <v>1845</v>
      </c>
      <c r="E565" t="s">
        <v>1847</v>
      </c>
      <c r="F565" t="s">
        <v>7185</v>
      </c>
      <c r="G565" t="s">
        <v>7558</v>
      </c>
      <c r="H565" t="s">
        <v>7559</v>
      </c>
      <c r="I565" t="s">
        <v>7093</v>
      </c>
      <c r="J565" t="s">
        <v>7555</v>
      </c>
      <c r="K565" t="s">
        <v>7556</v>
      </c>
      <c r="L565" t="s">
        <v>7557</v>
      </c>
    </row>
    <row r="566" spans="1:13" x14ac:dyDescent="0.25">
      <c r="A566" t="s">
        <v>5766</v>
      </c>
      <c r="B566" t="s">
        <v>1840</v>
      </c>
      <c r="C566" s="1" t="s">
        <v>1849</v>
      </c>
      <c r="D566" s="1" t="s">
        <v>1849</v>
      </c>
      <c r="E566" t="s">
        <v>1850</v>
      </c>
      <c r="F566" t="s">
        <v>7185</v>
      </c>
      <c r="G566" t="s">
        <v>7560</v>
      </c>
      <c r="H566" t="s">
        <v>7561</v>
      </c>
      <c r="I566" t="s">
        <v>6920</v>
      </c>
      <c r="J566" t="s">
        <v>7555</v>
      </c>
      <c r="K566" t="s">
        <v>7556</v>
      </c>
      <c r="L566" t="s">
        <v>7557</v>
      </c>
    </row>
    <row r="567" spans="1:13" x14ac:dyDescent="0.25">
      <c r="A567" t="s">
        <v>5766</v>
      </c>
      <c r="B567" t="s">
        <v>1840</v>
      </c>
      <c r="C567" s="1" t="s">
        <v>1852</v>
      </c>
      <c r="D567" s="1" t="s">
        <v>1852</v>
      </c>
      <c r="E567" t="s">
        <v>1853</v>
      </c>
      <c r="F567" t="s">
        <v>6948</v>
      </c>
      <c r="G567" t="s">
        <v>7562</v>
      </c>
      <c r="H567" t="s">
        <v>7563</v>
      </c>
      <c r="I567" t="s">
        <v>7093</v>
      </c>
      <c r="J567" t="s">
        <v>7555</v>
      </c>
      <c r="K567" t="s">
        <v>7556</v>
      </c>
      <c r="L567" t="s">
        <v>7557</v>
      </c>
    </row>
    <row r="568" spans="1:13" x14ac:dyDescent="0.25">
      <c r="A568" t="s">
        <v>5766</v>
      </c>
      <c r="B568" t="s">
        <v>1840</v>
      </c>
      <c r="C568" s="1" t="s">
        <v>1855</v>
      </c>
      <c r="D568" s="1" t="s">
        <v>1855</v>
      </c>
      <c r="E568" t="s">
        <v>1857</v>
      </c>
      <c r="F568" t="s">
        <v>7442</v>
      </c>
      <c r="G568" t="s">
        <v>7564</v>
      </c>
      <c r="H568" t="s">
        <v>7565</v>
      </c>
      <c r="I568" t="s">
        <v>6920</v>
      </c>
      <c r="J568" t="s">
        <v>7555</v>
      </c>
      <c r="K568" t="s">
        <v>7556</v>
      </c>
      <c r="L568" t="s">
        <v>7557</v>
      </c>
    </row>
    <row r="569" spans="1:13" x14ac:dyDescent="0.25">
      <c r="A569" t="s">
        <v>5766</v>
      </c>
      <c r="B569" t="s">
        <v>1840</v>
      </c>
      <c r="C569" s="1" t="s">
        <v>1859</v>
      </c>
      <c r="D569" s="1" t="s">
        <v>1859</v>
      </c>
      <c r="E569" t="s">
        <v>1861</v>
      </c>
      <c r="F569" t="s">
        <v>7442</v>
      </c>
      <c r="G569" t="s">
        <v>7566</v>
      </c>
      <c r="H569" t="s">
        <v>7567</v>
      </c>
      <c r="I569" t="s">
        <v>7003</v>
      </c>
      <c r="J569" t="s">
        <v>7555</v>
      </c>
      <c r="K569" t="s">
        <v>7556</v>
      </c>
      <c r="L569" t="s">
        <v>7557</v>
      </c>
    </row>
    <row r="570" spans="1:13" x14ac:dyDescent="0.25">
      <c r="A570" t="s">
        <v>5766</v>
      </c>
      <c r="B570" t="s">
        <v>1840</v>
      </c>
      <c r="C570" s="1" t="s">
        <v>1863</v>
      </c>
      <c r="D570" s="1" t="s">
        <v>1863</v>
      </c>
      <c r="E570" t="s">
        <v>1865</v>
      </c>
      <c r="F570" t="s">
        <v>7185</v>
      </c>
      <c r="G570" t="s">
        <v>7568</v>
      </c>
      <c r="H570" t="s">
        <v>7569</v>
      </c>
      <c r="I570" t="s">
        <v>7093</v>
      </c>
      <c r="J570" t="s">
        <v>7555</v>
      </c>
      <c r="K570" t="s">
        <v>7556</v>
      </c>
      <c r="L570" t="s">
        <v>7557</v>
      </c>
    </row>
    <row r="571" spans="1:13" x14ac:dyDescent="0.25">
      <c r="A571" t="s">
        <v>5766</v>
      </c>
      <c r="B571" t="s">
        <v>1840</v>
      </c>
      <c r="C571" s="1" t="s">
        <v>1867</v>
      </c>
      <c r="D571" s="1" t="s">
        <v>1867</v>
      </c>
      <c r="E571" t="s">
        <v>1868</v>
      </c>
      <c r="F571" t="s">
        <v>7185</v>
      </c>
      <c r="G571" t="s">
        <v>7570</v>
      </c>
      <c r="H571" t="s">
        <v>7571</v>
      </c>
      <c r="I571" t="s">
        <v>7093</v>
      </c>
      <c r="J571" t="s">
        <v>7555</v>
      </c>
      <c r="K571" t="s">
        <v>7556</v>
      </c>
      <c r="L571" t="s">
        <v>7557</v>
      </c>
    </row>
    <row r="572" spans="1:13" x14ac:dyDescent="0.25">
      <c r="A572" t="s">
        <v>5766</v>
      </c>
      <c r="B572" t="s">
        <v>1840</v>
      </c>
      <c r="C572" s="1" t="s">
        <v>1870</v>
      </c>
      <c r="D572" s="1" t="s">
        <v>1870</v>
      </c>
      <c r="E572" t="s">
        <v>1872</v>
      </c>
      <c r="F572" t="s">
        <v>7442</v>
      </c>
      <c r="G572" t="s">
        <v>7572</v>
      </c>
      <c r="H572" t="s">
        <v>7573</v>
      </c>
      <c r="I572" t="s">
        <v>6920</v>
      </c>
      <c r="J572" t="s">
        <v>7555</v>
      </c>
      <c r="K572" t="s">
        <v>7556</v>
      </c>
      <c r="L572" t="s">
        <v>7557</v>
      </c>
    </row>
    <row r="573" spans="1:13" x14ac:dyDescent="0.25">
      <c r="A573" t="s">
        <v>5766</v>
      </c>
      <c r="B573" t="s">
        <v>1840</v>
      </c>
      <c r="C573" s="1" t="s">
        <v>1874</v>
      </c>
      <c r="D573" s="1" t="s">
        <v>1874</v>
      </c>
      <c r="E573" t="s">
        <v>1876</v>
      </c>
      <c r="F573" t="s">
        <v>7574</v>
      </c>
      <c r="G573" t="s">
        <v>7575</v>
      </c>
      <c r="H573" t="s">
        <v>7576</v>
      </c>
      <c r="I573" t="s">
        <v>7577</v>
      </c>
      <c r="J573" t="s">
        <v>7555</v>
      </c>
      <c r="K573" t="s">
        <v>7556</v>
      </c>
      <c r="L573" t="s">
        <v>7557</v>
      </c>
    </row>
    <row r="574" spans="1:13" x14ac:dyDescent="0.25">
      <c r="A574" t="s">
        <v>5766</v>
      </c>
      <c r="B574" t="s">
        <v>1840</v>
      </c>
      <c r="C574" s="1" t="s">
        <v>1878</v>
      </c>
      <c r="D574" s="1" t="s">
        <v>1878</v>
      </c>
      <c r="E574" t="s">
        <v>1880</v>
      </c>
      <c r="F574" t="s">
        <v>7442</v>
      </c>
      <c r="G574" t="s">
        <v>7578</v>
      </c>
      <c r="H574" t="s">
        <v>7579</v>
      </c>
      <c r="I574" t="s">
        <v>6920</v>
      </c>
      <c r="J574" t="s">
        <v>7555</v>
      </c>
      <c r="K574" t="s">
        <v>7556</v>
      </c>
      <c r="L574" t="s">
        <v>7557</v>
      </c>
    </row>
    <row r="575" spans="1:13" x14ac:dyDescent="0.25">
      <c r="A575" t="s">
        <v>5766</v>
      </c>
      <c r="B575" t="s">
        <v>1840</v>
      </c>
      <c r="C575" s="1" t="s">
        <v>1882</v>
      </c>
      <c r="D575" s="1" t="s">
        <v>1882</v>
      </c>
      <c r="E575" t="s">
        <v>1884</v>
      </c>
      <c r="F575" t="s">
        <v>7185</v>
      </c>
      <c r="G575" t="s">
        <v>7580</v>
      </c>
      <c r="H575" t="s">
        <v>7581</v>
      </c>
      <c r="I575" t="s">
        <v>6045</v>
      </c>
      <c r="J575" t="s">
        <v>7555</v>
      </c>
      <c r="K575" t="s">
        <v>7556</v>
      </c>
      <c r="L575" t="s">
        <v>7557</v>
      </c>
    </row>
    <row r="576" spans="1:13" x14ac:dyDescent="0.25">
      <c r="A576" t="s">
        <v>5766</v>
      </c>
      <c r="B576" t="s">
        <v>1840</v>
      </c>
      <c r="C576" s="1" t="s">
        <v>1886</v>
      </c>
      <c r="D576" s="1" t="s">
        <v>1886</v>
      </c>
      <c r="E576" t="s">
        <v>1887</v>
      </c>
      <c r="F576" t="s">
        <v>7442</v>
      </c>
      <c r="G576" t="s">
        <v>7582</v>
      </c>
      <c r="H576" t="s">
        <v>7583</v>
      </c>
      <c r="I576" t="s">
        <v>6920</v>
      </c>
      <c r="J576" t="s">
        <v>7555</v>
      </c>
      <c r="K576" t="s">
        <v>7556</v>
      </c>
      <c r="L576" t="s">
        <v>7557</v>
      </c>
    </row>
    <row r="577" spans="1:12" x14ac:dyDescent="0.25">
      <c r="A577" t="s">
        <v>5766</v>
      </c>
      <c r="B577" t="s">
        <v>1840</v>
      </c>
      <c r="C577" s="1" t="s">
        <v>1889</v>
      </c>
      <c r="D577" s="1" t="s">
        <v>1889</v>
      </c>
      <c r="E577" t="s">
        <v>1891</v>
      </c>
      <c r="F577" t="s">
        <v>7442</v>
      </c>
      <c r="G577" t="s">
        <v>7584</v>
      </c>
      <c r="H577" t="s">
        <v>7585</v>
      </c>
      <c r="I577" t="s">
        <v>6920</v>
      </c>
      <c r="J577" t="s">
        <v>7555</v>
      </c>
      <c r="K577" t="s">
        <v>7556</v>
      </c>
      <c r="L577" t="s">
        <v>7557</v>
      </c>
    </row>
    <row r="578" spans="1:12" x14ac:dyDescent="0.25">
      <c r="A578" t="s">
        <v>5766</v>
      </c>
      <c r="B578" t="s">
        <v>1840</v>
      </c>
      <c r="C578" s="1" t="s">
        <v>1893</v>
      </c>
      <c r="D578" s="1" t="s">
        <v>1893</v>
      </c>
      <c r="E578" t="s">
        <v>1895</v>
      </c>
      <c r="F578" t="s">
        <v>7586</v>
      </c>
      <c r="G578" t="s">
        <v>7587</v>
      </c>
      <c r="H578" t="s">
        <v>7588</v>
      </c>
      <c r="I578" t="s">
        <v>5816</v>
      </c>
      <c r="J578" t="s">
        <v>7555</v>
      </c>
      <c r="K578" t="s">
        <v>7556</v>
      </c>
      <c r="L578" t="s">
        <v>7557</v>
      </c>
    </row>
    <row r="579" spans="1:12" x14ac:dyDescent="0.25">
      <c r="A579" t="s">
        <v>5766</v>
      </c>
      <c r="B579" t="s">
        <v>1840</v>
      </c>
      <c r="C579" s="1" t="s">
        <v>1897</v>
      </c>
      <c r="D579" s="1" t="s">
        <v>1897</v>
      </c>
      <c r="E579" t="s">
        <v>1899</v>
      </c>
      <c r="F579" t="s">
        <v>6948</v>
      </c>
      <c r="G579" t="s">
        <v>7589</v>
      </c>
      <c r="H579" t="s">
        <v>7590</v>
      </c>
      <c r="I579" t="s">
        <v>6920</v>
      </c>
      <c r="J579" t="s">
        <v>7555</v>
      </c>
      <c r="K579" t="s">
        <v>7556</v>
      </c>
      <c r="L579" t="s">
        <v>7557</v>
      </c>
    </row>
    <row r="580" spans="1:12" x14ac:dyDescent="0.25">
      <c r="A580" t="s">
        <v>5766</v>
      </c>
      <c r="B580" t="s">
        <v>1840</v>
      </c>
      <c r="C580" s="1" t="s">
        <v>1901</v>
      </c>
      <c r="D580" s="1" t="s">
        <v>1901</v>
      </c>
      <c r="E580" t="s">
        <v>1902</v>
      </c>
      <c r="F580" t="s">
        <v>7041</v>
      </c>
      <c r="G580" t="s">
        <v>7591</v>
      </c>
      <c r="H580" t="s">
        <v>7592</v>
      </c>
      <c r="I580" t="s">
        <v>7093</v>
      </c>
      <c r="J580" t="s">
        <v>7555</v>
      </c>
      <c r="K580" t="s">
        <v>7556</v>
      </c>
      <c r="L580" t="s">
        <v>7557</v>
      </c>
    </row>
    <row r="581" spans="1:12" x14ac:dyDescent="0.25">
      <c r="A581" t="s">
        <v>5766</v>
      </c>
      <c r="B581" t="s">
        <v>1840</v>
      </c>
      <c r="C581" s="1" t="s">
        <v>1904</v>
      </c>
      <c r="D581" s="1" t="s">
        <v>1904</v>
      </c>
      <c r="E581" t="s">
        <v>1906</v>
      </c>
      <c r="F581" t="s">
        <v>7185</v>
      </c>
      <c r="G581" t="s">
        <v>7593</v>
      </c>
      <c r="H581" t="s">
        <v>7594</v>
      </c>
      <c r="I581" t="s">
        <v>6920</v>
      </c>
      <c r="J581" t="s">
        <v>7555</v>
      </c>
      <c r="K581" t="s">
        <v>7556</v>
      </c>
      <c r="L581" t="s">
        <v>7557</v>
      </c>
    </row>
    <row r="582" spans="1:12" x14ac:dyDescent="0.25">
      <c r="A582" t="s">
        <v>5766</v>
      </c>
      <c r="B582" t="s">
        <v>1840</v>
      </c>
      <c r="C582" s="1" t="s">
        <v>1908</v>
      </c>
      <c r="D582" s="1" t="s">
        <v>1908</v>
      </c>
      <c r="E582" t="s">
        <v>1910</v>
      </c>
      <c r="F582" t="s">
        <v>7595</v>
      </c>
      <c r="G582" t="s">
        <v>7596</v>
      </c>
      <c r="H582" t="s">
        <v>7597</v>
      </c>
      <c r="I582" t="s">
        <v>6934</v>
      </c>
      <c r="J582" t="s">
        <v>7555</v>
      </c>
      <c r="K582" t="s">
        <v>7556</v>
      </c>
      <c r="L582" t="s">
        <v>7557</v>
      </c>
    </row>
    <row r="583" spans="1:12" x14ac:dyDescent="0.25">
      <c r="A583" t="s">
        <v>5766</v>
      </c>
      <c r="B583" t="s">
        <v>1840</v>
      </c>
      <c r="C583" s="1" t="s">
        <v>1912</v>
      </c>
      <c r="D583" s="1" t="s">
        <v>1912</v>
      </c>
      <c r="E583" t="s">
        <v>1914</v>
      </c>
      <c r="F583" t="s">
        <v>7442</v>
      </c>
      <c r="G583" t="s">
        <v>7598</v>
      </c>
      <c r="H583" t="s">
        <v>7599</v>
      </c>
      <c r="I583" t="s">
        <v>6920</v>
      </c>
      <c r="J583" t="s">
        <v>7555</v>
      </c>
      <c r="K583" t="s">
        <v>7556</v>
      </c>
      <c r="L583" t="s">
        <v>7557</v>
      </c>
    </row>
    <row r="584" spans="1:12" x14ac:dyDescent="0.25">
      <c r="A584" t="s">
        <v>5766</v>
      </c>
      <c r="B584" t="s">
        <v>1840</v>
      </c>
      <c r="C584" s="1" t="s">
        <v>1916</v>
      </c>
      <c r="D584" s="1" t="s">
        <v>1916</v>
      </c>
      <c r="E584" t="s">
        <v>1918</v>
      </c>
      <c r="F584" t="s">
        <v>7185</v>
      </c>
      <c r="G584" t="s">
        <v>7600</v>
      </c>
      <c r="H584" t="s">
        <v>7601</v>
      </c>
      <c r="I584" t="s">
        <v>6045</v>
      </c>
      <c r="J584" t="s">
        <v>7555</v>
      </c>
      <c r="K584" t="s">
        <v>7556</v>
      </c>
      <c r="L584" t="s">
        <v>7557</v>
      </c>
    </row>
    <row r="585" spans="1:12" x14ac:dyDescent="0.25">
      <c r="A585" t="s">
        <v>5766</v>
      </c>
      <c r="B585" t="s">
        <v>1840</v>
      </c>
      <c r="C585" s="1" t="s">
        <v>1920</v>
      </c>
      <c r="D585" s="1" t="s">
        <v>1920</v>
      </c>
      <c r="E585" t="s">
        <v>1921</v>
      </c>
      <c r="F585" t="s">
        <v>7185</v>
      </c>
      <c r="G585" t="s">
        <v>7602</v>
      </c>
      <c r="H585" t="s">
        <v>7603</v>
      </c>
      <c r="I585" t="s">
        <v>7093</v>
      </c>
      <c r="J585" t="s">
        <v>7555</v>
      </c>
      <c r="K585" t="s">
        <v>7556</v>
      </c>
      <c r="L585" t="s">
        <v>7557</v>
      </c>
    </row>
    <row r="586" spans="1:12" x14ac:dyDescent="0.25">
      <c r="A586" t="s">
        <v>5766</v>
      </c>
      <c r="B586" t="s">
        <v>1840</v>
      </c>
      <c r="C586" s="1" t="s">
        <v>1923</v>
      </c>
      <c r="D586" s="1" t="s">
        <v>1923</v>
      </c>
      <c r="E586" t="s">
        <v>1925</v>
      </c>
      <c r="F586" t="s">
        <v>7595</v>
      </c>
      <c r="G586" t="s">
        <v>7604</v>
      </c>
      <c r="H586" t="s">
        <v>7605</v>
      </c>
      <c r="I586" t="s">
        <v>6920</v>
      </c>
      <c r="J586" t="s">
        <v>7555</v>
      </c>
      <c r="K586" t="s">
        <v>7556</v>
      </c>
      <c r="L586" t="s">
        <v>7557</v>
      </c>
    </row>
    <row r="587" spans="1:12" x14ac:dyDescent="0.25">
      <c r="A587" t="s">
        <v>5766</v>
      </c>
      <c r="B587" t="s">
        <v>1840</v>
      </c>
      <c r="C587" s="1" t="s">
        <v>1927</v>
      </c>
      <c r="D587" s="1" t="s">
        <v>1927</v>
      </c>
      <c r="E587" t="s">
        <v>1928</v>
      </c>
      <c r="F587" t="s">
        <v>7606</v>
      </c>
      <c r="G587" t="s">
        <v>7607</v>
      </c>
      <c r="H587" t="s">
        <v>7608</v>
      </c>
      <c r="I587" t="s">
        <v>7609</v>
      </c>
      <c r="J587" t="s">
        <v>7555</v>
      </c>
      <c r="K587" t="s">
        <v>7556</v>
      </c>
      <c r="L587" t="s">
        <v>7557</v>
      </c>
    </row>
    <row r="588" spans="1:12" x14ac:dyDescent="0.25">
      <c r="A588" t="s">
        <v>5766</v>
      </c>
      <c r="B588" t="s">
        <v>1840</v>
      </c>
      <c r="C588" s="1" t="s">
        <v>1930</v>
      </c>
      <c r="D588" s="1" t="s">
        <v>1930</v>
      </c>
      <c r="E588" t="s">
        <v>1932</v>
      </c>
      <c r="F588" t="s">
        <v>7595</v>
      </c>
      <c r="G588" t="s">
        <v>7610</v>
      </c>
      <c r="H588" t="s">
        <v>7611</v>
      </c>
      <c r="I588" t="s">
        <v>6934</v>
      </c>
      <c r="J588" t="s">
        <v>7555</v>
      </c>
      <c r="K588" t="s">
        <v>7556</v>
      </c>
      <c r="L588" t="s">
        <v>7557</v>
      </c>
    </row>
    <row r="589" spans="1:12" x14ac:dyDescent="0.25">
      <c r="A589" t="s">
        <v>5766</v>
      </c>
      <c r="B589" t="s">
        <v>1840</v>
      </c>
      <c r="C589" s="1" t="s">
        <v>1934</v>
      </c>
      <c r="D589" s="1" t="s">
        <v>1934</v>
      </c>
      <c r="E589" t="s">
        <v>1936</v>
      </c>
      <c r="F589" t="s">
        <v>7612</v>
      </c>
      <c r="G589" t="s">
        <v>7613</v>
      </c>
      <c r="H589" t="s">
        <v>7614</v>
      </c>
      <c r="I589" t="s">
        <v>7615</v>
      </c>
      <c r="J589" t="s">
        <v>7555</v>
      </c>
      <c r="K589" t="s">
        <v>7556</v>
      </c>
      <c r="L589" t="s">
        <v>7557</v>
      </c>
    </row>
    <row r="590" spans="1:12" x14ac:dyDescent="0.25">
      <c r="A590" t="s">
        <v>5766</v>
      </c>
      <c r="B590" t="s">
        <v>1840</v>
      </c>
      <c r="C590" s="1" t="s">
        <v>1938</v>
      </c>
      <c r="D590" s="1" t="s">
        <v>1938</v>
      </c>
      <c r="E590" t="s">
        <v>1940</v>
      </c>
      <c r="F590" t="s">
        <v>7185</v>
      </c>
      <c r="G590" t="s">
        <v>7616</v>
      </c>
      <c r="H590" t="s">
        <v>7617</v>
      </c>
      <c r="I590" t="s">
        <v>6934</v>
      </c>
      <c r="J590" t="s">
        <v>7555</v>
      </c>
      <c r="K590" t="s">
        <v>7556</v>
      </c>
      <c r="L590" t="s">
        <v>7557</v>
      </c>
    </row>
    <row r="591" spans="1:12" x14ac:dyDescent="0.25">
      <c r="A591" t="s">
        <v>5766</v>
      </c>
      <c r="B591" t="s">
        <v>1840</v>
      </c>
      <c r="C591" s="1" t="s">
        <v>1942</v>
      </c>
      <c r="D591" s="1" t="s">
        <v>1942</v>
      </c>
      <c r="E591" t="s">
        <v>1944</v>
      </c>
      <c r="F591" t="s">
        <v>7442</v>
      </c>
      <c r="G591" t="s">
        <v>7618</v>
      </c>
      <c r="H591" t="s">
        <v>7619</v>
      </c>
      <c r="I591" t="s">
        <v>6920</v>
      </c>
      <c r="J591" t="s">
        <v>7555</v>
      </c>
      <c r="K591" t="s">
        <v>7556</v>
      </c>
      <c r="L591" t="s">
        <v>7557</v>
      </c>
    </row>
    <row r="592" spans="1:12" x14ac:dyDescent="0.25">
      <c r="A592" t="s">
        <v>5766</v>
      </c>
      <c r="B592" t="s">
        <v>1840</v>
      </c>
      <c r="C592" s="1" t="s">
        <v>1946</v>
      </c>
      <c r="D592" s="1" t="s">
        <v>1946</v>
      </c>
      <c r="E592" t="s">
        <v>1948</v>
      </c>
      <c r="F592" t="s">
        <v>7442</v>
      </c>
      <c r="G592" t="s">
        <v>7620</v>
      </c>
      <c r="H592" t="s">
        <v>7621</v>
      </c>
      <c r="I592" t="s">
        <v>6920</v>
      </c>
      <c r="J592" t="s">
        <v>7555</v>
      </c>
      <c r="K592" t="s">
        <v>7556</v>
      </c>
      <c r="L592" t="s">
        <v>7557</v>
      </c>
    </row>
    <row r="593" spans="1:12" x14ac:dyDescent="0.25">
      <c r="A593" t="s">
        <v>5766</v>
      </c>
      <c r="B593" t="s">
        <v>1840</v>
      </c>
      <c r="C593" s="1" t="s">
        <v>1950</v>
      </c>
      <c r="D593" s="1" t="s">
        <v>1950</v>
      </c>
      <c r="E593" t="s">
        <v>1952</v>
      </c>
      <c r="F593" t="s">
        <v>7142</v>
      </c>
      <c r="G593" t="s">
        <v>7622</v>
      </c>
      <c r="H593" t="s">
        <v>7623</v>
      </c>
      <c r="I593" t="s">
        <v>6234</v>
      </c>
      <c r="J593" t="s">
        <v>7555</v>
      </c>
      <c r="K593" t="s">
        <v>7556</v>
      </c>
      <c r="L593" t="s">
        <v>7557</v>
      </c>
    </row>
    <row r="594" spans="1:12" x14ac:dyDescent="0.25">
      <c r="A594" t="s">
        <v>5766</v>
      </c>
      <c r="B594" t="s">
        <v>1840</v>
      </c>
      <c r="C594" s="1" t="s">
        <v>1954</v>
      </c>
      <c r="D594" s="1" t="s">
        <v>1954</v>
      </c>
      <c r="E594" t="s">
        <v>1955</v>
      </c>
      <c r="F594" t="s">
        <v>7624</v>
      </c>
      <c r="G594" t="s">
        <v>7625</v>
      </c>
      <c r="H594" t="s">
        <v>7626</v>
      </c>
      <c r="I594" t="s">
        <v>7332</v>
      </c>
      <c r="J594" t="s">
        <v>7555</v>
      </c>
      <c r="K594" t="s">
        <v>7556</v>
      </c>
      <c r="L594" t="s">
        <v>7557</v>
      </c>
    </row>
    <row r="595" spans="1:12" x14ac:dyDescent="0.25">
      <c r="A595" t="s">
        <v>5766</v>
      </c>
      <c r="B595" t="s">
        <v>1840</v>
      </c>
      <c r="C595" s="1" t="s">
        <v>1957</v>
      </c>
      <c r="D595" s="1" t="s">
        <v>1957</v>
      </c>
      <c r="E595" t="s">
        <v>1958</v>
      </c>
      <c r="F595" t="s">
        <v>6948</v>
      </c>
      <c r="G595" t="s">
        <v>7627</v>
      </c>
      <c r="H595" t="s">
        <v>7628</v>
      </c>
      <c r="I595" t="s">
        <v>7093</v>
      </c>
      <c r="J595" t="s">
        <v>7555</v>
      </c>
      <c r="K595" t="s">
        <v>7556</v>
      </c>
      <c r="L595" t="s">
        <v>7557</v>
      </c>
    </row>
    <row r="596" spans="1:12" x14ac:dyDescent="0.25">
      <c r="A596" t="s">
        <v>5766</v>
      </c>
      <c r="B596" t="s">
        <v>1840</v>
      </c>
      <c r="C596" s="1" t="s">
        <v>1960</v>
      </c>
      <c r="D596" s="1" t="s">
        <v>1960</v>
      </c>
      <c r="E596" t="s">
        <v>1962</v>
      </c>
      <c r="F596" t="s">
        <v>7185</v>
      </c>
      <c r="G596" t="s">
        <v>7629</v>
      </c>
      <c r="H596" t="s">
        <v>7630</v>
      </c>
      <c r="I596" t="s">
        <v>6045</v>
      </c>
      <c r="J596" t="s">
        <v>7555</v>
      </c>
      <c r="K596" t="s">
        <v>7556</v>
      </c>
      <c r="L596" t="s">
        <v>7557</v>
      </c>
    </row>
    <row r="597" spans="1:12" x14ac:dyDescent="0.25">
      <c r="A597" t="s">
        <v>5766</v>
      </c>
      <c r="B597" t="s">
        <v>1840</v>
      </c>
      <c r="C597" s="1" t="s">
        <v>1964</v>
      </c>
      <c r="D597" s="1" t="s">
        <v>1964</v>
      </c>
      <c r="E597" t="s">
        <v>1966</v>
      </c>
      <c r="F597" t="s">
        <v>7442</v>
      </c>
      <c r="G597" t="s">
        <v>7631</v>
      </c>
      <c r="H597" t="s">
        <v>7632</v>
      </c>
      <c r="I597" t="s">
        <v>6920</v>
      </c>
      <c r="J597" t="s">
        <v>7555</v>
      </c>
      <c r="K597" t="s">
        <v>7556</v>
      </c>
      <c r="L597" t="s">
        <v>7557</v>
      </c>
    </row>
    <row r="598" spans="1:12" x14ac:dyDescent="0.25">
      <c r="A598" t="s">
        <v>5766</v>
      </c>
      <c r="B598" t="s">
        <v>1840</v>
      </c>
      <c r="C598" s="1" t="s">
        <v>1968</v>
      </c>
      <c r="D598" s="1" t="s">
        <v>1968</v>
      </c>
      <c r="E598" t="s">
        <v>1969</v>
      </c>
      <c r="F598" t="s">
        <v>7381</v>
      </c>
      <c r="G598" t="s">
        <v>7633</v>
      </c>
      <c r="H598" t="s">
        <v>7634</v>
      </c>
      <c r="I598" t="s">
        <v>6954</v>
      </c>
      <c r="J598" t="s">
        <v>7555</v>
      </c>
      <c r="K598" t="s">
        <v>7556</v>
      </c>
      <c r="L598" t="s">
        <v>7557</v>
      </c>
    </row>
    <row r="599" spans="1:12" x14ac:dyDescent="0.25">
      <c r="A599" t="s">
        <v>5766</v>
      </c>
      <c r="B599" t="s">
        <v>1840</v>
      </c>
      <c r="C599" s="1" t="s">
        <v>1971</v>
      </c>
      <c r="D599" s="1" t="s">
        <v>1971</v>
      </c>
      <c r="E599" t="s">
        <v>1973</v>
      </c>
      <c r="F599" t="s">
        <v>7635</v>
      </c>
      <c r="G599" t="s">
        <v>7636</v>
      </c>
      <c r="H599" t="s">
        <v>7637</v>
      </c>
      <c r="I599" t="s">
        <v>7638</v>
      </c>
      <c r="J599" t="s">
        <v>7555</v>
      </c>
      <c r="K599" t="s">
        <v>7556</v>
      </c>
      <c r="L599" t="s">
        <v>7557</v>
      </c>
    </row>
    <row r="600" spans="1:12" x14ac:dyDescent="0.25">
      <c r="A600" t="s">
        <v>5766</v>
      </c>
      <c r="B600" t="s">
        <v>1840</v>
      </c>
      <c r="C600" s="1" t="s">
        <v>1975</v>
      </c>
      <c r="D600" s="1" t="s">
        <v>1975</v>
      </c>
      <c r="E600" t="s">
        <v>1977</v>
      </c>
      <c r="F600" t="s">
        <v>7624</v>
      </c>
      <c r="G600" t="s">
        <v>7639</v>
      </c>
      <c r="H600" t="s">
        <v>7640</v>
      </c>
      <c r="I600" t="s">
        <v>7641</v>
      </c>
      <c r="J600" t="s">
        <v>7555</v>
      </c>
      <c r="K600" t="s">
        <v>7556</v>
      </c>
      <c r="L600" t="s">
        <v>7557</v>
      </c>
    </row>
    <row r="601" spans="1:12" x14ac:dyDescent="0.25">
      <c r="A601" t="s">
        <v>5766</v>
      </c>
      <c r="B601" t="s">
        <v>1840</v>
      </c>
      <c r="C601" s="1" t="s">
        <v>1979</v>
      </c>
      <c r="D601" s="1" t="s">
        <v>1979</v>
      </c>
      <c r="E601" t="s">
        <v>1981</v>
      </c>
      <c r="F601" t="s">
        <v>7642</v>
      </c>
      <c r="G601" t="s">
        <v>7643</v>
      </c>
      <c r="H601" t="s">
        <v>7644</v>
      </c>
      <c r="I601" t="s">
        <v>6920</v>
      </c>
      <c r="J601" t="s">
        <v>7555</v>
      </c>
      <c r="K601" t="s">
        <v>7556</v>
      </c>
      <c r="L601" t="s">
        <v>7557</v>
      </c>
    </row>
    <row r="602" spans="1:12" x14ac:dyDescent="0.25">
      <c r="A602" t="s">
        <v>5766</v>
      </c>
      <c r="B602" t="s">
        <v>1840</v>
      </c>
      <c r="C602" s="1" t="s">
        <v>1983</v>
      </c>
      <c r="D602" s="1" t="s">
        <v>1983</v>
      </c>
      <c r="E602" t="s">
        <v>1985</v>
      </c>
      <c r="F602" t="s">
        <v>7185</v>
      </c>
      <c r="G602" t="s">
        <v>7645</v>
      </c>
      <c r="H602" t="s">
        <v>7646</v>
      </c>
      <c r="I602" t="s">
        <v>6045</v>
      </c>
      <c r="J602" t="s">
        <v>7555</v>
      </c>
      <c r="K602" t="s">
        <v>7556</v>
      </c>
      <c r="L602" t="s">
        <v>7557</v>
      </c>
    </row>
    <row r="603" spans="1:12" x14ac:dyDescent="0.25">
      <c r="A603" t="s">
        <v>5766</v>
      </c>
      <c r="B603" t="s">
        <v>1840</v>
      </c>
      <c r="C603" s="1" t="s">
        <v>1987</v>
      </c>
      <c r="D603" s="1" t="s">
        <v>1987</v>
      </c>
      <c r="E603" t="s">
        <v>1988</v>
      </c>
      <c r="F603" t="s">
        <v>7624</v>
      </c>
      <c r="G603" t="s">
        <v>7647</v>
      </c>
      <c r="H603" t="s">
        <v>7648</v>
      </c>
      <c r="I603" t="s">
        <v>7641</v>
      </c>
      <c r="J603" t="s">
        <v>7555</v>
      </c>
      <c r="K603" t="s">
        <v>7556</v>
      </c>
      <c r="L603" t="s">
        <v>7557</v>
      </c>
    </row>
    <row r="604" spans="1:12" x14ac:dyDescent="0.25">
      <c r="A604" t="s">
        <v>5766</v>
      </c>
      <c r="B604" t="s">
        <v>1840</v>
      </c>
      <c r="C604" s="1" t="s">
        <v>1990</v>
      </c>
      <c r="D604" s="1" t="s">
        <v>1990</v>
      </c>
      <c r="E604" t="s">
        <v>1992</v>
      </c>
      <c r="F604" t="s">
        <v>7185</v>
      </c>
      <c r="G604" t="s">
        <v>7649</v>
      </c>
      <c r="H604" t="s">
        <v>7650</v>
      </c>
      <c r="I604" t="s">
        <v>6045</v>
      </c>
      <c r="J604" t="s">
        <v>7555</v>
      </c>
      <c r="K604" t="s">
        <v>7556</v>
      </c>
      <c r="L604" t="s">
        <v>7557</v>
      </c>
    </row>
    <row r="605" spans="1:12" x14ac:dyDescent="0.25">
      <c r="A605" t="s">
        <v>5766</v>
      </c>
      <c r="B605" t="s">
        <v>1840</v>
      </c>
      <c r="C605" s="1" t="s">
        <v>1994</v>
      </c>
      <c r="D605" s="1" t="s">
        <v>1994</v>
      </c>
      <c r="E605" t="s">
        <v>1996</v>
      </c>
      <c r="F605" t="s">
        <v>7442</v>
      </c>
      <c r="G605" t="s">
        <v>7651</v>
      </c>
      <c r="H605" t="s">
        <v>7652</v>
      </c>
      <c r="I605" t="s">
        <v>6920</v>
      </c>
      <c r="J605" t="s">
        <v>7555</v>
      </c>
      <c r="K605" t="s">
        <v>7556</v>
      </c>
      <c r="L605" t="s">
        <v>7557</v>
      </c>
    </row>
    <row r="606" spans="1:12" x14ac:dyDescent="0.25">
      <c r="A606" t="s">
        <v>5766</v>
      </c>
      <c r="B606" t="s">
        <v>1840</v>
      </c>
      <c r="C606" s="1" t="s">
        <v>1998</v>
      </c>
      <c r="D606" s="1" t="s">
        <v>1998</v>
      </c>
      <c r="E606" t="s">
        <v>2000</v>
      </c>
      <c r="F606" t="s">
        <v>7442</v>
      </c>
      <c r="G606" t="s">
        <v>7653</v>
      </c>
      <c r="H606" t="s">
        <v>7654</v>
      </c>
      <c r="I606" t="s">
        <v>7003</v>
      </c>
      <c r="J606" t="s">
        <v>7555</v>
      </c>
      <c r="K606" t="s">
        <v>7556</v>
      </c>
      <c r="L606" t="s">
        <v>7557</v>
      </c>
    </row>
    <row r="607" spans="1:12" x14ac:dyDescent="0.25">
      <c r="A607" t="s">
        <v>5766</v>
      </c>
      <c r="B607" t="s">
        <v>1840</v>
      </c>
      <c r="C607" s="1" t="s">
        <v>2002</v>
      </c>
      <c r="D607" s="1" t="s">
        <v>2002</v>
      </c>
      <c r="E607" t="s">
        <v>2004</v>
      </c>
      <c r="F607" t="s">
        <v>7574</v>
      </c>
      <c r="G607" t="s">
        <v>7655</v>
      </c>
      <c r="H607" t="s">
        <v>7656</v>
      </c>
      <c r="I607" t="s">
        <v>7577</v>
      </c>
      <c r="J607" t="s">
        <v>7555</v>
      </c>
      <c r="K607" t="s">
        <v>7556</v>
      </c>
      <c r="L607" t="s">
        <v>7557</v>
      </c>
    </row>
    <row r="608" spans="1:12" x14ac:dyDescent="0.25">
      <c r="A608" t="s">
        <v>5766</v>
      </c>
      <c r="B608" t="s">
        <v>1840</v>
      </c>
      <c r="C608" s="1" t="s">
        <v>2006</v>
      </c>
      <c r="D608" s="1" t="s">
        <v>2006</v>
      </c>
      <c r="E608" t="s">
        <v>2008</v>
      </c>
      <c r="F608" t="s">
        <v>7442</v>
      </c>
      <c r="G608" t="s">
        <v>7657</v>
      </c>
      <c r="H608" t="s">
        <v>7658</v>
      </c>
      <c r="I608" t="s">
        <v>6920</v>
      </c>
      <c r="J608" t="s">
        <v>7555</v>
      </c>
      <c r="K608" t="s">
        <v>7556</v>
      </c>
      <c r="L608" t="s">
        <v>7557</v>
      </c>
    </row>
    <row r="609" spans="1:12" x14ac:dyDescent="0.25">
      <c r="A609" t="s">
        <v>5766</v>
      </c>
      <c r="B609" t="s">
        <v>1840</v>
      </c>
      <c r="C609" s="1" t="s">
        <v>2010</v>
      </c>
      <c r="D609" s="1" t="s">
        <v>2010</v>
      </c>
      <c r="E609" t="s">
        <v>2011</v>
      </c>
      <c r="F609" t="s">
        <v>7635</v>
      </c>
      <c r="G609" t="s">
        <v>7659</v>
      </c>
      <c r="H609" t="s">
        <v>7660</v>
      </c>
      <c r="I609" t="s">
        <v>7661</v>
      </c>
      <c r="J609" t="s">
        <v>7555</v>
      </c>
      <c r="K609" t="s">
        <v>7556</v>
      </c>
      <c r="L609" t="s">
        <v>7557</v>
      </c>
    </row>
    <row r="610" spans="1:12" x14ac:dyDescent="0.25">
      <c r="A610" t="s">
        <v>5766</v>
      </c>
      <c r="B610" t="s">
        <v>1840</v>
      </c>
      <c r="C610" s="1" t="s">
        <v>2013</v>
      </c>
      <c r="D610" s="1" t="s">
        <v>2013</v>
      </c>
      <c r="E610" t="s">
        <v>2015</v>
      </c>
      <c r="F610" t="s">
        <v>7635</v>
      </c>
      <c r="G610" t="s">
        <v>7662</v>
      </c>
      <c r="H610" t="s">
        <v>7663</v>
      </c>
      <c r="I610" t="s">
        <v>6909</v>
      </c>
      <c r="J610" t="s">
        <v>7555</v>
      </c>
      <c r="K610" t="s">
        <v>7556</v>
      </c>
      <c r="L610" t="s">
        <v>7557</v>
      </c>
    </row>
    <row r="611" spans="1:12" x14ac:dyDescent="0.25">
      <c r="A611" t="s">
        <v>5766</v>
      </c>
      <c r="B611" t="s">
        <v>1840</v>
      </c>
      <c r="C611" s="1" t="s">
        <v>2017</v>
      </c>
      <c r="D611" s="1" t="s">
        <v>2017</v>
      </c>
      <c r="E611" t="s">
        <v>2019</v>
      </c>
      <c r="F611" t="s">
        <v>7595</v>
      </c>
      <c r="G611" t="s">
        <v>7664</v>
      </c>
      <c r="H611" t="s">
        <v>7665</v>
      </c>
      <c r="I611" t="s">
        <v>7003</v>
      </c>
      <c r="J611" t="s">
        <v>7555</v>
      </c>
      <c r="K611" t="s">
        <v>7556</v>
      </c>
      <c r="L611" t="s">
        <v>7557</v>
      </c>
    </row>
    <row r="612" spans="1:12" x14ac:dyDescent="0.25">
      <c r="A612" t="s">
        <v>5766</v>
      </c>
      <c r="B612" t="s">
        <v>1840</v>
      </c>
      <c r="C612" s="1" t="s">
        <v>2021</v>
      </c>
      <c r="D612" s="1" t="s">
        <v>2021</v>
      </c>
      <c r="E612" t="s">
        <v>2023</v>
      </c>
      <c r="F612" t="s">
        <v>7442</v>
      </c>
      <c r="G612" t="s">
        <v>7666</v>
      </c>
      <c r="H612" t="s">
        <v>7667</v>
      </c>
      <c r="I612" t="s">
        <v>7093</v>
      </c>
      <c r="J612" t="s">
        <v>7555</v>
      </c>
      <c r="K612" t="s">
        <v>7556</v>
      </c>
      <c r="L612" t="s">
        <v>7557</v>
      </c>
    </row>
    <row r="613" spans="1:12" x14ac:dyDescent="0.25">
      <c r="A613" t="s">
        <v>5766</v>
      </c>
      <c r="B613" t="s">
        <v>1840</v>
      </c>
      <c r="C613" s="1" t="s">
        <v>2025</v>
      </c>
      <c r="D613" s="1" t="s">
        <v>2025</v>
      </c>
      <c r="E613" t="s">
        <v>2027</v>
      </c>
      <c r="F613" t="s">
        <v>7185</v>
      </c>
      <c r="G613" t="s">
        <v>7668</v>
      </c>
      <c r="H613" t="s">
        <v>7669</v>
      </c>
      <c r="I613" t="s">
        <v>6045</v>
      </c>
      <c r="J613" t="s">
        <v>7555</v>
      </c>
      <c r="K613" t="s">
        <v>7556</v>
      </c>
      <c r="L613" t="s">
        <v>7557</v>
      </c>
    </row>
    <row r="614" spans="1:12" x14ac:dyDescent="0.25">
      <c r="A614" t="s">
        <v>5766</v>
      </c>
      <c r="B614" t="s">
        <v>1840</v>
      </c>
      <c r="C614" s="1" t="s">
        <v>2029</v>
      </c>
      <c r="D614" s="1" t="s">
        <v>2029</v>
      </c>
      <c r="E614" t="s">
        <v>2030</v>
      </c>
      <c r="F614" t="s">
        <v>6948</v>
      </c>
      <c r="G614" t="s">
        <v>7670</v>
      </c>
      <c r="H614" t="s">
        <v>7671</v>
      </c>
      <c r="I614" t="s">
        <v>7093</v>
      </c>
      <c r="J614" t="s">
        <v>7555</v>
      </c>
      <c r="K614" t="s">
        <v>7556</v>
      </c>
      <c r="L614" t="s">
        <v>7557</v>
      </c>
    </row>
    <row r="615" spans="1:12" x14ac:dyDescent="0.25">
      <c r="A615" t="s">
        <v>5766</v>
      </c>
      <c r="B615" t="s">
        <v>1840</v>
      </c>
      <c r="C615" s="1" t="s">
        <v>2032</v>
      </c>
      <c r="D615" s="1" t="s">
        <v>2032</v>
      </c>
      <c r="E615" t="s">
        <v>2034</v>
      </c>
      <c r="F615" t="s">
        <v>7635</v>
      </c>
      <c r="G615" t="s">
        <v>7672</v>
      </c>
      <c r="H615" t="s">
        <v>7673</v>
      </c>
      <c r="I615" t="s">
        <v>7661</v>
      </c>
      <c r="J615" t="s">
        <v>7555</v>
      </c>
      <c r="K615" t="s">
        <v>7556</v>
      </c>
      <c r="L615" t="s">
        <v>7557</v>
      </c>
    </row>
    <row r="616" spans="1:12" x14ac:dyDescent="0.25">
      <c r="A616" t="s">
        <v>5766</v>
      </c>
      <c r="B616" t="s">
        <v>1840</v>
      </c>
      <c r="C616" s="1" t="s">
        <v>2036</v>
      </c>
      <c r="D616" s="1" t="s">
        <v>2036</v>
      </c>
      <c r="E616" t="s">
        <v>2038</v>
      </c>
      <c r="F616" t="s">
        <v>7442</v>
      </c>
      <c r="G616" t="s">
        <v>7674</v>
      </c>
      <c r="H616" t="s">
        <v>7675</v>
      </c>
      <c r="I616" t="s">
        <v>7093</v>
      </c>
      <c r="J616" t="s">
        <v>7555</v>
      </c>
      <c r="K616" t="s">
        <v>7556</v>
      </c>
      <c r="L616" t="s">
        <v>7557</v>
      </c>
    </row>
    <row r="617" spans="1:12" x14ac:dyDescent="0.25">
      <c r="A617" t="s">
        <v>5766</v>
      </c>
      <c r="B617" t="s">
        <v>1840</v>
      </c>
      <c r="C617" s="1" t="s">
        <v>2040</v>
      </c>
      <c r="D617" s="1" t="s">
        <v>2040</v>
      </c>
      <c r="E617" t="s">
        <v>2041</v>
      </c>
      <c r="F617" t="s">
        <v>7348</v>
      </c>
      <c r="G617" t="s">
        <v>7676</v>
      </c>
      <c r="H617" t="s">
        <v>7677</v>
      </c>
      <c r="I617" t="s">
        <v>7678</v>
      </c>
      <c r="J617" t="s">
        <v>7555</v>
      </c>
      <c r="K617" t="s">
        <v>7556</v>
      </c>
      <c r="L617" t="s">
        <v>7557</v>
      </c>
    </row>
    <row r="618" spans="1:12" x14ac:dyDescent="0.25">
      <c r="A618" t="s">
        <v>5766</v>
      </c>
      <c r="B618" t="s">
        <v>1840</v>
      </c>
      <c r="C618" s="1" t="s">
        <v>2043</v>
      </c>
      <c r="D618" s="1" t="s">
        <v>2043</v>
      </c>
      <c r="E618" t="s">
        <v>2045</v>
      </c>
      <c r="F618" t="s">
        <v>6917</v>
      </c>
      <c r="G618" t="s">
        <v>7679</v>
      </c>
      <c r="H618" t="s">
        <v>7680</v>
      </c>
      <c r="I618" t="s">
        <v>6903</v>
      </c>
      <c r="J618" t="s">
        <v>7555</v>
      </c>
      <c r="K618" t="s">
        <v>7556</v>
      </c>
      <c r="L618" t="s">
        <v>7557</v>
      </c>
    </row>
    <row r="619" spans="1:12" x14ac:dyDescent="0.25">
      <c r="A619" t="s">
        <v>5766</v>
      </c>
      <c r="B619" t="s">
        <v>1840</v>
      </c>
      <c r="C619" s="1" t="s">
        <v>2047</v>
      </c>
      <c r="D619" s="1" t="s">
        <v>2047</v>
      </c>
      <c r="E619" t="s">
        <v>2049</v>
      </c>
      <c r="F619" t="s">
        <v>7442</v>
      </c>
      <c r="G619" t="s">
        <v>7681</v>
      </c>
      <c r="H619" t="s">
        <v>7682</v>
      </c>
      <c r="I619" t="s">
        <v>7093</v>
      </c>
      <c r="J619" t="s">
        <v>7555</v>
      </c>
      <c r="K619" t="s">
        <v>7556</v>
      </c>
      <c r="L619" t="s">
        <v>7557</v>
      </c>
    </row>
    <row r="620" spans="1:12" x14ac:dyDescent="0.25">
      <c r="A620" t="s">
        <v>5766</v>
      </c>
      <c r="B620" t="s">
        <v>1840</v>
      </c>
      <c r="C620" s="1" t="s">
        <v>2051</v>
      </c>
      <c r="D620" s="1" t="s">
        <v>2051</v>
      </c>
      <c r="E620" t="s">
        <v>2053</v>
      </c>
      <c r="F620" t="s">
        <v>7185</v>
      </c>
      <c r="G620" t="s">
        <v>7683</v>
      </c>
      <c r="H620" t="s">
        <v>7684</v>
      </c>
      <c r="I620" t="s">
        <v>7093</v>
      </c>
      <c r="J620" t="s">
        <v>7555</v>
      </c>
      <c r="K620" t="s">
        <v>7556</v>
      </c>
      <c r="L620" t="s">
        <v>7557</v>
      </c>
    </row>
    <row r="621" spans="1:12" x14ac:dyDescent="0.25">
      <c r="A621" t="s">
        <v>5766</v>
      </c>
      <c r="B621" t="s">
        <v>1840</v>
      </c>
      <c r="C621" s="1" t="s">
        <v>2055</v>
      </c>
      <c r="D621" s="1" t="s">
        <v>2055</v>
      </c>
      <c r="E621" t="s">
        <v>2057</v>
      </c>
      <c r="F621" t="s">
        <v>7442</v>
      </c>
      <c r="G621" t="s">
        <v>7685</v>
      </c>
      <c r="H621" t="s">
        <v>7686</v>
      </c>
      <c r="I621" t="s">
        <v>6920</v>
      </c>
      <c r="J621" t="s">
        <v>7555</v>
      </c>
      <c r="K621" t="s">
        <v>7556</v>
      </c>
      <c r="L621" t="s">
        <v>7557</v>
      </c>
    </row>
    <row r="622" spans="1:12" x14ac:dyDescent="0.25">
      <c r="A622" t="s">
        <v>5766</v>
      </c>
      <c r="B622" t="s">
        <v>1840</v>
      </c>
      <c r="C622" s="1" t="s">
        <v>2059</v>
      </c>
      <c r="D622" s="1" t="s">
        <v>2059</v>
      </c>
      <c r="E622" t="s">
        <v>2060</v>
      </c>
      <c r="F622" t="s">
        <v>7642</v>
      </c>
      <c r="G622" t="s">
        <v>7687</v>
      </c>
      <c r="H622" t="s">
        <v>7688</v>
      </c>
      <c r="I622" t="s">
        <v>7256</v>
      </c>
      <c r="J622" t="s">
        <v>7555</v>
      </c>
      <c r="K622" t="s">
        <v>7556</v>
      </c>
      <c r="L622" t="s">
        <v>7557</v>
      </c>
    </row>
    <row r="623" spans="1:12" x14ac:dyDescent="0.25">
      <c r="A623" t="s">
        <v>5766</v>
      </c>
      <c r="B623" t="s">
        <v>1840</v>
      </c>
      <c r="C623" s="1" t="s">
        <v>2062</v>
      </c>
      <c r="D623" s="1" t="s">
        <v>2062</v>
      </c>
      <c r="E623" t="s">
        <v>2064</v>
      </c>
      <c r="F623" t="s">
        <v>7185</v>
      </c>
      <c r="G623" t="s">
        <v>7689</v>
      </c>
      <c r="H623" t="s">
        <v>7690</v>
      </c>
      <c r="I623" t="s">
        <v>6045</v>
      </c>
      <c r="J623" t="s">
        <v>7555</v>
      </c>
      <c r="K623" t="s">
        <v>7556</v>
      </c>
      <c r="L623" t="s">
        <v>7557</v>
      </c>
    </row>
    <row r="624" spans="1:12" x14ac:dyDescent="0.25">
      <c r="A624" t="s">
        <v>5766</v>
      </c>
      <c r="B624" t="s">
        <v>1840</v>
      </c>
      <c r="C624" s="1" t="s">
        <v>2066</v>
      </c>
      <c r="D624" s="1" t="s">
        <v>2066</v>
      </c>
      <c r="E624" t="s">
        <v>2067</v>
      </c>
      <c r="F624" t="s">
        <v>7442</v>
      </c>
      <c r="G624" t="s">
        <v>7691</v>
      </c>
      <c r="H624" t="s">
        <v>7692</v>
      </c>
      <c r="I624" t="s">
        <v>7093</v>
      </c>
      <c r="J624" t="s">
        <v>7555</v>
      </c>
      <c r="K624" t="s">
        <v>7556</v>
      </c>
      <c r="L624" t="s">
        <v>7557</v>
      </c>
    </row>
    <row r="625" spans="1:12" x14ac:dyDescent="0.25">
      <c r="A625" t="s">
        <v>5766</v>
      </c>
      <c r="B625" t="s">
        <v>1840</v>
      </c>
      <c r="C625" s="1" t="s">
        <v>2069</v>
      </c>
      <c r="D625" s="1" t="s">
        <v>2069</v>
      </c>
      <c r="E625" t="s">
        <v>2071</v>
      </c>
      <c r="F625" t="s">
        <v>7693</v>
      </c>
      <c r="G625" t="s">
        <v>7694</v>
      </c>
      <c r="H625" t="s">
        <v>7695</v>
      </c>
      <c r="I625" t="s">
        <v>6311</v>
      </c>
      <c r="J625" t="s">
        <v>7555</v>
      </c>
      <c r="K625" t="s">
        <v>7556</v>
      </c>
      <c r="L625" t="s">
        <v>7557</v>
      </c>
    </row>
    <row r="626" spans="1:12" x14ac:dyDescent="0.25">
      <c r="A626" t="s">
        <v>5766</v>
      </c>
      <c r="B626" t="s">
        <v>1840</v>
      </c>
      <c r="C626" s="1" t="s">
        <v>2073</v>
      </c>
      <c r="D626" s="1" t="s">
        <v>2073</v>
      </c>
      <c r="E626" t="s">
        <v>2075</v>
      </c>
      <c r="F626" t="s">
        <v>7606</v>
      </c>
      <c r="G626" t="s">
        <v>7696</v>
      </c>
      <c r="H626" t="s">
        <v>7697</v>
      </c>
      <c r="I626" t="s">
        <v>7609</v>
      </c>
      <c r="J626" t="s">
        <v>7555</v>
      </c>
      <c r="K626" t="s">
        <v>7556</v>
      </c>
      <c r="L626" t="s">
        <v>7557</v>
      </c>
    </row>
    <row r="627" spans="1:12" x14ac:dyDescent="0.25">
      <c r="A627" t="s">
        <v>5766</v>
      </c>
      <c r="B627" t="s">
        <v>1840</v>
      </c>
      <c r="C627" s="1" t="s">
        <v>2077</v>
      </c>
      <c r="D627" s="1" t="s">
        <v>2077</v>
      </c>
      <c r="E627" t="s">
        <v>2079</v>
      </c>
      <c r="F627" t="s">
        <v>6948</v>
      </c>
      <c r="G627" t="s">
        <v>7698</v>
      </c>
      <c r="H627" t="s">
        <v>7699</v>
      </c>
      <c r="I627" t="s">
        <v>7093</v>
      </c>
      <c r="J627" t="s">
        <v>7555</v>
      </c>
      <c r="K627" t="s">
        <v>7556</v>
      </c>
      <c r="L627" t="s">
        <v>7557</v>
      </c>
    </row>
    <row r="628" spans="1:12" x14ac:dyDescent="0.25">
      <c r="A628" t="s">
        <v>5766</v>
      </c>
      <c r="B628" t="s">
        <v>1840</v>
      </c>
      <c r="C628" s="1" t="s">
        <v>2081</v>
      </c>
      <c r="D628" s="1" t="s">
        <v>2081</v>
      </c>
      <c r="E628" t="s">
        <v>2083</v>
      </c>
      <c r="F628" t="s">
        <v>7700</v>
      </c>
      <c r="G628" t="s">
        <v>7701</v>
      </c>
      <c r="H628" t="s">
        <v>7702</v>
      </c>
      <c r="I628" t="s">
        <v>7478</v>
      </c>
      <c r="J628" t="s">
        <v>7555</v>
      </c>
      <c r="K628" t="s">
        <v>7556</v>
      </c>
      <c r="L628" t="s">
        <v>7557</v>
      </c>
    </row>
    <row r="629" spans="1:12" x14ac:dyDescent="0.25">
      <c r="A629" t="s">
        <v>5766</v>
      </c>
      <c r="B629" t="s">
        <v>1840</v>
      </c>
      <c r="C629" s="1" t="s">
        <v>2085</v>
      </c>
      <c r="D629" s="1" t="s">
        <v>2085</v>
      </c>
      <c r="E629" t="s">
        <v>2087</v>
      </c>
      <c r="F629" t="s">
        <v>7185</v>
      </c>
      <c r="G629" t="s">
        <v>7703</v>
      </c>
      <c r="H629" t="s">
        <v>7704</v>
      </c>
      <c r="I629" t="s">
        <v>6045</v>
      </c>
      <c r="J629" t="s">
        <v>7555</v>
      </c>
      <c r="K629" t="s">
        <v>7556</v>
      </c>
      <c r="L629" t="s">
        <v>7557</v>
      </c>
    </row>
    <row r="630" spans="1:12" x14ac:dyDescent="0.25">
      <c r="A630" t="s">
        <v>5766</v>
      </c>
      <c r="B630" t="s">
        <v>1840</v>
      </c>
      <c r="C630" s="1" t="s">
        <v>2089</v>
      </c>
      <c r="D630" s="1" t="s">
        <v>2089</v>
      </c>
      <c r="E630" t="s">
        <v>2091</v>
      </c>
      <c r="F630" t="s">
        <v>7185</v>
      </c>
      <c r="G630" t="s">
        <v>7705</v>
      </c>
      <c r="H630" t="s">
        <v>7706</v>
      </c>
      <c r="I630" t="s">
        <v>6045</v>
      </c>
      <c r="J630" t="s">
        <v>7555</v>
      </c>
      <c r="K630" t="s">
        <v>7556</v>
      </c>
      <c r="L630" t="s">
        <v>7557</v>
      </c>
    </row>
    <row r="631" spans="1:12" x14ac:dyDescent="0.25">
      <c r="A631" t="s">
        <v>5766</v>
      </c>
      <c r="B631" t="s">
        <v>1840</v>
      </c>
      <c r="C631" s="1" t="s">
        <v>2093</v>
      </c>
      <c r="D631" s="1" t="s">
        <v>2093</v>
      </c>
      <c r="E631" t="s">
        <v>2094</v>
      </c>
      <c r="F631" t="s">
        <v>7442</v>
      </c>
      <c r="G631" t="s">
        <v>7707</v>
      </c>
      <c r="H631" t="s">
        <v>7708</v>
      </c>
      <c r="I631" t="s">
        <v>6920</v>
      </c>
      <c r="J631" t="s">
        <v>7555</v>
      </c>
      <c r="K631" t="s">
        <v>7556</v>
      </c>
      <c r="L631" t="s">
        <v>7557</v>
      </c>
    </row>
    <row r="632" spans="1:12" x14ac:dyDescent="0.25">
      <c r="A632" t="s">
        <v>5766</v>
      </c>
      <c r="B632" t="s">
        <v>1840</v>
      </c>
      <c r="C632" s="1" t="s">
        <v>2096</v>
      </c>
      <c r="D632" s="1" t="s">
        <v>2096</v>
      </c>
      <c r="E632" t="s">
        <v>2098</v>
      </c>
      <c r="F632" t="s">
        <v>7595</v>
      </c>
      <c r="G632" t="s">
        <v>7709</v>
      </c>
      <c r="H632" t="s">
        <v>7710</v>
      </c>
      <c r="I632" t="s">
        <v>6934</v>
      </c>
      <c r="J632" t="s">
        <v>7555</v>
      </c>
      <c r="K632" t="s">
        <v>7556</v>
      </c>
      <c r="L632" t="s">
        <v>7557</v>
      </c>
    </row>
    <row r="633" spans="1:12" x14ac:dyDescent="0.25">
      <c r="A633" t="s">
        <v>5766</v>
      </c>
      <c r="B633" t="s">
        <v>1840</v>
      </c>
      <c r="C633" s="1" t="s">
        <v>2100</v>
      </c>
      <c r="D633" s="1" t="s">
        <v>2100</v>
      </c>
      <c r="E633" t="s">
        <v>2101</v>
      </c>
      <c r="F633" t="s">
        <v>7606</v>
      </c>
      <c r="G633" t="s">
        <v>7711</v>
      </c>
      <c r="H633" t="s">
        <v>7712</v>
      </c>
      <c r="I633" t="s">
        <v>7549</v>
      </c>
      <c r="J633" t="s">
        <v>7555</v>
      </c>
      <c r="K633" t="s">
        <v>7556</v>
      </c>
      <c r="L633" t="s">
        <v>7557</v>
      </c>
    </row>
    <row r="634" spans="1:12" x14ac:dyDescent="0.25">
      <c r="A634" t="s">
        <v>5766</v>
      </c>
      <c r="B634" t="s">
        <v>1840</v>
      </c>
      <c r="C634" s="1" t="s">
        <v>2103</v>
      </c>
      <c r="D634" s="1" t="s">
        <v>2103</v>
      </c>
      <c r="E634" t="s">
        <v>2104</v>
      </c>
      <c r="F634" t="s">
        <v>6948</v>
      </c>
      <c r="G634" t="s">
        <v>7713</v>
      </c>
      <c r="H634" t="s">
        <v>7714</v>
      </c>
      <c r="I634" t="s">
        <v>7093</v>
      </c>
      <c r="J634" t="s">
        <v>7555</v>
      </c>
      <c r="K634" t="s">
        <v>7556</v>
      </c>
      <c r="L634" t="s">
        <v>7557</v>
      </c>
    </row>
    <row r="635" spans="1:12" x14ac:dyDescent="0.25">
      <c r="A635" t="s">
        <v>5766</v>
      </c>
      <c r="B635" t="s">
        <v>1840</v>
      </c>
      <c r="C635" s="1" t="s">
        <v>2106</v>
      </c>
      <c r="D635" s="1" t="s">
        <v>2106</v>
      </c>
      <c r="E635" t="s">
        <v>2108</v>
      </c>
      <c r="F635" t="s">
        <v>6962</v>
      </c>
      <c r="G635" t="s">
        <v>7715</v>
      </c>
      <c r="H635" t="s">
        <v>7716</v>
      </c>
      <c r="I635" t="s">
        <v>6192</v>
      </c>
      <c r="J635" t="s">
        <v>7555</v>
      </c>
      <c r="K635" t="s">
        <v>7556</v>
      </c>
      <c r="L635" t="s">
        <v>7557</v>
      </c>
    </row>
    <row r="636" spans="1:12" x14ac:dyDescent="0.25">
      <c r="A636" t="s">
        <v>5766</v>
      </c>
      <c r="B636" t="s">
        <v>1840</v>
      </c>
      <c r="C636" s="1" t="s">
        <v>2110</v>
      </c>
      <c r="D636" s="1" t="s">
        <v>2110</v>
      </c>
      <c r="E636" t="s">
        <v>2112</v>
      </c>
      <c r="F636" t="s">
        <v>7442</v>
      </c>
      <c r="G636" t="s">
        <v>7717</v>
      </c>
      <c r="H636" t="s">
        <v>7718</v>
      </c>
      <c r="I636" t="s">
        <v>6920</v>
      </c>
      <c r="J636" t="s">
        <v>7555</v>
      </c>
      <c r="K636" t="s">
        <v>7556</v>
      </c>
      <c r="L636" t="s">
        <v>7557</v>
      </c>
    </row>
    <row r="637" spans="1:12" x14ac:dyDescent="0.25">
      <c r="A637" t="s">
        <v>5766</v>
      </c>
      <c r="B637" t="s">
        <v>1840</v>
      </c>
      <c r="C637" s="1" t="s">
        <v>2114</v>
      </c>
      <c r="D637" s="1" t="s">
        <v>2114</v>
      </c>
      <c r="E637" t="s">
        <v>2116</v>
      </c>
      <c r="F637" t="s">
        <v>7693</v>
      </c>
      <c r="G637" t="s">
        <v>7719</v>
      </c>
      <c r="H637" t="s">
        <v>7720</v>
      </c>
      <c r="I637" t="s">
        <v>6311</v>
      </c>
      <c r="J637" t="s">
        <v>7555</v>
      </c>
      <c r="K637" t="s">
        <v>7556</v>
      </c>
      <c r="L637" t="s">
        <v>7557</v>
      </c>
    </row>
    <row r="638" spans="1:12" x14ac:dyDescent="0.25">
      <c r="A638" t="s">
        <v>5766</v>
      </c>
      <c r="B638" t="s">
        <v>1840</v>
      </c>
      <c r="C638" s="1" t="s">
        <v>2118</v>
      </c>
      <c r="D638" s="1" t="s">
        <v>2118</v>
      </c>
      <c r="E638" t="s">
        <v>2120</v>
      </c>
      <c r="F638" t="s">
        <v>7185</v>
      </c>
      <c r="G638" t="s">
        <v>7721</v>
      </c>
      <c r="H638" t="s">
        <v>7722</v>
      </c>
      <c r="I638" t="s">
        <v>6920</v>
      </c>
      <c r="J638" t="s">
        <v>7555</v>
      </c>
      <c r="K638" t="s">
        <v>7556</v>
      </c>
      <c r="L638" t="s">
        <v>7557</v>
      </c>
    </row>
    <row r="639" spans="1:12" x14ac:dyDescent="0.25">
      <c r="A639" t="s">
        <v>5766</v>
      </c>
      <c r="B639" t="s">
        <v>1840</v>
      </c>
      <c r="C639" s="1" t="s">
        <v>2122</v>
      </c>
      <c r="D639" s="1" t="s">
        <v>2122</v>
      </c>
      <c r="E639" t="s">
        <v>2124</v>
      </c>
      <c r="F639" t="s">
        <v>7552</v>
      </c>
      <c r="G639" t="s">
        <v>7723</v>
      </c>
      <c r="H639" t="s">
        <v>7724</v>
      </c>
      <c r="I639" t="s">
        <v>5816</v>
      </c>
      <c r="J639" t="s">
        <v>7555</v>
      </c>
      <c r="K639" t="s">
        <v>7556</v>
      </c>
      <c r="L639" t="s">
        <v>7557</v>
      </c>
    </row>
    <row r="640" spans="1:12" x14ac:dyDescent="0.25">
      <c r="A640" t="s">
        <v>5766</v>
      </c>
      <c r="B640" t="s">
        <v>1840</v>
      </c>
      <c r="C640" s="1" t="s">
        <v>2126</v>
      </c>
      <c r="D640" s="1" t="s">
        <v>2126</v>
      </c>
      <c r="E640" t="s">
        <v>2128</v>
      </c>
      <c r="F640" t="s">
        <v>7442</v>
      </c>
      <c r="G640" t="s">
        <v>7725</v>
      </c>
      <c r="H640" t="s">
        <v>7726</v>
      </c>
      <c r="I640" t="s">
        <v>7093</v>
      </c>
      <c r="J640" t="s">
        <v>7555</v>
      </c>
      <c r="K640" t="s">
        <v>7556</v>
      </c>
      <c r="L640" t="s">
        <v>7557</v>
      </c>
    </row>
    <row r="641" spans="1:12" x14ac:dyDescent="0.25">
      <c r="A641" t="s">
        <v>5766</v>
      </c>
      <c r="B641" t="s">
        <v>1840</v>
      </c>
      <c r="C641" s="1" t="s">
        <v>2130</v>
      </c>
      <c r="D641" s="1" t="s">
        <v>2130</v>
      </c>
      <c r="E641" t="s">
        <v>2132</v>
      </c>
      <c r="F641" t="s">
        <v>7185</v>
      </c>
      <c r="G641" t="s">
        <v>7727</v>
      </c>
      <c r="H641" t="s">
        <v>7728</v>
      </c>
      <c r="I641" t="s">
        <v>7093</v>
      </c>
      <c r="J641" t="s">
        <v>7555</v>
      </c>
      <c r="K641" t="s">
        <v>7556</v>
      </c>
      <c r="L641" t="s">
        <v>7557</v>
      </c>
    </row>
    <row r="642" spans="1:12" x14ac:dyDescent="0.25">
      <c r="A642" t="s">
        <v>5766</v>
      </c>
      <c r="B642" t="s">
        <v>1840</v>
      </c>
      <c r="C642" s="1" t="s">
        <v>2134</v>
      </c>
      <c r="D642" s="1" t="s">
        <v>2134</v>
      </c>
      <c r="E642" t="s">
        <v>2136</v>
      </c>
      <c r="F642" t="s">
        <v>7348</v>
      </c>
      <c r="G642" t="s">
        <v>7729</v>
      </c>
      <c r="H642" t="s">
        <v>7730</v>
      </c>
      <c r="I642" t="s">
        <v>7678</v>
      </c>
      <c r="J642" t="s">
        <v>7555</v>
      </c>
      <c r="K642" t="s">
        <v>7556</v>
      </c>
      <c r="L642" t="s">
        <v>7557</v>
      </c>
    </row>
    <row r="643" spans="1:12" x14ac:dyDescent="0.25">
      <c r="A643" t="s">
        <v>5766</v>
      </c>
      <c r="B643" t="s">
        <v>1840</v>
      </c>
      <c r="C643" s="1" t="s">
        <v>2138</v>
      </c>
      <c r="D643" s="1" t="s">
        <v>2138</v>
      </c>
      <c r="E643" t="s">
        <v>2140</v>
      </c>
      <c r="F643" t="s">
        <v>7185</v>
      </c>
      <c r="G643" t="s">
        <v>7731</v>
      </c>
      <c r="H643" t="s">
        <v>7732</v>
      </c>
      <c r="I643" t="s">
        <v>6045</v>
      </c>
      <c r="J643" t="s">
        <v>7555</v>
      </c>
      <c r="K643" t="s">
        <v>7556</v>
      </c>
      <c r="L643" t="s">
        <v>7557</v>
      </c>
    </row>
    <row r="644" spans="1:12" x14ac:dyDescent="0.25">
      <c r="A644" t="s">
        <v>5766</v>
      </c>
      <c r="B644" t="s">
        <v>1840</v>
      </c>
      <c r="C644" s="1" t="s">
        <v>2142</v>
      </c>
      <c r="D644" s="1" t="s">
        <v>2142</v>
      </c>
      <c r="E644" t="s">
        <v>2144</v>
      </c>
      <c r="F644" t="s">
        <v>7185</v>
      </c>
      <c r="G644" t="s">
        <v>7733</v>
      </c>
      <c r="H644" t="s">
        <v>7734</v>
      </c>
      <c r="I644" t="s">
        <v>6045</v>
      </c>
      <c r="J644" t="s">
        <v>7555</v>
      </c>
      <c r="K644" t="s">
        <v>7556</v>
      </c>
      <c r="L644" t="s">
        <v>7557</v>
      </c>
    </row>
    <row r="645" spans="1:12" x14ac:dyDescent="0.25">
      <c r="A645" t="s">
        <v>5766</v>
      </c>
      <c r="B645" t="s">
        <v>1840</v>
      </c>
      <c r="C645" s="1" t="s">
        <v>2146</v>
      </c>
      <c r="D645" s="1" t="s">
        <v>2146</v>
      </c>
      <c r="E645" t="s">
        <v>2148</v>
      </c>
      <c r="F645" t="s">
        <v>7442</v>
      </c>
      <c r="G645" t="s">
        <v>7735</v>
      </c>
      <c r="H645" t="s">
        <v>7736</v>
      </c>
      <c r="I645" t="s">
        <v>6920</v>
      </c>
      <c r="J645" t="s">
        <v>7555</v>
      </c>
      <c r="K645" t="s">
        <v>7556</v>
      </c>
      <c r="L645" t="s">
        <v>7557</v>
      </c>
    </row>
    <row r="646" spans="1:12" x14ac:dyDescent="0.25">
      <c r="A646" t="s">
        <v>5766</v>
      </c>
      <c r="B646" t="s">
        <v>1840</v>
      </c>
      <c r="C646" s="1" t="s">
        <v>2150</v>
      </c>
      <c r="D646" s="1" t="s">
        <v>2150</v>
      </c>
      <c r="E646" t="s">
        <v>2151</v>
      </c>
      <c r="F646" t="s">
        <v>7595</v>
      </c>
      <c r="G646" t="s">
        <v>7737</v>
      </c>
      <c r="H646" t="s">
        <v>7738</v>
      </c>
      <c r="I646" t="s">
        <v>7028</v>
      </c>
      <c r="J646" t="s">
        <v>7555</v>
      </c>
      <c r="K646" t="s">
        <v>7556</v>
      </c>
      <c r="L646" t="s">
        <v>7557</v>
      </c>
    </row>
    <row r="647" spans="1:12" x14ac:dyDescent="0.25">
      <c r="A647" t="s">
        <v>5766</v>
      </c>
      <c r="B647" t="s">
        <v>1840</v>
      </c>
      <c r="C647" s="1" t="s">
        <v>2153</v>
      </c>
      <c r="D647" s="1" t="s">
        <v>2153</v>
      </c>
      <c r="E647" t="s">
        <v>2155</v>
      </c>
      <c r="F647" t="s">
        <v>7442</v>
      </c>
      <c r="G647" t="s">
        <v>7739</v>
      </c>
      <c r="H647" t="s">
        <v>7740</v>
      </c>
      <c r="I647" t="s">
        <v>7093</v>
      </c>
      <c r="J647" t="s">
        <v>7555</v>
      </c>
      <c r="K647" t="s">
        <v>7556</v>
      </c>
      <c r="L647" t="s">
        <v>7557</v>
      </c>
    </row>
    <row r="648" spans="1:12" x14ac:dyDescent="0.25">
      <c r="A648" t="s">
        <v>5766</v>
      </c>
      <c r="B648" t="s">
        <v>1840</v>
      </c>
      <c r="C648" s="1" t="s">
        <v>2157</v>
      </c>
      <c r="D648" s="1" t="s">
        <v>2157</v>
      </c>
      <c r="E648" t="s">
        <v>2158</v>
      </c>
      <c r="F648" t="s">
        <v>7185</v>
      </c>
      <c r="G648" t="s">
        <v>7741</v>
      </c>
      <c r="H648" t="s">
        <v>7742</v>
      </c>
      <c r="I648" t="s">
        <v>6920</v>
      </c>
      <c r="J648" t="s">
        <v>7555</v>
      </c>
      <c r="K648" t="s">
        <v>7556</v>
      </c>
      <c r="L648" t="s">
        <v>7557</v>
      </c>
    </row>
    <row r="649" spans="1:12" x14ac:dyDescent="0.25">
      <c r="A649" t="s">
        <v>5766</v>
      </c>
      <c r="B649" t="s">
        <v>1840</v>
      </c>
      <c r="C649" s="1" t="s">
        <v>2160</v>
      </c>
      <c r="D649" s="1" t="s">
        <v>2160</v>
      </c>
      <c r="E649" t="s">
        <v>2162</v>
      </c>
      <c r="F649" t="s">
        <v>6917</v>
      </c>
      <c r="G649" t="s">
        <v>7743</v>
      </c>
      <c r="H649" t="s">
        <v>7744</v>
      </c>
      <c r="I649" t="s">
        <v>6903</v>
      </c>
      <c r="J649" t="s">
        <v>7555</v>
      </c>
      <c r="K649" t="s">
        <v>7556</v>
      </c>
      <c r="L649" t="s">
        <v>7557</v>
      </c>
    </row>
    <row r="650" spans="1:12" x14ac:dyDescent="0.25">
      <c r="A650" t="s">
        <v>5766</v>
      </c>
      <c r="B650" t="s">
        <v>1840</v>
      </c>
      <c r="C650" s="1" t="s">
        <v>2164</v>
      </c>
      <c r="D650" s="1" t="s">
        <v>2164</v>
      </c>
      <c r="E650" t="s">
        <v>2166</v>
      </c>
      <c r="F650" t="s">
        <v>7442</v>
      </c>
      <c r="G650" t="s">
        <v>7745</v>
      </c>
      <c r="H650" t="s">
        <v>7746</v>
      </c>
      <c r="I650" t="s">
        <v>6920</v>
      </c>
      <c r="J650" t="s">
        <v>7555</v>
      </c>
      <c r="K650" t="s">
        <v>7556</v>
      </c>
      <c r="L650" t="s">
        <v>7557</v>
      </c>
    </row>
    <row r="651" spans="1:12" x14ac:dyDescent="0.25">
      <c r="A651" t="s">
        <v>5766</v>
      </c>
      <c r="B651" t="s">
        <v>1840</v>
      </c>
      <c r="C651" s="1" t="s">
        <v>2168</v>
      </c>
      <c r="D651" s="1" t="s">
        <v>2168</v>
      </c>
      <c r="E651" t="s">
        <v>2170</v>
      </c>
      <c r="F651" t="s">
        <v>7442</v>
      </c>
      <c r="G651" t="s">
        <v>7747</v>
      </c>
      <c r="H651" t="s">
        <v>7748</v>
      </c>
      <c r="I651" t="s">
        <v>6920</v>
      </c>
      <c r="J651" t="s">
        <v>7555</v>
      </c>
      <c r="K651" t="s">
        <v>7556</v>
      </c>
      <c r="L651" t="s">
        <v>7557</v>
      </c>
    </row>
    <row r="652" spans="1:12" x14ac:dyDescent="0.25">
      <c r="A652" t="s">
        <v>5766</v>
      </c>
      <c r="B652" t="s">
        <v>1840</v>
      </c>
      <c r="C652" s="1" t="s">
        <v>2172</v>
      </c>
      <c r="D652" s="1" t="s">
        <v>2172</v>
      </c>
      <c r="E652" t="s">
        <v>2174</v>
      </c>
      <c r="F652" t="s">
        <v>7442</v>
      </c>
      <c r="G652" t="s">
        <v>7749</v>
      </c>
      <c r="H652" t="s">
        <v>7750</v>
      </c>
      <c r="I652" t="s">
        <v>7093</v>
      </c>
      <c r="J652" t="s">
        <v>7555</v>
      </c>
      <c r="K652" t="s">
        <v>7556</v>
      </c>
      <c r="L652" t="s">
        <v>7557</v>
      </c>
    </row>
    <row r="653" spans="1:12" x14ac:dyDescent="0.25">
      <c r="A653" t="s">
        <v>5766</v>
      </c>
      <c r="B653" t="s">
        <v>1840</v>
      </c>
      <c r="C653" s="1" t="s">
        <v>2176</v>
      </c>
      <c r="D653" s="1" t="s">
        <v>2176</v>
      </c>
      <c r="E653" t="s">
        <v>2178</v>
      </c>
      <c r="F653" t="s">
        <v>7442</v>
      </c>
      <c r="G653" t="s">
        <v>7751</v>
      </c>
      <c r="H653" t="s">
        <v>7752</v>
      </c>
      <c r="I653" t="s">
        <v>6920</v>
      </c>
      <c r="J653" t="s">
        <v>7555</v>
      </c>
      <c r="K653" t="s">
        <v>7556</v>
      </c>
      <c r="L653" t="s">
        <v>7557</v>
      </c>
    </row>
    <row r="654" spans="1:12" x14ac:dyDescent="0.25">
      <c r="A654" t="s">
        <v>5766</v>
      </c>
      <c r="B654" t="s">
        <v>1840</v>
      </c>
      <c r="C654" s="1" t="s">
        <v>2180</v>
      </c>
      <c r="D654" s="1" t="s">
        <v>2180</v>
      </c>
      <c r="E654" t="s">
        <v>2182</v>
      </c>
      <c r="F654" t="s">
        <v>7185</v>
      </c>
      <c r="G654" t="s">
        <v>7753</v>
      </c>
      <c r="H654" t="s">
        <v>7754</v>
      </c>
      <c r="I654" t="s">
        <v>6045</v>
      </c>
      <c r="J654" t="s">
        <v>7555</v>
      </c>
      <c r="K654" t="s">
        <v>7556</v>
      </c>
      <c r="L654" t="s">
        <v>7557</v>
      </c>
    </row>
    <row r="655" spans="1:12" x14ac:dyDescent="0.25">
      <c r="A655" t="s">
        <v>5766</v>
      </c>
      <c r="B655" t="s">
        <v>1840</v>
      </c>
      <c r="C655" s="1" t="s">
        <v>2184</v>
      </c>
      <c r="D655" s="1" t="s">
        <v>2184</v>
      </c>
      <c r="E655" t="s">
        <v>2186</v>
      </c>
      <c r="F655" t="s">
        <v>7348</v>
      </c>
      <c r="G655" t="s">
        <v>7755</v>
      </c>
      <c r="H655" t="s">
        <v>7756</v>
      </c>
      <c r="I655" t="s">
        <v>7256</v>
      </c>
      <c r="J655" t="s">
        <v>7555</v>
      </c>
      <c r="K655" t="s">
        <v>7556</v>
      </c>
      <c r="L655" t="s">
        <v>7557</v>
      </c>
    </row>
    <row r="656" spans="1:12" x14ac:dyDescent="0.25">
      <c r="A656" t="s">
        <v>5766</v>
      </c>
      <c r="B656" t="s">
        <v>1840</v>
      </c>
      <c r="C656" s="1" t="s">
        <v>2188</v>
      </c>
      <c r="D656" s="1" t="s">
        <v>2188</v>
      </c>
      <c r="E656" t="s">
        <v>2190</v>
      </c>
      <c r="F656" t="s">
        <v>7757</v>
      </c>
      <c r="G656" t="s">
        <v>7758</v>
      </c>
      <c r="H656" t="s">
        <v>7759</v>
      </c>
      <c r="I656" t="s">
        <v>7760</v>
      </c>
      <c r="J656" t="s">
        <v>7555</v>
      </c>
      <c r="K656" t="s">
        <v>7556</v>
      </c>
      <c r="L656" t="s">
        <v>7557</v>
      </c>
    </row>
    <row r="657" spans="1:12" x14ac:dyDescent="0.25">
      <c r="A657" t="s">
        <v>5766</v>
      </c>
      <c r="B657" t="s">
        <v>1840</v>
      </c>
      <c r="C657" s="1" t="s">
        <v>2192</v>
      </c>
      <c r="D657" s="1" t="s">
        <v>2192</v>
      </c>
      <c r="E657" t="s">
        <v>2194</v>
      </c>
      <c r="F657" t="s">
        <v>7442</v>
      </c>
      <c r="G657" t="s">
        <v>7761</v>
      </c>
      <c r="H657" t="s">
        <v>7762</v>
      </c>
      <c r="I657" t="s">
        <v>7003</v>
      </c>
      <c r="J657" t="s">
        <v>7555</v>
      </c>
      <c r="K657" t="s">
        <v>7556</v>
      </c>
      <c r="L657" t="s">
        <v>7557</v>
      </c>
    </row>
    <row r="658" spans="1:12" x14ac:dyDescent="0.25">
      <c r="A658" t="s">
        <v>5766</v>
      </c>
      <c r="B658" t="s">
        <v>1840</v>
      </c>
      <c r="C658" s="1" t="s">
        <v>2196</v>
      </c>
      <c r="D658" s="1" t="s">
        <v>2196</v>
      </c>
      <c r="E658" t="s">
        <v>2197</v>
      </c>
      <c r="F658" t="s">
        <v>7586</v>
      </c>
      <c r="G658" t="s">
        <v>7763</v>
      </c>
      <c r="H658" t="s">
        <v>7764</v>
      </c>
      <c r="I658" t="s">
        <v>6165</v>
      </c>
      <c r="J658" t="s">
        <v>7555</v>
      </c>
      <c r="K658" t="s">
        <v>7556</v>
      </c>
      <c r="L658" t="s">
        <v>7557</v>
      </c>
    </row>
    <row r="659" spans="1:12" x14ac:dyDescent="0.25">
      <c r="A659" t="s">
        <v>5766</v>
      </c>
      <c r="B659" t="s">
        <v>1840</v>
      </c>
      <c r="C659" s="1" t="s">
        <v>2199</v>
      </c>
      <c r="D659" s="1" t="s">
        <v>2199</v>
      </c>
      <c r="E659" t="s">
        <v>2201</v>
      </c>
      <c r="F659" t="s">
        <v>7635</v>
      </c>
      <c r="G659" t="s">
        <v>7765</v>
      </c>
      <c r="H659" t="s">
        <v>7766</v>
      </c>
      <c r="I659" t="s">
        <v>6909</v>
      </c>
      <c r="J659" t="s">
        <v>7555</v>
      </c>
      <c r="K659" t="s">
        <v>7556</v>
      </c>
      <c r="L659" t="s">
        <v>7557</v>
      </c>
    </row>
    <row r="660" spans="1:12" x14ac:dyDescent="0.25">
      <c r="A660" t="s">
        <v>5766</v>
      </c>
      <c r="B660" t="s">
        <v>1840</v>
      </c>
      <c r="C660" s="1" t="s">
        <v>2203</v>
      </c>
      <c r="D660" s="1" t="s">
        <v>2203</v>
      </c>
      <c r="E660" t="s">
        <v>2205</v>
      </c>
      <c r="F660" t="s">
        <v>7642</v>
      </c>
      <c r="G660" t="s">
        <v>7767</v>
      </c>
      <c r="H660" t="s">
        <v>7768</v>
      </c>
      <c r="I660" t="s">
        <v>7256</v>
      </c>
      <c r="J660" t="s">
        <v>7555</v>
      </c>
      <c r="K660" t="s">
        <v>7556</v>
      </c>
      <c r="L660" t="s">
        <v>7557</v>
      </c>
    </row>
    <row r="661" spans="1:12" x14ac:dyDescent="0.25">
      <c r="A661" t="s">
        <v>5766</v>
      </c>
      <c r="B661" t="s">
        <v>1840</v>
      </c>
      <c r="C661" s="1" t="s">
        <v>2207</v>
      </c>
      <c r="D661" s="1" t="s">
        <v>2207</v>
      </c>
      <c r="E661" t="s">
        <v>2209</v>
      </c>
      <c r="F661" t="s">
        <v>7442</v>
      </c>
      <c r="G661" t="s">
        <v>7769</v>
      </c>
      <c r="H661" t="s">
        <v>7770</v>
      </c>
      <c r="I661" t="s">
        <v>6920</v>
      </c>
      <c r="J661" t="s">
        <v>7555</v>
      </c>
      <c r="K661" t="s">
        <v>7556</v>
      </c>
      <c r="L661" t="s">
        <v>7557</v>
      </c>
    </row>
    <row r="662" spans="1:12" x14ac:dyDescent="0.25">
      <c r="A662" t="s">
        <v>5766</v>
      </c>
      <c r="B662" t="s">
        <v>1840</v>
      </c>
      <c r="C662" s="1" t="s">
        <v>2211</v>
      </c>
      <c r="D662" s="1" t="s">
        <v>2211</v>
      </c>
      <c r="E662" t="s">
        <v>2213</v>
      </c>
      <c r="F662" t="s">
        <v>7606</v>
      </c>
      <c r="G662" t="s">
        <v>7771</v>
      </c>
      <c r="H662" t="s">
        <v>7772</v>
      </c>
      <c r="I662" t="s">
        <v>7549</v>
      </c>
      <c r="J662" t="s">
        <v>7555</v>
      </c>
      <c r="K662" t="s">
        <v>7556</v>
      </c>
      <c r="L662" t="s">
        <v>7557</v>
      </c>
    </row>
    <row r="663" spans="1:12" x14ac:dyDescent="0.25">
      <c r="A663" t="s">
        <v>5766</v>
      </c>
      <c r="B663" t="s">
        <v>1840</v>
      </c>
      <c r="C663" s="1" t="s">
        <v>2215</v>
      </c>
      <c r="D663" s="1" t="s">
        <v>2215</v>
      </c>
      <c r="E663" t="s">
        <v>2217</v>
      </c>
      <c r="F663" t="s">
        <v>7635</v>
      </c>
      <c r="G663" t="s">
        <v>7773</v>
      </c>
      <c r="H663" t="s">
        <v>7774</v>
      </c>
      <c r="I663" t="s">
        <v>6909</v>
      </c>
      <c r="J663" t="s">
        <v>7555</v>
      </c>
      <c r="K663" t="s">
        <v>7556</v>
      </c>
      <c r="L663" t="s">
        <v>7557</v>
      </c>
    </row>
    <row r="664" spans="1:12" x14ac:dyDescent="0.25">
      <c r="A664" t="s">
        <v>5766</v>
      </c>
      <c r="B664" t="s">
        <v>1840</v>
      </c>
      <c r="C664" s="1" t="s">
        <v>2219</v>
      </c>
      <c r="D664" s="1" t="s">
        <v>2219</v>
      </c>
      <c r="E664" t="s">
        <v>2221</v>
      </c>
      <c r="F664" t="s">
        <v>6959</v>
      </c>
      <c r="G664" t="s">
        <v>7775</v>
      </c>
      <c r="H664" t="s">
        <v>7776</v>
      </c>
      <c r="I664" t="s">
        <v>6045</v>
      </c>
      <c r="J664" t="s">
        <v>7555</v>
      </c>
      <c r="K664" t="s">
        <v>7556</v>
      </c>
      <c r="L664" t="s">
        <v>7557</v>
      </c>
    </row>
    <row r="665" spans="1:12" x14ac:dyDescent="0.25">
      <c r="A665" t="s">
        <v>5766</v>
      </c>
      <c r="B665" t="s">
        <v>1840</v>
      </c>
      <c r="C665" s="1" t="s">
        <v>2223</v>
      </c>
      <c r="D665" s="1" t="s">
        <v>2223</v>
      </c>
      <c r="E665" t="s">
        <v>2225</v>
      </c>
      <c r="F665" t="s">
        <v>7185</v>
      </c>
      <c r="G665" t="s">
        <v>7777</v>
      </c>
      <c r="H665" t="s">
        <v>7778</v>
      </c>
      <c r="I665" t="s">
        <v>6045</v>
      </c>
      <c r="J665" t="s">
        <v>7555</v>
      </c>
      <c r="K665" t="s">
        <v>7556</v>
      </c>
      <c r="L665" t="s">
        <v>7557</v>
      </c>
    </row>
    <row r="666" spans="1:12" x14ac:dyDescent="0.25">
      <c r="A666" t="s">
        <v>5766</v>
      </c>
      <c r="B666" t="s">
        <v>1840</v>
      </c>
      <c r="C666" s="1" t="s">
        <v>2227</v>
      </c>
      <c r="D666" s="1" t="s">
        <v>2227</v>
      </c>
      <c r="E666" t="s">
        <v>2229</v>
      </c>
      <c r="F666" t="s">
        <v>7185</v>
      </c>
      <c r="G666" t="s">
        <v>7779</v>
      </c>
      <c r="H666" t="s">
        <v>7780</v>
      </c>
      <c r="I666" t="s">
        <v>6920</v>
      </c>
      <c r="J666" t="s">
        <v>7555</v>
      </c>
      <c r="K666" t="s">
        <v>7556</v>
      </c>
      <c r="L666" t="s">
        <v>7557</v>
      </c>
    </row>
    <row r="667" spans="1:12" x14ac:dyDescent="0.25">
      <c r="A667" t="s">
        <v>5766</v>
      </c>
      <c r="B667" t="s">
        <v>1840</v>
      </c>
      <c r="C667" s="1" t="s">
        <v>2231</v>
      </c>
      <c r="D667" s="1" t="s">
        <v>2231</v>
      </c>
      <c r="E667" t="s">
        <v>2233</v>
      </c>
      <c r="F667" t="s">
        <v>7442</v>
      </c>
      <c r="G667" t="s">
        <v>7781</v>
      </c>
      <c r="H667" t="s">
        <v>7782</v>
      </c>
      <c r="I667" t="s">
        <v>7093</v>
      </c>
      <c r="J667" t="s">
        <v>7555</v>
      </c>
      <c r="K667" t="s">
        <v>7556</v>
      </c>
      <c r="L667" t="s">
        <v>7557</v>
      </c>
    </row>
    <row r="668" spans="1:12" x14ac:dyDescent="0.25">
      <c r="A668" t="s">
        <v>5766</v>
      </c>
      <c r="B668" t="s">
        <v>1840</v>
      </c>
      <c r="C668" s="1" t="s">
        <v>2235</v>
      </c>
      <c r="D668" s="1" t="s">
        <v>2235</v>
      </c>
      <c r="E668" t="s">
        <v>2236</v>
      </c>
      <c r="F668" t="s">
        <v>7442</v>
      </c>
      <c r="G668" t="s">
        <v>7783</v>
      </c>
      <c r="H668" t="s">
        <v>7784</v>
      </c>
      <c r="I668" t="s">
        <v>6920</v>
      </c>
      <c r="J668" t="s">
        <v>7555</v>
      </c>
      <c r="K668" t="s">
        <v>7556</v>
      </c>
      <c r="L668" t="s">
        <v>7557</v>
      </c>
    </row>
    <row r="669" spans="1:12" x14ac:dyDescent="0.25">
      <c r="A669" t="s">
        <v>5766</v>
      </c>
      <c r="B669" t="s">
        <v>1840</v>
      </c>
      <c r="C669" s="1" t="s">
        <v>2238</v>
      </c>
      <c r="D669" s="1" t="s">
        <v>2238</v>
      </c>
      <c r="E669" t="s">
        <v>2240</v>
      </c>
      <c r="F669" t="s">
        <v>7442</v>
      </c>
      <c r="G669" t="s">
        <v>7785</v>
      </c>
      <c r="H669" t="s">
        <v>7786</v>
      </c>
      <c r="I669" t="s">
        <v>6920</v>
      </c>
      <c r="J669" t="s">
        <v>7555</v>
      </c>
      <c r="K669" t="s">
        <v>7556</v>
      </c>
      <c r="L669" t="s">
        <v>7557</v>
      </c>
    </row>
    <row r="670" spans="1:12" x14ac:dyDescent="0.25">
      <c r="A670" t="s">
        <v>5766</v>
      </c>
      <c r="B670" t="s">
        <v>1840</v>
      </c>
      <c r="C670" s="1" t="s">
        <v>2242</v>
      </c>
      <c r="D670" s="1" t="s">
        <v>2242</v>
      </c>
      <c r="E670" t="s">
        <v>2244</v>
      </c>
      <c r="F670" t="s">
        <v>7185</v>
      </c>
      <c r="G670" t="s">
        <v>7787</v>
      </c>
      <c r="H670" t="s">
        <v>7788</v>
      </c>
      <c r="I670" t="s">
        <v>7093</v>
      </c>
      <c r="J670" t="s">
        <v>7555</v>
      </c>
      <c r="K670" t="s">
        <v>7556</v>
      </c>
      <c r="L670" t="s">
        <v>7557</v>
      </c>
    </row>
    <row r="671" spans="1:12" x14ac:dyDescent="0.25">
      <c r="A671" t="s">
        <v>5766</v>
      </c>
      <c r="B671" t="s">
        <v>1840</v>
      </c>
      <c r="C671" s="1" t="s">
        <v>2246</v>
      </c>
      <c r="D671" s="1" t="s">
        <v>2246</v>
      </c>
      <c r="E671" t="s">
        <v>2248</v>
      </c>
      <c r="F671" t="s">
        <v>7789</v>
      </c>
      <c r="G671" t="s">
        <v>7790</v>
      </c>
      <c r="H671" t="s">
        <v>7791</v>
      </c>
      <c r="I671" t="s">
        <v>6226</v>
      </c>
      <c r="J671" t="s">
        <v>7555</v>
      </c>
      <c r="K671" t="s">
        <v>7556</v>
      </c>
      <c r="L671" t="s">
        <v>7557</v>
      </c>
    </row>
    <row r="672" spans="1:12" x14ac:dyDescent="0.25">
      <c r="A672" t="s">
        <v>5766</v>
      </c>
      <c r="B672" t="s">
        <v>1840</v>
      </c>
      <c r="C672" s="1" t="s">
        <v>2250</v>
      </c>
      <c r="D672" s="1" t="s">
        <v>2250</v>
      </c>
      <c r="E672" t="s">
        <v>2252</v>
      </c>
      <c r="F672" t="s">
        <v>7442</v>
      </c>
      <c r="G672" t="s">
        <v>7792</v>
      </c>
      <c r="H672" t="s">
        <v>7793</v>
      </c>
      <c r="I672" t="s">
        <v>6920</v>
      </c>
      <c r="J672" t="s">
        <v>7555</v>
      </c>
      <c r="K672" t="s">
        <v>7556</v>
      </c>
      <c r="L672" t="s">
        <v>7557</v>
      </c>
    </row>
    <row r="673" spans="1:12" x14ac:dyDescent="0.25">
      <c r="A673" t="s">
        <v>5766</v>
      </c>
      <c r="B673" t="s">
        <v>1840</v>
      </c>
      <c r="C673" s="1" t="s">
        <v>2254</v>
      </c>
      <c r="D673" s="1" t="s">
        <v>2254</v>
      </c>
      <c r="E673" t="s">
        <v>2256</v>
      </c>
      <c r="F673" t="s">
        <v>7693</v>
      </c>
      <c r="G673" t="s">
        <v>7794</v>
      </c>
      <c r="H673" t="s">
        <v>7795</v>
      </c>
      <c r="I673" t="s">
        <v>6311</v>
      </c>
      <c r="J673" t="s">
        <v>7555</v>
      </c>
      <c r="K673" t="s">
        <v>7556</v>
      </c>
      <c r="L673" t="s">
        <v>7557</v>
      </c>
    </row>
    <row r="674" spans="1:12" x14ac:dyDescent="0.25">
      <c r="A674" t="s">
        <v>5766</v>
      </c>
      <c r="B674" t="s">
        <v>1840</v>
      </c>
      <c r="C674" s="1" t="s">
        <v>2258</v>
      </c>
      <c r="D674" s="1" t="s">
        <v>2258</v>
      </c>
      <c r="E674" t="s">
        <v>2259</v>
      </c>
      <c r="F674" t="s">
        <v>7442</v>
      </c>
      <c r="G674" t="s">
        <v>7796</v>
      </c>
      <c r="H674" t="s">
        <v>7797</v>
      </c>
      <c r="I674" t="s">
        <v>6920</v>
      </c>
      <c r="J674" t="s">
        <v>7555</v>
      </c>
      <c r="K674" t="s">
        <v>7556</v>
      </c>
      <c r="L674" t="s">
        <v>7557</v>
      </c>
    </row>
    <row r="675" spans="1:12" x14ac:dyDescent="0.25">
      <c r="A675" t="s">
        <v>5766</v>
      </c>
      <c r="B675" t="s">
        <v>1840</v>
      </c>
      <c r="C675" s="1" t="s">
        <v>2261</v>
      </c>
      <c r="D675" s="1" t="s">
        <v>2261</v>
      </c>
      <c r="E675" t="s">
        <v>2262</v>
      </c>
      <c r="F675" t="s">
        <v>7041</v>
      </c>
      <c r="G675" t="s">
        <v>7798</v>
      </c>
      <c r="H675" t="s">
        <v>7799</v>
      </c>
      <c r="I675" t="s">
        <v>7093</v>
      </c>
      <c r="J675" t="s">
        <v>7555</v>
      </c>
      <c r="K675" t="s">
        <v>7556</v>
      </c>
      <c r="L675" t="s">
        <v>7557</v>
      </c>
    </row>
    <row r="676" spans="1:12" x14ac:dyDescent="0.25">
      <c r="A676" t="s">
        <v>5766</v>
      </c>
      <c r="B676" t="s">
        <v>1840</v>
      </c>
      <c r="C676" s="1" t="s">
        <v>2264</v>
      </c>
      <c r="D676" s="1" t="s">
        <v>2264</v>
      </c>
      <c r="E676" t="s">
        <v>2266</v>
      </c>
      <c r="F676" t="s">
        <v>7635</v>
      </c>
      <c r="G676" t="s">
        <v>7800</v>
      </c>
      <c r="H676" t="s">
        <v>7801</v>
      </c>
      <c r="I676" t="s">
        <v>6909</v>
      </c>
      <c r="J676" t="s">
        <v>7555</v>
      </c>
      <c r="K676" t="s">
        <v>7556</v>
      </c>
      <c r="L676" t="s">
        <v>7557</v>
      </c>
    </row>
    <row r="677" spans="1:12" x14ac:dyDescent="0.25">
      <c r="A677" t="s">
        <v>5766</v>
      </c>
      <c r="B677" t="s">
        <v>1840</v>
      </c>
      <c r="C677" s="1" t="s">
        <v>2268</v>
      </c>
      <c r="D677" s="1" t="s">
        <v>2268</v>
      </c>
      <c r="E677" t="s">
        <v>2270</v>
      </c>
      <c r="F677" t="s">
        <v>6948</v>
      </c>
      <c r="G677" t="s">
        <v>7802</v>
      </c>
      <c r="H677" t="s">
        <v>7803</v>
      </c>
      <c r="I677" t="s">
        <v>6920</v>
      </c>
      <c r="J677" t="s">
        <v>7555</v>
      </c>
      <c r="K677" t="s">
        <v>7556</v>
      </c>
      <c r="L677" t="s">
        <v>7557</v>
      </c>
    </row>
    <row r="678" spans="1:12" x14ac:dyDescent="0.25">
      <c r="A678" t="s">
        <v>5766</v>
      </c>
      <c r="B678" t="s">
        <v>1840</v>
      </c>
      <c r="C678" s="1" t="s">
        <v>2272</v>
      </c>
      <c r="D678" s="1" t="s">
        <v>2272</v>
      </c>
      <c r="E678" t="s">
        <v>2274</v>
      </c>
      <c r="F678" t="s">
        <v>7595</v>
      </c>
      <c r="G678" t="s">
        <v>7804</v>
      </c>
      <c r="H678" t="s">
        <v>7805</v>
      </c>
      <c r="I678" t="s">
        <v>6920</v>
      </c>
      <c r="J678" t="s">
        <v>7555</v>
      </c>
      <c r="K678" t="s">
        <v>7556</v>
      </c>
      <c r="L678" t="s">
        <v>7557</v>
      </c>
    </row>
    <row r="679" spans="1:12" x14ac:dyDescent="0.25">
      <c r="A679" t="s">
        <v>5766</v>
      </c>
      <c r="B679" t="s">
        <v>1840</v>
      </c>
      <c r="C679" s="1" t="s">
        <v>2276</v>
      </c>
      <c r="D679" s="1" t="s">
        <v>2276</v>
      </c>
      <c r="E679" t="s">
        <v>2278</v>
      </c>
      <c r="F679" t="s">
        <v>7606</v>
      </c>
      <c r="G679" t="s">
        <v>7806</v>
      </c>
      <c r="H679" t="s">
        <v>7807</v>
      </c>
      <c r="I679" t="s">
        <v>7609</v>
      </c>
      <c r="J679" t="s">
        <v>7555</v>
      </c>
      <c r="K679" t="s">
        <v>7556</v>
      </c>
      <c r="L679" t="s">
        <v>7557</v>
      </c>
    </row>
    <row r="680" spans="1:12" x14ac:dyDescent="0.25">
      <c r="A680" t="s">
        <v>5766</v>
      </c>
      <c r="B680" t="s">
        <v>1840</v>
      </c>
      <c r="C680" s="1" t="s">
        <v>2280</v>
      </c>
      <c r="D680" s="1" t="s">
        <v>2280</v>
      </c>
      <c r="E680" t="s">
        <v>2281</v>
      </c>
      <c r="F680" t="s">
        <v>7442</v>
      </c>
      <c r="G680" t="s">
        <v>7808</v>
      </c>
      <c r="H680" t="s">
        <v>7809</v>
      </c>
      <c r="I680" t="s">
        <v>6920</v>
      </c>
      <c r="J680" t="s">
        <v>7555</v>
      </c>
      <c r="K680" t="s">
        <v>7556</v>
      </c>
      <c r="L680" t="s">
        <v>7557</v>
      </c>
    </row>
    <row r="681" spans="1:12" x14ac:dyDescent="0.25">
      <c r="A681" t="s">
        <v>5766</v>
      </c>
      <c r="B681" t="s">
        <v>1840</v>
      </c>
      <c r="C681" s="1" t="s">
        <v>2283</v>
      </c>
      <c r="D681" s="1" t="s">
        <v>2283</v>
      </c>
      <c r="E681" t="s">
        <v>2285</v>
      </c>
      <c r="F681" t="s">
        <v>7442</v>
      </c>
      <c r="G681" t="s">
        <v>7810</v>
      </c>
      <c r="H681" t="s">
        <v>7811</v>
      </c>
      <c r="I681" t="s">
        <v>6920</v>
      </c>
      <c r="J681" t="s">
        <v>7555</v>
      </c>
      <c r="K681" t="s">
        <v>7556</v>
      </c>
      <c r="L681" t="s">
        <v>7557</v>
      </c>
    </row>
    <row r="682" spans="1:12" x14ac:dyDescent="0.25">
      <c r="A682" t="s">
        <v>5766</v>
      </c>
      <c r="B682" t="s">
        <v>1840</v>
      </c>
      <c r="C682" s="1" t="s">
        <v>2287</v>
      </c>
      <c r="D682" s="1" t="s">
        <v>2287</v>
      </c>
      <c r="E682" t="s">
        <v>2289</v>
      </c>
      <c r="F682" t="s">
        <v>7442</v>
      </c>
      <c r="G682" t="s">
        <v>7812</v>
      </c>
      <c r="H682" t="s">
        <v>7813</v>
      </c>
      <c r="I682" t="s">
        <v>6920</v>
      </c>
      <c r="J682" t="s">
        <v>7555</v>
      </c>
      <c r="K682" t="s">
        <v>7556</v>
      </c>
      <c r="L682" t="s">
        <v>7557</v>
      </c>
    </row>
    <row r="683" spans="1:12" x14ac:dyDescent="0.25">
      <c r="A683" t="s">
        <v>5766</v>
      </c>
      <c r="B683" t="s">
        <v>1840</v>
      </c>
      <c r="C683" s="1" t="s">
        <v>2291</v>
      </c>
      <c r="D683" s="1" t="s">
        <v>2291</v>
      </c>
      <c r="E683" t="s">
        <v>2293</v>
      </c>
      <c r="F683" t="s">
        <v>7185</v>
      </c>
      <c r="G683" t="s">
        <v>7814</v>
      </c>
      <c r="H683" t="s">
        <v>7815</v>
      </c>
      <c r="I683" t="s">
        <v>6920</v>
      </c>
      <c r="J683" t="s">
        <v>7555</v>
      </c>
      <c r="K683" t="s">
        <v>7556</v>
      </c>
      <c r="L683" t="s">
        <v>7557</v>
      </c>
    </row>
    <row r="684" spans="1:12" x14ac:dyDescent="0.25">
      <c r="A684" t="s">
        <v>5766</v>
      </c>
      <c r="B684" t="s">
        <v>1840</v>
      </c>
      <c r="C684" s="1" t="s">
        <v>2295</v>
      </c>
      <c r="D684" s="1" t="s">
        <v>2295</v>
      </c>
      <c r="E684" t="s">
        <v>2296</v>
      </c>
      <c r="F684" t="s">
        <v>7185</v>
      </c>
      <c r="G684" t="s">
        <v>7816</v>
      </c>
      <c r="H684" t="s">
        <v>7817</v>
      </c>
      <c r="I684" t="s">
        <v>7093</v>
      </c>
      <c r="J684" t="s">
        <v>7555</v>
      </c>
      <c r="K684" t="s">
        <v>7556</v>
      </c>
      <c r="L684" t="s">
        <v>7557</v>
      </c>
    </row>
    <row r="685" spans="1:12" x14ac:dyDescent="0.25">
      <c r="A685" t="s">
        <v>5766</v>
      </c>
      <c r="B685" t="s">
        <v>1840</v>
      </c>
      <c r="C685" s="1" t="s">
        <v>2298</v>
      </c>
      <c r="D685" s="1" t="s">
        <v>2298</v>
      </c>
      <c r="E685" t="s">
        <v>2300</v>
      </c>
      <c r="F685" t="s">
        <v>7442</v>
      </c>
      <c r="G685" t="s">
        <v>7818</v>
      </c>
      <c r="H685" t="s">
        <v>7819</v>
      </c>
      <c r="I685" t="s">
        <v>6920</v>
      </c>
      <c r="J685" t="s">
        <v>7555</v>
      </c>
      <c r="K685" t="s">
        <v>7556</v>
      </c>
      <c r="L685" t="s">
        <v>7557</v>
      </c>
    </row>
    <row r="686" spans="1:12" x14ac:dyDescent="0.25">
      <c r="A686" t="s">
        <v>5766</v>
      </c>
      <c r="B686" t="s">
        <v>1840</v>
      </c>
      <c r="C686" s="1" t="s">
        <v>2302</v>
      </c>
      <c r="D686" s="1" t="s">
        <v>2302</v>
      </c>
      <c r="E686" t="s">
        <v>2304</v>
      </c>
      <c r="F686" t="s">
        <v>7642</v>
      </c>
      <c r="G686" t="s">
        <v>7820</v>
      </c>
      <c r="H686" t="s">
        <v>7821</v>
      </c>
      <c r="I686" t="s">
        <v>7256</v>
      </c>
      <c r="J686" t="s">
        <v>7555</v>
      </c>
      <c r="K686" t="s">
        <v>7556</v>
      </c>
      <c r="L686" t="s">
        <v>7557</v>
      </c>
    </row>
    <row r="687" spans="1:12" x14ac:dyDescent="0.25">
      <c r="A687" t="s">
        <v>5766</v>
      </c>
      <c r="B687" t="s">
        <v>1840</v>
      </c>
      <c r="C687" s="1" t="s">
        <v>2306</v>
      </c>
      <c r="D687" s="1" t="s">
        <v>2306</v>
      </c>
      <c r="E687" t="s">
        <v>2308</v>
      </c>
      <c r="F687" t="s">
        <v>7348</v>
      </c>
      <c r="G687" t="s">
        <v>7822</v>
      </c>
      <c r="H687" t="s">
        <v>7823</v>
      </c>
      <c r="I687" t="s">
        <v>7332</v>
      </c>
      <c r="J687" t="s">
        <v>7555</v>
      </c>
      <c r="K687" t="s">
        <v>7556</v>
      </c>
      <c r="L687" t="s">
        <v>7557</v>
      </c>
    </row>
    <row r="688" spans="1:12" x14ac:dyDescent="0.25">
      <c r="A688" t="s">
        <v>5766</v>
      </c>
      <c r="B688" t="s">
        <v>1840</v>
      </c>
      <c r="C688" s="1" t="s">
        <v>2310</v>
      </c>
      <c r="D688" s="1" t="s">
        <v>2310</v>
      </c>
      <c r="E688" t="s">
        <v>2311</v>
      </c>
      <c r="F688" t="s">
        <v>7574</v>
      </c>
      <c r="G688" t="s">
        <v>7824</v>
      </c>
      <c r="H688" t="s">
        <v>7825</v>
      </c>
      <c r="I688" t="s">
        <v>7577</v>
      </c>
      <c r="J688" t="s">
        <v>7555</v>
      </c>
      <c r="K688" t="s">
        <v>7556</v>
      </c>
      <c r="L688" t="s">
        <v>7557</v>
      </c>
    </row>
    <row r="689" spans="1:12" x14ac:dyDescent="0.25">
      <c r="A689" t="s">
        <v>5766</v>
      </c>
      <c r="B689" t="s">
        <v>1840</v>
      </c>
      <c r="C689" s="1" t="s">
        <v>2313</v>
      </c>
      <c r="D689" s="1" t="s">
        <v>2313</v>
      </c>
      <c r="E689" t="s">
        <v>2315</v>
      </c>
      <c r="F689" t="s">
        <v>7442</v>
      </c>
      <c r="G689" t="s">
        <v>7826</v>
      </c>
      <c r="H689" t="s">
        <v>7827</v>
      </c>
      <c r="I689" t="s">
        <v>6045</v>
      </c>
      <c r="J689" t="s">
        <v>7555</v>
      </c>
      <c r="K689" t="s">
        <v>7556</v>
      </c>
      <c r="L689" t="s">
        <v>7557</v>
      </c>
    </row>
    <row r="690" spans="1:12" x14ac:dyDescent="0.25">
      <c r="A690" t="s">
        <v>5766</v>
      </c>
      <c r="B690" t="s">
        <v>1840</v>
      </c>
      <c r="C690" s="1" t="s">
        <v>2317</v>
      </c>
      <c r="D690" s="1" t="s">
        <v>2317</v>
      </c>
      <c r="E690" t="s">
        <v>2319</v>
      </c>
      <c r="F690" t="s">
        <v>7828</v>
      </c>
      <c r="G690" t="s">
        <v>7829</v>
      </c>
      <c r="H690" t="s">
        <v>7830</v>
      </c>
      <c r="I690" t="s">
        <v>7359</v>
      </c>
      <c r="J690" t="s">
        <v>7555</v>
      </c>
      <c r="K690" t="s">
        <v>7556</v>
      </c>
      <c r="L690" t="s">
        <v>7557</v>
      </c>
    </row>
    <row r="691" spans="1:12" x14ac:dyDescent="0.25">
      <c r="A691" t="s">
        <v>5766</v>
      </c>
      <c r="B691" t="s">
        <v>1840</v>
      </c>
      <c r="C691" s="1" t="s">
        <v>2321</v>
      </c>
      <c r="D691" s="1" t="s">
        <v>2321</v>
      </c>
      <c r="E691" t="s">
        <v>2323</v>
      </c>
      <c r="F691" t="s">
        <v>7635</v>
      </c>
      <c r="G691" t="s">
        <v>7831</v>
      </c>
      <c r="H691" t="s">
        <v>7832</v>
      </c>
      <c r="I691" t="s">
        <v>6909</v>
      </c>
      <c r="J691" t="s">
        <v>7555</v>
      </c>
      <c r="K691" t="s">
        <v>7556</v>
      </c>
      <c r="L691" t="s">
        <v>7557</v>
      </c>
    </row>
    <row r="692" spans="1:12" x14ac:dyDescent="0.25">
      <c r="A692" t="s">
        <v>5766</v>
      </c>
      <c r="B692" t="s">
        <v>1840</v>
      </c>
      <c r="C692" s="1" t="s">
        <v>2325</v>
      </c>
      <c r="D692" s="1" t="s">
        <v>2325</v>
      </c>
      <c r="E692" t="s">
        <v>2327</v>
      </c>
      <c r="F692" t="s">
        <v>7041</v>
      </c>
      <c r="G692" t="s">
        <v>7833</v>
      </c>
      <c r="H692" t="s">
        <v>7834</v>
      </c>
      <c r="I692" t="s">
        <v>6045</v>
      </c>
      <c r="J692" t="s">
        <v>7555</v>
      </c>
      <c r="K692" t="s">
        <v>7556</v>
      </c>
      <c r="L692" t="s">
        <v>7557</v>
      </c>
    </row>
    <row r="693" spans="1:12" x14ac:dyDescent="0.25">
      <c r="A693" t="s">
        <v>5766</v>
      </c>
      <c r="B693" t="s">
        <v>1840</v>
      </c>
      <c r="C693" s="1" t="s">
        <v>2329</v>
      </c>
      <c r="D693" s="1" t="s">
        <v>2329</v>
      </c>
      <c r="E693" t="s">
        <v>2331</v>
      </c>
      <c r="F693" t="s">
        <v>7835</v>
      </c>
      <c r="G693" t="s">
        <v>7836</v>
      </c>
      <c r="H693" t="s">
        <v>7837</v>
      </c>
      <c r="I693" t="s">
        <v>6248</v>
      </c>
      <c r="J693" t="s">
        <v>7555</v>
      </c>
      <c r="K693" t="s">
        <v>7556</v>
      </c>
      <c r="L693" t="s">
        <v>7557</v>
      </c>
    </row>
    <row r="694" spans="1:12" x14ac:dyDescent="0.25">
      <c r="A694" t="s">
        <v>5766</v>
      </c>
      <c r="B694" t="s">
        <v>1840</v>
      </c>
      <c r="C694" s="1" t="s">
        <v>2333</v>
      </c>
      <c r="D694" s="1" t="s">
        <v>2333</v>
      </c>
      <c r="E694" t="s">
        <v>2335</v>
      </c>
      <c r="F694" t="s">
        <v>7442</v>
      </c>
      <c r="G694" t="s">
        <v>7838</v>
      </c>
      <c r="H694" t="s">
        <v>7839</v>
      </c>
      <c r="I694" t="s">
        <v>7093</v>
      </c>
      <c r="J694" t="s">
        <v>7555</v>
      </c>
      <c r="K694" t="s">
        <v>7556</v>
      </c>
      <c r="L694" t="s">
        <v>7557</v>
      </c>
    </row>
    <row r="695" spans="1:12" x14ac:dyDescent="0.25">
      <c r="A695" t="s">
        <v>5766</v>
      </c>
      <c r="B695" t="s">
        <v>1840</v>
      </c>
      <c r="C695" s="1" t="s">
        <v>2337</v>
      </c>
      <c r="D695" s="1" t="s">
        <v>2337</v>
      </c>
      <c r="E695" t="s">
        <v>2339</v>
      </c>
      <c r="F695" t="s">
        <v>6948</v>
      </c>
      <c r="G695" t="s">
        <v>7840</v>
      </c>
      <c r="H695" t="s">
        <v>7841</v>
      </c>
      <c r="I695" t="s">
        <v>6920</v>
      </c>
      <c r="J695" t="s">
        <v>7555</v>
      </c>
      <c r="K695" t="s">
        <v>7556</v>
      </c>
      <c r="L695" t="s">
        <v>7557</v>
      </c>
    </row>
    <row r="696" spans="1:12" x14ac:dyDescent="0.25">
      <c r="A696" t="s">
        <v>5766</v>
      </c>
      <c r="B696" t="s">
        <v>1840</v>
      </c>
      <c r="C696" s="1" t="s">
        <v>2341</v>
      </c>
      <c r="D696" s="1" t="s">
        <v>2341</v>
      </c>
      <c r="E696" t="s">
        <v>2342</v>
      </c>
      <c r="F696" t="s">
        <v>6948</v>
      </c>
      <c r="G696" t="s">
        <v>7842</v>
      </c>
      <c r="H696" t="s">
        <v>7843</v>
      </c>
      <c r="I696" t="s">
        <v>6045</v>
      </c>
      <c r="J696" t="s">
        <v>7555</v>
      </c>
      <c r="K696" t="s">
        <v>7556</v>
      </c>
      <c r="L696" t="s">
        <v>7557</v>
      </c>
    </row>
    <row r="697" spans="1:12" x14ac:dyDescent="0.25">
      <c r="A697" t="s">
        <v>5766</v>
      </c>
      <c r="B697" t="s">
        <v>1840</v>
      </c>
      <c r="C697" s="1" t="s">
        <v>2344</v>
      </c>
      <c r="D697" s="1" t="s">
        <v>2344</v>
      </c>
      <c r="E697" t="s">
        <v>2346</v>
      </c>
      <c r="F697" t="s">
        <v>7185</v>
      </c>
      <c r="G697" t="s">
        <v>7844</v>
      </c>
      <c r="H697" t="s">
        <v>7845</v>
      </c>
      <c r="I697" t="s">
        <v>7093</v>
      </c>
      <c r="J697" t="s">
        <v>7555</v>
      </c>
      <c r="K697" t="s">
        <v>7556</v>
      </c>
      <c r="L697" t="s">
        <v>7557</v>
      </c>
    </row>
    <row r="698" spans="1:12" x14ac:dyDescent="0.25">
      <c r="A698" t="s">
        <v>5766</v>
      </c>
      <c r="B698" t="s">
        <v>1840</v>
      </c>
      <c r="C698" s="1" t="s">
        <v>2348</v>
      </c>
      <c r="D698" s="1" t="s">
        <v>2348</v>
      </c>
      <c r="E698" t="s">
        <v>2350</v>
      </c>
      <c r="F698" t="s">
        <v>6929</v>
      </c>
      <c r="G698" t="s">
        <v>7846</v>
      </c>
      <c r="H698" t="s">
        <v>7847</v>
      </c>
      <c r="I698" t="s">
        <v>7848</v>
      </c>
      <c r="J698" t="s">
        <v>7555</v>
      </c>
      <c r="K698" t="s">
        <v>7556</v>
      </c>
      <c r="L698" t="s">
        <v>7557</v>
      </c>
    </row>
    <row r="699" spans="1:12" x14ac:dyDescent="0.25">
      <c r="A699" t="s">
        <v>5766</v>
      </c>
      <c r="B699" t="s">
        <v>1840</v>
      </c>
      <c r="C699" s="1" t="s">
        <v>2352</v>
      </c>
      <c r="D699" s="1" t="s">
        <v>2352</v>
      </c>
      <c r="E699" t="s">
        <v>2354</v>
      </c>
      <c r="F699" t="s">
        <v>6910</v>
      </c>
      <c r="G699" t="s">
        <v>7849</v>
      </c>
      <c r="H699" t="s">
        <v>7850</v>
      </c>
      <c r="I699" t="s">
        <v>7430</v>
      </c>
      <c r="J699" t="s">
        <v>7555</v>
      </c>
      <c r="K699" t="s">
        <v>7556</v>
      </c>
      <c r="L699" t="s">
        <v>7557</v>
      </c>
    </row>
    <row r="700" spans="1:12" x14ac:dyDescent="0.25">
      <c r="A700" t="s">
        <v>5766</v>
      </c>
      <c r="B700" t="s">
        <v>1840</v>
      </c>
      <c r="C700" s="1" t="s">
        <v>2356</v>
      </c>
      <c r="D700" s="1" t="s">
        <v>2356</v>
      </c>
      <c r="E700" t="s">
        <v>2357</v>
      </c>
      <c r="F700" t="s">
        <v>7348</v>
      </c>
      <c r="G700" t="s">
        <v>7851</v>
      </c>
      <c r="H700" t="s">
        <v>7852</v>
      </c>
      <c r="I700" t="s">
        <v>7853</v>
      </c>
      <c r="J700" t="s">
        <v>7555</v>
      </c>
      <c r="K700" t="s">
        <v>7556</v>
      </c>
      <c r="L700" t="s">
        <v>7557</v>
      </c>
    </row>
    <row r="701" spans="1:12" x14ac:dyDescent="0.25">
      <c r="A701" t="s">
        <v>5766</v>
      </c>
      <c r="B701" t="s">
        <v>1840</v>
      </c>
      <c r="C701" s="1" t="s">
        <v>2359</v>
      </c>
      <c r="D701" s="1" t="s">
        <v>2359</v>
      </c>
      <c r="E701" t="s">
        <v>2360</v>
      </c>
      <c r="F701" t="s">
        <v>6910</v>
      </c>
      <c r="G701" t="s">
        <v>7854</v>
      </c>
      <c r="H701" t="s">
        <v>7855</v>
      </c>
      <c r="I701" t="s">
        <v>7856</v>
      </c>
      <c r="J701" t="s">
        <v>7555</v>
      </c>
      <c r="K701" t="s">
        <v>7556</v>
      </c>
      <c r="L701" t="s">
        <v>7557</v>
      </c>
    </row>
    <row r="702" spans="1:12" x14ac:dyDescent="0.25">
      <c r="A702" t="s">
        <v>5766</v>
      </c>
      <c r="B702" t="s">
        <v>1840</v>
      </c>
      <c r="C702" s="1" t="s">
        <v>2362</v>
      </c>
      <c r="D702" s="1" t="s">
        <v>2362</v>
      </c>
      <c r="E702" t="s">
        <v>2364</v>
      </c>
      <c r="F702" t="s">
        <v>7442</v>
      </c>
      <c r="G702" t="s">
        <v>7857</v>
      </c>
      <c r="H702" t="s">
        <v>7858</v>
      </c>
      <c r="I702" t="s">
        <v>6920</v>
      </c>
      <c r="J702" t="s">
        <v>7555</v>
      </c>
      <c r="K702" t="s">
        <v>7556</v>
      </c>
      <c r="L702" t="s">
        <v>7557</v>
      </c>
    </row>
    <row r="703" spans="1:12" x14ac:dyDescent="0.25">
      <c r="A703" t="s">
        <v>5766</v>
      </c>
      <c r="B703" t="s">
        <v>1840</v>
      </c>
      <c r="C703" s="1" t="s">
        <v>2366</v>
      </c>
      <c r="D703" s="1" t="s">
        <v>2366</v>
      </c>
      <c r="E703" t="s">
        <v>2368</v>
      </c>
      <c r="F703" t="s">
        <v>7635</v>
      </c>
      <c r="G703" t="s">
        <v>7859</v>
      </c>
      <c r="H703" t="s">
        <v>7860</v>
      </c>
      <c r="I703" t="s">
        <v>7861</v>
      </c>
      <c r="J703" t="s">
        <v>7555</v>
      </c>
      <c r="K703" t="s">
        <v>7556</v>
      </c>
      <c r="L703" t="s">
        <v>7557</v>
      </c>
    </row>
    <row r="704" spans="1:12" x14ac:dyDescent="0.25">
      <c r="A704" t="s">
        <v>5766</v>
      </c>
      <c r="B704" t="s">
        <v>1840</v>
      </c>
      <c r="C704" s="1" t="s">
        <v>2370</v>
      </c>
      <c r="D704" s="1" t="s">
        <v>2370</v>
      </c>
      <c r="E704" t="s">
        <v>2371</v>
      </c>
      <c r="F704" t="s">
        <v>7442</v>
      </c>
      <c r="G704" t="s">
        <v>7862</v>
      </c>
      <c r="H704" t="s">
        <v>7863</v>
      </c>
      <c r="I704" t="s">
        <v>6920</v>
      </c>
      <c r="J704" t="s">
        <v>7555</v>
      </c>
      <c r="K704" t="s">
        <v>7556</v>
      </c>
      <c r="L704" t="s">
        <v>7557</v>
      </c>
    </row>
    <row r="705" spans="1:12" x14ac:dyDescent="0.25">
      <c r="A705" t="s">
        <v>5766</v>
      </c>
      <c r="B705" t="s">
        <v>1840</v>
      </c>
      <c r="C705" s="1" t="s">
        <v>2373</v>
      </c>
      <c r="D705" s="1" t="s">
        <v>2373</v>
      </c>
      <c r="E705" t="s">
        <v>2375</v>
      </c>
      <c r="F705" t="s">
        <v>7624</v>
      </c>
      <c r="G705" t="s">
        <v>7864</v>
      </c>
      <c r="H705" t="s">
        <v>7865</v>
      </c>
      <c r="I705" t="s">
        <v>7641</v>
      </c>
      <c r="J705" t="s">
        <v>7555</v>
      </c>
      <c r="K705" t="s">
        <v>7556</v>
      </c>
      <c r="L705" t="s">
        <v>7557</v>
      </c>
    </row>
    <row r="706" spans="1:12" x14ac:dyDescent="0.25">
      <c r="A706" t="s">
        <v>5766</v>
      </c>
      <c r="B706" t="s">
        <v>1840</v>
      </c>
      <c r="C706" s="1" t="s">
        <v>2377</v>
      </c>
      <c r="D706" s="1" t="s">
        <v>2377</v>
      </c>
      <c r="E706" t="s">
        <v>2378</v>
      </c>
      <c r="F706" t="s">
        <v>7442</v>
      </c>
      <c r="G706" t="s">
        <v>7866</v>
      </c>
      <c r="H706" t="s">
        <v>7867</v>
      </c>
      <c r="I706" t="s">
        <v>6920</v>
      </c>
      <c r="J706" t="s">
        <v>7555</v>
      </c>
      <c r="K706" t="s">
        <v>7556</v>
      </c>
      <c r="L706" t="s">
        <v>7557</v>
      </c>
    </row>
    <row r="707" spans="1:12" x14ac:dyDescent="0.25">
      <c r="A707" t="s">
        <v>5766</v>
      </c>
      <c r="B707" t="s">
        <v>1840</v>
      </c>
      <c r="C707" s="1" t="s">
        <v>2380</v>
      </c>
      <c r="D707" s="1" t="s">
        <v>2380</v>
      </c>
      <c r="E707" t="s">
        <v>2382</v>
      </c>
      <c r="F707" t="s">
        <v>7142</v>
      </c>
      <c r="G707" t="s">
        <v>7868</v>
      </c>
      <c r="H707" t="s">
        <v>7869</v>
      </c>
      <c r="I707" t="s">
        <v>5879</v>
      </c>
      <c r="J707" t="s">
        <v>7555</v>
      </c>
      <c r="K707" t="s">
        <v>7556</v>
      </c>
      <c r="L707" t="s">
        <v>7557</v>
      </c>
    </row>
    <row r="708" spans="1:12" x14ac:dyDescent="0.25">
      <c r="A708" t="s">
        <v>5766</v>
      </c>
      <c r="B708" t="s">
        <v>1840</v>
      </c>
      <c r="C708" s="1" t="s">
        <v>2384</v>
      </c>
      <c r="D708" s="1" t="s">
        <v>2384</v>
      </c>
      <c r="E708" t="s">
        <v>2385</v>
      </c>
      <c r="F708" t="s">
        <v>6948</v>
      </c>
      <c r="G708" t="s">
        <v>7870</v>
      </c>
      <c r="H708" t="s">
        <v>7871</v>
      </c>
      <c r="I708" t="s">
        <v>7093</v>
      </c>
      <c r="J708" t="s">
        <v>7555</v>
      </c>
      <c r="K708" t="s">
        <v>7556</v>
      </c>
      <c r="L708" t="s">
        <v>7557</v>
      </c>
    </row>
    <row r="709" spans="1:12" x14ac:dyDescent="0.25">
      <c r="A709" t="s">
        <v>5766</v>
      </c>
      <c r="B709" t="s">
        <v>1840</v>
      </c>
      <c r="C709" s="1" t="s">
        <v>2387</v>
      </c>
      <c r="D709" s="1" t="s">
        <v>2387</v>
      </c>
      <c r="E709" t="s">
        <v>2389</v>
      </c>
      <c r="F709" t="s">
        <v>7442</v>
      </c>
      <c r="G709" t="s">
        <v>7872</v>
      </c>
      <c r="H709" t="s">
        <v>7873</v>
      </c>
      <c r="I709" t="s">
        <v>7093</v>
      </c>
      <c r="J709" t="s">
        <v>7555</v>
      </c>
      <c r="K709" t="s">
        <v>7556</v>
      </c>
      <c r="L709" t="s">
        <v>7557</v>
      </c>
    </row>
    <row r="710" spans="1:12" x14ac:dyDescent="0.25">
      <c r="A710" t="s">
        <v>5766</v>
      </c>
      <c r="B710" t="s">
        <v>1840</v>
      </c>
      <c r="C710" s="1" t="s">
        <v>2391</v>
      </c>
      <c r="D710" s="1" t="s">
        <v>2391</v>
      </c>
      <c r="E710" t="s">
        <v>2393</v>
      </c>
      <c r="F710" t="s">
        <v>7442</v>
      </c>
      <c r="G710" t="s">
        <v>7874</v>
      </c>
      <c r="H710" t="s">
        <v>7875</v>
      </c>
      <c r="I710" t="s">
        <v>6920</v>
      </c>
      <c r="J710" t="s">
        <v>7555</v>
      </c>
      <c r="K710" t="s">
        <v>7556</v>
      </c>
      <c r="L710" t="s">
        <v>7557</v>
      </c>
    </row>
    <row r="711" spans="1:12" x14ac:dyDescent="0.25">
      <c r="A711" t="s">
        <v>5766</v>
      </c>
      <c r="B711" t="s">
        <v>1840</v>
      </c>
      <c r="C711" s="1" t="s">
        <v>2395</v>
      </c>
      <c r="D711" s="1" t="s">
        <v>2395</v>
      </c>
      <c r="E711" t="s">
        <v>2397</v>
      </c>
      <c r="F711" t="s">
        <v>7185</v>
      </c>
      <c r="G711" t="s">
        <v>7876</v>
      </c>
      <c r="H711" t="s">
        <v>7877</v>
      </c>
      <c r="I711" t="s">
        <v>6920</v>
      </c>
      <c r="J711" t="s">
        <v>7555</v>
      </c>
      <c r="K711" t="s">
        <v>7556</v>
      </c>
      <c r="L711" t="s">
        <v>7557</v>
      </c>
    </row>
    <row r="712" spans="1:12" x14ac:dyDescent="0.25">
      <c r="A712" t="s">
        <v>5766</v>
      </c>
      <c r="B712" t="s">
        <v>1840</v>
      </c>
      <c r="C712" s="1" t="s">
        <v>2399</v>
      </c>
      <c r="D712" s="1" t="s">
        <v>2399</v>
      </c>
      <c r="E712" t="s">
        <v>2400</v>
      </c>
      <c r="F712" t="s">
        <v>6948</v>
      </c>
      <c r="G712" t="s">
        <v>7878</v>
      </c>
      <c r="H712" t="s">
        <v>7879</v>
      </c>
      <c r="I712" t="s">
        <v>6920</v>
      </c>
      <c r="J712" t="s">
        <v>7555</v>
      </c>
      <c r="K712" t="s">
        <v>7556</v>
      </c>
      <c r="L712" t="s">
        <v>7557</v>
      </c>
    </row>
    <row r="713" spans="1:12" x14ac:dyDescent="0.25">
      <c r="A713" t="s">
        <v>5766</v>
      </c>
      <c r="B713" t="s">
        <v>1840</v>
      </c>
      <c r="C713" s="1" t="s">
        <v>2402</v>
      </c>
      <c r="D713" s="1" t="s">
        <v>2402</v>
      </c>
      <c r="E713" t="s">
        <v>2403</v>
      </c>
      <c r="F713" t="s">
        <v>7185</v>
      </c>
      <c r="G713" t="s">
        <v>7880</v>
      </c>
      <c r="H713" t="s">
        <v>7881</v>
      </c>
      <c r="I713" t="s">
        <v>6045</v>
      </c>
      <c r="J713" t="s">
        <v>7555</v>
      </c>
      <c r="K713" t="s">
        <v>7556</v>
      </c>
      <c r="L713" t="s">
        <v>7557</v>
      </c>
    </row>
    <row r="714" spans="1:12" x14ac:dyDescent="0.25">
      <c r="A714" t="s">
        <v>5766</v>
      </c>
      <c r="B714" t="s">
        <v>1840</v>
      </c>
      <c r="C714" s="1" t="s">
        <v>2405</v>
      </c>
      <c r="D714" s="1" t="s">
        <v>2405</v>
      </c>
      <c r="E714" t="s">
        <v>2407</v>
      </c>
      <c r="F714" t="s">
        <v>7442</v>
      </c>
      <c r="G714" t="s">
        <v>7882</v>
      </c>
      <c r="H714" t="s">
        <v>7883</v>
      </c>
      <c r="I714" t="s">
        <v>6920</v>
      </c>
      <c r="J714" t="s">
        <v>7555</v>
      </c>
      <c r="K714" t="s">
        <v>7556</v>
      </c>
      <c r="L714" t="s">
        <v>7557</v>
      </c>
    </row>
    <row r="715" spans="1:12" x14ac:dyDescent="0.25">
      <c r="A715" t="s">
        <v>5766</v>
      </c>
      <c r="B715" t="s">
        <v>1840</v>
      </c>
      <c r="C715" s="1" t="s">
        <v>2409</v>
      </c>
      <c r="D715" s="1" t="s">
        <v>2409</v>
      </c>
      <c r="E715" t="s">
        <v>2411</v>
      </c>
      <c r="F715" t="s">
        <v>7041</v>
      </c>
      <c r="G715" t="s">
        <v>7884</v>
      </c>
      <c r="H715" t="s">
        <v>7885</v>
      </c>
      <c r="I715" t="s">
        <v>7093</v>
      </c>
      <c r="J715" t="s">
        <v>7555</v>
      </c>
      <c r="K715" t="s">
        <v>7556</v>
      </c>
      <c r="L715" t="s">
        <v>7557</v>
      </c>
    </row>
    <row r="716" spans="1:12" x14ac:dyDescent="0.25">
      <c r="A716" t="s">
        <v>5766</v>
      </c>
      <c r="B716" t="s">
        <v>1840</v>
      </c>
      <c r="C716" s="1" t="s">
        <v>2413</v>
      </c>
      <c r="D716" s="1" t="s">
        <v>2413</v>
      </c>
      <c r="E716" t="s">
        <v>2415</v>
      </c>
      <c r="F716" t="s">
        <v>7442</v>
      </c>
      <c r="G716" t="s">
        <v>7886</v>
      </c>
      <c r="H716" t="s">
        <v>7887</v>
      </c>
      <c r="I716" t="s">
        <v>6920</v>
      </c>
      <c r="J716" t="s">
        <v>7555</v>
      </c>
      <c r="K716" t="s">
        <v>7556</v>
      </c>
      <c r="L716" t="s">
        <v>7557</v>
      </c>
    </row>
    <row r="717" spans="1:12" x14ac:dyDescent="0.25">
      <c r="A717" t="s">
        <v>5766</v>
      </c>
      <c r="B717" t="s">
        <v>1840</v>
      </c>
      <c r="C717" s="1" t="s">
        <v>2417</v>
      </c>
      <c r="D717" s="1" t="s">
        <v>2417</v>
      </c>
      <c r="E717" t="s">
        <v>2419</v>
      </c>
      <c r="F717" t="s">
        <v>7442</v>
      </c>
      <c r="G717" t="s">
        <v>7888</v>
      </c>
      <c r="H717" t="s">
        <v>7889</v>
      </c>
      <c r="I717" t="s">
        <v>6920</v>
      </c>
      <c r="J717" t="s">
        <v>7555</v>
      </c>
      <c r="K717" t="s">
        <v>7556</v>
      </c>
      <c r="L717" t="s">
        <v>7557</v>
      </c>
    </row>
    <row r="718" spans="1:12" x14ac:dyDescent="0.25">
      <c r="A718" t="s">
        <v>5766</v>
      </c>
      <c r="B718" t="s">
        <v>1840</v>
      </c>
      <c r="C718" s="1" t="s">
        <v>2421</v>
      </c>
      <c r="D718" s="1" t="s">
        <v>2421</v>
      </c>
      <c r="E718" t="s">
        <v>2423</v>
      </c>
      <c r="F718" t="s">
        <v>7185</v>
      </c>
      <c r="G718" t="s">
        <v>7890</v>
      </c>
      <c r="H718" t="s">
        <v>7891</v>
      </c>
      <c r="I718" t="s">
        <v>6045</v>
      </c>
      <c r="J718" t="s">
        <v>7555</v>
      </c>
      <c r="K718" t="s">
        <v>7556</v>
      </c>
      <c r="L718" t="s">
        <v>7557</v>
      </c>
    </row>
    <row r="719" spans="1:12" x14ac:dyDescent="0.25">
      <c r="A719" t="s">
        <v>5766</v>
      </c>
      <c r="B719" t="s">
        <v>1840</v>
      </c>
      <c r="C719" s="1" t="s">
        <v>2425</v>
      </c>
      <c r="D719" s="1" t="s">
        <v>2425</v>
      </c>
      <c r="E719" t="s">
        <v>2427</v>
      </c>
      <c r="F719" t="s">
        <v>7348</v>
      </c>
      <c r="G719" t="s">
        <v>7892</v>
      </c>
      <c r="H719" t="s">
        <v>7893</v>
      </c>
      <c r="I719" t="s">
        <v>7678</v>
      </c>
      <c r="J719" t="s">
        <v>7555</v>
      </c>
      <c r="K719" t="s">
        <v>7556</v>
      </c>
      <c r="L719" t="s">
        <v>7557</v>
      </c>
    </row>
    <row r="720" spans="1:12" x14ac:dyDescent="0.25">
      <c r="A720" t="s">
        <v>5766</v>
      </c>
      <c r="B720" t="s">
        <v>1840</v>
      </c>
      <c r="C720" s="1" t="s">
        <v>2429</v>
      </c>
      <c r="D720" s="1" t="s">
        <v>2429</v>
      </c>
      <c r="E720" t="s">
        <v>2431</v>
      </c>
      <c r="F720" t="s">
        <v>6941</v>
      </c>
      <c r="G720" t="s">
        <v>7894</v>
      </c>
      <c r="H720" t="s">
        <v>7895</v>
      </c>
      <c r="I720" t="s">
        <v>7856</v>
      </c>
      <c r="J720" t="s">
        <v>7555</v>
      </c>
      <c r="K720" t="s">
        <v>7556</v>
      </c>
      <c r="L720" t="s">
        <v>7557</v>
      </c>
    </row>
    <row r="721" spans="1:12" x14ac:dyDescent="0.25">
      <c r="A721" t="s">
        <v>5766</v>
      </c>
      <c r="B721" t="s">
        <v>1840</v>
      </c>
      <c r="C721" s="1" t="s">
        <v>2433</v>
      </c>
      <c r="D721" s="1" t="s">
        <v>2433</v>
      </c>
      <c r="E721" t="s">
        <v>2435</v>
      </c>
      <c r="F721" t="s">
        <v>7642</v>
      </c>
      <c r="G721" t="s">
        <v>7896</v>
      </c>
      <c r="H721" t="s">
        <v>7897</v>
      </c>
      <c r="I721" t="s">
        <v>7188</v>
      </c>
      <c r="J721" t="s">
        <v>7555</v>
      </c>
      <c r="K721" t="s">
        <v>7556</v>
      </c>
      <c r="L721" t="s">
        <v>7557</v>
      </c>
    </row>
    <row r="722" spans="1:12" x14ac:dyDescent="0.25">
      <c r="A722" t="s">
        <v>5766</v>
      </c>
      <c r="B722" t="s">
        <v>1840</v>
      </c>
      <c r="C722" s="1" t="s">
        <v>2437</v>
      </c>
      <c r="D722" s="1" t="s">
        <v>2437</v>
      </c>
      <c r="E722" t="s">
        <v>2438</v>
      </c>
      <c r="F722" t="s">
        <v>7642</v>
      </c>
      <c r="G722" t="s">
        <v>7898</v>
      </c>
      <c r="H722" t="s">
        <v>7899</v>
      </c>
      <c r="I722" t="s">
        <v>7188</v>
      </c>
      <c r="J722" t="s">
        <v>7555</v>
      </c>
      <c r="K722" t="s">
        <v>7556</v>
      </c>
      <c r="L722" t="s">
        <v>7557</v>
      </c>
    </row>
    <row r="723" spans="1:12" x14ac:dyDescent="0.25">
      <c r="A723" t="s">
        <v>5766</v>
      </c>
      <c r="B723" t="s">
        <v>1840</v>
      </c>
      <c r="C723" s="1" t="s">
        <v>2440</v>
      </c>
      <c r="D723" s="1" t="s">
        <v>2440</v>
      </c>
      <c r="E723" t="s">
        <v>2442</v>
      </c>
      <c r="F723" t="s">
        <v>7442</v>
      </c>
      <c r="G723" t="s">
        <v>7900</v>
      </c>
      <c r="H723" t="s">
        <v>7901</v>
      </c>
      <c r="I723" t="s">
        <v>6920</v>
      </c>
      <c r="J723" t="s">
        <v>7555</v>
      </c>
      <c r="K723" t="s">
        <v>7556</v>
      </c>
      <c r="L723" t="s">
        <v>7557</v>
      </c>
    </row>
    <row r="724" spans="1:12" x14ac:dyDescent="0.25">
      <c r="A724" t="s">
        <v>5766</v>
      </c>
      <c r="B724" t="s">
        <v>1840</v>
      </c>
      <c r="C724" s="1" t="s">
        <v>2444</v>
      </c>
      <c r="D724" s="1" t="s">
        <v>2444</v>
      </c>
      <c r="E724" t="s">
        <v>2446</v>
      </c>
      <c r="F724" t="s">
        <v>7442</v>
      </c>
      <c r="G724" t="s">
        <v>7902</v>
      </c>
      <c r="H724" t="s">
        <v>7903</v>
      </c>
      <c r="I724" t="s">
        <v>7093</v>
      </c>
      <c r="J724" t="s">
        <v>7555</v>
      </c>
      <c r="K724" t="s">
        <v>7556</v>
      </c>
      <c r="L724" t="s">
        <v>7557</v>
      </c>
    </row>
    <row r="725" spans="1:12" x14ac:dyDescent="0.25">
      <c r="A725" t="s">
        <v>5766</v>
      </c>
      <c r="B725" t="s">
        <v>1840</v>
      </c>
      <c r="C725" s="1" t="s">
        <v>2448</v>
      </c>
      <c r="D725" s="1" t="s">
        <v>2448</v>
      </c>
      <c r="E725" t="s">
        <v>2450</v>
      </c>
      <c r="F725" t="s">
        <v>7442</v>
      </c>
      <c r="G725" t="s">
        <v>7904</v>
      </c>
      <c r="H725" t="s">
        <v>7905</v>
      </c>
      <c r="I725" t="s">
        <v>6045</v>
      </c>
      <c r="J725" t="s">
        <v>7555</v>
      </c>
      <c r="K725" t="s">
        <v>7556</v>
      </c>
      <c r="L725" t="s">
        <v>7557</v>
      </c>
    </row>
    <row r="726" spans="1:12" x14ac:dyDescent="0.25">
      <c r="A726" t="s">
        <v>5766</v>
      </c>
      <c r="B726" t="s">
        <v>1840</v>
      </c>
      <c r="C726" s="1" t="s">
        <v>2452</v>
      </c>
      <c r="D726" s="1" t="s">
        <v>2452</v>
      </c>
      <c r="E726" t="s">
        <v>2453</v>
      </c>
      <c r="F726" t="s">
        <v>7185</v>
      </c>
      <c r="G726" t="s">
        <v>7906</v>
      </c>
      <c r="H726" t="s">
        <v>7907</v>
      </c>
      <c r="I726" t="s">
        <v>7093</v>
      </c>
      <c r="J726" t="s">
        <v>7555</v>
      </c>
      <c r="K726" t="s">
        <v>7556</v>
      </c>
      <c r="L726" t="s">
        <v>7557</v>
      </c>
    </row>
    <row r="727" spans="1:12" x14ac:dyDescent="0.25">
      <c r="A727" t="s">
        <v>5766</v>
      </c>
      <c r="B727" t="s">
        <v>1840</v>
      </c>
      <c r="C727" s="1" t="s">
        <v>2455</v>
      </c>
      <c r="D727" s="1" t="s">
        <v>2455</v>
      </c>
      <c r="E727" t="s">
        <v>2457</v>
      </c>
      <c r="F727" t="s">
        <v>7185</v>
      </c>
      <c r="G727" t="s">
        <v>7908</v>
      </c>
      <c r="H727" t="s">
        <v>7909</v>
      </c>
      <c r="I727" t="s">
        <v>6920</v>
      </c>
      <c r="J727" t="s">
        <v>7555</v>
      </c>
      <c r="K727" t="s">
        <v>7556</v>
      </c>
      <c r="L727" t="s">
        <v>7557</v>
      </c>
    </row>
    <row r="728" spans="1:12" x14ac:dyDescent="0.25">
      <c r="A728" t="s">
        <v>5766</v>
      </c>
      <c r="B728" t="s">
        <v>1840</v>
      </c>
      <c r="C728" s="1" t="s">
        <v>2459</v>
      </c>
      <c r="D728" s="1" t="s">
        <v>2459</v>
      </c>
      <c r="E728" t="s">
        <v>2461</v>
      </c>
      <c r="F728" t="s">
        <v>7642</v>
      </c>
      <c r="G728" t="s">
        <v>7910</v>
      </c>
      <c r="H728" t="s">
        <v>7911</v>
      </c>
      <c r="I728" t="s">
        <v>7853</v>
      </c>
      <c r="J728" t="s">
        <v>7555</v>
      </c>
      <c r="K728" t="s">
        <v>7556</v>
      </c>
      <c r="L728" t="s">
        <v>7557</v>
      </c>
    </row>
    <row r="729" spans="1:12" x14ac:dyDescent="0.25">
      <c r="A729" t="s">
        <v>5766</v>
      </c>
      <c r="B729" t="s">
        <v>1840</v>
      </c>
      <c r="C729" s="1" t="s">
        <v>2463</v>
      </c>
      <c r="D729" s="1" t="s">
        <v>2463</v>
      </c>
      <c r="E729" t="s">
        <v>2464</v>
      </c>
      <c r="F729" t="s">
        <v>6910</v>
      </c>
      <c r="G729" t="s">
        <v>7912</v>
      </c>
      <c r="H729" t="s">
        <v>7913</v>
      </c>
      <c r="I729" t="s">
        <v>7848</v>
      </c>
      <c r="J729" t="s">
        <v>7555</v>
      </c>
      <c r="K729" t="s">
        <v>7556</v>
      </c>
      <c r="L729" t="s">
        <v>7557</v>
      </c>
    </row>
    <row r="730" spans="1:12" x14ac:dyDescent="0.25">
      <c r="A730" t="s">
        <v>5766</v>
      </c>
      <c r="B730" t="s">
        <v>1840</v>
      </c>
      <c r="C730" s="1" t="s">
        <v>2466</v>
      </c>
      <c r="D730" s="1" t="s">
        <v>2466</v>
      </c>
      <c r="E730" t="s">
        <v>2468</v>
      </c>
      <c r="F730" t="s">
        <v>7635</v>
      </c>
      <c r="G730" t="s">
        <v>7914</v>
      </c>
      <c r="H730" t="s">
        <v>7915</v>
      </c>
      <c r="I730" t="s">
        <v>7661</v>
      </c>
      <c r="J730" t="s">
        <v>7555</v>
      </c>
      <c r="K730" t="s">
        <v>7556</v>
      </c>
      <c r="L730" t="s">
        <v>7557</v>
      </c>
    </row>
    <row r="731" spans="1:12" x14ac:dyDescent="0.25">
      <c r="A731" t="s">
        <v>5766</v>
      </c>
      <c r="B731" t="s">
        <v>1840</v>
      </c>
      <c r="C731" s="1" t="s">
        <v>2470</v>
      </c>
      <c r="D731" s="1" t="s">
        <v>2470</v>
      </c>
      <c r="E731" t="s">
        <v>2472</v>
      </c>
      <c r="F731" t="s">
        <v>7595</v>
      </c>
      <c r="G731" t="s">
        <v>7916</v>
      </c>
      <c r="H731" t="s">
        <v>7917</v>
      </c>
      <c r="I731" t="s">
        <v>6920</v>
      </c>
      <c r="J731" t="s">
        <v>7555</v>
      </c>
      <c r="K731" t="s">
        <v>7556</v>
      </c>
      <c r="L731" t="s">
        <v>7557</v>
      </c>
    </row>
    <row r="732" spans="1:12" x14ac:dyDescent="0.25">
      <c r="A732" t="s">
        <v>5766</v>
      </c>
      <c r="B732" t="s">
        <v>1840</v>
      </c>
      <c r="C732" s="1" t="s">
        <v>2474</v>
      </c>
      <c r="D732" s="1" t="s">
        <v>2474</v>
      </c>
      <c r="E732" t="s">
        <v>2476</v>
      </c>
      <c r="F732" t="s">
        <v>6948</v>
      </c>
      <c r="G732" t="s">
        <v>7918</v>
      </c>
      <c r="H732" t="s">
        <v>7919</v>
      </c>
      <c r="I732" t="s">
        <v>6920</v>
      </c>
      <c r="J732" t="s">
        <v>7555</v>
      </c>
      <c r="K732" t="s">
        <v>7556</v>
      </c>
      <c r="L732" t="s">
        <v>7557</v>
      </c>
    </row>
    <row r="733" spans="1:12" x14ac:dyDescent="0.25">
      <c r="A733" t="s">
        <v>5766</v>
      </c>
      <c r="B733" t="s">
        <v>1840</v>
      </c>
      <c r="C733" s="1" t="s">
        <v>2478</v>
      </c>
      <c r="D733" s="1" t="s">
        <v>2478</v>
      </c>
      <c r="E733" t="s">
        <v>2480</v>
      </c>
      <c r="F733" t="s">
        <v>7442</v>
      </c>
      <c r="G733" t="s">
        <v>7920</v>
      </c>
      <c r="H733" t="s">
        <v>7921</v>
      </c>
      <c r="I733" t="s">
        <v>6920</v>
      </c>
      <c r="J733" t="s">
        <v>7555</v>
      </c>
      <c r="K733" t="s">
        <v>7556</v>
      </c>
      <c r="L733" t="s">
        <v>7557</v>
      </c>
    </row>
    <row r="734" spans="1:12" x14ac:dyDescent="0.25">
      <c r="A734" t="s">
        <v>5766</v>
      </c>
      <c r="B734" t="s">
        <v>1840</v>
      </c>
      <c r="C734" s="1" t="s">
        <v>2482</v>
      </c>
      <c r="D734" s="1" t="s">
        <v>2482</v>
      </c>
      <c r="E734" t="s">
        <v>2484</v>
      </c>
      <c r="F734" t="s">
        <v>7922</v>
      </c>
      <c r="G734" t="s">
        <v>7923</v>
      </c>
      <c r="H734" t="s">
        <v>7924</v>
      </c>
      <c r="I734" t="s">
        <v>6419</v>
      </c>
      <c r="J734" t="s">
        <v>7555</v>
      </c>
      <c r="K734" t="s">
        <v>7556</v>
      </c>
      <c r="L734" t="s">
        <v>7557</v>
      </c>
    </row>
    <row r="735" spans="1:12" x14ac:dyDescent="0.25">
      <c r="A735" t="s">
        <v>5766</v>
      </c>
      <c r="B735" t="s">
        <v>1840</v>
      </c>
      <c r="C735" s="1" t="s">
        <v>2486</v>
      </c>
      <c r="D735" s="1" t="s">
        <v>2486</v>
      </c>
      <c r="E735" t="s">
        <v>2487</v>
      </c>
      <c r="F735" t="s">
        <v>7574</v>
      </c>
      <c r="G735" t="s">
        <v>7925</v>
      </c>
      <c r="H735" t="s">
        <v>7926</v>
      </c>
      <c r="I735" t="s">
        <v>7577</v>
      </c>
      <c r="J735" t="s">
        <v>7555</v>
      </c>
      <c r="K735" t="s">
        <v>7556</v>
      </c>
      <c r="L735" t="s">
        <v>7557</v>
      </c>
    </row>
    <row r="736" spans="1:12" x14ac:dyDescent="0.25">
      <c r="A736" t="s">
        <v>5766</v>
      </c>
      <c r="B736" t="s">
        <v>1840</v>
      </c>
      <c r="C736" s="1" t="s">
        <v>2489</v>
      </c>
      <c r="D736" s="1" t="s">
        <v>2489</v>
      </c>
      <c r="E736" t="s">
        <v>2491</v>
      </c>
      <c r="F736" t="s">
        <v>7185</v>
      </c>
      <c r="G736" t="s">
        <v>7927</v>
      </c>
      <c r="H736" t="s">
        <v>7928</v>
      </c>
      <c r="I736" t="s">
        <v>7093</v>
      </c>
      <c r="J736" t="s">
        <v>7555</v>
      </c>
      <c r="K736" t="s">
        <v>7556</v>
      </c>
      <c r="L736" t="s">
        <v>7557</v>
      </c>
    </row>
    <row r="737" spans="1:12" x14ac:dyDescent="0.25">
      <c r="A737" t="s">
        <v>5766</v>
      </c>
      <c r="B737" t="s">
        <v>1840</v>
      </c>
      <c r="C737" s="1" t="s">
        <v>2493</v>
      </c>
      <c r="D737" s="1" t="s">
        <v>2493</v>
      </c>
      <c r="E737" t="s">
        <v>2495</v>
      </c>
      <c r="F737" t="s">
        <v>7642</v>
      </c>
      <c r="G737" t="s">
        <v>7929</v>
      </c>
      <c r="H737" t="s">
        <v>7930</v>
      </c>
      <c r="I737" t="s">
        <v>7188</v>
      </c>
      <c r="J737" t="s">
        <v>7555</v>
      </c>
      <c r="K737" t="s">
        <v>7556</v>
      </c>
      <c r="L737" t="s">
        <v>7557</v>
      </c>
    </row>
    <row r="738" spans="1:12" x14ac:dyDescent="0.25">
      <c r="A738" t="s">
        <v>5766</v>
      </c>
      <c r="B738" t="s">
        <v>1840</v>
      </c>
      <c r="C738" s="1" t="s">
        <v>2497</v>
      </c>
      <c r="D738" s="1" t="s">
        <v>2497</v>
      </c>
      <c r="E738" t="s">
        <v>2498</v>
      </c>
      <c r="F738" t="s">
        <v>7185</v>
      </c>
      <c r="G738" t="s">
        <v>7931</v>
      </c>
      <c r="H738" t="s">
        <v>7932</v>
      </c>
      <c r="I738" t="s">
        <v>7093</v>
      </c>
      <c r="J738" t="s">
        <v>7555</v>
      </c>
      <c r="K738" t="s">
        <v>7556</v>
      </c>
      <c r="L738" t="s">
        <v>7557</v>
      </c>
    </row>
    <row r="739" spans="1:12" x14ac:dyDescent="0.25">
      <c r="A739" t="s">
        <v>5766</v>
      </c>
      <c r="B739" t="s">
        <v>1840</v>
      </c>
      <c r="C739" s="1" t="s">
        <v>2500</v>
      </c>
      <c r="D739" s="1" t="s">
        <v>2500</v>
      </c>
      <c r="E739" t="s">
        <v>2502</v>
      </c>
      <c r="F739" t="s">
        <v>7595</v>
      </c>
      <c r="G739" t="s">
        <v>7933</v>
      </c>
      <c r="H739" t="s">
        <v>7934</v>
      </c>
      <c r="I739" t="s">
        <v>7003</v>
      </c>
      <c r="J739" t="s">
        <v>7555</v>
      </c>
      <c r="K739" t="s">
        <v>7556</v>
      </c>
      <c r="L739" t="s">
        <v>7557</v>
      </c>
    </row>
    <row r="740" spans="1:12" x14ac:dyDescent="0.25">
      <c r="A740" t="s">
        <v>5766</v>
      </c>
      <c r="B740" t="s">
        <v>1840</v>
      </c>
      <c r="C740" s="1" t="s">
        <v>2504</v>
      </c>
      <c r="D740" s="1" t="s">
        <v>2504</v>
      </c>
      <c r="E740" t="s">
        <v>2506</v>
      </c>
      <c r="F740" t="s">
        <v>7185</v>
      </c>
      <c r="G740" t="s">
        <v>7935</v>
      </c>
      <c r="H740" t="s">
        <v>7936</v>
      </c>
      <c r="I740" t="s">
        <v>6920</v>
      </c>
      <c r="J740" t="s">
        <v>7555</v>
      </c>
      <c r="K740" t="s">
        <v>7556</v>
      </c>
      <c r="L740" t="s">
        <v>7557</v>
      </c>
    </row>
    <row r="741" spans="1:12" x14ac:dyDescent="0.25">
      <c r="A741" t="s">
        <v>5766</v>
      </c>
      <c r="B741" t="s">
        <v>1840</v>
      </c>
      <c r="C741" s="1" t="s">
        <v>2508</v>
      </c>
      <c r="D741" s="1" t="s">
        <v>2508</v>
      </c>
      <c r="E741" t="s">
        <v>2510</v>
      </c>
      <c r="F741" t="s">
        <v>7381</v>
      </c>
      <c r="G741" t="s">
        <v>7937</v>
      </c>
      <c r="H741" t="s">
        <v>7938</v>
      </c>
      <c r="I741" t="s">
        <v>7093</v>
      </c>
      <c r="J741" t="s">
        <v>7555</v>
      </c>
      <c r="K741" t="s">
        <v>7556</v>
      </c>
      <c r="L741" t="s">
        <v>7557</v>
      </c>
    </row>
    <row r="742" spans="1:12" x14ac:dyDescent="0.25">
      <c r="A742" t="s">
        <v>5766</v>
      </c>
      <c r="B742" t="s">
        <v>1840</v>
      </c>
      <c r="C742" s="1" t="s">
        <v>2512</v>
      </c>
      <c r="D742" s="1" t="s">
        <v>2512</v>
      </c>
      <c r="E742" t="s">
        <v>2514</v>
      </c>
      <c r="F742" t="s">
        <v>6948</v>
      </c>
      <c r="G742" t="s">
        <v>7939</v>
      </c>
      <c r="H742" t="s">
        <v>7940</v>
      </c>
      <c r="I742" t="s">
        <v>7093</v>
      </c>
      <c r="J742" t="s">
        <v>7555</v>
      </c>
      <c r="K742" t="s">
        <v>7556</v>
      </c>
      <c r="L742" t="s">
        <v>7557</v>
      </c>
    </row>
    <row r="743" spans="1:12" x14ac:dyDescent="0.25">
      <c r="A743" t="s">
        <v>5766</v>
      </c>
      <c r="B743" t="s">
        <v>1840</v>
      </c>
      <c r="C743" s="1" t="s">
        <v>2516</v>
      </c>
      <c r="D743" s="1" t="s">
        <v>2516</v>
      </c>
      <c r="E743" t="s">
        <v>2518</v>
      </c>
      <c r="F743" t="s">
        <v>7442</v>
      </c>
      <c r="G743" t="s">
        <v>7941</v>
      </c>
      <c r="H743" t="s">
        <v>7942</v>
      </c>
      <c r="I743" t="s">
        <v>6920</v>
      </c>
      <c r="J743" t="s">
        <v>7555</v>
      </c>
      <c r="K743" t="s">
        <v>7556</v>
      </c>
      <c r="L743" t="s">
        <v>7557</v>
      </c>
    </row>
    <row r="744" spans="1:12" x14ac:dyDescent="0.25">
      <c r="A744" t="s">
        <v>5766</v>
      </c>
      <c r="B744" t="s">
        <v>1840</v>
      </c>
      <c r="C744" s="1" t="s">
        <v>2520</v>
      </c>
      <c r="D744" s="1" t="s">
        <v>2520</v>
      </c>
      <c r="E744" t="s">
        <v>2522</v>
      </c>
      <c r="F744" t="s">
        <v>7442</v>
      </c>
      <c r="G744" t="s">
        <v>7943</v>
      </c>
      <c r="H744" t="s">
        <v>7944</v>
      </c>
      <c r="I744" t="s">
        <v>6920</v>
      </c>
      <c r="J744" t="s">
        <v>7555</v>
      </c>
      <c r="K744" t="s">
        <v>7556</v>
      </c>
      <c r="L744" t="s">
        <v>7557</v>
      </c>
    </row>
    <row r="745" spans="1:12" x14ac:dyDescent="0.25">
      <c r="A745" t="s">
        <v>5766</v>
      </c>
      <c r="B745" t="s">
        <v>1840</v>
      </c>
      <c r="C745" s="1" t="s">
        <v>2524</v>
      </c>
      <c r="D745" s="1" t="s">
        <v>2524</v>
      </c>
      <c r="E745" t="s">
        <v>2526</v>
      </c>
      <c r="F745" t="s">
        <v>7185</v>
      </c>
      <c r="G745" t="s">
        <v>7945</v>
      </c>
      <c r="H745" t="s">
        <v>7946</v>
      </c>
      <c r="I745" t="s">
        <v>6920</v>
      </c>
      <c r="J745" t="s">
        <v>7555</v>
      </c>
      <c r="K745" t="s">
        <v>7556</v>
      </c>
      <c r="L745" t="s">
        <v>7557</v>
      </c>
    </row>
    <row r="746" spans="1:12" x14ac:dyDescent="0.25">
      <c r="A746" t="s">
        <v>5766</v>
      </c>
      <c r="B746" t="s">
        <v>1840</v>
      </c>
      <c r="C746" s="1" t="s">
        <v>2528</v>
      </c>
      <c r="D746" s="1" t="s">
        <v>2528</v>
      </c>
      <c r="E746" t="s">
        <v>2530</v>
      </c>
      <c r="F746" t="s">
        <v>6978</v>
      </c>
      <c r="G746" t="s">
        <v>7947</v>
      </c>
      <c r="H746" t="s">
        <v>7948</v>
      </c>
      <c r="I746" t="s">
        <v>6592</v>
      </c>
      <c r="J746" t="s">
        <v>7555</v>
      </c>
      <c r="K746" t="s">
        <v>7556</v>
      </c>
      <c r="L746" t="s">
        <v>7557</v>
      </c>
    </row>
    <row r="747" spans="1:12" x14ac:dyDescent="0.25">
      <c r="A747" t="s">
        <v>5766</v>
      </c>
      <c r="B747" t="s">
        <v>1840</v>
      </c>
      <c r="C747" s="1" t="s">
        <v>2532</v>
      </c>
      <c r="D747" s="1" t="s">
        <v>2532</v>
      </c>
      <c r="E747" t="s">
        <v>2534</v>
      </c>
      <c r="F747" t="s">
        <v>7185</v>
      </c>
      <c r="G747" t="s">
        <v>7949</v>
      </c>
      <c r="H747" t="s">
        <v>7950</v>
      </c>
      <c r="I747" t="s">
        <v>6045</v>
      </c>
      <c r="J747" t="s">
        <v>7555</v>
      </c>
      <c r="K747" t="s">
        <v>7556</v>
      </c>
      <c r="L747" t="s">
        <v>7557</v>
      </c>
    </row>
    <row r="748" spans="1:12" x14ac:dyDescent="0.25">
      <c r="A748" t="s">
        <v>5766</v>
      </c>
      <c r="B748" t="s">
        <v>1840</v>
      </c>
      <c r="C748" s="1" t="s">
        <v>2536</v>
      </c>
      <c r="D748" s="1" t="s">
        <v>2536</v>
      </c>
      <c r="E748" t="s">
        <v>2538</v>
      </c>
      <c r="F748" t="s">
        <v>7574</v>
      </c>
      <c r="G748" t="s">
        <v>7951</v>
      </c>
      <c r="H748" t="s">
        <v>7952</v>
      </c>
      <c r="I748" t="s">
        <v>6909</v>
      </c>
      <c r="J748" t="s">
        <v>7555</v>
      </c>
      <c r="K748" t="s">
        <v>7556</v>
      </c>
      <c r="L748" t="s">
        <v>7557</v>
      </c>
    </row>
    <row r="749" spans="1:12" x14ac:dyDescent="0.25">
      <c r="A749" t="s">
        <v>5766</v>
      </c>
      <c r="B749" t="s">
        <v>1840</v>
      </c>
      <c r="C749" s="1" t="s">
        <v>2540</v>
      </c>
      <c r="D749" s="1" t="s">
        <v>2540</v>
      </c>
      <c r="E749" t="s">
        <v>2542</v>
      </c>
      <c r="F749" t="s">
        <v>7442</v>
      </c>
      <c r="G749" t="s">
        <v>7953</v>
      </c>
      <c r="H749" t="s">
        <v>7954</v>
      </c>
      <c r="I749" t="s">
        <v>6920</v>
      </c>
      <c r="J749" t="s">
        <v>7555</v>
      </c>
      <c r="K749" t="s">
        <v>7556</v>
      </c>
      <c r="L749" t="s">
        <v>7557</v>
      </c>
    </row>
    <row r="750" spans="1:12" x14ac:dyDescent="0.25">
      <c r="A750" t="s">
        <v>5766</v>
      </c>
      <c r="B750" t="s">
        <v>1840</v>
      </c>
      <c r="C750" s="1" t="s">
        <v>2544</v>
      </c>
      <c r="D750" s="1" t="s">
        <v>2544</v>
      </c>
      <c r="E750" t="s">
        <v>2546</v>
      </c>
      <c r="F750" t="s">
        <v>7185</v>
      </c>
      <c r="G750" t="s">
        <v>7955</v>
      </c>
      <c r="H750" t="s">
        <v>7956</v>
      </c>
      <c r="I750" t="s">
        <v>6045</v>
      </c>
      <c r="J750" t="s">
        <v>7555</v>
      </c>
      <c r="K750" t="s">
        <v>7556</v>
      </c>
      <c r="L750" t="s">
        <v>7557</v>
      </c>
    </row>
    <row r="751" spans="1:12" x14ac:dyDescent="0.25">
      <c r="A751" t="s">
        <v>5766</v>
      </c>
      <c r="B751" t="s">
        <v>1840</v>
      </c>
      <c r="C751" s="1" t="s">
        <v>2548</v>
      </c>
      <c r="D751" s="1" t="s">
        <v>2548</v>
      </c>
      <c r="E751" t="s">
        <v>2549</v>
      </c>
      <c r="F751" t="s">
        <v>7635</v>
      </c>
      <c r="G751" t="s">
        <v>7957</v>
      </c>
      <c r="H751" t="s">
        <v>7958</v>
      </c>
      <c r="I751" t="s">
        <v>7661</v>
      </c>
      <c r="J751" t="s">
        <v>7555</v>
      </c>
      <c r="K751" t="s">
        <v>7556</v>
      </c>
      <c r="L751" t="s">
        <v>7557</v>
      </c>
    </row>
    <row r="752" spans="1:12" x14ac:dyDescent="0.25">
      <c r="A752" t="s">
        <v>5766</v>
      </c>
      <c r="B752" t="s">
        <v>1840</v>
      </c>
      <c r="C752" s="1" t="s">
        <v>2551</v>
      </c>
      <c r="D752" s="1" t="s">
        <v>2551</v>
      </c>
      <c r="E752" t="s">
        <v>2552</v>
      </c>
      <c r="F752" t="s">
        <v>7442</v>
      </c>
      <c r="G752" t="s">
        <v>7959</v>
      </c>
      <c r="H752" t="s">
        <v>7960</v>
      </c>
      <c r="I752" t="s">
        <v>7093</v>
      </c>
      <c r="J752" t="s">
        <v>7555</v>
      </c>
      <c r="K752" t="s">
        <v>7556</v>
      </c>
      <c r="L752" t="s">
        <v>7557</v>
      </c>
    </row>
    <row r="753" spans="1:13" x14ac:dyDescent="0.25">
      <c r="A753" t="s">
        <v>5766</v>
      </c>
      <c r="B753" t="s">
        <v>1840</v>
      </c>
      <c r="C753" s="1" t="s">
        <v>2554</v>
      </c>
      <c r="D753" s="1" t="s">
        <v>2554</v>
      </c>
      <c r="E753" t="s">
        <v>2555</v>
      </c>
      <c r="F753" t="s">
        <v>7693</v>
      </c>
      <c r="G753" t="s">
        <v>7961</v>
      </c>
      <c r="H753" t="s">
        <v>7962</v>
      </c>
      <c r="I753" t="s">
        <v>6311</v>
      </c>
      <c r="J753" t="s">
        <v>7555</v>
      </c>
      <c r="K753" t="s">
        <v>7556</v>
      </c>
      <c r="L753" t="s">
        <v>7557</v>
      </c>
    </row>
    <row r="754" spans="1:13" x14ac:dyDescent="0.25">
      <c r="A754" t="s">
        <v>5766</v>
      </c>
      <c r="B754" t="s">
        <v>1840</v>
      </c>
      <c r="C754" s="1" t="s">
        <v>2557</v>
      </c>
      <c r="D754" s="1" t="s">
        <v>2557</v>
      </c>
      <c r="E754" t="s">
        <v>2559</v>
      </c>
      <c r="F754" t="s">
        <v>7348</v>
      </c>
      <c r="G754" t="s">
        <v>7963</v>
      </c>
      <c r="H754" t="s">
        <v>7964</v>
      </c>
      <c r="I754" t="s">
        <v>7678</v>
      </c>
      <c r="J754" t="s">
        <v>7555</v>
      </c>
      <c r="K754" t="s">
        <v>7556</v>
      </c>
      <c r="L754" t="s">
        <v>7557</v>
      </c>
    </row>
    <row r="755" spans="1:13" x14ac:dyDescent="0.25">
      <c r="A755" t="s">
        <v>5766</v>
      </c>
      <c r="B755" t="s">
        <v>1840</v>
      </c>
      <c r="C755" s="1" t="s">
        <v>2561</v>
      </c>
      <c r="D755" s="1" t="s">
        <v>2561</v>
      </c>
      <c r="E755" t="s">
        <v>2562</v>
      </c>
      <c r="F755" t="s">
        <v>7442</v>
      </c>
      <c r="G755" t="s">
        <v>7965</v>
      </c>
      <c r="H755" t="s">
        <v>7966</v>
      </c>
      <c r="I755" t="s">
        <v>6920</v>
      </c>
      <c r="J755" t="s">
        <v>7555</v>
      </c>
      <c r="K755" t="s">
        <v>7556</v>
      </c>
      <c r="L755" t="s">
        <v>7557</v>
      </c>
    </row>
    <row r="756" spans="1:13" x14ac:dyDescent="0.25">
      <c r="A756" t="s">
        <v>5766</v>
      </c>
      <c r="B756" t="s">
        <v>1840</v>
      </c>
      <c r="C756" s="1" t="s">
        <v>2564</v>
      </c>
      <c r="D756" s="1" t="s">
        <v>2564</v>
      </c>
      <c r="E756" t="s">
        <v>2566</v>
      </c>
      <c r="F756" t="s">
        <v>7624</v>
      </c>
      <c r="G756" t="s">
        <v>7967</v>
      </c>
      <c r="H756" t="s">
        <v>7968</v>
      </c>
      <c r="I756" t="s">
        <v>6909</v>
      </c>
      <c r="J756" t="s">
        <v>7555</v>
      </c>
      <c r="K756" t="s">
        <v>7556</v>
      </c>
      <c r="L756" t="s">
        <v>7557</v>
      </c>
    </row>
    <row r="757" spans="1:13" x14ac:dyDescent="0.25">
      <c r="A757" t="s">
        <v>5766</v>
      </c>
      <c r="B757" t="s">
        <v>1840</v>
      </c>
      <c r="C757" s="1" t="s">
        <v>2568</v>
      </c>
      <c r="D757" s="1" t="s">
        <v>2568</v>
      </c>
      <c r="E757" t="s">
        <v>2569</v>
      </c>
      <c r="F757" t="s">
        <v>6948</v>
      </c>
      <c r="G757" t="s">
        <v>7969</v>
      </c>
      <c r="H757" t="s">
        <v>7970</v>
      </c>
      <c r="I757" t="s">
        <v>6920</v>
      </c>
      <c r="J757" t="s">
        <v>7555</v>
      </c>
      <c r="K757" t="s">
        <v>7556</v>
      </c>
      <c r="L757" t="s">
        <v>7557</v>
      </c>
    </row>
    <row r="758" spans="1:13" x14ac:dyDescent="0.25">
      <c r="A758" t="s">
        <v>5766</v>
      </c>
      <c r="B758" t="s">
        <v>1840</v>
      </c>
      <c r="C758" s="1" t="s">
        <v>2571</v>
      </c>
      <c r="D758" s="1" t="s">
        <v>2571</v>
      </c>
      <c r="E758" t="s">
        <v>2573</v>
      </c>
      <c r="F758" t="s">
        <v>7442</v>
      </c>
      <c r="G758" t="s">
        <v>7971</v>
      </c>
      <c r="H758" t="s">
        <v>7972</v>
      </c>
      <c r="I758" t="s">
        <v>6920</v>
      </c>
      <c r="J758" t="s">
        <v>7555</v>
      </c>
      <c r="K758" t="s">
        <v>7556</v>
      </c>
      <c r="L758" t="s">
        <v>7557</v>
      </c>
    </row>
    <row r="759" spans="1:13" x14ac:dyDescent="0.25">
      <c r="A759" t="s">
        <v>5766</v>
      </c>
      <c r="B759" t="s">
        <v>1840</v>
      </c>
      <c r="C759" s="1" t="s">
        <v>2575</v>
      </c>
      <c r="D759" s="1" t="s">
        <v>2575</v>
      </c>
      <c r="E759" t="s">
        <v>2577</v>
      </c>
      <c r="F759" t="s">
        <v>7442</v>
      </c>
      <c r="G759" t="s">
        <v>7973</v>
      </c>
      <c r="H759" t="s">
        <v>7974</v>
      </c>
      <c r="I759" t="s">
        <v>6920</v>
      </c>
      <c r="J759" t="s">
        <v>7555</v>
      </c>
      <c r="K759" t="s">
        <v>7556</v>
      </c>
      <c r="L759" t="s">
        <v>7557</v>
      </c>
    </row>
    <row r="760" spans="1:13" x14ac:dyDescent="0.25">
      <c r="A760" t="s">
        <v>5766</v>
      </c>
      <c r="B760" t="s">
        <v>1840</v>
      </c>
      <c r="C760" s="1" t="s">
        <v>2579</v>
      </c>
      <c r="D760" s="1" t="s">
        <v>2579</v>
      </c>
      <c r="E760" t="s">
        <v>2581</v>
      </c>
      <c r="F760" t="s">
        <v>7975</v>
      </c>
      <c r="G760" t="s">
        <v>7976</v>
      </c>
      <c r="H760" t="s">
        <v>7977</v>
      </c>
      <c r="I760" t="s">
        <v>7760</v>
      </c>
      <c r="J760" t="s">
        <v>7555</v>
      </c>
      <c r="K760" t="s">
        <v>7556</v>
      </c>
      <c r="L760" t="s">
        <v>7557</v>
      </c>
    </row>
    <row r="761" spans="1:13" x14ac:dyDescent="0.25">
      <c r="A761" t="s">
        <v>5766</v>
      </c>
      <c r="B761" t="s">
        <v>1840</v>
      </c>
      <c r="C761" s="1" t="s">
        <v>2583</v>
      </c>
      <c r="D761" s="1" t="s">
        <v>2583</v>
      </c>
      <c r="E761" t="s">
        <v>2585</v>
      </c>
      <c r="F761" t="s">
        <v>7185</v>
      </c>
      <c r="G761" t="s">
        <v>7978</v>
      </c>
      <c r="H761" t="s">
        <v>7979</v>
      </c>
      <c r="I761" t="s">
        <v>7093</v>
      </c>
      <c r="J761" t="s">
        <v>7555</v>
      </c>
      <c r="K761" t="s">
        <v>7556</v>
      </c>
      <c r="L761" t="s">
        <v>7557</v>
      </c>
    </row>
    <row r="762" spans="1:13" x14ac:dyDescent="0.25">
      <c r="A762" t="s">
        <v>5766</v>
      </c>
      <c r="B762" t="s">
        <v>1840</v>
      </c>
      <c r="C762" s="1" t="s">
        <v>2587</v>
      </c>
      <c r="D762" s="1" t="s">
        <v>2587</v>
      </c>
      <c r="E762" t="s">
        <v>2589</v>
      </c>
      <c r="F762" t="s">
        <v>7574</v>
      </c>
      <c r="G762" t="s">
        <v>7980</v>
      </c>
      <c r="H762" t="s">
        <v>7981</v>
      </c>
      <c r="I762" t="s">
        <v>7609</v>
      </c>
      <c r="J762" t="s">
        <v>7555</v>
      </c>
      <c r="K762" t="s">
        <v>7556</v>
      </c>
      <c r="L762" t="s">
        <v>7557</v>
      </c>
    </row>
    <row r="763" spans="1:13" x14ac:dyDescent="0.25">
      <c r="A763" t="s">
        <v>5766</v>
      </c>
      <c r="B763" t="s">
        <v>1840</v>
      </c>
      <c r="C763" s="1" t="s">
        <v>2591</v>
      </c>
      <c r="D763" s="1" t="s">
        <v>2591</v>
      </c>
      <c r="E763" t="s">
        <v>2593</v>
      </c>
      <c r="F763" t="s">
        <v>7442</v>
      </c>
      <c r="G763" t="s">
        <v>7982</v>
      </c>
      <c r="H763" t="s">
        <v>7983</v>
      </c>
      <c r="I763" t="s">
        <v>7093</v>
      </c>
      <c r="J763" t="s">
        <v>7555</v>
      </c>
      <c r="K763" t="s">
        <v>7556</v>
      </c>
      <c r="L763" t="s">
        <v>7557</v>
      </c>
    </row>
    <row r="764" spans="1:13" x14ac:dyDescent="0.25">
      <c r="A764" t="s">
        <v>5766</v>
      </c>
      <c r="B764" t="s">
        <v>1840</v>
      </c>
      <c r="C764" s="1" t="s">
        <v>78</v>
      </c>
      <c r="D764" s="1" t="s">
        <v>5780</v>
      </c>
      <c r="E764" t="s">
        <v>5781</v>
      </c>
      <c r="F764" t="s">
        <v>7984</v>
      </c>
      <c r="G764" t="s">
        <v>5783</v>
      </c>
      <c r="H764" t="s">
        <v>7985</v>
      </c>
      <c r="I764" t="s">
        <v>6106</v>
      </c>
      <c r="J764" t="s">
        <v>7555</v>
      </c>
      <c r="K764" t="s">
        <v>7556</v>
      </c>
      <c r="L764" t="s">
        <v>7557</v>
      </c>
      <c r="M764" t="s">
        <v>65</v>
      </c>
    </row>
    <row r="765" spans="1:13" x14ac:dyDescent="0.25">
      <c r="A765" t="s">
        <v>5766</v>
      </c>
      <c r="B765" t="s">
        <v>1840</v>
      </c>
      <c r="C765" s="1" t="s">
        <v>52</v>
      </c>
      <c r="D765" s="1" t="s">
        <v>52</v>
      </c>
      <c r="E765" t="s">
        <v>5767</v>
      </c>
      <c r="F765" t="s">
        <v>7986</v>
      </c>
      <c r="G765" t="s">
        <v>5769</v>
      </c>
      <c r="H765" t="s">
        <v>7987</v>
      </c>
      <c r="I765" t="s">
        <v>7988</v>
      </c>
      <c r="J765" t="s">
        <v>7555</v>
      </c>
      <c r="K765" t="s">
        <v>7556</v>
      </c>
      <c r="L765" t="s">
        <v>7557</v>
      </c>
      <c r="M765" t="s">
        <v>65</v>
      </c>
    </row>
    <row r="766" spans="1:13" x14ac:dyDescent="0.25">
      <c r="A766" t="s">
        <v>5766</v>
      </c>
      <c r="B766" t="s">
        <v>2594</v>
      </c>
      <c r="C766" s="1" t="s">
        <v>2595</v>
      </c>
      <c r="D766" s="1" t="s">
        <v>2595</v>
      </c>
      <c r="E766" t="s">
        <v>2596</v>
      </c>
      <c r="F766" t="s">
        <v>7989</v>
      </c>
      <c r="G766" t="s">
        <v>7990</v>
      </c>
      <c r="H766" t="s">
        <v>2608</v>
      </c>
      <c r="I766" t="s">
        <v>7991</v>
      </c>
      <c r="J766" t="s">
        <v>7992</v>
      </c>
      <c r="K766" t="s">
        <v>7993</v>
      </c>
      <c r="L766" t="s">
        <v>7994</v>
      </c>
    </row>
    <row r="767" spans="1:13" x14ac:dyDescent="0.25">
      <c r="A767" t="s">
        <v>5766</v>
      </c>
      <c r="B767" t="s">
        <v>2594</v>
      </c>
      <c r="C767" s="1" t="s">
        <v>2610</v>
      </c>
      <c r="D767" s="1" t="s">
        <v>2610</v>
      </c>
      <c r="E767" t="s">
        <v>2611</v>
      </c>
      <c r="F767" t="s">
        <v>7995</v>
      </c>
      <c r="G767" t="s">
        <v>7996</v>
      </c>
      <c r="H767" t="s">
        <v>2615</v>
      </c>
      <c r="I767" t="s">
        <v>7997</v>
      </c>
      <c r="J767" t="s">
        <v>7992</v>
      </c>
      <c r="K767" t="s">
        <v>7993</v>
      </c>
      <c r="L767" t="s">
        <v>7994</v>
      </c>
    </row>
    <row r="768" spans="1:13" x14ac:dyDescent="0.25">
      <c r="A768" t="s">
        <v>5766</v>
      </c>
      <c r="B768" t="s">
        <v>2594</v>
      </c>
      <c r="C768" s="1" t="s">
        <v>2617</v>
      </c>
      <c r="D768" s="1" t="s">
        <v>2617</v>
      </c>
      <c r="E768" t="s">
        <v>2618</v>
      </c>
      <c r="F768" t="s">
        <v>7995</v>
      </c>
      <c r="G768" t="s">
        <v>7998</v>
      </c>
      <c r="H768" t="s">
        <v>2622</v>
      </c>
      <c r="I768" t="s">
        <v>7999</v>
      </c>
      <c r="J768" t="s">
        <v>7992</v>
      </c>
      <c r="K768" t="s">
        <v>7993</v>
      </c>
      <c r="L768" t="s">
        <v>7994</v>
      </c>
    </row>
    <row r="769" spans="1:13" x14ac:dyDescent="0.25">
      <c r="A769" t="s">
        <v>5766</v>
      </c>
      <c r="B769" t="s">
        <v>2594</v>
      </c>
      <c r="C769" s="1" t="s">
        <v>2624</v>
      </c>
      <c r="D769" s="1" t="s">
        <v>2624</v>
      </c>
      <c r="E769" t="s">
        <v>2625</v>
      </c>
      <c r="F769" t="s">
        <v>7989</v>
      </c>
      <c r="G769" t="s">
        <v>8000</v>
      </c>
      <c r="H769" t="s">
        <v>2628</v>
      </c>
      <c r="I769" t="s">
        <v>8001</v>
      </c>
      <c r="J769" t="s">
        <v>7992</v>
      </c>
      <c r="K769" t="s">
        <v>7993</v>
      </c>
      <c r="L769" t="s">
        <v>7994</v>
      </c>
    </row>
    <row r="770" spans="1:13" x14ac:dyDescent="0.25">
      <c r="A770" t="s">
        <v>5766</v>
      </c>
      <c r="B770" t="s">
        <v>2594</v>
      </c>
      <c r="C770" s="1" t="s">
        <v>2631</v>
      </c>
      <c r="D770" s="1" t="s">
        <v>2631</v>
      </c>
      <c r="E770" t="s">
        <v>2632</v>
      </c>
      <c r="F770" t="s">
        <v>8002</v>
      </c>
      <c r="G770" t="s">
        <v>8003</v>
      </c>
      <c r="H770" t="s">
        <v>8004</v>
      </c>
      <c r="I770" t="s">
        <v>8005</v>
      </c>
      <c r="J770" t="s">
        <v>7992</v>
      </c>
      <c r="K770" t="s">
        <v>7993</v>
      </c>
      <c r="L770" t="s">
        <v>7994</v>
      </c>
    </row>
    <row r="771" spans="1:13" x14ac:dyDescent="0.25">
      <c r="A771" t="s">
        <v>5766</v>
      </c>
      <c r="B771" t="s">
        <v>2594</v>
      </c>
      <c r="C771" s="1" t="s">
        <v>78</v>
      </c>
      <c r="D771" s="1" t="s">
        <v>5780</v>
      </c>
      <c r="E771" t="s">
        <v>5781</v>
      </c>
      <c r="F771" t="s">
        <v>8006</v>
      </c>
      <c r="G771" t="s">
        <v>5783</v>
      </c>
      <c r="H771" t="s">
        <v>8007</v>
      </c>
      <c r="I771" t="s">
        <v>8008</v>
      </c>
      <c r="J771" t="s">
        <v>7992</v>
      </c>
      <c r="K771" t="s">
        <v>7993</v>
      </c>
      <c r="L771" t="s">
        <v>7994</v>
      </c>
      <c r="M771" t="s">
        <v>65</v>
      </c>
    </row>
    <row r="772" spans="1:13" x14ac:dyDescent="0.25">
      <c r="A772" t="s">
        <v>5766</v>
      </c>
      <c r="B772" t="s">
        <v>2594</v>
      </c>
      <c r="C772" s="1" t="s">
        <v>52</v>
      </c>
      <c r="D772" s="1" t="s">
        <v>52</v>
      </c>
      <c r="E772" t="s">
        <v>5767</v>
      </c>
      <c r="F772" t="s">
        <v>8009</v>
      </c>
      <c r="G772" t="s">
        <v>5769</v>
      </c>
      <c r="H772" t="s">
        <v>8010</v>
      </c>
      <c r="I772" t="s">
        <v>6710</v>
      </c>
      <c r="J772" t="s">
        <v>7992</v>
      </c>
      <c r="K772" t="s">
        <v>7993</v>
      </c>
      <c r="L772" t="s">
        <v>7994</v>
      </c>
      <c r="M772" t="s">
        <v>65</v>
      </c>
    </row>
    <row r="773" spans="1:13" x14ac:dyDescent="0.25">
      <c r="A773" t="s">
        <v>5766</v>
      </c>
      <c r="B773" t="s">
        <v>2633</v>
      </c>
      <c r="C773" s="1" t="s">
        <v>2635</v>
      </c>
      <c r="D773" s="1" t="s">
        <v>2635</v>
      </c>
      <c r="E773" t="s">
        <v>2636</v>
      </c>
      <c r="F773" t="s">
        <v>8011</v>
      </c>
      <c r="G773" t="s">
        <v>6095</v>
      </c>
      <c r="H773" t="s">
        <v>2638</v>
      </c>
      <c r="I773" t="s">
        <v>8012</v>
      </c>
      <c r="J773" t="s">
        <v>8013</v>
      </c>
      <c r="K773" t="s">
        <v>8014</v>
      </c>
      <c r="L773" t="s">
        <v>8015</v>
      </c>
    </row>
    <row r="774" spans="1:13" x14ac:dyDescent="0.25">
      <c r="A774" t="s">
        <v>5766</v>
      </c>
      <c r="B774" t="s">
        <v>2633</v>
      </c>
      <c r="C774" s="1" t="s">
        <v>2643</v>
      </c>
      <c r="D774" s="1" t="s">
        <v>2643</v>
      </c>
      <c r="E774" t="s">
        <v>2644</v>
      </c>
      <c r="F774" t="s">
        <v>8016</v>
      </c>
      <c r="G774" t="s">
        <v>6723</v>
      </c>
      <c r="H774" t="s">
        <v>2645</v>
      </c>
      <c r="I774" t="s">
        <v>8017</v>
      </c>
      <c r="J774" t="s">
        <v>8013</v>
      </c>
      <c r="K774" t="s">
        <v>8014</v>
      </c>
      <c r="L774" t="s">
        <v>8015</v>
      </c>
    </row>
    <row r="775" spans="1:13" x14ac:dyDescent="0.25">
      <c r="A775" t="s">
        <v>5766</v>
      </c>
      <c r="B775" t="s">
        <v>2633</v>
      </c>
      <c r="C775" s="1" t="s">
        <v>2650</v>
      </c>
      <c r="D775" s="1" t="s">
        <v>2650</v>
      </c>
      <c r="E775" t="s">
        <v>2651</v>
      </c>
      <c r="F775" t="s">
        <v>8018</v>
      </c>
      <c r="G775" t="s">
        <v>5993</v>
      </c>
      <c r="H775" t="s">
        <v>2652</v>
      </c>
      <c r="I775" t="s">
        <v>8019</v>
      </c>
      <c r="J775" t="s">
        <v>8013</v>
      </c>
      <c r="K775" t="s">
        <v>8014</v>
      </c>
      <c r="L775" t="s">
        <v>8015</v>
      </c>
    </row>
    <row r="776" spans="1:13" x14ac:dyDescent="0.25">
      <c r="A776" t="s">
        <v>5766</v>
      </c>
      <c r="B776" t="s">
        <v>2633</v>
      </c>
      <c r="C776" s="1" t="s">
        <v>2657</v>
      </c>
      <c r="D776" s="1" t="s">
        <v>2657</v>
      </c>
      <c r="E776" t="s">
        <v>2658</v>
      </c>
      <c r="F776" t="s">
        <v>8020</v>
      </c>
      <c r="G776" t="s">
        <v>6131</v>
      </c>
      <c r="H776" t="s">
        <v>2659</v>
      </c>
      <c r="I776" t="s">
        <v>6785</v>
      </c>
      <c r="J776" t="s">
        <v>8013</v>
      </c>
      <c r="K776" t="s">
        <v>8014</v>
      </c>
      <c r="L776" t="s">
        <v>8015</v>
      </c>
    </row>
    <row r="777" spans="1:13" x14ac:dyDescent="0.25">
      <c r="A777" t="s">
        <v>5766</v>
      </c>
      <c r="B777" t="s">
        <v>2633</v>
      </c>
      <c r="C777" s="1" t="s">
        <v>2664</v>
      </c>
      <c r="D777" s="1" t="s">
        <v>2664</v>
      </c>
      <c r="E777" t="s">
        <v>2665</v>
      </c>
      <c r="F777" t="s">
        <v>8021</v>
      </c>
      <c r="G777" t="s">
        <v>8022</v>
      </c>
      <c r="H777" t="s">
        <v>2666</v>
      </c>
      <c r="I777" t="s">
        <v>8023</v>
      </c>
      <c r="J777" t="s">
        <v>8013</v>
      </c>
      <c r="K777" t="s">
        <v>8014</v>
      </c>
      <c r="L777" t="s">
        <v>8015</v>
      </c>
    </row>
    <row r="778" spans="1:13" x14ac:dyDescent="0.25">
      <c r="A778" t="s">
        <v>5766</v>
      </c>
      <c r="B778" t="s">
        <v>2633</v>
      </c>
      <c r="C778" s="1" t="s">
        <v>2671</v>
      </c>
      <c r="D778" s="1" t="s">
        <v>2671</v>
      </c>
      <c r="E778" t="s">
        <v>2672</v>
      </c>
      <c r="F778" t="s">
        <v>8024</v>
      </c>
      <c r="G778" t="s">
        <v>6151</v>
      </c>
      <c r="H778" t="s">
        <v>2673</v>
      </c>
      <c r="I778" t="s">
        <v>8025</v>
      </c>
      <c r="J778" t="s">
        <v>8013</v>
      </c>
      <c r="K778" t="s">
        <v>8014</v>
      </c>
      <c r="L778" t="s">
        <v>8015</v>
      </c>
    </row>
    <row r="779" spans="1:13" x14ac:dyDescent="0.25">
      <c r="A779" t="s">
        <v>5766</v>
      </c>
      <c r="B779" t="s">
        <v>2633</v>
      </c>
      <c r="C779" s="1" t="s">
        <v>2678</v>
      </c>
      <c r="D779" s="1" t="s">
        <v>2678</v>
      </c>
      <c r="E779" t="s">
        <v>2679</v>
      </c>
      <c r="F779" t="s">
        <v>8026</v>
      </c>
      <c r="G779" t="s">
        <v>6809</v>
      </c>
      <c r="H779" t="s">
        <v>2680</v>
      </c>
      <c r="I779" t="s">
        <v>6352</v>
      </c>
      <c r="J779" t="s">
        <v>8013</v>
      </c>
      <c r="K779" t="s">
        <v>8014</v>
      </c>
      <c r="L779" t="s">
        <v>8015</v>
      </c>
    </row>
    <row r="780" spans="1:13" x14ac:dyDescent="0.25">
      <c r="A780" t="s">
        <v>5766</v>
      </c>
      <c r="B780" t="s">
        <v>2633</v>
      </c>
      <c r="C780" s="1" t="s">
        <v>218</v>
      </c>
      <c r="D780" s="1" t="s">
        <v>2655</v>
      </c>
      <c r="E780" t="s">
        <v>219</v>
      </c>
      <c r="F780" t="s">
        <v>8027</v>
      </c>
      <c r="G780" t="s">
        <v>5993</v>
      </c>
      <c r="H780" t="s">
        <v>8028</v>
      </c>
      <c r="I780" t="s">
        <v>8029</v>
      </c>
      <c r="J780" t="s">
        <v>8013</v>
      </c>
      <c r="K780" t="s">
        <v>8014</v>
      </c>
      <c r="L780" t="s">
        <v>8015</v>
      </c>
    </row>
    <row r="781" spans="1:13" x14ac:dyDescent="0.25">
      <c r="A781" t="s">
        <v>5766</v>
      </c>
      <c r="B781" t="s">
        <v>2633</v>
      </c>
      <c r="C781" s="1" t="s">
        <v>707</v>
      </c>
      <c r="D781" s="1" t="s">
        <v>2648</v>
      </c>
      <c r="E781" t="s">
        <v>708</v>
      </c>
      <c r="F781" t="s">
        <v>8030</v>
      </c>
      <c r="G781" t="s">
        <v>6723</v>
      </c>
      <c r="H781" t="s">
        <v>8031</v>
      </c>
      <c r="I781" t="s">
        <v>8032</v>
      </c>
      <c r="J781" t="s">
        <v>8013</v>
      </c>
      <c r="K781" t="s">
        <v>8014</v>
      </c>
      <c r="L781" t="s">
        <v>8015</v>
      </c>
    </row>
    <row r="782" spans="1:13" x14ac:dyDescent="0.25">
      <c r="A782" t="s">
        <v>5766</v>
      </c>
      <c r="B782" t="s">
        <v>2633</v>
      </c>
      <c r="C782" s="1" t="s">
        <v>78</v>
      </c>
      <c r="D782" s="1" t="s">
        <v>5780</v>
      </c>
      <c r="E782" t="s">
        <v>5781</v>
      </c>
      <c r="F782" t="s">
        <v>8033</v>
      </c>
      <c r="G782" t="s">
        <v>5783</v>
      </c>
      <c r="H782" t="s">
        <v>8034</v>
      </c>
      <c r="I782" t="s">
        <v>8035</v>
      </c>
      <c r="J782" t="s">
        <v>8013</v>
      </c>
      <c r="K782" t="s">
        <v>8014</v>
      </c>
      <c r="L782" t="s">
        <v>8015</v>
      </c>
      <c r="M782" t="s">
        <v>65</v>
      </c>
    </row>
    <row r="783" spans="1:13" x14ac:dyDescent="0.25">
      <c r="A783" t="s">
        <v>5766</v>
      </c>
      <c r="B783" t="s">
        <v>2633</v>
      </c>
      <c r="C783" s="1" t="s">
        <v>284</v>
      </c>
      <c r="D783" s="1" t="s">
        <v>2641</v>
      </c>
      <c r="E783" t="s">
        <v>285</v>
      </c>
      <c r="F783" t="s">
        <v>8036</v>
      </c>
      <c r="G783" t="s">
        <v>6095</v>
      </c>
      <c r="H783" t="s">
        <v>8037</v>
      </c>
      <c r="I783" t="s">
        <v>8038</v>
      </c>
      <c r="J783" t="s">
        <v>8013</v>
      </c>
      <c r="K783" t="s">
        <v>8014</v>
      </c>
      <c r="L783" t="s">
        <v>8015</v>
      </c>
    </row>
    <row r="784" spans="1:13" x14ac:dyDescent="0.25">
      <c r="A784" t="s">
        <v>5766</v>
      </c>
      <c r="B784" t="s">
        <v>2633</v>
      </c>
      <c r="C784" s="1" t="s">
        <v>308</v>
      </c>
      <c r="D784" s="1" t="s">
        <v>2662</v>
      </c>
      <c r="E784" t="s">
        <v>309</v>
      </c>
      <c r="F784" t="s">
        <v>8039</v>
      </c>
      <c r="G784" t="s">
        <v>6131</v>
      </c>
      <c r="H784" t="s">
        <v>8040</v>
      </c>
      <c r="I784" t="s">
        <v>8041</v>
      </c>
      <c r="J784" t="s">
        <v>8013</v>
      </c>
      <c r="K784" t="s">
        <v>8014</v>
      </c>
      <c r="L784" t="s">
        <v>8015</v>
      </c>
    </row>
    <row r="785" spans="1:13" x14ac:dyDescent="0.25">
      <c r="A785" t="s">
        <v>5766</v>
      </c>
      <c r="B785" t="s">
        <v>2633</v>
      </c>
      <c r="C785" s="1" t="s">
        <v>2685</v>
      </c>
      <c r="D785" s="1" t="s">
        <v>2669</v>
      </c>
      <c r="E785" t="s">
        <v>2686</v>
      </c>
      <c r="F785" t="s">
        <v>8042</v>
      </c>
      <c r="G785" t="s">
        <v>8022</v>
      </c>
      <c r="H785" t="s">
        <v>8043</v>
      </c>
      <c r="I785" t="s">
        <v>8044</v>
      </c>
      <c r="J785" t="s">
        <v>8013</v>
      </c>
      <c r="K785" t="s">
        <v>8014</v>
      </c>
      <c r="L785" t="s">
        <v>8015</v>
      </c>
    </row>
    <row r="786" spans="1:13" x14ac:dyDescent="0.25">
      <c r="A786" t="s">
        <v>5766</v>
      </c>
      <c r="B786" t="s">
        <v>2633</v>
      </c>
      <c r="C786" s="1" t="s">
        <v>323</v>
      </c>
      <c r="D786" s="1" t="s">
        <v>2676</v>
      </c>
      <c r="E786" t="s">
        <v>324</v>
      </c>
      <c r="F786" t="s">
        <v>8045</v>
      </c>
      <c r="G786" t="s">
        <v>6151</v>
      </c>
      <c r="H786" t="s">
        <v>8046</v>
      </c>
      <c r="I786" t="s">
        <v>8047</v>
      </c>
      <c r="J786" t="s">
        <v>8013</v>
      </c>
      <c r="K786" t="s">
        <v>8014</v>
      </c>
      <c r="L786" t="s">
        <v>8015</v>
      </c>
    </row>
    <row r="787" spans="1:13" x14ac:dyDescent="0.25">
      <c r="A787" t="s">
        <v>5766</v>
      </c>
      <c r="B787" t="s">
        <v>2633</v>
      </c>
      <c r="C787" s="1" t="s">
        <v>754</v>
      </c>
      <c r="D787" s="1" t="s">
        <v>2683</v>
      </c>
      <c r="E787" t="s">
        <v>755</v>
      </c>
      <c r="F787" t="s">
        <v>8048</v>
      </c>
      <c r="G787" t="s">
        <v>6809</v>
      </c>
      <c r="H787" t="s">
        <v>8049</v>
      </c>
      <c r="I787" t="s">
        <v>6540</v>
      </c>
      <c r="J787" t="s">
        <v>8013</v>
      </c>
      <c r="K787" t="s">
        <v>8014</v>
      </c>
      <c r="L787" t="s">
        <v>8015</v>
      </c>
    </row>
    <row r="788" spans="1:13" x14ac:dyDescent="0.25">
      <c r="A788" t="s">
        <v>5766</v>
      </c>
      <c r="B788" t="s">
        <v>2633</v>
      </c>
      <c r="C788" s="1" t="s">
        <v>52</v>
      </c>
      <c r="D788" s="1" t="s">
        <v>52</v>
      </c>
      <c r="E788" t="s">
        <v>5767</v>
      </c>
      <c r="F788" t="s">
        <v>8050</v>
      </c>
      <c r="G788" t="s">
        <v>5769</v>
      </c>
      <c r="H788" t="s">
        <v>8051</v>
      </c>
      <c r="I788" t="s">
        <v>8052</v>
      </c>
      <c r="J788" t="s">
        <v>8013</v>
      </c>
      <c r="K788" t="s">
        <v>8014</v>
      </c>
      <c r="L788" t="s">
        <v>8015</v>
      </c>
      <c r="M788" t="s">
        <v>65</v>
      </c>
    </row>
    <row r="789" spans="1:13" x14ac:dyDescent="0.25">
      <c r="A789" t="s">
        <v>5766</v>
      </c>
      <c r="B789" t="s">
        <v>2687</v>
      </c>
      <c r="C789" s="1" t="s">
        <v>2688</v>
      </c>
      <c r="D789" s="1" t="s">
        <v>2688</v>
      </c>
      <c r="E789" t="s">
        <v>2689</v>
      </c>
      <c r="F789" t="s">
        <v>8053</v>
      </c>
      <c r="G789" t="s">
        <v>8054</v>
      </c>
      <c r="H789" t="s">
        <v>2693</v>
      </c>
      <c r="I789" t="s">
        <v>8055</v>
      </c>
      <c r="J789" t="s">
        <v>8056</v>
      </c>
      <c r="K789" t="s">
        <v>8057</v>
      </c>
      <c r="L789" t="s">
        <v>8058</v>
      </c>
    </row>
    <row r="790" spans="1:13" x14ac:dyDescent="0.25">
      <c r="A790" t="s">
        <v>5766</v>
      </c>
      <c r="B790" t="s">
        <v>2687</v>
      </c>
      <c r="C790" s="1" t="s">
        <v>2695</v>
      </c>
      <c r="D790" s="1" t="s">
        <v>2695</v>
      </c>
      <c r="E790" t="s">
        <v>2696</v>
      </c>
      <c r="F790" t="s">
        <v>8059</v>
      </c>
      <c r="G790" t="s">
        <v>8060</v>
      </c>
      <c r="H790" t="s">
        <v>2699</v>
      </c>
      <c r="I790" t="s">
        <v>8061</v>
      </c>
      <c r="J790" t="s">
        <v>8056</v>
      </c>
      <c r="K790" t="s">
        <v>8057</v>
      </c>
      <c r="L790" t="s">
        <v>8058</v>
      </c>
    </row>
    <row r="791" spans="1:13" x14ac:dyDescent="0.25">
      <c r="A791" t="s">
        <v>5766</v>
      </c>
      <c r="B791" t="s">
        <v>2687</v>
      </c>
      <c r="C791" s="1" t="s">
        <v>2701</v>
      </c>
      <c r="D791" s="1" t="s">
        <v>2701</v>
      </c>
      <c r="E791" t="s">
        <v>2702</v>
      </c>
      <c r="F791" t="s">
        <v>8059</v>
      </c>
      <c r="G791" t="s">
        <v>8062</v>
      </c>
      <c r="H791" t="s">
        <v>2705</v>
      </c>
      <c r="I791" t="s">
        <v>8063</v>
      </c>
      <c r="J791" t="s">
        <v>8056</v>
      </c>
      <c r="K791" t="s">
        <v>8057</v>
      </c>
      <c r="L791" t="s">
        <v>8058</v>
      </c>
    </row>
    <row r="792" spans="1:13" x14ac:dyDescent="0.25">
      <c r="A792" t="s">
        <v>5766</v>
      </c>
      <c r="B792" t="s">
        <v>2687</v>
      </c>
      <c r="C792" s="1" t="s">
        <v>2707</v>
      </c>
      <c r="D792" s="1" t="s">
        <v>2707</v>
      </c>
      <c r="E792" t="s">
        <v>2708</v>
      </c>
      <c r="F792" t="s">
        <v>8053</v>
      </c>
      <c r="G792" t="s">
        <v>8064</v>
      </c>
      <c r="H792" t="s">
        <v>2711</v>
      </c>
      <c r="I792" t="s">
        <v>8065</v>
      </c>
      <c r="J792" t="s">
        <v>8056</v>
      </c>
      <c r="K792" t="s">
        <v>8057</v>
      </c>
      <c r="L792" t="s">
        <v>8058</v>
      </c>
    </row>
    <row r="793" spans="1:13" x14ac:dyDescent="0.25">
      <c r="A793" t="s">
        <v>5766</v>
      </c>
      <c r="B793" t="s">
        <v>2687</v>
      </c>
      <c r="C793" s="1" t="s">
        <v>2714</v>
      </c>
      <c r="D793" s="1" t="s">
        <v>2714</v>
      </c>
      <c r="E793" t="s">
        <v>2715</v>
      </c>
      <c r="F793" t="s">
        <v>8066</v>
      </c>
      <c r="G793" t="s">
        <v>8067</v>
      </c>
      <c r="H793" t="s">
        <v>8068</v>
      </c>
      <c r="I793" t="s">
        <v>8069</v>
      </c>
      <c r="J793" t="s">
        <v>8056</v>
      </c>
      <c r="K793" t="s">
        <v>8057</v>
      </c>
      <c r="L793" t="s">
        <v>8058</v>
      </c>
    </row>
    <row r="794" spans="1:13" x14ac:dyDescent="0.25">
      <c r="A794" t="s">
        <v>5766</v>
      </c>
      <c r="B794" t="s">
        <v>2687</v>
      </c>
      <c r="C794" s="1" t="s">
        <v>78</v>
      </c>
      <c r="D794" s="1" t="s">
        <v>5780</v>
      </c>
      <c r="E794" t="s">
        <v>5781</v>
      </c>
      <c r="F794" t="s">
        <v>8070</v>
      </c>
      <c r="G794" t="s">
        <v>5783</v>
      </c>
      <c r="H794" t="s">
        <v>8071</v>
      </c>
      <c r="I794" t="s">
        <v>8072</v>
      </c>
      <c r="J794" t="s">
        <v>8056</v>
      </c>
      <c r="K794" t="s">
        <v>8057</v>
      </c>
      <c r="L794" t="s">
        <v>8058</v>
      </c>
      <c r="M794" t="s">
        <v>65</v>
      </c>
    </row>
    <row r="795" spans="1:13" x14ac:dyDescent="0.25">
      <c r="A795" t="s">
        <v>5766</v>
      </c>
      <c r="B795" t="s">
        <v>2687</v>
      </c>
      <c r="C795" s="1" t="s">
        <v>52</v>
      </c>
      <c r="D795" s="1" t="s">
        <v>52</v>
      </c>
      <c r="E795" t="s">
        <v>5767</v>
      </c>
      <c r="F795" t="s">
        <v>8073</v>
      </c>
      <c r="G795" t="s">
        <v>5769</v>
      </c>
      <c r="H795" t="s">
        <v>8074</v>
      </c>
      <c r="I795" t="s">
        <v>6710</v>
      </c>
      <c r="J795" t="s">
        <v>8056</v>
      </c>
      <c r="K795" t="s">
        <v>8057</v>
      </c>
      <c r="L795" t="s">
        <v>8058</v>
      </c>
      <c r="M795" t="s">
        <v>65</v>
      </c>
    </row>
    <row r="796" spans="1:13" x14ac:dyDescent="0.25">
      <c r="A796" t="s">
        <v>5766</v>
      </c>
      <c r="B796" t="s">
        <v>2716</v>
      </c>
      <c r="C796" s="1" t="s">
        <v>2718</v>
      </c>
      <c r="D796" s="1" t="s">
        <v>8075</v>
      </c>
      <c r="E796" t="s">
        <v>2719</v>
      </c>
      <c r="F796" t="s">
        <v>8076</v>
      </c>
      <c r="G796" t="s">
        <v>8077</v>
      </c>
      <c r="H796" t="s">
        <v>8078</v>
      </c>
      <c r="I796" t="s">
        <v>8079</v>
      </c>
      <c r="J796" t="s">
        <v>8080</v>
      </c>
      <c r="K796" t="s">
        <v>8081</v>
      </c>
      <c r="L796" t="s">
        <v>8082</v>
      </c>
    </row>
    <row r="797" spans="1:13" x14ac:dyDescent="0.25">
      <c r="A797" t="s">
        <v>5766</v>
      </c>
      <c r="B797" t="s">
        <v>2716</v>
      </c>
      <c r="C797" s="1" t="s">
        <v>2721</v>
      </c>
      <c r="D797" s="1" t="s">
        <v>8083</v>
      </c>
      <c r="E797" t="s">
        <v>2722</v>
      </c>
      <c r="F797" t="s">
        <v>8084</v>
      </c>
      <c r="G797" t="s">
        <v>8085</v>
      </c>
      <c r="H797" t="s">
        <v>8086</v>
      </c>
      <c r="I797" t="s">
        <v>5905</v>
      </c>
      <c r="J797" t="s">
        <v>8080</v>
      </c>
      <c r="K797" t="s">
        <v>8081</v>
      </c>
      <c r="L797" t="s">
        <v>8082</v>
      </c>
    </row>
    <row r="798" spans="1:13" x14ac:dyDescent="0.25">
      <c r="A798" t="s">
        <v>5766</v>
      </c>
      <c r="B798" t="s">
        <v>2716</v>
      </c>
      <c r="C798" s="1" t="s">
        <v>78</v>
      </c>
      <c r="D798" s="1" t="s">
        <v>5780</v>
      </c>
      <c r="E798" t="s">
        <v>5781</v>
      </c>
      <c r="F798" t="s">
        <v>8087</v>
      </c>
      <c r="G798" t="s">
        <v>5783</v>
      </c>
      <c r="H798" t="s">
        <v>8088</v>
      </c>
      <c r="I798" t="s">
        <v>8089</v>
      </c>
      <c r="J798" t="s">
        <v>8080</v>
      </c>
      <c r="K798" t="s">
        <v>8081</v>
      </c>
      <c r="L798" t="s">
        <v>8082</v>
      </c>
      <c r="M798" t="s">
        <v>65</v>
      </c>
    </row>
    <row r="799" spans="1:13" x14ac:dyDescent="0.25">
      <c r="A799" t="s">
        <v>5766</v>
      </c>
      <c r="B799" t="s">
        <v>2716</v>
      </c>
      <c r="C799" s="1" t="s">
        <v>2724</v>
      </c>
      <c r="D799" s="1" t="s">
        <v>8090</v>
      </c>
      <c r="E799" t="s">
        <v>2725</v>
      </c>
      <c r="F799" t="s">
        <v>8091</v>
      </c>
      <c r="G799" t="s">
        <v>8092</v>
      </c>
      <c r="H799" t="s">
        <v>8093</v>
      </c>
      <c r="I799" t="s">
        <v>8094</v>
      </c>
      <c r="J799" t="s">
        <v>8080</v>
      </c>
      <c r="K799" t="s">
        <v>8081</v>
      </c>
      <c r="L799" t="s">
        <v>8082</v>
      </c>
    </row>
    <row r="800" spans="1:13" x14ac:dyDescent="0.25">
      <c r="A800" t="s">
        <v>5766</v>
      </c>
      <c r="B800" t="s">
        <v>2716</v>
      </c>
      <c r="C800" s="1" t="s">
        <v>284</v>
      </c>
      <c r="D800" s="1" t="s">
        <v>2641</v>
      </c>
      <c r="E800" t="s">
        <v>285</v>
      </c>
      <c r="F800" t="s">
        <v>8095</v>
      </c>
      <c r="G800" t="s">
        <v>6095</v>
      </c>
      <c r="H800" t="s">
        <v>8096</v>
      </c>
      <c r="I800" t="s">
        <v>8097</v>
      </c>
      <c r="J800" t="s">
        <v>8080</v>
      </c>
      <c r="K800" t="s">
        <v>8081</v>
      </c>
      <c r="L800" t="s">
        <v>8082</v>
      </c>
    </row>
    <row r="801" spans="1:13" x14ac:dyDescent="0.25">
      <c r="A801" t="s">
        <v>5766</v>
      </c>
      <c r="B801" t="s">
        <v>2716</v>
      </c>
      <c r="C801" s="1" t="s">
        <v>2727</v>
      </c>
      <c r="D801" s="1" t="s">
        <v>8098</v>
      </c>
      <c r="E801" t="s">
        <v>2728</v>
      </c>
      <c r="F801" t="s">
        <v>8099</v>
      </c>
      <c r="G801" t="s">
        <v>8100</v>
      </c>
      <c r="H801" t="s">
        <v>8101</v>
      </c>
      <c r="I801" t="s">
        <v>8102</v>
      </c>
      <c r="J801" t="s">
        <v>8080</v>
      </c>
      <c r="K801" t="s">
        <v>8081</v>
      </c>
      <c r="L801" t="s">
        <v>8082</v>
      </c>
    </row>
    <row r="802" spans="1:13" x14ac:dyDescent="0.25">
      <c r="A802" t="s">
        <v>5766</v>
      </c>
      <c r="B802" t="s">
        <v>2716</v>
      </c>
      <c r="C802" s="1" t="s">
        <v>2730</v>
      </c>
      <c r="D802" s="1" t="s">
        <v>8103</v>
      </c>
      <c r="E802" t="s">
        <v>2731</v>
      </c>
      <c r="F802" t="s">
        <v>8104</v>
      </c>
      <c r="G802" t="s">
        <v>8105</v>
      </c>
      <c r="H802" t="s">
        <v>8106</v>
      </c>
      <c r="I802" t="s">
        <v>8107</v>
      </c>
      <c r="J802" t="s">
        <v>8080</v>
      </c>
      <c r="K802" t="s">
        <v>8081</v>
      </c>
      <c r="L802" t="s">
        <v>8082</v>
      </c>
    </row>
    <row r="803" spans="1:13" x14ac:dyDescent="0.25">
      <c r="A803" t="s">
        <v>5766</v>
      </c>
      <c r="B803" t="s">
        <v>2716</v>
      </c>
      <c r="C803" s="1" t="s">
        <v>2733</v>
      </c>
      <c r="D803" s="1" t="s">
        <v>8108</v>
      </c>
      <c r="E803" t="s">
        <v>2734</v>
      </c>
      <c r="F803" t="s">
        <v>8091</v>
      </c>
      <c r="G803" t="s">
        <v>8109</v>
      </c>
      <c r="H803" t="s">
        <v>8110</v>
      </c>
      <c r="I803" t="s">
        <v>6760</v>
      </c>
      <c r="J803" t="s">
        <v>8080</v>
      </c>
      <c r="K803" t="s">
        <v>8081</v>
      </c>
      <c r="L803" t="s">
        <v>8082</v>
      </c>
    </row>
    <row r="804" spans="1:13" x14ac:dyDescent="0.25">
      <c r="A804" t="s">
        <v>5766</v>
      </c>
      <c r="B804" t="s">
        <v>2716</v>
      </c>
      <c r="C804" s="1" t="s">
        <v>2736</v>
      </c>
      <c r="D804" s="1" t="s">
        <v>8111</v>
      </c>
      <c r="E804" t="s">
        <v>2737</v>
      </c>
      <c r="F804" t="s">
        <v>8112</v>
      </c>
      <c r="G804" t="s">
        <v>8113</v>
      </c>
      <c r="H804" t="s">
        <v>8114</v>
      </c>
      <c r="I804" t="s">
        <v>8115</v>
      </c>
      <c r="J804" t="s">
        <v>8080</v>
      </c>
      <c r="K804" t="s">
        <v>8081</v>
      </c>
      <c r="L804" t="s">
        <v>8082</v>
      </c>
    </row>
    <row r="805" spans="1:13" x14ac:dyDescent="0.25">
      <c r="A805" t="s">
        <v>5766</v>
      </c>
      <c r="B805" t="s">
        <v>2716</v>
      </c>
      <c r="C805" s="1" t="s">
        <v>2739</v>
      </c>
      <c r="D805" s="1" t="s">
        <v>8116</v>
      </c>
      <c r="E805" t="s">
        <v>2740</v>
      </c>
      <c r="F805" t="s">
        <v>8117</v>
      </c>
      <c r="G805" t="s">
        <v>8118</v>
      </c>
      <c r="H805" t="s">
        <v>8119</v>
      </c>
      <c r="I805" t="s">
        <v>8120</v>
      </c>
      <c r="J805" t="s">
        <v>8080</v>
      </c>
      <c r="K805" t="s">
        <v>8081</v>
      </c>
      <c r="L805" t="s">
        <v>8082</v>
      </c>
    </row>
    <row r="806" spans="1:13" x14ac:dyDescent="0.25">
      <c r="A806" t="s">
        <v>5766</v>
      </c>
      <c r="B806" t="s">
        <v>2716</v>
      </c>
      <c r="C806" s="1" t="s">
        <v>2742</v>
      </c>
      <c r="D806" s="1" t="s">
        <v>8121</v>
      </c>
      <c r="E806" t="s">
        <v>2743</v>
      </c>
      <c r="F806" t="s">
        <v>8122</v>
      </c>
      <c r="G806" t="s">
        <v>8123</v>
      </c>
      <c r="H806" t="s">
        <v>8124</v>
      </c>
      <c r="I806" t="s">
        <v>6977</v>
      </c>
      <c r="J806" t="s">
        <v>8080</v>
      </c>
      <c r="K806" t="s">
        <v>8081</v>
      </c>
      <c r="L806" t="s">
        <v>8082</v>
      </c>
    </row>
    <row r="807" spans="1:13" x14ac:dyDescent="0.25">
      <c r="A807" t="s">
        <v>5766</v>
      </c>
      <c r="B807" t="s">
        <v>2716</v>
      </c>
      <c r="C807" s="1" t="s">
        <v>2745</v>
      </c>
      <c r="D807" s="1" t="s">
        <v>8125</v>
      </c>
      <c r="E807" t="s">
        <v>2746</v>
      </c>
      <c r="F807" t="s">
        <v>8126</v>
      </c>
      <c r="G807" t="s">
        <v>8127</v>
      </c>
      <c r="H807" t="s">
        <v>8128</v>
      </c>
      <c r="I807" t="s">
        <v>8129</v>
      </c>
      <c r="J807" t="s">
        <v>8080</v>
      </c>
      <c r="K807" t="s">
        <v>8081</v>
      </c>
      <c r="L807" t="s">
        <v>8082</v>
      </c>
    </row>
    <row r="808" spans="1:13" x14ac:dyDescent="0.25">
      <c r="A808" t="s">
        <v>5766</v>
      </c>
      <c r="B808" t="s">
        <v>2716</v>
      </c>
      <c r="C808" s="1" t="s">
        <v>2748</v>
      </c>
      <c r="D808" s="1" t="s">
        <v>8130</v>
      </c>
      <c r="E808" t="s">
        <v>2749</v>
      </c>
      <c r="F808" t="s">
        <v>8131</v>
      </c>
      <c r="G808" t="s">
        <v>8132</v>
      </c>
      <c r="H808" t="s">
        <v>8133</v>
      </c>
      <c r="I808" t="s">
        <v>8134</v>
      </c>
      <c r="J808" t="s">
        <v>8080</v>
      </c>
      <c r="K808" t="s">
        <v>8081</v>
      </c>
      <c r="L808" t="s">
        <v>8082</v>
      </c>
    </row>
    <row r="809" spans="1:13" x14ac:dyDescent="0.25">
      <c r="A809" t="s">
        <v>5766</v>
      </c>
      <c r="B809" t="s">
        <v>2716</v>
      </c>
      <c r="C809" s="1" t="s">
        <v>2751</v>
      </c>
      <c r="D809" s="1" t="s">
        <v>8135</v>
      </c>
      <c r="E809" t="s">
        <v>2752</v>
      </c>
      <c r="F809" t="s">
        <v>8136</v>
      </c>
      <c r="G809" t="s">
        <v>8137</v>
      </c>
      <c r="H809" t="s">
        <v>8138</v>
      </c>
      <c r="I809" t="s">
        <v>6300</v>
      </c>
      <c r="J809" t="s">
        <v>8080</v>
      </c>
      <c r="K809" t="s">
        <v>8081</v>
      </c>
      <c r="L809" t="s">
        <v>8082</v>
      </c>
    </row>
    <row r="810" spans="1:13" x14ac:dyDescent="0.25">
      <c r="A810" t="s">
        <v>5766</v>
      </c>
      <c r="B810" t="s">
        <v>2716</v>
      </c>
      <c r="C810" s="1" t="s">
        <v>2754</v>
      </c>
      <c r="D810" s="1" t="s">
        <v>8139</v>
      </c>
      <c r="E810" t="s">
        <v>2755</v>
      </c>
      <c r="F810" t="s">
        <v>8140</v>
      </c>
      <c r="G810" t="s">
        <v>8141</v>
      </c>
      <c r="H810" t="s">
        <v>8142</v>
      </c>
      <c r="I810" t="s">
        <v>8143</v>
      </c>
      <c r="J810" t="s">
        <v>8080</v>
      </c>
      <c r="K810" t="s">
        <v>8081</v>
      </c>
      <c r="L810" t="s">
        <v>8082</v>
      </c>
    </row>
    <row r="811" spans="1:13" x14ac:dyDescent="0.25">
      <c r="A811" t="s">
        <v>5766</v>
      </c>
      <c r="B811" t="s">
        <v>2716</v>
      </c>
      <c r="C811" s="1" t="s">
        <v>2757</v>
      </c>
      <c r="D811" s="1" t="s">
        <v>8144</v>
      </c>
      <c r="E811" t="s">
        <v>2758</v>
      </c>
      <c r="F811" t="s">
        <v>8145</v>
      </c>
      <c r="G811" t="s">
        <v>8146</v>
      </c>
      <c r="H811" t="s">
        <v>8147</v>
      </c>
      <c r="I811" t="s">
        <v>8148</v>
      </c>
      <c r="J811" t="s">
        <v>8080</v>
      </c>
      <c r="K811" t="s">
        <v>8081</v>
      </c>
      <c r="L811" t="s">
        <v>8082</v>
      </c>
    </row>
    <row r="812" spans="1:13" x14ac:dyDescent="0.25">
      <c r="A812" t="s">
        <v>5766</v>
      </c>
      <c r="B812" t="s">
        <v>2716</v>
      </c>
      <c r="C812" s="1" t="s">
        <v>2760</v>
      </c>
      <c r="D812" s="1" t="s">
        <v>8149</v>
      </c>
      <c r="E812" t="s">
        <v>2761</v>
      </c>
      <c r="F812" t="s">
        <v>8150</v>
      </c>
      <c r="G812" t="s">
        <v>8151</v>
      </c>
      <c r="H812" t="s">
        <v>8152</v>
      </c>
      <c r="I812" t="s">
        <v>7478</v>
      </c>
      <c r="J812" t="s">
        <v>8080</v>
      </c>
      <c r="K812" t="s">
        <v>8081</v>
      </c>
      <c r="L812" t="s">
        <v>8082</v>
      </c>
    </row>
    <row r="813" spans="1:13" x14ac:dyDescent="0.25">
      <c r="A813" t="s">
        <v>5766</v>
      </c>
      <c r="B813" t="s">
        <v>2716</v>
      </c>
      <c r="C813" s="1" t="s">
        <v>2763</v>
      </c>
      <c r="D813" s="1" t="s">
        <v>8153</v>
      </c>
      <c r="E813" t="s">
        <v>2765</v>
      </c>
      <c r="F813" t="s">
        <v>8154</v>
      </c>
      <c r="G813" t="s">
        <v>8155</v>
      </c>
      <c r="H813" t="s">
        <v>8156</v>
      </c>
      <c r="I813" t="s">
        <v>8157</v>
      </c>
      <c r="J813" t="s">
        <v>8080</v>
      </c>
      <c r="K813" t="s">
        <v>8081</v>
      </c>
      <c r="L813" t="s">
        <v>8082</v>
      </c>
    </row>
    <row r="814" spans="1:13" x14ac:dyDescent="0.25">
      <c r="A814" t="s">
        <v>5766</v>
      </c>
      <c r="B814" t="s">
        <v>2716</v>
      </c>
      <c r="C814" s="1" t="s">
        <v>52</v>
      </c>
      <c r="D814" s="1" t="s">
        <v>52</v>
      </c>
      <c r="E814" t="s">
        <v>5767</v>
      </c>
      <c r="F814" t="s">
        <v>8158</v>
      </c>
      <c r="G814" t="s">
        <v>5769</v>
      </c>
      <c r="H814" t="s">
        <v>8159</v>
      </c>
      <c r="I814" t="s">
        <v>8160</v>
      </c>
      <c r="J814" t="s">
        <v>8080</v>
      </c>
      <c r="K814" t="s">
        <v>8081</v>
      </c>
      <c r="L814" t="s">
        <v>8082</v>
      </c>
      <c r="M814" t="s">
        <v>65</v>
      </c>
    </row>
    <row r="815" spans="1:13" x14ac:dyDescent="0.25">
      <c r="A815" t="s">
        <v>5766</v>
      </c>
      <c r="B815" t="s">
        <v>2766</v>
      </c>
      <c r="C815" s="1" t="s">
        <v>2768</v>
      </c>
      <c r="D815" s="1" t="s">
        <v>2768</v>
      </c>
      <c r="E815" t="s">
        <v>2769</v>
      </c>
      <c r="F815" t="s">
        <v>8161</v>
      </c>
      <c r="G815" t="s">
        <v>8162</v>
      </c>
      <c r="H815" t="s">
        <v>2770</v>
      </c>
      <c r="I815" t="s">
        <v>8163</v>
      </c>
      <c r="J815" t="s">
        <v>8164</v>
      </c>
      <c r="K815" t="s">
        <v>5778</v>
      </c>
      <c r="L815" t="s">
        <v>5779</v>
      </c>
    </row>
    <row r="816" spans="1:13" x14ac:dyDescent="0.25">
      <c r="A816" t="s">
        <v>5766</v>
      </c>
      <c r="B816" t="s">
        <v>2766</v>
      </c>
      <c r="C816" s="1" t="s">
        <v>78</v>
      </c>
      <c r="D816" s="1" t="s">
        <v>5780</v>
      </c>
      <c r="E816" t="s">
        <v>5781</v>
      </c>
      <c r="F816" t="s">
        <v>8165</v>
      </c>
      <c r="G816" t="s">
        <v>5783</v>
      </c>
      <c r="H816" t="s">
        <v>8166</v>
      </c>
      <c r="I816" t="s">
        <v>8167</v>
      </c>
      <c r="J816" t="s">
        <v>8164</v>
      </c>
      <c r="K816" t="s">
        <v>5778</v>
      </c>
      <c r="L816" t="s">
        <v>5779</v>
      </c>
      <c r="M816" t="s">
        <v>65</v>
      </c>
    </row>
    <row r="817" spans="1:13" x14ac:dyDescent="0.25">
      <c r="A817" t="s">
        <v>5766</v>
      </c>
      <c r="B817" t="s">
        <v>2766</v>
      </c>
      <c r="C817" s="1" t="s">
        <v>52</v>
      </c>
      <c r="D817" s="1" t="s">
        <v>52</v>
      </c>
      <c r="E817" t="s">
        <v>5767</v>
      </c>
      <c r="F817" t="s">
        <v>8168</v>
      </c>
      <c r="G817" t="s">
        <v>5769</v>
      </c>
      <c r="H817" t="s">
        <v>8169</v>
      </c>
      <c r="I817" t="s">
        <v>8170</v>
      </c>
      <c r="J817" t="s">
        <v>8164</v>
      </c>
      <c r="K817" t="s">
        <v>5778</v>
      </c>
      <c r="L817" t="s">
        <v>5779</v>
      </c>
      <c r="M817" t="s">
        <v>65</v>
      </c>
    </row>
    <row r="818" spans="1:13" x14ac:dyDescent="0.25">
      <c r="A818" t="s">
        <v>5766</v>
      </c>
      <c r="B818" t="s">
        <v>2774</v>
      </c>
      <c r="C818" s="1" t="s">
        <v>2595</v>
      </c>
      <c r="D818" s="1" t="s">
        <v>2595</v>
      </c>
      <c r="E818" t="s">
        <v>2596</v>
      </c>
      <c r="F818" t="s">
        <v>8171</v>
      </c>
      <c r="G818" t="s">
        <v>7990</v>
      </c>
      <c r="H818" t="s">
        <v>2775</v>
      </c>
      <c r="I818" t="s">
        <v>8172</v>
      </c>
      <c r="J818" t="s">
        <v>8173</v>
      </c>
      <c r="K818" t="s">
        <v>8174</v>
      </c>
      <c r="L818" t="s">
        <v>8175</v>
      </c>
    </row>
    <row r="819" spans="1:13" x14ac:dyDescent="0.25">
      <c r="A819" t="s">
        <v>5766</v>
      </c>
      <c r="B819" t="s">
        <v>2774</v>
      </c>
      <c r="C819" s="1" t="s">
        <v>2777</v>
      </c>
      <c r="D819" s="1" t="s">
        <v>2777</v>
      </c>
      <c r="E819" t="s">
        <v>2778</v>
      </c>
      <c r="F819" t="s">
        <v>8176</v>
      </c>
      <c r="G819" t="s">
        <v>8177</v>
      </c>
      <c r="H819" t="s">
        <v>2781</v>
      </c>
      <c r="I819" t="s">
        <v>8178</v>
      </c>
      <c r="J819" t="s">
        <v>8173</v>
      </c>
      <c r="K819" t="s">
        <v>8174</v>
      </c>
      <c r="L819" t="s">
        <v>8175</v>
      </c>
    </row>
    <row r="820" spans="1:13" x14ac:dyDescent="0.25">
      <c r="A820" t="s">
        <v>5766</v>
      </c>
      <c r="B820" t="s">
        <v>2774</v>
      </c>
      <c r="C820" s="1" t="s">
        <v>2783</v>
      </c>
      <c r="D820" s="1" t="s">
        <v>2783</v>
      </c>
      <c r="E820" t="s">
        <v>2784</v>
      </c>
      <c r="F820" t="s">
        <v>8176</v>
      </c>
      <c r="G820" t="s">
        <v>8179</v>
      </c>
      <c r="H820" t="s">
        <v>2787</v>
      </c>
      <c r="I820" t="s">
        <v>8180</v>
      </c>
      <c r="J820" t="s">
        <v>8173</v>
      </c>
      <c r="K820" t="s">
        <v>8174</v>
      </c>
      <c r="L820" t="s">
        <v>8175</v>
      </c>
    </row>
    <row r="821" spans="1:13" x14ac:dyDescent="0.25">
      <c r="A821" t="s">
        <v>5766</v>
      </c>
      <c r="B821" t="s">
        <v>2774</v>
      </c>
      <c r="C821" s="1" t="s">
        <v>2789</v>
      </c>
      <c r="D821" s="1" t="s">
        <v>2789</v>
      </c>
      <c r="E821" t="s">
        <v>2790</v>
      </c>
      <c r="F821" t="s">
        <v>8171</v>
      </c>
      <c r="G821" t="s">
        <v>8181</v>
      </c>
      <c r="H821" t="s">
        <v>2793</v>
      </c>
      <c r="I821" t="s">
        <v>8182</v>
      </c>
      <c r="J821" t="s">
        <v>8173</v>
      </c>
      <c r="K821" t="s">
        <v>8174</v>
      </c>
      <c r="L821" t="s">
        <v>8175</v>
      </c>
    </row>
    <row r="822" spans="1:13" x14ac:dyDescent="0.25">
      <c r="A822" t="s">
        <v>5766</v>
      </c>
      <c r="B822" t="s">
        <v>2774</v>
      </c>
      <c r="C822" s="1" t="s">
        <v>2631</v>
      </c>
      <c r="D822" s="1" t="s">
        <v>2631</v>
      </c>
      <c r="E822" t="s">
        <v>2632</v>
      </c>
      <c r="F822" t="s">
        <v>8183</v>
      </c>
      <c r="G822" t="s">
        <v>8003</v>
      </c>
      <c r="H822" t="s">
        <v>8184</v>
      </c>
      <c r="I822" t="s">
        <v>8185</v>
      </c>
      <c r="J822" t="s">
        <v>8173</v>
      </c>
      <c r="K822" t="s">
        <v>8174</v>
      </c>
      <c r="L822" t="s">
        <v>8175</v>
      </c>
    </row>
    <row r="823" spans="1:13" x14ac:dyDescent="0.25">
      <c r="A823" t="s">
        <v>5766</v>
      </c>
      <c r="B823" t="s">
        <v>2774</v>
      </c>
      <c r="C823" s="1" t="s">
        <v>78</v>
      </c>
      <c r="D823" s="1" t="s">
        <v>5780</v>
      </c>
      <c r="E823" t="s">
        <v>5781</v>
      </c>
      <c r="F823" t="s">
        <v>8186</v>
      </c>
      <c r="G823" t="s">
        <v>5783</v>
      </c>
      <c r="H823" t="s">
        <v>8187</v>
      </c>
      <c r="I823" t="s">
        <v>7615</v>
      </c>
      <c r="J823" t="s">
        <v>8173</v>
      </c>
      <c r="K823" t="s">
        <v>8174</v>
      </c>
      <c r="L823" t="s">
        <v>8175</v>
      </c>
      <c r="M823" t="s">
        <v>65</v>
      </c>
    </row>
    <row r="824" spans="1:13" x14ac:dyDescent="0.25">
      <c r="A824" t="s">
        <v>5766</v>
      </c>
      <c r="B824" t="s">
        <v>2774</v>
      </c>
      <c r="C824" s="1" t="s">
        <v>52</v>
      </c>
      <c r="D824" s="1" t="s">
        <v>52</v>
      </c>
      <c r="E824" t="s">
        <v>5767</v>
      </c>
      <c r="F824" t="s">
        <v>8188</v>
      </c>
      <c r="G824" t="s">
        <v>5769</v>
      </c>
      <c r="H824" t="s">
        <v>8189</v>
      </c>
      <c r="I824" t="s">
        <v>6710</v>
      </c>
      <c r="J824" t="s">
        <v>8173</v>
      </c>
      <c r="K824" t="s">
        <v>8174</v>
      </c>
      <c r="L824" t="s">
        <v>8175</v>
      </c>
      <c r="M824" t="s">
        <v>65</v>
      </c>
    </row>
    <row r="825" spans="1:13" x14ac:dyDescent="0.25">
      <c r="A825" t="s">
        <v>5766</v>
      </c>
      <c r="B825" t="s">
        <v>2795</v>
      </c>
      <c r="C825" s="1" t="s">
        <v>2796</v>
      </c>
      <c r="D825" s="1" t="s">
        <v>2796</v>
      </c>
      <c r="E825" t="s">
        <v>2797</v>
      </c>
      <c r="F825" t="s">
        <v>8190</v>
      </c>
      <c r="G825" t="s">
        <v>8191</v>
      </c>
      <c r="H825" t="s">
        <v>2800</v>
      </c>
      <c r="I825" t="s">
        <v>8192</v>
      </c>
      <c r="J825" t="s">
        <v>8193</v>
      </c>
      <c r="K825" t="s">
        <v>8194</v>
      </c>
      <c r="L825" t="s">
        <v>8195</v>
      </c>
    </row>
    <row r="826" spans="1:13" x14ac:dyDescent="0.25">
      <c r="A826" t="s">
        <v>5766</v>
      </c>
      <c r="B826" t="s">
        <v>2795</v>
      </c>
      <c r="C826" s="1" t="s">
        <v>2802</v>
      </c>
      <c r="D826" s="1" t="s">
        <v>2802</v>
      </c>
      <c r="E826" t="s">
        <v>2803</v>
      </c>
      <c r="F826" t="s">
        <v>8196</v>
      </c>
      <c r="G826" t="s">
        <v>8197</v>
      </c>
      <c r="H826" t="s">
        <v>2806</v>
      </c>
      <c r="I826" t="s">
        <v>8198</v>
      </c>
      <c r="J826" t="s">
        <v>8193</v>
      </c>
      <c r="K826" t="s">
        <v>8194</v>
      </c>
      <c r="L826" t="s">
        <v>8195</v>
      </c>
    </row>
    <row r="827" spans="1:13" x14ac:dyDescent="0.25">
      <c r="A827" t="s">
        <v>5766</v>
      </c>
      <c r="B827" t="s">
        <v>2795</v>
      </c>
      <c r="C827" s="1" t="s">
        <v>2808</v>
      </c>
      <c r="D827" s="1" t="s">
        <v>2808</v>
      </c>
      <c r="E827" t="s">
        <v>2809</v>
      </c>
      <c r="F827" t="s">
        <v>8196</v>
      </c>
      <c r="G827" t="s">
        <v>8199</v>
      </c>
      <c r="H827" t="s">
        <v>2812</v>
      </c>
      <c r="I827" t="s">
        <v>8200</v>
      </c>
      <c r="J827" t="s">
        <v>8193</v>
      </c>
      <c r="K827" t="s">
        <v>8194</v>
      </c>
      <c r="L827" t="s">
        <v>8195</v>
      </c>
    </row>
    <row r="828" spans="1:13" x14ac:dyDescent="0.25">
      <c r="A828" t="s">
        <v>5766</v>
      </c>
      <c r="B828" t="s">
        <v>2795</v>
      </c>
      <c r="C828" s="1" t="s">
        <v>2814</v>
      </c>
      <c r="D828" s="1" t="s">
        <v>2814</v>
      </c>
      <c r="E828" t="s">
        <v>2815</v>
      </c>
      <c r="F828" t="s">
        <v>8190</v>
      </c>
      <c r="G828" t="s">
        <v>8201</v>
      </c>
      <c r="H828" t="s">
        <v>2818</v>
      </c>
      <c r="I828" t="s">
        <v>8202</v>
      </c>
      <c r="J828" t="s">
        <v>8193</v>
      </c>
      <c r="K828" t="s">
        <v>8194</v>
      </c>
      <c r="L828" t="s">
        <v>8195</v>
      </c>
    </row>
    <row r="829" spans="1:13" x14ac:dyDescent="0.25">
      <c r="A829" t="s">
        <v>5766</v>
      </c>
      <c r="B829" t="s">
        <v>2795</v>
      </c>
      <c r="C829" s="1" t="s">
        <v>2821</v>
      </c>
      <c r="D829" s="1" t="s">
        <v>2821</v>
      </c>
      <c r="E829" t="s">
        <v>2822</v>
      </c>
      <c r="F829" t="s">
        <v>8203</v>
      </c>
      <c r="G829" t="s">
        <v>8204</v>
      </c>
      <c r="H829" t="s">
        <v>8205</v>
      </c>
      <c r="I829" t="s">
        <v>8206</v>
      </c>
      <c r="J829" t="s">
        <v>8193</v>
      </c>
      <c r="K829" t="s">
        <v>8194</v>
      </c>
      <c r="L829" t="s">
        <v>8195</v>
      </c>
    </row>
    <row r="830" spans="1:13" x14ac:dyDescent="0.25">
      <c r="A830" t="s">
        <v>5766</v>
      </c>
      <c r="B830" t="s">
        <v>2795</v>
      </c>
      <c r="C830" s="1" t="s">
        <v>78</v>
      </c>
      <c r="D830" s="1" t="s">
        <v>5780</v>
      </c>
      <c r="E830" t="s">
        <v>5781</v>
      </c>
      <c r="F830" t="s">
        <v>8207</v>
      </c>
      <c r="G830" t="s">
        <v>5783</v>
      </c>
      <c r="H830" t="s">
        <v>8208</v>
      </c>
      <c r="I830" t="s">
        <v>8089</v>
      </c>
      <c r="J830" t="s">
        <v>8193</v>
      </c>
      <c r="K830" t="s">
        <v>8194</v>
      </c>
      <c r="L830" t="s">
        <v>8195</v>
      </c>
      <c r="M830" t="s">
        <v>65</v>
      </c>
    </row>
    <row r="831" spans="1:13" x14ac:dyDescent="0.25">
      <c r="A831" t="s">
        <v>5766</v>
      </c>
      <c r="B831" t="s">
        <v>2795</v>
      </c>
      <c r="C831" s="1" t="s">
        <v>52</v>
      </c>
      <c r="D831" s="1" t="s">
        <v>52</v>
      </c>
      <c r="E831" t="s">
        <v>5767</v>
      </c>
      <c r="F831" t="s">
        <v>8209</v>
      </c>
      <c r="G831" t="s">
        <v>5769</v>
      </c>
      <c r="H831" t="s">
        <v>8210</v>
      </c>
      <c r="I831" t="s">
        <v>8211</v>
      </c>
      <c r="J831" t="s">
        <v>8193</v>
      </c>
      <c r="K831" t="s">
        <v>8194</v>
      </c>
      <c r="L831" t="s">
        <v>8195</v>
      </c>
      <c r="M831" t="s">
        <v>65</v>
      </c>
    </row>
    <row r="832" spans="1:13" x14ac:dyDescent="0.25">
      <c r="A832" t="s">
        <v>5766</v>
      </c>
      <c r="B832" t="s">
        <v>2823</v>
      </c>
      <c r="C832" s="1" t="s">
        <v>2825</v>
      </c>
      <c r="D832" s="1" t="s">
        <v>2825</v>
      </c>
      <c r="E832" t="s">
        <v>2826</v>
      </c>
      <c r="F832" t="s">
        <v>6959</v>
      </c>
      <c r="G832" t="s">
        <v>8212</v>
      </c>
      <c r="H832" t="s">
        <v>8213</v>
      </c>
      <c r="I832" t="s">
        <v>7661</v>
      </c>
      <c r="J832" t="s">
        <v>8214</v>
      </c>
      <c r="K832" t="s">
        <v>8215</v>
      </c>
      <c r="L832" t="s">
        <v>8216</v>
      </c>
    </row>
    <row r="833" spans="1:12" x14ac:dyDescent="0.25">
      <c r="A833" t="s">
        <v>5766</v>
      </c>
      <c r="B833" t="s">
        <v>2823</v>
      </c>
      <c r="C833" s="1" t="s">
        <v>2828</v>
      </c>
      <c r="D833" s="1" t="s">
        <v>2828</v>
      </c>
      <c r="E833" t="s">
        <v>2829</v>
      </c>
      <c r="F833" t="s">
        <v>6959</v>
      </c>
      <c r="G833" t="s">
        <v>8217</v>
      </c>
      <c r="H833" t="s">
        <v>8218</v>
      </c>
      <c r="I833" t="s">
        <v>7661</v>
      </c>
      <c r="J833" t="s">
        <v>8214</v>
      </c>
      <c r="K833" t="s">
        <v>8215</v>
      </c>
      <c r="L833" t="s">
        <v>8216</v>
      </c>
    </row>
    <row r="834" spans="1:12" x14ac:dyDescent="0.25">
      <c r="A834" t="s">
        <v>5766</v>
      </c>
      <c r="B834" t="s">
        <v>2823</v>
      </c>
      <c r="C834" s="1" t="s">
        <v>2831</v>
      </c>
      <c r="D834" s="1" t="s">
        <v>2831</v>
      </c>
      <c r="E834" t="s">
        <v>2832</v>
      </c>
      <c r="F834" t="s">
        <v>8219</v>
      </c>
      <c r="G834" t="s">
        <v>8220</v>
      </c>
      <c r="H834" t="s">
        <v>8221</v>
      </c>
      <c r="I834" t="s">
        <v>6013</v>
      </c>
      <c r="J834" t="s">
        <v>8214</v>
      </c>
      <c r="K834" t="s">
        <v>8215</v>
      </c>
      <c r="L834" t="s">
        <v>8216</v>
      </c>
    </row>
    <row r="835" spans="1:12" x14ac:dyDescent="0.25">
      <c r="A835" t="s">
        <v>5766</v>
      </c>
      <c r="B835" t="s">
        <v>2823</v>
      </c>
      <c r="C835" s="1" t="s">
        <v>2834</v>
      </c>
      <c r="D835" s="1" t="s">
        <v>2834</v>
      </c>
      <c r="E835" t="s">
        <v>2835</v>
      </c>
      <c r="F835" t="s">
        <v>8219</v>
      </c>
      <c r="G835" t="s">
        <v>8222</v>
      </c>
      <c r="H835" t="s">
        <v>8223</v>
      </c>
      <c r="I835" t="s">
        <v>6013</v>
      </c>
      <c r="J835" t="s">
        <v>8214</v>
      </c>
      <c r="K835" t="s">
        <v>8215</v>
      </c>
      <c r="L835" t="s">
        <v>8216</v>
      </c>
    </row>
    <row r="836" spans="1:12" x14ac:dyDescent="0.25">
      <c r="A836" t="s">
        <v>5766</v>
      </c>
      <c r="B836" t="s">
        <v>2823</v>
      </c>
      <c r="C836" s="1" t="s">
        <v>2837</v>
      </c>
      <c r="D836" s="1" t="s">
        <v>2837</v>
      </c>
      <c r="E836" t="s">
        <v>2838</v>
      </c>
      <c r="F836" t="s">
        <v>8224</v>
      </c>
      <c r="G836" t="s">
        <v>8225</v>
      </c>
      <c r="H836" t="s">
        <v>8226</v>
      </c>
      <c r="I836" t="s">
        <v>8227</v>
      </c>
      <c r="J836" t="s">
        <v>8214</v>
      </c>
      <c r="K836" t="s">
        <v>8215</v>
      </c>
      <c r="L836" t="s">
        <v>8216</v>
      </c>
    </row>
    <row r="837" spans="1:12" x14ac:dyDescent="0.25">
      <c r="A837" t="s">
        <v>5766</v>
      </c>
      <c r="B837" t="s">
        <v>2823</v>
      </c>
      <c r="C837" s="1" t="s">
        <v>2840</v>
      </c>
      <c r="D837" s="1" t="s">
        <v>2840</v>
      </c>
      <c r="E837" t="s">
        <v>2841</v>
      </c>
      <c r="F837" t="s">
        <v>8224</v>
      </c>
      <c r="G837" t="s">
        <v>8228</v>
      </c>
      <c r="H837" t="s">
        <v>8229</v>
      </c>
      <c r="I837" t="s">
        <v>8227</v>
      </c>
      <c r="J837" t="s">
        <v>8214</v>
      </c>
      <c r="K837" t="s">
        <v>8215</v>
      </c>
      <c r="L837" t="s">
        <v>8216</v>
      </c>
    </row>
    <row r="838" spans="1:12" x14ac:dyDescent="0.25">
      <c r="A838" t="s">
        <v>5766</v>
      </c>
      <c r="B838" t="s">
        <v>2823</v>
      </c>
      <c r="C838" s="1" t="s">
        <v>2843</v>
      </c>
      <c r="D838" s="1" t="s">
        <v>2843</v>
      </c>
      <c r="E838" t="s">
        <v>2844</v>
      </c>
      <c r="F838" t="s">
        <v>8224</v>
      </c>
      <c r="G838" t="s">
        <v>8230</v>
      </c>
      <c r="H838" t="s">
        <v>8231</v>
      </c>
      <c r="I838" t="s">
        <v>8227</v>
      </c>
      <c r="J838" t="s">
        <v>8214</v>
      </c>
      <c r="K838" t="s">
        <v>8215</v>
      </c>
      <c r="L838" t="s">
        <v>8216</v>
      </c>
    </row>
    <row r="839" spans="1:12" x14ac:dyDescent="0.25">
      <c r="A839" t="s">
        <v>5766</v>
      </c>
      <c r="B839" t="s">
        <v>2823</v>
      </c>
      <c r="C839" s="1" t="s">
        <v>2846</v>
      </c>
      <c r="D839" s="1" t="s">
        <v>2846</v>
      </c>
      <c r="E839" t="s">
        <v>2847</v>
      </c>
      <c r="F839" t="s">
        <v>8224</v>
      </c>
      <c r="G839" t="s">
        <v>8232</v>
      </c>
      <c r="H839" t="s">
        <v>8233</v>
      </c>
      <c r="I839" t="s">
        <v>8227</v>
      </c>
      <c r="J839" t="s">
        <v>8214</v>
      </c>
      <c r="K839" t="s">
        <v>8215</v>
      </c>
      <c r="L839" t="s">
        <v>8216</v>
      </c>
    </row>
    <row r="840" spans="1:12" x14ac:dyDescent="0.25">
      <c r="A840" t="s">
        <v>5766</v>
      </c>
      <c r="B840" t="s">
        <v>2823</v>
      </c>
      <c r="C840" s="1" t="s">
        <v>2849</v>
      </c>
      <c r="D840" s="1" t="s">
        <v>2849</v>
      </c>
      <c r="E840" t="s">
        <v>2850</v>
      </c>
      <c r="F840" t="s">
        <v>8224</v>
      </c>
      <c r="G840" t="s">
        <v>8234</v>
      </c>
      <c r="H840" t="s">
        <v>8235</v>
      </c>
      <c r="I840" t="s">
        <v>8236</v>
      </c>
      <c r="J840" t="s">
        <v>8214</v>
      </c>
      <c r="K840" t="s">
        <v>8215</v>
      </c>
      <c r="L840" t="s">
        <v>8216</v>
      </c>
    </row>
    <row r="841" spans="1:12" x14ac:dyDescent="0.25">
      <c r="A841" t="s">
        <v>5766</v>
      </c>
      <c r="B841" t="s">
        <v>2823</v>
      </c>
      <c r="C841" s="1" t="s">
        <v>2852</v>
      </c>
      <c r="D841" s="1" t="s">
        <v>2852</v>
      </c>
      <c r="E841" t="s">
        <v>2853</v>
      </c>
      <c r="F841" t="s">
        <v>8237</v>
      </c>
      <c r="G841" t="s">
        <v>8238</v>
      </c>
      <c r="H841" t="s">
        <v>8239</v>
      </c>
      <c r="I841" t="s">
        <v>5910</v>
      </c>
      <c r="J841" t="s">
        <v>8214</v>
      </c>
      <c r="K841" t="s">
        <v>8215</v>
      </c>
      <c r="L841" t="s">
        <v>8216</v>
      </c>
    </row>
    <row r="842" spans="1:12" x14ac:dyDescent="0.25">
      <c r="A842" t="s">
        <v>5766</v>
      </c>
      <c r="B842" t="s">
        <v>2823</v>
      </c>
      <c r="C842" s="1" t="s">
        <v>2631</v>
      </c>
      <c r="D842" s="1" t="s">
        <v>2631</v>
      </c>
      <c r="E842" t="s">
        <v>2632</v>
      </c>
      <c r="F842" t="s">
        <v>7975</v>
      </c>
      <c r="G842" t="s">
        <v>8003</v>
      </c>
      <c r="H842" t="s">
        <v>8240</v>
      </c>
      <c r="I842" t="s">
        <v>7396</v>
      </c>
      <c r="J842" t="s">
        <v>8214</v>
      </c>
      <c r="K842" t="s">
        <v>8215</v>
      </c>
      <c r="L842" t="s">
        <v>8216</v>
      </c>
    </row>
    <row r="843" spans="1:12" x14ac:dyDescent="0.25">
      <c r="A843" t="s">
        <v>5766</v>
      </c>
      <c r="B843" t="s">
        <v>2823</v>
      </c>
      <c r="C843" s="1" t="s">
        <v>2855</v>
      </c>
      <c r="D843" s="1" t="s">
        <v>2855</v>
      </c>
      <c r="E843" t="s">
        <v>2856</v>
      </c>
      <c r="F843" t="s">
        <v>8241</v>
      </c>
      <c r="G843" t="s">
        <v>8242</v>
      </c>
      <c r="H843" t="s">
        <v>8243</v>
      </c>
      <c r="I843" t="s">
        <v>8244</v>
      </c>
      <c r="J843" t="s">
        <v>8214</v>
      </c>
      <c r="K843" t="s">
        <v>8215</v>
      </c>
      <c r="L843" t="s">
        <v>8216</v>
      </c>
    </row>
    <row r="844" spans="1:12" x14ac:dyDescent="0.25">
      <c r="A844" t="s">
        <v>5766</v>
      </c>
      <c r="B844" t="s">
        <v>2823</v>
      </c>
      <c r="C844" s="1" t="s">
        <v>2858</v>
      </c>
      <c r="D844" s="1" t="s">
        <v>2858</v>
      </c>
      <c r="E844" t="s">
        <v>2859</v>
      </c>
      <c r="F844" t="s">
        <v>8219</v>
      </c>
      <c r="G844" t="s">
        <v>8245</v>
      </c>
      <c r="H844" t="s">
        <v>8246</v>
      </c>
      <c r="I844" t="s">
        <v>5846</v>
      </c>
      <c r="J844" t="s">
        <v>8214</v>
      </c>
      <c r="K844" t="s">
        <v>8215</v>
      </c>
      <c r="L844" t="s">
        <v>8216</v>
      </c>
    </row>
    <row r="845" spans="1:12" x14ac:dyDescent="0.25">
      <c r="A845" t="s">
        <v>5766</v>
      </c>
      <c r="B845" t="s">
        <v>2823</v>
      </c>
      <c r="C845" s="1" t="s">
        <v>2861</v>
      </c>
      <c r="D845" s="1" t="s">
        <v>2861</v>
      </c>
      <c r="E845" t="s">
        <v>2862</v>
      </c>
      <c r="F845" t="s">
        <v>8241</v>
      </c>
      <c r="G845" t="s">
        <v>8247</v>
      </c>
      <c r="H845" t="s">
        <v>8248</v>
      </c>
      <c r="I845" t="s">
        <v>8244</v>
      </c>
      <c r="J845" t="s">
        <v>8214</v>
      </c>
      <c r="K845" t="s">
        <v>8215</v>
      </c>
      <c r="L845" t="s">
        <v>8216</v>
      </c>
    </row>
    <row r="846" spans="1:12" x14ac:dyDescent="0.25">
      <c r="A846" t="s">
        <v>5766</v>
      </c>
      <c r="B846" t="s">
        <v>2823</v>
      </c>
      <c r="C846" s="1" t="s">
        <v>2864</v>
      </c>
      <c r="D846" s="1" t="s">
        <v>2864</v>
      </c>
      <c r="E846" t="s">
        <v>2865</v>
      </c>
      <c r="F846" t="s">
        <v>8219</v>
      </c>
      <c r="G846" t="s">
        <v>8249</v>
      </c>
      <c r="H846" t="s">
        <v>8250</v>
      </c>
      <c r="I846" t="s">
        <v>6192</v>
      </c>
      <c r="J846" t="s">
        <v>8214</v>
      </c>
      <c r="K846" t="s">
        <v>8215</v>
      </c>
      <c r="L846" t="s">
        <v>8216</v>
      </c>
    </row>
    <row r="847" spans="1:12" x14ac:dyDescent="0.25">
      <c r="A847" t="s">
        <v>5766</v>
      </c>
      <c r="B847" t="s">
        <v>2823</v>
      </c>
      <c r="C847" s="1" t="s">
        <v>2867</v>
      </c>
      <c r="D847" s="1" t="s">
        <v>2867</v>
      </c>
      <c r="E847" t="s">
        <v>2868</v>
      </c>
      <c r="F847" t="s">
        <v>8219</v>
      </c>
      <c r="G847" t="s">
        <v>8251</v>
      </c>
      <c r="H847" t="s">
        <v>8252</v>
      </c>
      <c r="I847" t="s">
        <v>6192</v>
      </c>
      <c r="J847" t="s">
        <v>8214</v>
      </c>
      <c r="K847" t="s">
        <v>8215</v>
      </c>
      <c r="L847" t="s">
        <v>8216</v>
      </c>
    </row>
    <row r="848" spans="1:12" x14ac:dyDescent="0.25">
      <c r="A848" t="s">
        <v>5766</v>
      </c>
      <c r="B848" t="s">
        <v>2823</v>
      </c>
      <c r="C848" s="1" t="s">
        <v>2870</v>
      </c>
      <c r="D848" s="1" t="s">
        <v>2870</v>
      </c>
      <c r="E848" t="s">
        <v>2871</v>
      </c>
      <c r="F848" t="s">
        <v>8237</v>
      </c>
      <c r="G848" t="s">
        <v>8253</v>
      </c>
      <c r="H848" t="s">
        <v>8254</v>
      </c>
      <c r="I848" t="s">
        <v>7988</v>
      </c>
      <c r="J848" t="s">
        <v>8214</v>
      </c>
      <c r="K848" t="s">
        <v>8215</v>
      </c>
      <c r="L848" t="s">
        <v>8216</v>
      </c>
    </row>
    <row r="849" spans="1:12" x14ac:dyDescent="0.25">
      <c r="A849" t="s">
        <v>5766</v>
      </c>
      <c r="B849" t="s">
        <v>2823</v>
      </c>
      <c r="C849" s="1" t="s">
        <v>2873</v>
      </c>
      <c r="D849" s="1" t="s">
        <v>2873</v>
      </c>
      <c r="E849" t="s">
        <v>2874</v>
      </c>
      <c r="F849" t="s">
        <v>8255</v>
      </c>
      <c r="G849" t="s">
        <v>8256</v>
      </c>
      <c r="H849" t="s">
        <v>8257</v>
      </c>
      <c r="I849" t="s">
        <v>8258</v>
      </c>
      <c r="J849" t="s">
        <v>8214</v>
      </c>
      <c r="K849" t="s">
        <v>8215</v>
      </c>
      <c r="L849" t="s">
        <v>8216</v>
      </c>
    </row>
    <row r="850" spans="1:12" x14ac:dyDescent="0.25">
      <c r="A850" t="s">
        <v>5766</v>
      </c>
      <c r="B850" t="s">
        <v>2823</v>
      </c>
      <c r="C850" s="1" t="s">
        <v>2876</v>
      </c>
      <c r="D850" s="1" t="s">
        <v>2876</v>
      </c>
      <c r="E850" t="s">
        <v>2877</v>
      </c>
      <c r="F850" t="s">
        <v>8224</v>
      </c>
      <c r="G850" t="s">
        <v>8259</v>
      </c>
      <c r="H850" t="s">
        <v>8260</v>
      </c>
      <c r="I850" t="s">
        <v>6023</v>
      </c>
      <c r="J850" t="s">
        <v>8214</v>
      </c>
      <c r="K850" t="s">
        <v>8215</v>
      </c>
      <c r="L850" t="s">
        <v>8216</v>
      </c>
    </row>
    <row r="851" spans="1:12" x14ac:dyDescent="0.25">
      <c r="A851" t="s">
        <v>5766</v>
      </c>
      <c r="B851" t="s">
        <v>2823</v>
      </c>
      <c r="C851" s="1" t="s">
        <v>2879</v>
      </c>
      <c r="D851" s="1" t="s">
        <v>2879</v>
      </c>
      <c r="E851" t="s">
        <v>2880</v>
      </c>
      <c r="F851" t="s">
        <v>8224</v>
      </c>
      <c r="G851" t="s">
        <v>8261</v>
      </c>
      <c r="H851" t="s">
        <v>8262</v>
      </c>
      <c r="I851" t="s">
        <v>6023</v>
      </c>
      <c r="J851" t="s">
        <v>8214</v>
      </c>
      <c r="K851" t="s">
        <v>8215</v>
      </c>
      <c r="L851" t="s">
        <v>8216</v>
      </c>
    </row>
    <row r="852" spans="1:12" x14ac:dyDescent="0.25">
      <c r="A852" t="s">
        <v>5766</v>
      </c>
      <c r="B852" t="s">
        <v>2823</v>
      </c>
      <c r="C852" s="1" t="s">
        <v>2882</v>
      </c>
      <c r="D852" s="1" t="s">
        <v>2882</v>
      </c>
      <c r="E852" t="s">
        <v>2883</v>
      </c>
      <c r="F852" t="s">
        <v>8255</v>
      </c>
      <c r="G852" t="s">
        <v>8263</v>
      </c>
      <c r="H852" t="s">
        <v>8264</v>
      </c>
      <c r="I852" t="s">
        <v>8258</v>
      </c>
      <c r="J852" t="s">
        <v>8214</v>
      </c>
      <c r="K852" t="s">
        <v>8215</v>
      </c>
      <c r="L852" t="s">
        <v>8216</v>
      </c>
    </row>
    <row r="853" spans="1:12" x14ac:dyDescent="0.25">
      <c r="A853" t="s">
        <v>5766</v>
      </c>
      <c r="B853" t="s">
        <v>2823</v>
      </c>
      <c r="C853" s="1" t="s">
        <v>2885</v>
      </c>
      <c r="D853" s="1" t="s">
        <v>2885</v>
      </c>
      <c r="E853" t="s">
        <v>2886</v>
      </c>
      <c r="F853" t="s">
        <v>8224</v>
      </c>
      <c r="G853" t="s">
        <v>8265</v>
      </c>
      <c r="H853" t="s">
        <v>8266</v>
      </c>
      <c r="I853" t="s">
        <v>6023</v>
      </c>
      <c r="J853" t="s">
        <v>8214</v>
      </c>
      <c r="K853" t="s">
        <v>8215</v>
      </c>
      <c r="L853" t="s">
        <v>8216</v>
      </c>
    </row>
    <row r="854" spans="1:12" x14ac:dyDescent="0.25">
      <c r="A854" t="s">
        <v>5766</v>
      </c>
      <c r="B854" t="s">
        <v>2823</v>
      </c>
      <c r="C854" s="1" t="s">
        <v>2888</v>
      </c>
      <c r="D854" s="1" t="s">
        <v>2888</v>
      </c>
      <c r="E854" t="s">
        <v>2889</v>
      </c>
      <c r="F854" t="s">
        <v>8224</v>
      </c>
      <c r="G854" t="s">
        <v>8267</v>
      </c>
      <c r="H854" t="s">
        <v>8268</v>
      </c>
      <c r="I854" t="s">
        <v>8269</v>
      </c>
      <c r="J854" t="s">
        <v>8214</v>
      </c>
      <c r="K854" t="s">
        <v>8215</v>
      </c>
      <c r="L854" t="s">
        <v>8216</v>
      </c>
    </row>
    <row r="855" spans="1:12" x14ac:dyDescent="0.25">
      <c r="A855" t="s">
        <v>5766</v>
      </c>
      <c r="B855" t="s">
        <v>2823</v>
      </c>
      <c r="C855" s="1" t="s">
        <v>2891</v>
      </c>
      <c r="D855" s="1" t="s">
        <v>2891</v>
      </c>
      <c r="E855" t="s">
        <v>2892</v>
      </c>
      <c r="F855" t="s">
        <v>8255</v>
      </c>
      <c r="G855" t="s">
        <v>8270</v>
      </c>
      <c r="H855" t="s">
        <v>8271</v>
      </c>
      <c r="I855" t="s">
        <v>7353</v>
      </c>
      <c r="J855" t="s">
        <v>8214</v>
      </c>
      <c r="K855" t="s">
        <v>8215</v>
      </c>
      <c r="L855" t="s">
        <v>8216</v>
      </c>
    </row>
    <row r="856" spans="1:12" x14ac:dyDescent="0.25">
      <c r="A856" t="s">
        <v>5766</v>
      </c>
      <c r="B856" t="s">
        <v>2823</v>
      </c>
      <c r="C856" s="1" t="s">
        <v>2894</v>
      </c>
      <c r="D856" s="1" t="s">
        <v>2894</v>
      </c>
      <c r="E856" t="s">
        <v>2895</v>
      </c>
      <c r="F856" t="s">
        <v>8224</v>
      </c>
      <c r="G856" t="s">
        <v>8272</v>
      </c>
      <c r="H856" t="s">
        <v>8273</v>
      </c>
      <c r="I856" t="s">
        <v>6008</v>
      </c>
      <c r="J856" t="s">
        <v>8214</v>
      </c>
      <c r="K856" t="s">
        <v>8215</v>
      </c>
      <c r="L856" t="s">
        <v>8216</v>
      </c>
    </row>
    <row r="857" spans="1:12" x14ac:dyDescent="0.25">
      <c r="A857" t="s">
        <v>5766</v>
      </c>
      <c r="B857" t="s">
        <v>2823</v>
      </c>
      <c r="C857" s="1" t="s">
        <v>2897</v>
      </c>
      <c r="D857" s="1" t="s">
        <v>2897</v>
      </c>
      <c r="E857" t="s">
        <v>2898</v>
      </c>
      <c r="F857" t="s">
        <v>8224</v>
      </c>
      <c r="G857" t="s">
        <v>8274</v>
      </c>
      <c r="H857" t="s">
        <v>8275</v>
      </c>
      <c r="I857" t="s">
        <v>6008</v>
      </c>
      <c r="J857" t="s">
        <v>8214</v>
      </c>
      <c r="K857" t="s">
        <v>8215</v>
      </c>
      <c r="L857" t="s">
        <v>8216</v>
      </c>
    </row>
    <row r="858" spans="1:12" x14ac:dyDescent="0.25">
      <c r="A858" t="s">
        <v>5766</v>
      </c>
      <c r="B858" t="s">
        <v>2823</v>
      </c>
      <c r="C858" s="1" t="s">
        <v>2900</v>
      </c>
      <c r="D858" s="1" t="s">
        <v>2900</v>
      </c>
      <c r="E858" t="s">
        <v>2901</v>
      </c>
      <c r="F858" t="s">
        <v>8224</v>
      </c>
      <c r="G858" t="s">
        <v>8276</v>
      </c>
      <c r="H858" t="s">
        <v>8277</v>
      </c>
      <c r="I858" t="s">
        <v>6008</v>
      </c>
      <c r="J858" t="s">
        <v>8214</v>
      </c>
      <c r="K858" t="s">
        <v>8215</v>
      </c>
      <c r="L858" t="s">
        <v>8216</v>
      </c>
    </row>
    <row r="859" spans="1:12" x14ac:dyDescent="0.25">
      <c r="A859" t="s">
        <v>5766</v>
      </c>
      <c r="B859" t="s">
        <v>2823</v>
      </c>
      <c r="C859" s="1" t="s">
        <v>2903</v>
      </c>
      <c r="D859" s="1" t="s">
        <v>2903</v>
      </c>
      <c r="E859" t="s">
        <v>2904</v>
      </c>
      <c r="F859" t="s">
        <v>8255</v>
      </c>
      <c r="G859" t="s">
        <v>8278</v>
      </c>
      <c r="H859" t="s">
        <v>8279</v>
      </c>
      <c r="I859" t="s">
        <v>7353</v>
      </c>
      <c r="J859" t="s">
        <v>8214</v>
      </c>
      <c r="K859" t="s">
        <v>8215</v>
      </c>
      <c r="L859" t="s">
        <v>8216</v>
      </c>
    </row>
    <row r="860" spans="1:12" x14ac:dyDescent="0.25">
      <c r="A860" t="s">
        <v>5766</v>
      </c>
      <c r="B860" t="s">
        <v>2823</v>
      </c>
      <c r="C860" s="1" t="s">
        <v>2906</v>
      </c>
      <c r="D860" s="1" t="s">
        <v>2906</v>
      </c>
      <c r="E860" t="s">
        <v>2907</v>
      </c>
      <c r="F860" t="s">
        <v>8255</v>
      </c>
      <c r="G860" t="s">
        <v>8280</v>
      </c>
      <c r="H860" t="s">
        <v>8281</v>
      </c>
      <c r="I860" t="s">
        <v>7353</v>
      </c>
      <c r="J860" t="s">
        <v>8214</v>
      </c>
      <c r="K860" t="s">
        <v>8215</v>
      </c>
      <c r="L860" t="s">
        <v>8216</v>
      </c>
    </row>
    <row r="861" spans="1:12" x14ac:dyDescent="0.25">
      <c r="A861" t="s">
        <v>5766</v>
      </c>
      <c r="B861" t="s">
        <v>2823</v>
      </c>
      <c r="C861" s="1" t="s">
        <v>2909</v>
      </c>
      <c r="D861" s="1" t="s">
        <v>2909</v>
      </c>
      <c r="E861" t="s">
        <v>2910</v>
      </c>
      <c r="F861" t="s">
        <v>8255</v>
      </c>
      <c r="G861" t="s">
        <v>8282</v>
      </c>
      <c r="H861" t="s">
        <v>8283</v>
      </c>
      <c r="I861" t="s">
        <v>8284</v>
      </c>
      <c r="J861" t="s">
        <v>8214</v>
      </c>
      <c r="K861" t="s">
        <v>8215</v>
      </c>
      <c r="L861" t="s">
        <v>8216</v>
      </c>
    </row>
    <row r="862" spans="1:12" x14ac:dyDescent="0.25">
      <c r="A862" t="s">
        <v>5766</v>
      </c>
      <c r="B862" t="s">
        <v>2823</v>
      </c>
      <c r="C862" s="1" t="s">
        <v>2912</v>
      </c>
      <c r="D862" s="1" t="s">
        <v>2912</v>
      </c>
      <c r="E862" t="s">
        <v>2913</v>
      </c>
      <c r="F862" t="s">
        <v>8237</v>
      </c>
      <c r="G862" t="s">
        <v>8285</v>
      </c>
      <c r="H862" t="s">
        <v>8286</v>
      </c>
      <c r="I862" t="s">
        <v>6337</v>
      </c>
      <c r="J862" t="s">
        <v>8214</v>
      </c>
      <c r="K862" t="s">
        <v>8215</v>
      </c>
      <c r="L862" t="s">
        <v>8216</v>
      </c>
    </row>
    <row r="863" spans="1:12" x14ac:dyDescent="0.25">
      <c r="A863" t="s">
        <v>5766</v>
      </c>
      <c r="B863" t="s">
        <v>2823</v>
      </c>
      <c r="C863" s="1" t="s">
        <v>2915</v>
      </c>
      <c r="D863" s="1" t="s">
        <v>2915</v>
      </c>
      <c r="E863" t="s">
        <v>2916</v>
      </c>
      <c r="F863" t="s">
        <v>8237</v>
      </c>
      <c r="G863" t="s">
        <v>8287</v>
      </c>
      <c r="H863" t="s">
        <v>8288</v>
      </c>
      <c r="I863" t="s">
        <v>6337</v>
      </c>
      <c r="J863" t="s">
        <v>8214</v>
      </c>
      <c r="K863" t="s">
        <v>8215</v>
      </c>
      <c r="L863" t="s">
        <v>8216</v>
      </c>
    </row>
    <row r="864" spans="1:12" x14ac:dyDescent="0.25">
      <c r="A864" t="s">
        <v>5766</v>
      </c>
      <c r="B864" t="s">
        <v>2823</v>
      </c>
      <c r="C864" s="1" t="s">
        <v>2918</v>
      </c>
      <c r="D864" s="1" t="s">
        <v>2918</v>
      </c>
      <c r="E864" t="s">
        <v>2919</v>
      </c>
      <c r="F864" t="s">
        <v>8219</v>
      </c>
      <c r="G864" t="s">
        <v>8289</v>
      </c>
      <c r="H864" t="s">
        <v>8290</v>
      </c>
      <c r="I864" t="s">
        <v>6192</v>
      </c>
      <c r="J864" t="s">
        <v>8214</v>
      </c>
      <c r="K864" t="s">
        <v>8215</v>
      </c>
      <c r="L864" t="s">
        <v>8216</v>
      </c>
    </row>
    <row r="865" spans="1:12" x14ac:dyDescent="0.25">
      <c r="A865" t="s">
        <v>5766</v>
      </c>
      <c r="B865" t="s">
        <v>2823</v>
      </c>
      <c r="C865" s="1" t="s">
        <v>2921</v>
      </c>
      <c r="D865" s="1" t="s">
        <v>2921</v>
      </c>
      <c r="E865" t="s">
        <v>2922</v>
      </c>
      <c r="F865" t="s">
        <v>8291</v>
      </c>
      <c r="G865" t="s">
        <v>8292</v>
      </c>
      <c r="H865" t="s">
        <v>8293</v>
      </c>
      <c r="I865" t="s">
        <v>6518</v>
      </c>
      <c r="J865" t="s">
        <v>8214</v>
      </c>
      <c r="K865" t="s">
        <v>8215</v>
      </c>
      <c r="L865" t="s">
        <v>8216</v>
      </c>
    </row>
    <row r="866" spans="1:12" x14ac:dyDescent="0.25">
      <c r="A866" t="s">
        <v>5766</v>
      </c>
      <c r="B866" t="s">
        <v>2823</v>
      </c>
      <c r="C866" s="1" t="s">
        <v>2924</v>
      </c>
      <c r="D866" s="1" t="s">
        <v>2924</v>
      </c>
      <c r="E866" t="s">
        <v>2925</v>
      </c>
      <c r="F866" t="s">
        <v>8219</v>
      </c>
      <c r="G866" t="s">
        <v>8294</v>
      </c>
      <c r="H866" t="s">
        <v>8295</v>
      </c>
      <c r="I866" t="s">
        <v>5929</v>
      </c>
      <c r="J866" t="s">
        <v>8214</v>
      </c>
      <c r="K866" t="s">
        <v>8215</v>
      </c>
      <c r="L866" t="s">
        <v>8216</v>
      </c>
    </row>
    <row r="867" spans="1:12" x14ac:dyDescent="0.25">
      <c r="A867" t="s">
        <v>5766</v>
      </c>
      <c r="B867" t="s">
        <v>2823</v>
      </c>
      <c r="C867" s="1" t="s">
        <v>2927</v>
      </c>
      <c r="D867" s="1" t="s">
        <v>2927</v>
      </c>
      <c r="E867" t="s">
        <v>2928</v>
      </c>
      <c r="F867" t="s">
        <v>8219</v>
      </c>
      <c r="G867" t="s">
        <v>8296</v>
      </c>
      <c r="H867" t="s">
        <v>8297</v>
      </c>
      <c r="I867" t="s">
        <v>5929</v>
      </c>
      <c r="J867" t="s">
        <v>8214</v>
      </c>
      <c r="K867" t="s">
        <v>8215</v>
      </c>
      <c r="L867" t="s">
        <v>8216</v>
      </c>
    </row>
    <row r="868" spans="1:12" x14ac:dyDescent="0.25">
      <c r="A868" t="s">
        <v>5766</v>
      </c>
      <c r="B868" t="s">
        <v>2823</v>
      </c>
      <c r="C868" s="1" t="s">
        <v>2930</v>
      </c>
      <c r="D868" s="1" t="s">
        <v>2930</v>
      </c>
      <c r="E868" t="s">
        <v>2931</v>
      </c>
      <c r="F868" t="s">
        <v>8219</v>
      </c>
      <c r="G868" t="s">
        <v>8298</v>
      </c>
      <c r="H868" t="s">
        <v>8299</v>
      </c>
      <c r="I868" t="s">
        <v>5929</v>
      </c>
      <c r="J868" t="s">
        <v>8214</v>
      </c>
      <c r="K868" t="s">
        <v>8215</v>
      </c>
      <c r="L868" t="s">
        <v>8216</v>
      </c>
    </row>
    <row r="869" spans="1:12" x14ac:dyDescent="0.25">
      <c r="A869" t="s">
        <v>5766</v>
      </c>
      <c r="B869" t="s">
        <v>2823</v>
      </c>
      <c r="C869" s="1" t="s">
        <v>2933</v>
      </c>
      <c r="D869" s="1" t="s">
        <v>2933</v>
      </c>
      <c r="E869" t="s">
        <v>2934</v>
      </c>
      <c r="F869" t="s">
        <v>8219</v>
      </c>
      <c r="G869" t="s">
        <v>8300</v>
      </c>
      <c r="H869" t="s">
        <v>8301</v>
      </c>
      <c r="I869" t="s">
        <v>5929</v>
      </c>
      <c r="J869" t="s">
        <v>8214</v>
      </c>
      <c r="K869" t="s">
        <v>8215</v>
      </c>
      <c r="L869" t="s">
        <v>8216</v>
      </c>
    </row>
    <row r="870" spans="1:12" x14ac:dyDescent="0.25">
      <c r="A870" t="s">
        <v>5766</v>
      </c>
      <c r="B870" t="s">
        <v>2823</v>
      </c>
      <c r="C870" s="1" t="s">
        <v>2936</v>
      </c>
      <c r="D870" s="1" t="s">
        <v>2936</v>
      </c>
      <c r="E870" t="s">
        <v>2937</v>
      </c>
      <c r="F870" t="s">
        <v>8219</v>
      </c>
      <c r="G870" t="s">
        <v>8302</v>
      </c>
      <c r="H870" t="s">
        <v>8303</v>
      </c>
      <c r="I870" t="s">
        <v>6157</v>
      </c>
      <c r="J870" t="s">
        <v>8214</v>
      </c>
      <c r="K870" t="s">
        <v>8215</v>
      </c>
      <c r="L870" t="s">
        <v>8216</v>
      </c>
    </row>
    <row r="871" spans="1:12" x14ac:dyDescent="0.25">
      <c r="A871" t="s">
        <v>5766</v>
      </c>
      <c r="B871" t="s">
        <v>2823</v>
      </c>
      <c r="C871" s="1" t="s">
        <v>2939</v>
      </c>
      <c r="D871" s="1" t="s">
        <v>2939</v>
      </c>
      <c r="E871" t="s">
        <v>2940</v>
      </c>
      <c r="F871" t="s">
        <v>8291</v>
      </c>
      <c r="G871" t="s">
        <v>8304</v>
      </c>
      <c r="H871" t="s">
        <v>8305</v>
      </c>
      <c r="I871" t="s">
        <v>6192</v>
      </c>
      <c r="J871" t="s">
        <v>8214</v>
      </c>
      <c r="K871" t="s">
        <v>8215</v>
      </c>
      <c r="L871" t="s">
        <v>8216</v>
      </c>
    </row>
    <row r="872" spans="1:12" x14ac:dyDescent="0.25">
      <c r="A872" t="s">
        <v>5766</v>
      </c>
      <c r="B872" t="s">
        <v>2823</v>
      </c>
      <c r="C872" s="1" t="s">
        <v>2942</v>
      </c>
      <c r="D872" s="1" t="s">
        <v>2942</v>
      </c>
      <c r="E872" t="s">
        <v>2943</v>
      </c>
      <c r="F872" t="s">
        <v>8291</v>
      </c>
      <c r="G872" t="s">
        <v>8306</v>
      </c>
      <c r="H872" t="s">
        <v>8307</v>
      </c>
      <c r="I872" t="s">
        <v>6192</v>
      </c>
      <c r="J872" t="s">
        <v>8214</v>
      </c>
      <c r="K872" t="s">
        <v>8215</v>
      </c>
      <c r="L872" t="s">
        <v>8216</v>
      </c>
    </row>
    <row r="873" spans="1:12" x14ac:dyDescent="0.25">
      <c r="A873" t="s">
        <v>5766</v>
      </c>
      <c r="B873" t="s">
        <v>2823</v>
      </c>
      <c r="C873" s="1" t="s">
        <v>2945</v>
      </c>
      <c r="D873" s="1" t="s">
        <v>2945</v>
      </c>
      <c r="E873" t="s">
        <v>2946</v>
      </c>
      <c r="F873" t="s">
        <v>8219</v>
      </c>
      <c r="G873" t="s">
        <v>8308</v>
      </c>
      <c r="H873" t="s">
        <v>8309</v>
      </c>
      <c r="I873" t="s">
        <v>6157</v>
      </c>
      <c r="J873" t="s">
        <v>8214</v>
      </c>
      <c r="K873" t="s">
        <v>8215</v>
      </c>
      <c r="L873" t="s">
        <v>8216</v>
      </c>
    </row>
    <row r="874" spans="1:12" x14ac:dyDescent="0.25">
      <c r="A874" t="s">
        <v>5766</v>
      </c>
      <c r="B874" t="s">
        <v>2823</v>
      </c>
      <c r="C874" s="1" t="s">
        <v>2948</v>
      </c>
      <c r="D874" s="1" t="s">
        <v>2948</v>
      </c>
      <c r="E874" t="s">
        <v>2949</v>
      </c>
      <c r="F874" t="s">
        <v>8310</v>
      </c>
      <c r="G874" t="s">
        <v>8311</v>
      </c>
      <c r="H874" t="s">
        <v>8312</v>
      </c>
      <c r="I874" t="s">
        <v>8313</v>
      </c>
      <c r="J874" t="s">
        <v>8214</v>
      </c>
      <c r="K874" t="s">
        <v>8215</v>
      </c>
      <c r="L874" t="s">
        <v>8216</v>
      </c>
    </row>
    <row r="875" spans="1:12" x14ac:dyDescent="0.25">
      <c r="A875" t="s">
        <v>5766</v>
      </c>
      <c r="B875" t="s">
        <v>2823</v>
      </c>
      <c r="C875" s="1" t="s">
        <v>2951</v>
      </c>
      <c r="D875" s="1" t="s">
        <v>2951</v>
      </c>
      <c r="E875" t="s">
        <v>2952</v>
      </c>
      <c r="F875" t="s">
        <v>8291</v>
      </c>
      <c r="G875" t="s">
        <v>8314</v>
      </c>
      <c r="H875" t="s">
        <v>8315</v>
      </c>
      <c r="I875" t="s">
        <v>6192</v>
      </c>
      <c r="J875" t="s">
        <v>8214</v>
      </c>
      <c r="K875" t="s">
        <v>8215</v>
      </c>
      <c r="L875" t="s">
        <v>8216</v>
      </c>
    </row>
    <row r="876" spans="1:12" x14ac:dyDescent="0.25">
      <c r="A876" t="s">
        <v>5766</v>
      </c>
      <c r="B876" t="s">
        <v>2823</v>
      </c>
      <c r="C876" s="1" t="s">
        <v>2954</v>
      </c>
      <c r="D876" s="1" t="s">
        <v>2954</v>
      </c>
      <c r="E876" t="s">
        <v>2955</v>
      </c>
      <c r="F876" t="s">
        <v>8219</v>
      </c>
      <c r="G876" t="s">
        <v>8316</v>
      </c>
      <c r="H876" t="s">
        <v>8317</v>
      </c>
      <c r="I876" t="s">
        <v>5929</v>
      </c>
      <c r="J876" t="s">
        <v>8214</v>
      </c>
      <c r="K876" t="s">
        <v>8215</v>
      </c>
      <c r="L876" t="s">
        <v>8216</v>
      </c>
    </row>
    <row r="877" spans="1:12" x14ac:dyDescent="0.25">
      <c r="A877" t="s">
        <v>5766</v>
      </c>
      <c r="B877" t="s">
        <v>2823</v>
      </c>
      <c r="C877" s="1" t="s">
        <v>2957</v>
      </c>
      <c r="D877" s="1" t="s">
        <v>2957</v>
      </c>
      <c r="E877" t="s">
        <v>2958</v>
      </c>
      <c r="F877" t="s">
        <v>8219</v>
      </c>
      <c r="G877" t="s">
        <v>8318</v>
      </c>
      <c r="H877" t="s">
        <v>8319</v>
      </c>
      <c r="I877" t="s">
        <v>5929</v>
      </c>
      <c r="J877" t="s">
        <v>8214</v>
      </c>
      <c r="K877" t="s">
        <v>8215</v>
      </c>
      <c r="L877" t="s">
        <v>8216</v>
      </c>
    </row>
    <row r="878" spans="1:12" x14ac:dyDescent="0.25">
      <c r="A878" t="s">
        <v>5766</v>
      </c>
      <c r="B878" t="s">
        <v>2823</v>
      </c>
      <c r="C878" s="1" t="s">
        <v>2960</v>
      </c>
      <c r="D878" s="1" t="s">
        <v>2960</v>
      </c>
      <c r="E878" t="s">
        <v>2961</v>
      </c>
      <c r="F878" t="s">
        <v>8291</v>
      </c>
      <c r="G878" t="s">
        <v>8320</v>
      </c>
      <c r="H878" t="s">
        <v>8321</v>
      </c>
      <c r="I878" t="s">
        <v>7439</v>
      </c>
      <c r="J878" t="s">
        <v>8214</v>
      </c>
      <c r="K878" t="s">
        <v>8215</v>
      </c>
      <c r="L878" t="s">
        <v>8216</v>
      </c>
    </row>
    <row r="879" spans="1:12" x14ac:dyDescent="0.25">
      <c r="A879" t="s">
        <v>5766</v>
      </c>
      <c r="B879" t="s">
        <v>2823</v>
      </c>
      <c r="C879" s="1" t="s">
        <v>2963</v>
      </c>
      <c r="D879" s="1" t="s">
        <v>2963</v>
      </c>
      <c r="E879" t="s">
        <v>2964</v>
      </c>
      <c r="F879" t="s">
        <v>8219</v>
      </c>
      <c r="G879" t="s">
        <v>8322</v>
      </c>
      <c r="H879" t="s">
        <v>8323</v>
      </c>
      <c r="I879" t="s">
        <v>6157</v>
      </c>
      <c r="J879" t="s">
        <v>8214</v>
      </c>
      <c r="K879" t="s">
        <v>8215</v>
      </c>
      <c r="L879" t="s">
        <v>8216</v>
      </c>
    </row>
    <row r="880" spans="1:12" x14ac:dyDescent="0.25">
      <c r="A880" t="s">
        <v>5766</v>
      </c>
      <c r="B880" t="s">
        <v>2823</v>
      </c>
      <c r="C880" s="1" t="s">
        <v>2966</v>
      </c>
      <c r="D880" s="1" t="s">
        <v>2966</v>
      </c>
      <c r="E880" t="s">
        <v>2967</v>
      </c>
      <c r="F880" t="s">
        <v>8219</v>
      </c>
      <c r="G880" t="s">
        <v>8324</v>
      </c>
      <c r="H880" t="s">
        <v>8325</v>
      </c>
      <c r="I880" t="s">
        <v>6157</v>
      </c>
      <c r="J880" t="s">
        <v>8214</v>
      </c>
      <c r="K880" t="s">
        <v>8215</v>
      </c>
      <c r="L880" t="s">
        <v>8216</v>
      </c>
    </row>
    <row r="881" spans="1:12" x14ac:dyDescent="0.25">
      <c r="A881" t="s">
        <v>5766</v>
      </c>
      <c r="B881" t="s">
        <v>2823</v>
      </c>
      <c r="C881" s="1" t="s">
        <v>2969</v>
      </c>
      <c r="D881" s="1" t="s">
        <v>2969</v>
      </c>
      <c r="E881" t="s">
        <v>2970</v>
      </c>
      <c r="F881" t="s">
        <v>8219</v>
      </c>
      <c r="G881" t="s">
        <v>8326</v>
      </c>
      <c r="H881" t="s">
        <v>8327</v>
      </c>
      <c r="I881" t="s">
        <v>6157</v>
      </c>
      <c r="J881" t="s">
        <v>8214</v>
      </c>
      <c r="K881" t="s">
        <v>8215</v>
      </c>
      <c r="L881" t="s">
        <v>8216</v>
      </c>
    </row>
    <row r="882" spans="1:12" x14ac:dyDescent="0.25">
      <c r="A882" t="s">
        <v>5766</v>
      </c>
      <c r="B882" t="s">
        <v>2823</v>
      </c>
      <c r="C882" s="1" t="s">
        <v>2972</v>
      </c>
      <c r="D882" s="1" t="s">
        <v>2972</v>
      </c>
      <c r="E882" t="s">
        <v>2973</v>
      </c>
      <c r="F882" t="s">
        <v>8237</v>
      </c>
      <c r="G882" t="s">
        <v>8328</v>
      </c>
      <c r="H882" t="s">
        <v>8329</v>
      </c>
      <c r="I882" t="s">
        <v>8269</v>
      </c>
      <c r="J882" t="s">
        <v>8214</v>
      </c>
      <c r="K882" t="s">
        <v>8215</v>
      </c>
      <c r="L882" t="s">
        <v>8216</v>
      </c>
    </row>
    <row r="883" spans="1:12" x14ac:dyDescent="0.25">
      <c r="A883" t="s">
        <v>5766</v>
      </c>
      <c r="B883" t="s">
        <v>2823</v>
      </c>
      <c r="C883" s="1" t="s">
        <v>2975</v>
      </c>
      <c r="D883" s="1" t="s">
        <v>2975</v>
      </c>
      <c r="E883" t="s">
        <v>2976</v>
      </c>
      <c r="F883" t="s">
        <v>8237</v>
      </c>
      <c r="G883" t="s">
        <v>8330</v>
      </c>
      <c r="H883" t="s">
        <v>8331</v>
      </c>
      <c r="I883" t="s">
        <v>6023</v>
      </c>
      <c r="J883" t="s">
        <v>8214</v>
      </c>
      <c r="K883" t="s">
        <v>8215</v>
      </c>
      <c r="L883" t="s">
        <v>8216</v>
      </c>
    </row>
    <row r="884" spans="1:12" x14ac:dyDescent="0.25">
      <c r="A884" t="s">
        <v>5766</v>
      </c>
      <c r="B884" t="s">
        <v>2823</v>
      </c>
      <c r="C884" s="1" t="s">
        <v>2978</v>
      </c>
      <c r="D884" s="1" t="s">
        <v>2978</v>
      </c>
      <c r="E884" t="s">
        <v>2979</v>
      </c>
      <c r="F884" t="s">
        <v>8255</v>
      </c>
      <c r="G884" t="s">
        <v>8332</v>
      </c>
      <c r="H884" t="s">
        <v>8333</v>
      </c>
      <c r="I884" t="s">
        <v>8334</v>
      </c>
      <c r="J884" t="s">
        <v>8214</v>
      </c>
      <c r="K884" t="s">
        <v>8215</v>
      </c>
      <c r="L884" t="s">
        <v>8216</v>
      </c>
    </row>
    <row r="885" spans="1:12" x14ac:dyDescent="0.25">
      <c r="A885" t="s">
        <v>5766</v>
      </c>
      <c r="B885" t="s">
        <v>2823</v>
      </c>
      <c r="C885" s="1" t="s">
        <v>2981</v>
      </c>
      <c r="D885" s="1" t="s">
        <v>2981</v>
      </c>
      <c r="E885" t="s">
        <v>2982</v>
      </c>
      <c r="F885" t="s">
        <v>7828</v>
      </c>
      <c r="G885" t="s">
        <v>8335</v>
      </c>
      <c r="H885" t="s">
        <v>8336</v>
      </c>
      <c r="I885" t="s">
        <v>8337</v>
      </c>
      <c r="J885" t="s">
        <v>8214</v>
      </c>
      <c r="K885" t="s">
        <v>8215</v>
      </c>
      <c r="L885" t="s">
        <v>8216</v>
      </c>
    </row>
    <row r="886" spans="1:12" x14ac:dyDescent="0.25">
      <c r="A886" t="s">
        <v>5766</v>
      </c>
      <c r="B886" t="s">
        <v>2823</v>
      </c>
      <c r="C886" s="1" t="s">
        <v>2984</v>
      </c>
      <c r="D886" s="1" t="s">
        <v>2984</v>
      </c>
      <c r="E886" t="s">
        <v>2985</v>
      </c>
      <c r="F886" t="s">
        <v>8224</v>
      </c>
      <c r="G886" t="s">
        <v>8308</v>
      </c>
      <c r="H886" t="s">
        <v>8338</v>
      </c>
      <c r="I886" t="s">
        <v>6286</v>
      </c>
      <c r="J886" t="s">
        <v>8214</v>
      </c>
      <c r="K886" t="s">
        <v>8215</v>
      </c>
      <c r="L886" t="s">
        <v>8216</v>
      </c>
    </row>
    <row r="887" spans="1:12" x14ac:dyDescent="0.25">
      <c r="A887" t="s">
        <v>5766</v>
      </c>
      <c r="B887" t="s">
        <v>2823</v>
      </c>
      <c r="C887" s="1" t="s">
        <v>2987</v>
      </c>
      <c r="D887" s="1" t="s">
        <v>2987</v>
      </c>
      <c r="E887" t="s">
        <v>2988</v>
      </c>
      <c r="F887" t="s">
        <v>8339</v>
      </c>
      <c r="G887" t="s">
        <v>8340</v>
      </c>
      <c r="H887" t="s">
        <v>8341</v>
      </c>
      <c r="I887" t="s">
        <v>6101</v>
      </c>
      <c r="J887" t="s">
        <v>8214</v>
      </c>
      <c r="K887" t="s">
        <v>8215</v>
      </c>
      <c r="L887" t="s">
        <v>8216</v>
      </c>
    </row>
    <row r="888" spans="1:12" x14ac:dyDescent="0.25">
      <c r="A888" t="s">
        <v>5766</v>
      </c>
      <c r="B888" t="s">
        <v>2823</v>
      </c>
      <c r="C888" s="1" t="s">
        <v>2990</v>
      </c>
      <c r="D888" s="1" t="s">
        <v>2990</v>
      </c>
      <c r="E888" t="s">
        <v>2991</v>
      </c>
      <c r="F888" t="s">
        <v>8339</v>
      </c>
      <c r="G888" t="s">
        <v>8342</v>
      </c>
      <c r="H888" t="s">
        <v>8343</v>
      </c>
      <c r="I888" t="s">
        <v>6101</v>
      </c>
      <c r="J888" t="s">
        <v>8214</v>
      </c>
      <c r="K888" t="s">
        <v>8215</v>
      </c>
      <c r="L888" t="s">
        <v>8216</v>
      </c>
    </row>
    <row r="889" spans="1:12" x14ac:dyDescent="0.25">
      <c r="A889" t="s">
        <v>5766</v>
      </c>
      <c r="B889" t="s">
        <v>2823</v>
      </c>
      <c r="C889" s="1" t="s">
        <v>2993</v>
      </c>
      <c r="D889" s="1" t="s">
        <v>2993</v>
      </c>
      <c r="E889" t="s">
        <v>2994</v>
      </c>
      <c r="F889" t="s">
        <v>8344</v>
      </c>
      <c r="G889" t="s">
        <v>8345</v>
      </c>
      <c r="H889" t="s">
        <v>8346</v>
      </c>
      <c r="I889" t="s">
        <v>6149</v>
      </c>
      <c r="J889" t="s">
        <v>8214</v>
      </c>
      <c r="K889" t="s">
        <v>8215</v>
      </c>
      <c r="L889" t="s">
        <v>8216</v>
      </c>
    </row>
    <row r="890" spans="1:12" x14ac:dyDescent="0.25">
      <c r="A890" t="s">
        <v>5766</v>
      </c>
      <c r="B890" t="s">
        <v>2823</v>
      </c>
      <c r="C890" s="1" t="s">
        <v>2996</v>
      </c>
      <c r="D890" s="1" t="s">
        <v>2996</v>
      </c>
      <c r="E890" t="s">
        <v>2997</v>
      </c>
      <c r="F890" t="s">
        <v>8224</v>
      </c>
      <c r="G890" t="s">
        <v>8347</v>
      </c>
      <c r="H890" t="s">
        <v>8348</v>
      </c>
      <c r="I890" t="s">
        <v>6125</v>
      </c>
      <c r="J890" t="s">
        <v>8214</v>
      </c>
      <c r="K890" t="s">
        <v>8215</v>
      </c>
      <c r="L890" t="s">
        <v>8216</v>
      </c>
    </row>
    <row r="891" spans="1:12" x14ac:dyDescent="0.25">
      <c r="A891" t="s">
        <v>5766</v>
      </c>
      <c r="B891" t="s">
        <v>2823</v>
      </c>
      <c r="C891" s="1" t="s">
        <v>2999</v>
      </c>
      <c r="D891" s="1" t="s">
        <v>2999</v>
      </c>
      <c r="E891" t="s">
        <v>3000</v>
      </c>
      <c r="F891" t="s">
        <v>8255</v>
      </c>
      <c r="G891" t="s">
        <v>8349</v>
      </c>
      <c r="H891" t="s">
        <v>8350</v>
      </c>
      <c r="I891" t="s">
        <v>8334</v>
      </c>
      <c r="J891" t="s">
        <v>8214</v>
      </c>
      <c r="K891" t="s">
        <v>8215</v>
      </c>
      <c r="L891" t="s">
        <v>8216</v>
      </c>
    </row>
    <row r="892" spans="1:12" x14ac:dyDescent="0.25">
      <c r="A892" t="s">
        <v>5766</v>
      </c>
      <c r="B892" t="s">
        <v>2823</v>
      </c>
      <c r="C892" s="1" t="s">
        <v>3002</v>
      </c>
      <c r="D892" s="1" t="s">
        <v>3002</v>
      </c>
      <c r="E892" t="s">
        <v>3003</v>
      </c>
      <c r="F892" t="s">
        <v>8255</v>
      </c>
      <c r="G892" t="s">
        <v>7472</v>
      </c>
      <c r="H892" t="s">
        <v>8351</v>
      </c>
      <c r="I892" t="s">
        <v>8236</v>
      </c>
      <c r="J892" t="s">
        <v>8214</v>
      </c>
      <c r="K892" t="s">
        <v>8215</v>
      </c>
      <c r="L892" t="s">
        <v>8216</v>
      </c>
    </row>
    <row r="893" spans="1:12" x14ac:dyDescent="0.25">
      <c r="A893" t="s">
        <v>5766</v>
      </c>
      <c r="B893" t="s">
        <v>2823</v>
      </c>
      <c r="C893" s="1" t="s">
        <v>3005</v>
      </c>
      <c r="D893" s="1" t="s">
        <v>3005</v>
      </c>
      <c r="E893" t="s">
        <v>3006</v>
      </c>
      <c r="F893" t="s">
        <v>8224</v>
      </c>
      <c r="G893" t="s">
        <v>8352</v>
      </c>
      <c r="H893" t="s">
        <v>8353</v>
      </c>
      <c r="I893" t="s">
        <v>6286</v>
      </c>
      <c r="J893" t="s">
        <v>8214</v>
      </c>
      <c r="K893" t="s">
        <v>8215</v>
      </c>
      <c r="L893" t="s">
        <v>8216</v>
      </c>
    </row>
    <row r="894" spans="1:12" x14ac:dyDescent="0.25">
      <c r="A894" t="s">
        <v>5766</v>
      </c>
      <c r="B894" t="s">
        <v>2823</v>
      </c>
      <c r="C894" s="1" t="s">
        <v>3008</v>
      </c>
      <c r="D894" s="1" t="s">
        <v>3008</v>
      </c>
      <c r="E894" t="s">
        <v>3009</v>
      </c>
      <c r="F894" t="s">
        <v>8255</v>
      </c>
      <c r="G894" t="s">
        <v>8354</v>
      </c>
      <c r="H894" t="s">
        <v>8355</v>
      </c>
      <c r="I894" t="s">
        <v>8236</v>
      </c>
      <c r="J894" t="s">
        <v>8214</v>
      </c>
      <c r="K894" t="s">
        <v>8215</v>
      </c>
      <c r="L894" t="s">
        <v>8216</v>
      </c>
    </row>
    <row r="895" spans="1:12" x14ac:dyDescent="0.25">
      <c r="A895" t="s">
        <v>5766</v>
      </c>
      <c r="B895" t="s">
        <v>2823</v>
      </c>
      <c r="C895" s="1" t="s">
        <v>3011</v>
      </c>
      <c r="D895" s="1" t="s">
        <v>3011</v>
      </c>
      <c r="E895" t="s">
        <v>3012</v>
      </c>
      <c r="F895" t="s">
        <v>8255</v>
      </c>
      <c r="G895" t="s">
        <v>8356</v>
      </c>
      <c r="H895" t="s">
        <v>8357</v>
      </c>
      <c r="I895" t="s">
        <v>8334</v>
      </c>
      <c r="J895" t="s">
        <v>8214</v>
      </c>
      <c r="K895" t="s">
        <v>8215</v>
      </c>
      <c r="L895" t="s">
        <v>8216</v>
      </c>
    </row>
    <row r="896" spans="1:12" x14ac:dyDescent="0.25">
      <c r="A896" t="s">
        <v>5766</v>
      </c>
      <c r="B896" t="s">
        <v>2823</v>
      </c>
      <c r="C896" s="1" t="s">
        <v>3014</v>
      </c>
      <c r="D896" s="1" t="s">
        <v>3014</v>
      </c>
      <c r="E896" t="s">
        <v>3015</v>
      </c>
      <c r="F896" t="s">
        <v>8224</v>
      </c>
      <c r="G896" t="s">
        <v>8358</v>
      </c>
      <c r="H896" t="s">
        <v>8359</v>
      </c>
      <c r="I896" t="s">
        <v>6125</v>
      </c>
      <c r="J896" t="s">
        <v>8214</v>
      </c>
      <c r="K896" t="s">
        <v>8215</v>
      </c>
      <c r="L896" t="s">
        <v>8216</v>
      </c>
    </row>
    <row r="897" spans="1:12" x14ac:dyDescent="0.25">
      <c r="A897" t="s">
        <v>5766</v>
      </c>
      <c r="B897" t="s">
        <v>2823</v>
      </c>
      <c r="C897" s="1" t="s">
        <v>3017</v>
      </c>
      <c r="D897" s="1" t="s">
        <v>3017</v>
      </c>
      <c r="E897" t="s">
        <v>3018</v>
      </c>
      <c r="F897" t="s">
        <v>8224</v>
      </c>
      <c r="G897" t="s">
        <v>8360</v>
      </c>
      <c r="H897" t="s">
        <v>8361</v>
      </c>
      <c r="I897" t="s">
        <v>6125</v>
      </c>
      <c r="J897" t="s">
        <v>8214</v>
      </c>
      <c r="K897" t="s">
        <v>8215</v>
      </c>
      <c r="L897" t="s">
        <v>8216</v>
      </c>
    </row>
    <row r="898" spans="1:12" x14ac:dyDescent="0.25">
      <c r="A898" t="s">
        <v>5766</v>
      </c>
      <c r="B898" t="s">
        <v>2823</v>
      </c>
      <c r="C898" s="1" t="s">
        <v>3020</v>
      </c>
      <c r="D898" s="1" t="s">
        <v>3020</v>
      </c>
      <c r="E898" t="s">
        <v>3021</v>
      </c>
      <c r="F898" t="s">
        <v>8255</v>
      </c>
      <c r="G898" t="s">
        <v>8360</v>
      </c>
      <c r="H898" t="s">
        <v>8362</v>
      </c>
      <c r="I898" t="s">
        <v>8334</v>
      </c>
      <c r="J898" t="s">
        <v>8214</v>
      </c>
      <c r="K898" t="s">
        <v>8215</v>
      </c>
      <c r="L898" t="s">
        <v>8216</v>
      </c>
    </row>
    <row r="899" spans="1:12" x14ac:dyDescent="0.25">
      <c r="A899" t="s">
        <v>5766</v>
      </c>
      <c r="B899" t="s">
        <v>2823</v>
      </c>
      <c r="C899" s="1" t="s">
        <v>3023</v>
      </c>
      <c r="D899" s="1" t="s">
        <v>3023</v>
      </c>
      <c r="E899" t="s">
        <v>3024</v>
      </c>
      <c r="F899" t="s">
        <v>8224</v>
      </c>
      <c r="G899" t="s">
        <v>8363</v>
      </c>
      <c r="H899" t="s">
        <v>8364</v>
      </c>
      <c r="I899" t="s">
        <v>6286</v>
      </c>
      <c r="J899" t="s">
        <v>8214</v>
      </c>
      <c r="K899" t="s">
        <v>8215</v>
      </c>
      <c r="L899" t="s">
        <v>8216</v>
      </c>
    </row>
    <row r="900" spans="1:12" x14ac:dyDescent="0.25">
      <c r="A900" t="s">
        <v>5766</v>
      </c>
      <c r="B900" t="s">
        <v>2823</v>
      </c>
      <c r="C900" s="1" t="s">
        <v>3026</v>
      </c>
      <c r="D900" s="1" t="s">
        <v>3026</v>
      </c>
      <c r="E900" t="s">
        <v>3027</v>
      </c>
      <c r="F900" t="s">
        <v>8224</v>
      </c>
      <c r="G900" t="s">
        <v>8365</v>
      </c>
      <c r="H900" t="s">
        <v>8366</v>
      </c>
      <c r="I900" t="s">
        <v>6286</v>
      </c>
      <c r="J900" t="s">
        <v>8214</v>
      </c>
      <c r="K900" t="s">
        <v>8215</v>
      </c>
      <c r="L900" t="s">
        <v>8216</v>
      </c>
    </row>
    <row r="901" spans="1:12" x14ac:dyDescent="0.25">
      <c r="A901" t="s">
        <v>5766</v>
      </c>
      <c r="B901" t="s">
        <v>2823</v>
      </c>
      <c r="C901" s="1" t="s">
        <v>3029</v>
      </c>
      <c r="D901" s="1" t="s">
        <v>3029</v>
      </c>
      <c r="E901" t="s">
        <v>3030</v>
      </c>
      <c r="F901" t="s">
        <v>8224</v>
      </c>
      <c r="G901" t="s">
        <v>8367</v>
      </c>
      <c r="H901" t="s">
        <v>8368</v>
      </c>
      <c r="I901" t="s">
        <v>6286</v>
      </c>
      <c r="J901" t="s">
        <v>8214</v>
      </c>
      <c r="K901" t="s">
        <v>8215</v>
      </c>
      <c r="L901" t="s">
        <v>8216</v>
      </c>
    </row>
    <row r="902" spans="1:12" x14ac:dyDescent="0.25">
      <c r="A902" t="s">
        <v>5766</v>
      </c>
      <c r="B902" t="s">
        <v>2823</v>
      </c>
      <c r="C902" s="1" t="s">
        <v>3032</v>
      </c>
      <c r="D902" s="1" t="s">
        <v>3032</v>
      </c>
      <c r="E902" t="s">
        <v>3033</v>
      </c>
      <c r="F902" t="s">
        <v>8224</v>
      </c>
      <c r="G902" t="s">
        <v>8369</v>
      </c>
      <c r="H902" t="s">
        <v>8370</v>
      </c>
      <c r="I902" t="s">
        <v>6125</v>
      </c>
      <c r="J902" t="s">
        <v>8214</v>
      </c>
      <c r="K902" t="s">
        <v>8215</v>
      </c>
      <c r="L902" t="s">
        <v>8216</v>
      </c>
    </row>
    <row r="903" spans="1:12" x14ac:dyDescent="0.25">
      <c r="A903" t="s">
        <v>5766</v>
      </c>
      <c r="B903" t="s">
        <v>2823</v>
      </c>
      <c r="C903" s="1" t="s">
        <v>3035</v>
      </c>
      <c r="D903" s="1" t="s">
        <v>3035</v>
      </c>
      <c r="E903" t="s">
        <v>3036</v>
      </c>
      <c r="F903" t="s">
        <v>8224</v>
      </c>
      <c r="G903" t="s">
        <v>8371</v>
      </c>
      <c r="H903" t="s">
        <v>8372</v>
      </c>
      <c r="I903" t="s">
        <v>6286</v>
      </c>
      <c r="J903" t="s">
        <v>8214</v>
      </c>
      <c r="K903" t="s">
        <v>8215</v>
      </c>
      <c r="L903" t="s">
        <v>8216</v>
      </c>
    </row>
    <row r="904" spans="1:12" x14ac:dyDescent="0.25">
      <c r="A904" t="s">
        <v>5766</v>
      </c>
      <c r="B904" t="s">
        <v>2823</v>
      </c>
      <c r="C904" s="1" t="s">
        <v>3038</v>
      </c>
      <c r="D904" s="1" t="s">
        <v>3038</v>
      </c>
      <c r="E904" t="s">
        <v>3039</v>
      </c>
      <c r="F904" t="s">
        <v>8373</v>
      </c>
      <c r="G904" t="s">
        <v>8374</v>
      </c>
      <c r="H904" t="s">
        <v>8375</v>
      </c>
      <c r="I904" t="s">
        <v>8313</v>
      </c>
      <c r="J904" t="s">
        <v>8214</v>
      </c>
      <c r="K904" t="s">
        <v>8215</v>
      </c>
      <c r="L904" t="s">
        <v>8216</v>
      </c>
    </row>
    <row r="905" spans="1:12" x14ac:dyDescent="0.25">
      <c r="A905" t="s">
        <v>5766</v>
      </c>
      <c r="B905" t="s">
        <v>2823</v>
      </c>
      <c r="C905" s="1" t="s">
        <v>3041</v>
      </c>
      <c r="D905" s="1" t="s">
        <v>3041</v>
      </c>
      <c r="E905" t="s">
        <v>3042</v>
      </c>
      <c r="F905" t="s">
        <v>8224</v>
      </c>
      <c r="G905" t="s">
        <v>8376</v>
      </c>
      <c r="H905" t="s">
        <v>8377</v>
      </c>
      <c r="I905" t="s">
        <v>6286</v>
      </c>
      <c r="J905" t="s">
        <v>8214</v>
      </c>
      <c r="K905" t="s">
        <v>8215</v>
      </c>
      <c r="L905" t="s">
        <v>8216</v>
      </c>
    </row>
    <row r="906" spans="1:12" x14ac:dyDescent="0.25">
      <c r="A906" t="s">
        <v>5766</v>
      </c>
      <c r="B906" t="s">
        <v>2823</v>
      </c>
      <c r="C906" s="1" t="s">
        <v>3044</v>
      </c>
      <c r="D906" s="1" t="s">
        <v>3044</v>
      </c>
      <c r="E906" t="s">
        <v>3045</v>
      </c>
      <c r="F906" t="s">
        <v>8378</v>
      </c>
      <c r="G906" t="s">
        <v>8379</v>
      </c>
      <c r="H906" t="s">
        <v>8380</v>
      </c>
      <c r="I906" t="s">
        <v>6049</v>
      </c>
      <c r="J906" t="s">
        <v>8214</v>
      </c>
      <c r="K906" t="s">
        <v>8215</v>
      </c>
      <c r="L906" t="s">
        <v>8216</v>
      </c>
    </row>
    <row r="907" spans="1:12" x14ac:dyDescent="0.25">
      <c r="A907" t="s">
        <v>5766</v>
      </c>
      <c r="B907" t="s">
        <v>2823</v>
      </c>
      <c r="C907" s="1" t="s">
        <v>3047</v>
      </c>
      <c r="D907" s="1" t="s">
        <v>3047</v>
      </c>
      <c r="E907" t="s">
        <v>3048</v>
      </c>
      <c r="F907" t="s">
        <v>7828</v>
      </c>
      <c r="G907" t="s">
        <v>8381</v>
      </c>
      <c r="H907" t="s">
        <v>8382</v>
      </c>
      <c r="I907" t="s">
        <v>8337</v>
      </c>
      <c r="J907" t="s">
        <v>8214</v>
      </c>
      <c r="K907" t="s">
        <v>8215</v>
      </c>
      <c r="L907" t="s">
        <v>8216</v>
      </c>
    </row>
    <row r="908" spans="1:12" x14ac:dyDescent="0.25">
      <c r="A908" t="s">
        <v>5766</v>
      </c>
      <c r="B908" t="s">
        <v>2823</v>
      </c>
      <c r="C908" s="1" t="s">
        <v>3050</v>
      </c>
      <c r="D908" s="1" t="s">
        <v>3050</v>
      </c>
      <c r="E908" t="s">
        <v>3051</v>
      </c>
      <c r="F908" t="s">
        <v>8339</v>
      </c>
      <c r="G908" t="s">
        <v>8383</v>
      </c>
      <c r="H908" t="s">
        <v>8384</v>
      </c>
      <c r="I908" t="s">
        <v>6321</v>
      </c>
      <c r="J908" t="s">
        <v>8214</v>
      </c>
      <c r="K908" t="s">
        <v>8215</v>
      </c>
      <c r="L908" t="s">
        <v>8216</v>
      </c>
    </row>
    <row r="909" spans="1:12" x14ac:dyDescent="0.25">
      <c r="A909" t="s">
        <v>5766</v>
      </c>
      <c r="B909" t="s">
        <v>2823</v>
      </c>
      <c r="C909" s="1" t="s">
        <v>3053</v>
      </c>
      <c r="D909" s="1" t="s">
        <v>3053</v>
      </c>
      <c r="E909" t="s">
        <v>3054</v>
      </c>
      <c r="F909" t="s">
        <v>8224</v>
      </c>
      <c r="G909" t="s">
        <v>8385</v>
      </c>
      <c r="H909" t="s">
        <v>8386</v>
      </c>
      <c r="I909" t="s">
        <v>8387</v>
      </c>
      <c r="J909" t="s">
        <v>8214</v>
      </c>
      <c r="K909" t="s">
        <v>8215</v>
      </c>
      <c r="L909" t="s">
        <v>8216</v>
      </c>
    </row>
    <row r="910" spans="1:12" x14ac:dyDescent="0.25">
      <c r="A910" t="s">
        <v>5766</v>
      </c>
      <c r="B910" t="s">
        <v>2823</v>
      </c>
      <c r="C910" s="1" t="s">
        <v>3056</v>
      </c>
      <c r="D910" s="1" t="s">
        <v>3056</v>
      </c>
      <c r="E910" t="s">
        <v>3057</v>
      </c>
      <c r="F910" t="s">
        <v>8373</v>
      </c>
      <c r="G910" t="s">
        <v>8388</v>
      </c>
      <c r="H910" t="s">
        <v>8389</v>
      </c>
      <c r="I910" t="s">
        <v>8390</v>
      </c>
      <c r="J910" t="s">
        <v>8214</v>
      </c>
      <c r="K910" t="s">
        <v>8215</v>
      </c>
      <c r="L910" t="s">
        <v>8216</v>
      </c>
    </row>
    <row r="911" spans="1:12" x14ac:dyDescent="0.25">
      <c r="A911" t="s">
        <v>5766</v>
      </c>
      <c r="B911" t="s">
        <v>2823</v>
      </c>
      <c r="C911" s="1" t="s">
        <v>3059</v>
      </c>
      <c r="D911" s="1" t="s">
        <v>3059</v>
      </c>
      <c r="E911" t="s">
        <v>3060</v>
      </c>
      <c r="F911" t="s">
        <v>8224</v>
      </c>
      <c r="G911" t="s">
        <v>8391</v>
      </c>
      <c r="H911" t="s">
        <v>8392</v>
      </c>
      <c r="I911" t="s">
        <v>8387</v>
      </c>
      <c r="J911" t="s">
        <v>8214</v>
      </c>
      <c r="K911" t="s">
        <v>8215</v>
      </c>
      <c r="L911" t="s">
        <v>8216</v>
      </c>
    </row>
    <row r="912" spans="1:12" x14ac:dyDescent="0.25">
      <c r="A912" t="s">
        <v>5766</v>
      </c>
      <c r="B912" t="s">
        <v>2823</v>
      </c>
      <c r="C912" s="1" t="s">
        <v>3062</v>
      </c>
      <c r="D912" s="1" t="s">
        <v>3062</v>
      </c>
      <c r="E912" t="s">
        <v>3063</v>
      </c>
      <c r="F912" t="s">
        <v>8393</v>
      </c>
      <c r="G912" t="s">
        <v>7394</v>
      </c>
      <c r="H912" t="s">
        <v>8394</v>
      </c>
      <c r="I912" t="s">
        <v>5803</v>
      </c>
      <c r="J912" t="s">
        <v>8214</v>
      </c>
      <c r="K912" t="s">
        <v>8215</v>
      </c>
      <c r="L912" t="s">
        <v>8216</v>
      </c>
    </row>
    <row r="913" spans="1:13" x14ac:dyDescent="0.25">
      <c r="A913" t="s">
        <v>5766</v>
      </c>
      <c r="B913" t="s">
        <v>2823</v>
      </c>
      <c r="C913" s="1" t="s">
        <v>3065</v>
      </c>
      <c r="D913" s="1" t="s">
        <v>3065</v>
      </c>
      <c r="E913" t="s">
        <v>3066</v>
      </c>
      <c r="F913" t="s">
        <v>7828</v>
      </c>
      <c r="G913" t="s">
        <v>8395</v>
      </c>
      <c r="H913" t="s">
        <v>8396</v>
      </c>
      <c r="I913" t="s">
        <v>8337</v>
      </c>
      <c r="J913" t="s">
        <v>8214</v>
      </c>
      <c r="K913" t="s">
        <v>8215</v>
      </c>
      <c r="L913" t="s">
        <v>8216</v>
      </c>
    </row>
    <row r="914" spans="1:13" x14ac:dyDescent="0.25">
      <c r="A914" t="s">
        <v>5766</v>
      </c>
      <c r="B914" t="s">
        <v>2823</v>
      </c>
      <c r="C914" s="1" t="s">
        <v>3068</v>
      </c>
      <c r="D914" s="1" t="s">
        <v>3068</v>
      </c>
      <c r="E914" t="s">
        <v>3069</v>
      </c>
      <c r="F914" t="s">
        <v>8373</v>
      </c>
      <c r="G914" t="s">
        <v>8397</v>
      </c>
      <c r="H914" t="s">
        <v>8398</v>
      </c>
      <c r="I914" t="s">
        <v>8390</v>
      </c>
      <c r="J914" t="s">
        <v>8214</v>
      </c>
      <c r="K914" t="s">
        <v>8215</v>
      </c>
      <c r="L914" t="s">
        <v>8216</v>
      </c>
    </row>
    <row r="915" spans="1:13" x14ac:dyDescent="0.25">
      <c r="A915" t="s">
        <v>5766</v>
      </c>
      <c r="B915" t="s">
        <v>2823</v>
      </c>
      <c r="C915" s="1" t="s">
        <v>3071</v>
      </c>
      <c r="D915" s="1" t="s">
        <v>3071</v>
      </c>
      <c r="E915" t="s">
        <v>3072</v>
      </c>
      <c r="F915" t="s">
        <v>8224</v>
      </c>
      <c r="G915" t="s">
        <v>8399</v>
      </c>
      <c r="H915" t="s">
        <v>8400</v>
      </c>
      <c r="I915" t="s">
        <v>8387</v>
      </c>
      <c r="J915" t="s">
        <v>8214</v>
      </c>
      <c r="K915" t="s">
        <v>8215</v>
      </c>
      <c r="L915" t="s">
        <v>8216</v>
      </c>
    </row>
    <row r="916" spans="1:13" x14ac:dyDescent="0.25">
      <c r="A916" t="s">
        <v>5766</v>
      </c>
      <c r="B916" t="s">
        <v>2823</v>
      </c>
      <c r="C916" s="1" t="s">
        <v>3074</v>
      </c>
      <c r="D916" s="1" t="s">
        <v>3074</v>
      </c>
      <c r="E916" t="s">
        <v>3075</v>
      </c>
      <c r="F916" t="s">
        <v>8393</v>
      </c>
      <c r="G916" t="s">
        <v>8401</v>
      </c>
      <c r="H916" t="s">
        <v>8402</v>
      </c>
      <c r="I916" t="s">
        <v>8157</v>
      </c>
      <c r="J916" t="s">
        <v>8214</v>
      </c>
      <c r="K916" t="s">
        <v>8215</v>
      </c>
      <c r="L916" t="s">
        <v>8216</v>
      </c>
    </row>
    <row r="917" spans="1:13" x14ac:dyDescent="0.25">
      <c r="A917" t="s">
        <v>5766</v>
      </c>
      <c r="B917" t="s">
        <v>2823</v>
      </c>
      <c r="C917" s="1" t="s">
        <v>3077</v>
      </c>
      <c r="D917" s="1" t="s">
        <v>3077</v>
      </c>
      <c r="E917" t="s">
        <v>3078</v>
      </c>
      <c r="F917" t="s">
        <v>8224</v>
      </c>
      <c r="G917" t="s">
        <v>8403</v>
      </c>
      <c r="H917" t="s">
        <v>8404</v>
      </c>
      <c r="I917" t="s">
        <v>8387</v>
      </c>
      <c r="J917" t="s">
        <v>8214</v>
      </c>
      <c r="K917" t="s">
        <v>8215</v>
      </c>
      <c r="L917" t="s">
        <v>8216</v>
      </c>
    </row>
    <row r="918" spans="1:13" x14ac:dyDescent="0.25">
      <c r="A918" t="s">
        <v>5766</v>
      </c>
      <c r="B918" t="s">
        <v>2823</v>
      </c>
      <c r="C918" s="1" t="s">
        <v>3080</v>
      </c>
      <c r="D918" s="1" t="s">
        <v>3080</v>
      </c>
      <c r="E918" t="s">
        <v>3081</v>
      </c>
      <c r="F918" t="s">
        <v>8224</v>
      </c>
      <c r="G918" t="s">
        <v>8405</v>
      </c>
      <c r="H918" t="s">
        <v>8406</v>
      </c>
      <c r="I918" t="s">
        <v>8387</v>
      </c>
      <c r="J918" t="s">
        <v>8214</v>
      </c>
      <c r="K918" t="s">
        <v>8215</v>
      </c>
      <c r="L918" t="s">
        <v>8216</v>
      </c>
    </row>
    <row r="919" spans="1:13" x14ac:dyDescent="0.25">
      <c r="A919" t="s">
        <v>5766</v>
      </c>
      <c r="B919" t="s">
        <v>2823</v>
      </c>
      <c r="C919" s="1" t="s">
        <v>3083</v>
      </c>
      <c r="D919" s="1" t="s">
        <v>3083</v>
      </c>
      <c r="E919" t="s">
        <v>3084</v>
      </c>
      <c r="F919" t="s">
        <v>8393</v>
      </c>
      <c r="G919" t="s">
        <v>8407</v>
      </c>
      <c r="H919" t="s">
        <v>8408</v>
      </c>
      <c r="I919" t="s">
        <v>8157</v>
      </c>
      <c r="J919" t="s">
        <v>8214</v>
      </c>
      <c r="K919" t="s">
        <v>8215</v>
      </c>
      <c r="L919" t="s">
        <v>8216</v>
      </c>
    </row>
    <row r="920" spans="1:13" x14ac:dyDescent="0.25">
      <c r="A920" t="s">
        <v>5766</v>
      </c>
      <c r="B920" t="s">
        <v>2823</v>
      </c>
      <c r="C920" s="1" t="s">
        <v>3086</v>
      </c>
      <c r="D920" s="1" t="s">
        <v>3086</v>
      </c>
      <c r="E920" t="s">
        <v>3087</v>
      </c>
      <c r="F920" t="s">
        <v>8224</v>
      </c>
      <c r="G920" t="s">
        <v>8385</v>
      </c>
      <c r="H920" t="s">
        <v>8386</v>
      </c>
      <c r="I920" t="s">
        <v>8387</v>
      </c>
      <c r="J920" t="s">
        <v>8214</v>
      </c>
      <c r="K920" t="s">
        <v>8215</v>
      </c>
      <c r="L920" t="s">
        <v>8216</v>
      </c>
    </row>
    <row r="921" spans="1:13" x14ac:dyDescent="0.25">
      <c r="A921" t="s">
        <v>5766</v>
      </c>
      <c r="B921" t="s">
        <v>2823</v>
      </c>
      <c r="C921" s="1" t="s">
        <v>3089</v>
      </c>
      <c r="D921" s="1" t="s">
        <v>3089</v>
      </c>
      <c r="E921" t="s">
        <v>3090</v>
      </c>
      <c r="F921" t="s">
        <v>8373</v>
      </c>
      <c r="G921" t="s">
        <v>8409</v>
      </c>
      <c r="H921" t="s">
        <v>8410</v>
      </c>
      <c r="I921" t="s">
        <v>8313</v>
      </c>
      <c r="J921" t="s">
        <v>8214</v>
      </c>
      <c r="K921" t="s">
        <v>8215</v>
      </c>
      <c r="L921" t="s">
        <v>8216</v>
      </c>
    </row>
    <row r="922" spans="1:13" x14ac:dyDescent="0.25">
      <c r="A922" t="s">
        <v>5766</v>
      </c>
      <c r="B922" t="s">
        <v>2823</v>
      </c>
      <c r="C922" s="1" t="s">
        <v>3092</v>
      </c>
      <c r="D922" s="1" t="s">
        <v>3092</v>
      </c>
      <c r="E922" t="s">
        <v>3093</v>
      </c>
      <c r="F922" t="s">
        <v>8224</v>
      </c>
      <c r="G922" t="s">
        <v>8411</v>
      </c>
      <c r="H922" t="s">
        <v>8412</v>
      </c>
      <c r="I922" t="s">
        <v>6286</v>
      </c>
      <c r="J922" t="s">
        <v>8214</v>
      </c>
      <c r="K922" t="s">
        <v>8215</v>
      </c>
      <c r="L922" t="s">
        <v>8216</v>
      </c>
    </row>
    <row r="923" spans="1:13" x14ac:dyDescent="0.25">
      <c r="A923" t="s">
        <v>5766</v>
      </c>
      <c r="B923" t="s">
        <v>2823</v>
      </c>
      <c r="C923" s="1" t="s">
        <v>3095</v>
      </c>
      <c r="D923" s="1" t="s">
        <v>3095</v>
      </c>
      <c r="E923" t="s">
        <v>3096</v>
      </c>
      <c r="F923" t="s">
        <v>7789</v>
      </c>
      <c r="G923" t="s">
        <v>8413</v>
      </c>
      <c r="H923" t="s">
        <v>8414</v>
      </c>
      <c r="I923" t="s">
        <v>8387</v>
      </c>
      <c r="J923" t="s">
        <v>8214</v>
      </c>
      <c r="K923" t="s">
        <v>8215</v>
      </c>
      <c r="L923" t="s">
        <v>8216</v>
      </c>
    </row>
    <row r="924" spans="1:13" x14ac:dyDescent="0.25">
      <c r="A924" t="s">
        <v>5766</v>
      </c>
      <c r="B924" t="s">
        <v>2823</v>
      </c>
      <c r="C924" s="1" t="s">
        <v>3098</v>
      </c>
      <c r="D924" s="1" t="s">
        <v>3098</v>
      </c>
      <c r="E924" t="s">
        <v>3099</v>
      </c>
      <c r="F924" t="s">
        <v>8224</v>
      </c>
      <c r="G924" t="s">
        <v>7399</v>
      </c>
      <c r="H924" t="s">
        <v>8415</v>
      </c>
      <c r="I924" t="s">
        <v>6286</v>
      </c>
      <c r="J924" t="s">
        <v>8214</v>
      </c>
      <c r="K924" t="s">
        <v>8215</v>
      </c>
      <c r="L924" t="s">
        <v>8216</v>
      </c>
    </row>
    <row r="925" spans="1:13" x14ac:dyDescent="0.25">
      <c r="A925" t="s">
        <v>5766</v>
      </c>
      <c r="B925" t="s">
        <v>2823</v>
      </c>
      <c r="C925" s="1" t="s">
        <v>78</v>
      </c>
      <c r="D925" s="1" t="s">
        <v>5780</v>
      </c>
      <c r="E925" t="s">
        <v>5781</v>
      </c>
      <c r="F925" t="s">
        <v>8416</v>
      </c>
      <c r="G925" t="s">
        <v>5783</v>
      </c>
      <c r="H925" t="s">
        <v>8417</v>
      </c>
      <c r="I925" t="s">
        <v>8418</v>
      </c>
      <c r="J925" t="s">
        <v>8214</v>
      </c>
      <c r="K925" t="s">
        <v>8215</v>
      </c>
      <c r="L925" t="s">
        <v>8216</v>
      </c>
      <c r="M925" t="s">
        <v>65</v>
      </c>
    </row>
    <row r="926" spans="1:13" x14ac:dyDescent="0.25">
      <c r="A926" t="s">
        <v>5766</v>
      </c>
      <c r="B926" t="s">
        <v>2823</v>
      </c>
      <c r="C926" s="1" t="s">
        <v>52</v>
      </c>
      <c r="D926" s="1" t="s">
        <v>52</v>
      </c>
      <c r="E926" t="s">
        <v>5767</v>
      </c>
      <c r="F926" t="s">
        <v>8419</v>
      </c>
      <c r="G926" t="s">
        <v>5769</v>
      </c>
      <c r="H926" t="s">
        <v>8420</v>
      </c>
      <c r="I926" t="s">
        <v>7439</v>
      </c>
      <c r="J926" t="s">
        <v>8214</v>
      </c>
      <c r="K926" t="s">
        <v>8215</v>
      </c>
      <c r="L926" t="s">
        <v>8216</v>
      </c>
      <c r="M926" t="s">
        <v>65</v>
      </c>
    </row>
    <row r="927" spans="1:13" x14ac:dyDescent="0.25">
      <c r="A927" t="s">
        <v>5766</v>
      </c>
      <c r="B927" t="s">
        <v>3100</v>
      </c>
      <c r="C927" s="1" t="s">
        <v>3102</v>
      </c>
      <c r="D927" s="1" t="s">
        <v>8421</v>
      </c>
      <c r="E927" t="s">
        <v>3103</v>
      </c>
      <c r="F927" t="s">
        <v>8422</v>
      </c>
      <c r="G927" t="s">
        <v>8423</v>
      </c>
      <c r="H927" t="s">
        <v>8424</v>
      </c>
      <c r="I927" t="s">
        <v>8425</v>
      </c>
      <c r="J927" t="s">
        <v>8426</v>
      </c>
      <c r="K927" t="s">
        <v>8427</v>
      </c>
      <c r="L927" t="s">
        <v>8428</v>
      </c>
    </row>
    <row r="928" spans="1:13" x14ac:dyDescent="0.25">
      <c r="A928" t="s">
        <v>5766</v>
      </c>
      <c r="B928" t="s">
        <v>3100</v>
      </c>
      <c r="C928" s="1" t="s">
        <v>3105</v>
      </c>
      <c r="D928" s="1" t="s">
        <v>8429</v>
      </c>
      <c r="E928" t="s">
        <v>3106</v>
      </c>
      <c r="F928" t="s">
        <v>8430</v>
      </c>
      <c r="G928" t="s">
        <v>8431</v>
      </c>
      <c r="H928" t="s">
        <v>8432</v>
      </c>
      <c r="I928" t="s">
        <v>6305</v>
      </c>
      <c r="J928" t="s">
        <v>8426</v>
      </c>
      <c r="K928" t="s">
        <v>8427</v>
      </c>
      <c r="L928" t="s">
        <v>8428</v>
      </c>
    </row>
    <row r="929" spans="1:13" x14ac:dyDescent="0.25">
      <c r="A929" t="s">
        <v>5766</v>
      </c>
      <c r="B929" t="s">
        <v>3100</v>
      </c>
      <c r="C929" s="1" t="s">
        <v>3108</v>
      </c>
      <c r="D929" s="1" t="s">
        <v>8433</v>
      </c>
      <c r="E929" t="s">
        <v>3109</v>
      </c>
      <c r="F929" t="s">
        <v>8434</v>
      </c>
      <c r="G929" t="s">
        <v>8435</v>
      </c>
      <c r="H929" t="s">
        <v>8436</v>
      </c>
      <c r="I929" t="s">
        <v>6651</v>
      </c>
      <c r="J929" t="s">
        <v>8426</v>
      </c>
      <c r="K929" t="s">
        <v>8427</v>
      </c>
      <c r="L929" t="s">
        <v>8428</v>
      </c>
    </row>
    <row r="930" spans="1:13" x14ac:dyDescent="0.25">
      <c r="A930" t="s">
        <v>5766</v>
      </c>
      <c r="B930" t="s">
        <v>3100</v>
      </c>
      <c r="C930" s="1" t="s">
        <v>3111</v>
      </c>
      <c r="D930" s="1" t="s">
        <v>8437</v>
      </c>
      <c r="E930" t="s">
        <v>3112</v>
      </c>
      <c r="F930" t="s">
        <v>8438</v>
      </c>
      <c r="G930" t="s">
        <v>8439</v>
      </c>
      <c r="H930" t="s">
        <v>8440</v>
      </c>
      <c r="I930" t="s">
        <v>8441</v>
      </c>
      <c r="J930" t="s">
        <v>8426</v>
      </c>
      <c r="K930" t="s">
        <v>8427</v>
      </c>
      <c r="L930" t="s">
        <v>8428</v>
      </c>
    </row>
    <row r="931" spans="1:13" x14ac:dyDescent="0.25">
      <c r="A931" t="s">
        <v>5766</v>
      </c>
      <c r="B931" t="s">
        <v>3100</v>
      </c>
      <c r="C931" s="1" t="s">
        <v>3114</v>
      </c>
      <c r="D931" s="1" t="s">
        <v>8442</v>
      </c>
      <c r="E931" t="s">
        <v>3115</v>
      </c>
      <c r="F931" t="s">
        <v>8443</v>
      </c>
      <c r="G931" t="s">
        <v>8444</v>
      </c>
      <c r="H931" t="s">
        <v>8445</v>
      </c>
      <c r="I931" t="s">
        <v>8072</v>
      </c>
      <c r="J931" t="s">
        <v>8426</v>
      </c>
      <c r="K931" t="s">
        <v>8427</v>
      </c>
      <c r="L931" t="s">
        <v>8428</v>
      </c>
    </row>
    <row r="932" spans="1:13" x14ac:dyDescent="0.25">
      <c r="A932" t="s">
        <v>5766</v>
      </c>
      <c r="B932" t="s">
        <v>3100</v>
      </c>
      <c r="C932" s="1" t="s">
        <v>78</v>
      </c>
      <c r="D932" s="1" t="s">
        <v>5780</v>
      </c>
      <c r="E932" t="s">
        <v>5781</v>
      </c>
      <c r="F932" t="s">
        <v>8446</v>
      </c>
      <c r="G932" t="s">
        <v>5783</v>
      </c>
      <c r="H932" t="s">
        <v>8447</v>
      </c>
      <c r="I932" t="s">
        <v>6144</v>
      </c>
      <c r="J932" t="s">
        <v>8426</v>
      </c>
      <c r="K932" t="s">
        <v>8427</v>
      </c>
      <c r="L932" t="s">
        <v>8428</v>
      </c>
      <c r="M932" t="s">
        <v>65</v>
      </c>
    </row>
    <row r="933" spans="1:13" x14ac:dyDescent="0.25">
      <c r="A933" t="s">
        <v>5766</v>
      </c>
      <c r="B933" t="s">
        <v>3100</v>
      </c>
      <c r="C933" s="1" t="s">
        <v>3117</v>
      </c>
      <c r="D933" s="1" t="s">
        <v>8448</v>
      </c>
      <c r="E933" t="s">
        <v>3118</v>
      </c>
      <c r="F933" t="s">
        <v>8449</v>
      </c>
      <c r="G933" t="s">
        <v>8450</v>
      </c>
      <c r="H933" t="s">
        <v>8451</v>
      </c>
      <c r="I933" t="s">
        <v>8452</v>
      </c>
      <c r="J933" t="s">
        <v>8426</v>
      </c>
      <c r="K933" t="s">
        <v>8427</v>
      </c>
      <c r="L933" t="s">
        <v>8428</v>
      </c>
    </row>
    <row r="934" spans="1:13" x14ac:dyDescent="0.25">
      <c r="A934" t="s">
        <v>5766</v>
      </c>
      <c r="B934" t="s">
        <v>3100</v>
      </c>
      <c r="C934" s="1" t="s">
        <v>3120</v>
      </c>
      <c r="D934" s="1" t="s">
        <v>8453</v>
      </c>
      <c r="E934" t="s">
        <v>3121</v>
      </c>
      <c r="F934" t="s">
        <v>8454</v>
      </c>
      <c r="G934" t="s">
        <v>8455</v>
      </c>
      <c r="H934" t="s">
        <v>8456</v>
      </c>
      <c r="I934" t="s">
        <v>7391</v>
      </c>
      <c r="J934" t="s">
        <v>8426</v>
      </c>
      <c r="K934" t="s">
        <v>8427</v>
      </c>
      <c r="L934" t="s">
        <v>8428</v>
      </c>
    </row>
    <row r="935" spans="1:13" x14ac:dyDescent="0.25">
      <c r="A935" t="s">
        <v>5766</v>
      </c>
      <c r="B935" t="s">
        <v>3100</v>
      </c>
      <c r="C935" s="1" t="s">
        <v>3123</v>
      </c>
      <c r="D935" s="1" t="s">
        <v>8457</v>
      </c>
      <c r="E935" t="s">
        <v>3124</v>
      </c>
      <c r="F935" t="s">
        <v>8458</v>
      </c>
      <c r="G935" t="s">
        <v>8459</v>
      </c>
      <c r="H935" t="s">
        <v>8460</v>
      </c>
      <c r="I935" t="s">
        <v>6208</v>
      </c>
      <c r="J935" t="s">
        <v>8426</v>
      </c>
      <c r="K935" t="s">
        <v>8427</v>
      </c>
      <c r="L935" t="s">
        <v>8428</v>
      </c>
    </row>
    <row r="936" spans="1:13" x14ac:dyDescent="0.25">
      <c r="A936" t="s">
        <v>5766</v>
      </c>
      <c r="B936" t="s">
        <v>3100</v>
      </c>
      <c r="C936" s="1" t="s">
        <v>3126</v>
      </c>
      <c r="D936" s="1" t="s">
        <v>8461</v>
      </c>
      <c r="E936" t="s">
        <v>3127</v>
      </c>
      <c r="F936" t="s">
        <v>8462</v>
      </c>
      <c r="G936" t="s">
        <v>8463</v>
      </c>
      <c r="H936" t="s">
        <v>8464</v>
      </c>
      <c r="I936" t="s">
        <v>8465</v>
      </c>
      <c r="J936" t="s">
        <v>8426</v>
      </c>
      <c r="K936" t="s">
        <v>8427</v>
      </c>
      <c r="L936" t="s">
        <v>8428</v>
      </c>
    </row>
    <row r="937" spans="1:13" x14ac:dyDescent="0.25">
      <c r="A937" t="s">
        <v>5766</v>
      </c>
      <c r="B937" t="s">
        <v>3100</v>
      </c>
      <c r="C937" s="1" t="s">
        <v>3129</v>
      </c>
      <c r="D937" s="1" t="s">
        <v>8466</v>
      </c>
      <c r="E937" t="s">
        <v>3130</v>
      </c>
      <c r="F937" t="s">
        <v>8467</v>
      </c>
      <c r="G937" t="s">
        <v>8468</v>
      </c>
      <c r="H937" t="s">
        <v>8469</v>
      </c>
      <c r="I937" t="s">
        <v>6721</v>
      </c>
      <c r="J937" t="s">
        <v>8426</v>
      </c>
      <c r="K937" t="s">
        <v>8427</v>
      </c>
      <c r="L937" t="s">
        <v>8428</v>
      </c>
    </row>
    <row r="938" spans="1:13" x14ac:dyDescent="0.25">
      <c r="A938" t="s">
        <v>5766</v>
      </c>
      <c r="B938" t="s">
        <v>3100</v>
      </c>
      <c r="C938" s="1" t="s">
        <v>3132</v>
      </c>
      <c r="D938" s="1" t="s">
        <v>8470</v>
      </c>
      <c r="E938" t="s">
        <v>3133</v>
      </c>
      <c r="F938" t="s">
        <v>8471</v>
      </c>
      <c r="G938" t="s">
        <v>8472</v>
      </c>
      <c r="H938" t="s">
        <v>8473</v>
      </c>
      <c r="I938" t="s">
        <v>8474</v>
      </c>
      <c r="J938" t="s">
        <v>8426</v>
      </c>
      <c r="K938" t="s">
        <v>8427</v>
      </c>
      <c r="L938" t="s">
        <v>8428</v>
      </c>
    </row>
    <row r="939" spans="1:13" x14ac:dyDescent="0.25">
      <c r="A939" t="s">
        <v>5766</v>
      </c>
      <c r="B939" t="s">
        <v>3100</v>
      </c>
      <c r="C939" s="1" t="s">
        <v>171</v>
      </c>
      <c r="D939" s="1" t="s">
        <v>5921</v>
      </c>
      <c r="E939" t="s">
        <v>172</v>
      </c>
      <c r="F939" t="s">
        <v>8475</v>
      </c>
      <c r="G939" t="s">
        <v>5923</v>
      </c>
      <c r="H939" t="s">
        <v>8476</v>
      </c>
      <c r="I939" t="s">
        <v>8477</v>
      </c>
      <c r="J939" t="s">
        <v>8426</v>
      </c>
      <c r="K939" t="s">
        <v>8427</v>
      </c>
      <c r="L939" t="s">
        <v>8428</v>
      </c>
    </row>
    <row r="940" spans="1:13" x14ac:dyDescent="0.25">
      <c r="A940" t="s">
        <v>5766</v>
      </c>
      <c r="B940" t="s">
        <v>3100</v>
      </c>
      <c r="C940" s="1" t="s">
        <v>3135</v>
      </c>
      <c r="D940" s="1" t="s">
        <v>8478</v>
      </c>
      <c r="E940" t="s">
        <v>3136</v>
      </c>
      <c r="F940" t="s">
        <v>8479</v>
      </c>
      <c r="G940" t="s">
        <v>8480</v>
      </c>
      <c r="H940" t="s">
        <v>8481</v>
      </c>
      <c r="I940" t="s">
        <v>8482</v>
      </c>
      <c r="J940" t="s">
        <v>8426</v>
      </c>
      <c r="K940" t="s">
        <v>8427</v>
      </c>
      <c r="L940" t="s">
        <v>8428</v>
      </c>
    </row>
    <row r="941" spans="1:13" x14ac:dyDescent="0.25">
      <c r="A941" t="s">
        <v>5766</v>
      </c>
      <c r="B941" t="s">
        <v>3100</v>
      </c>
      <c r="C941" s="1" t="s">
        <v>3138</v>
      </c>
      <c r="D941" s="1" t="s">
        <v>8483</v>
      </c>
      <c r="E941" t="s">
        <v>3139</v>
      </c>
      <c r="F941" t="s">
        <v>8484</v>
      </c>
      <c r="G941" t="s">
        <v>8485</v>
      </c>
      <c r="H941" t="s">
        <v>8486</v>
      </c>
      <c r="I941" t="s">
        <v>6760</v>
      </c>
      <c r="J941" t="s">
        <v>8426</v>
      </c>
      <c r="K941" t="s">
        <v>8427</v>
      </c>
      <c r="L941" t="s">
        <v>8428</v>
      </c>
    </row>
    <row r="942" spans="1:13" x14ac:dyDescent="0.25">
      <c r="A942" t="s">
        <v>5766</v>
      </c>
      <c r="B942" t="s">
        <v>3100</v>
      </c>
      <c r="C942" s="1" t="s">
        <v>3141</v>
      </c>
      <c r="D942" s="1" t="s">
        <v>8487</v>
      </c>
      <c r="E942" t="s">
        <v>3142</v>
      </c>
      <c r="F942" t="s">
        <v>8488</v>
      </c>
      <c r="G942" t="s">
        <v>8489</v>
      </c>
      <c r="H942" t="s">
        <v>8490</v>
      </c>
      <c r="I942" t="s">
        <v>6401</v>
      </c>
      <c r="J942" t="s">
        <v>8426</v>
      </c>
      <c r="K942" t="s">
        <v>8427</v>
      </c>
      <c r="L942" t="s">
        <v>8428</v>
      </c>
    </row>
    <row r="943" spans="1:13" x14ac:dyDescent="0.25">
      <c r="A943" t="s">
        <v>5766</v>
      </c>
      <c r="B943" t="s">
        <v>3100</v>
      </c>
      <c r="C943" s="1" t="s">
        <v>3144</v>
      </c>
      <c r="D943" s="1" t="s">
        <v>8491</v>
      </c>
      <c r="E943" t="s">
        <v>3146</v>
      </c>
      <c r="F943" t="s">
        <v>6113</v>
      </c>
      <c r="G943" t="s">
        <v>8492</v>
      </c>
      <c r="H943" t="s">
        <v>8493</v>
      </c>
      <c r="I943" t="s">
        <v>8494</v>
      </c>
      <c r="J943" t="s">
        <v>8426</v>
      </c>
      <c r="K943" t="s">
        <v>8427</v>
      </c>
      <c r="L943" t="s">
        <v>8428</v>
      </c>
    </row>
    <row r="944" spans="1:13" x14ac:dyDescent="0.25">
      <c r="A944" t="s">
        <v>5766</v>
      </c>
      <c r="B944" t="s">
        <v>3100</v>
      </c>
      <c r="C944" s="1" t="s">
        <v>3148</v>
      </c>
      <c r="D944" s="1" t="s">
        <v>8495</v>
      </c>
      <c r="E944" t="s">
        <v>3149</v>
      </c>
      <c r="F944" t="s">
        <v>8496</v>
      </c>
      <c r="G944" t="s">
        <v>8497</v>
      </c>
      <c r="H944" t="s">
        <v>8498</v>
      </c>
      <c r="I944" t="s">
        <v>6357</v>
      </c>
      <c r="J944" t="s">
        <v>8426</v>
      </c>
      <c r="K944" t="s">
        <v>8427</v>
      </c>
      <c r="L944" t="s">
        <v>8428</v>
      </c>
    </row>
    <row r="945" spans="1:13" x14ac:dyDescent="0.25">
      <c r="A945" t="s">
        <v>5766</v>
      </c>
      <c r="B945" t="s">
        <v>3100</v>
      </c>
      <c r="C945" s="1" t="s">
        <v>3151</v>
      </c>
      <c r="D945" s="1" t="s">
        <v>8499</v>
      </c>
      <c r="E945" t="s">
        <v>3152</v>
      </c>
      <c r="F945" t="s">
        <v>8500</v>
      </c>
      <c r="G945" t="s">
        <v>8501</v>
      </c>
      <c r="H945" t="s">
        <v>8502</v>
      </c>
      <c r="I945" t="s">
        <v>8503</v>
      </c>
      <c r="J945" t="s">
        <v>8426</v>
      </c>
      <c r="K945" t="s">
        <v>8427</v>
      </c>
      <c r="L945" t="s">
        <v>8428</v>
      </c>
    </row>
    <row r="946" spans="1:13" x14ac:dyDescent="0.25">
      <c r="A946" t="s">
        <v>5766</v>
      </c>
      <c r="B946" t="s">
        <v>3100</v>
      </c>
      <c r="C946" s="1" t="s">
        <v>3154</v>
      </c>
      <c r="D946" s="1" t="s">
        <v>8504</v>
      </c>
      <c r="E946" t="s">
        <v>3155</v>
      </c>
      <c r="F946" t="s">
        <v>8505</v>
      </c>
      <c r="G946" t="s">
        <v>8506</v>
      </c>
      <c r="H946" t="s">
        <v>8507</v>
      </c>
      <c r="I946" t="s">
        <v>8508</v>
      </c>
      <c r="J946" t="s">
        <v>8426</v>
      </c>
      <c r="K946" t="s">
        <v>8427</v>
      </c>
      <c r="L946" t="s">
        <v>8428</v>
      </c>
    </row>
    <row r="947" spans="1:13" x14ac:dyDescent="0.25">
      <c r="A947" t="s">
        <v>5766</v>
      </c>
      <c r="B947" t="s">
        <v>3100</v>
      </c>
      <c r="C947" s="1" t="s">
        <v>3157</v>
      </c>
      <c r="D947" s="1" t="s">
        <v>8509</v>
      </c>
      <c r="E947" t="s">
        <v>3158</v>
      </c>
      <c r="F947" t="s">
        <v>8510</v>
      </c>
      <c r="G947" t="s">
        <v>6276</v>
      </c>
      <c r="H947" t="s">
        <v>8511</v>
      </c>
      <c r="I947" t="s">
        <v>6089</v>
      </c>
      <c r="J947" t="s">
        <v>8426</v>
      </c>
      <c r="K947" t="s">
        <v>8427</v>
      </c>
      <c r="L947" t="s">
        <v>8428</v>
      </c>
    </row>
    <row r="948" spans="1:13" x14ac:dyDescent="0.25">
      <c r="A948" t="s">
        <v>5766</v>
      </c>
      <c r="B948" t="s">
        <v>3100</v>
      </c>
      <c r="C948" s="1" t="s">
        <v>3160</v>
      </c>
      <c r="D948" s="1" t="s">
        <v>8512</v>
      </c>
      <c r="E948" t="s">
        <v>3161</v>
      </c>
      <c r="F948" t="s">
        <v>8458</v>
      </c>
      <c r="G948" t="s">
        <v>8513</v>
      </c>
      <c r="H948" t="s">
        <v>8514</v>
      </c>
      <c r="I948" t="s">
        <v>8515</v>
      </c>
      <c r="J948" t="s">
        <v>8426</v>
      </c>
      <c r="K948" t="s">
        <v>8427</v>
      </c>
      <c r="L948" t="s">
        <v>8428</v>
      </c>
    </row>
    <row r="949" spans="1:13" x14ac:dyDescent="0.25">
      <c r="A949" t="s">
        <v>5766</v>
      </c>
      <c r="B949" t="s">
        <v>3100</v>
      </c>
      <c r="C949" s="1" t="s">
        <v>3163</v>
      </c>
      <c r="D949" s="1" t="s">
        <v>8516</v>
      </c>
      <c r="E949" t="s">
        <v>3164</v>
      </c>
      <c r="F949" t="s">
        <v>8517</v>
      </c>
      <c r="G949" t="s">
        <v>8518</v>
      </c>
      <c r="H949" t="s">
        <v>8519</v>
      </c>
      <c r="I949" t="s">
        <v>6008</v>
      </c>
      <c r="J949" t="s">
        <v>8426</v>
      </c>
      <c r="K949" t="s">
        <v>8427</v>
      </c>
      <c r="L949" t="s">
        <v>8428</v>
      </c>
    </row>
    <row r="950" spans="1:13" x14ac:dyDescent="0.25">
      <c r="A950" t="s">
        <v>5766</v>
      </c>
      <c r="B950" t="s">
        <v>3100</v>
      </c>
      <c r="C950" s="1" t="s">
        <v>3166</v>
      </c>
      <c r="D950" s="1" t="s">
        <v>8520</v>
      </c>
      <c r="E950" t="s">
        <v>3167</v>
      </c>
      <c r="F950" t="s">
        <v>8521</v>
      </c>
      <c r="G950" t="s">
        <v>8522</v>
      </c>
      <c r="H950" t="s">
        <v>8523</v>
      </c>
      <c r="I950" t="s">
        <v>7359</v>
      </c>
      <c r="J950" t="s">
        <v>8426</v>
      </c>
      <c r="K950" t="s">
        <v>8427</v>
      </c>
      <c r="L950" t="s">
        <v>8428</v>
      </c>
    </row>
    <row r="951" spans="1:13" x14ac:dyDescent="0.25">
      <c r="A951" t="s">
        <v>5766</v>
      </c>
      <c r="B951" t="s">
        <v>3100</v>
      </c>
      <c r="C951" s="1" t="s">
        <v>3169</v>
      </c>
      <c r="D951" s="1" t="s">
        <v>8524</v>
      </c>
      <c r="E951" t="s">
        <v>3170</v>
      </c>
      <c r="F951" t="s">
        <v>8525</v>
      </c>
      <c r="G951" t="s">
        <v>8526</v>
      </c>
      <c r="H951" t="s">
        <v>8527</v>
      </c>
      <c r="I951" t="s">
        <v>8528</v>
      </c>
      <c r="J951" t="s">
        <v>8426</v>
      </c>
      <c r="K951" t="s">
        <v>8427</v>
      </c>
      <c r="L951" t="s">
        <v>8428</v>
      </c>
    </row>
    <row r="952" spans="1:13" x14ac:dyDescent="0.25">
      <c r="A952" t="s">
        <v>5766</v>
      </c>
      <c r="B952" t="s">
        <v>3100</v>
      </c>
      <c r="C952" s="1" t="s">
        <v>598</v>
      </c>
      <c r="D952" s="1" t="s">
        <v>6589</v>
      </c>
      <c r="E952" t="s">
        <v>599</v>
      </c>
      <c r="F952" t="s">
        <v>8529</v>
      </c>
      <c r="G952" t="s">
        <v>6590</v>
      </c>
      <c r="H952" t="s">
        <v>8530</v>
      </c>
      <c r="I952" t="s">
        <v>6798</v>
      </c>
      <c r="J952" t="s">
        <v>8426</v>
      </c>
      <c r="K952" t="s">
        <v>8427</v>
      </c>
      <c r="L952" t="s">
        <v>8428</v>
      </c>
    </row>
    <row r="953" spans="1:13" x14ac:dyDescent="0.25">
      <c r="A953" t="s">
        <v>5766</v>
      </c>
      <c r="B953" t="s">
        <v>3100</v>
      </c>
      <c r="C953" s="1" t="s">
        <v>3172</v>
      </c>
      <c r="D953" s="1" t="s">
        <v>8531</v>
      </c>
      <c r="E953" t="s">
        <v>3173</v>
      </c>
      <c r="F953" t="s">
        <v>8532</v>
      </c>
      <c r="G953" t="s">
        <v>8533</v>
      </c>
      <c r="H953" t="s">
        <v>8534</v>
      </c>
      <c r="I953" t="s">
        <v>7363</v>
      </c>
      <c r="J953" t="s">
        <v>8426</v>
      </c>
      <c r="K953" t="s">
        <v>8427</v>
      </c>
      <c r="L953" t="s">
        <v>8428</v>
      </c>
    </row>
    <row r="954" spans="1:13" x14ac:dyDescent="0.25">
      <c r="A954" t="s">
        <v>5766</v>
      </c>
      <c r="B954" t="s">
        <v>3100</v>
      </c>
      <c r="C954" s="1" t="s">
        <v>3175</v>
      </c>
      <c r="D954" s="1" t="s">
        <v>8535</v>
      </c>
      <c r="E954" t="s">
        <v>3176</v>
      </c>
      <c r="F954" t="s">
        <v>8536</v>
      </c>
      <c r="G954" t="s">
        <v>8537</v>
      </c>
      <c r="H954" t="s">
        <v>8538</v>
      </c>
      <c r="I954" t="s">
        <v>8539</v>
      </c>
      <c r="J954" t="s">
        <v>8426</v>
      </c>
      <c r="K954" t="s">
        <v>8427</v>
      </c>
      <c r="L954" t="s">
        <v>8428</v>
      </c>
    </row>
    <row r="955" spans="1:13" x14ac:dyDescent="0.25">
      <c r="A955" t="s">
        <v>5766</v>
      </c>
      <c r="B955" t="s">
        <v>3100</v>
      </c>
      <c r="C955" s="1" t="s">
        <v>3178</v>
      </c>
      <c r="D955" s="1" t="s">
        <v>8540</v>
      </c>
      <c r="E955" t="s">
        <v>3179</v>
      </c>
      <c r="F955" t="s">
        <v>8541</v>
      </c>
      <c r="G955" t="s">
        <v>8542</v>
      </c>
      <c r="H955" t="s">
        <v>8543</v>
      </c>
      <c r="I955" t="s">
        <v>8544</v>
      </c>
      <c r="J955" t="s">
        <v>8426</v>
      </c>
      <c r="K955" t="s">
        <v>8427</v>
      </c>
      <c r="L955" t="s">
        <v>8428</v>
      </c>
    </row>
    <row r="956" spans="1:13" x14ac:dyDescent="0.25">
      <c r="A956" t="s">
        <v>5766</v>
      </c>
      <c r="B956" t="s">
        <v>3100</v>
      </c>
      <c r="C956" s="1" t="s">
        <v>3181</v>
      </c>
      <c r="D956" s="1" t="s">
        <v>8545</v>
      </c>
      <c r="E956" t="s">
        <v>3182</v>
      </c>
      <c r="F956" t="s">
        <v>8546</v>
      </c>
      <c r="G956" t="s">
        <v>8547</v>
      </c>
      <c r="H956" t="s">
        <v>8548</v>
      </c>
      <c r="I956" t="s">
        <v>6393</v>
      </c>
      <c r="J956" t="s">
        <v>8426</v>
      </c>
      <c r="K956" t="s">
        <v>8427</v>
      </c>
      <c r="L956" t="s">
        <v>8428</v>
      </c>
    </row>
    <row r="957" spans="1:13" x14ac:dyDescent="0.25">
      <c r="A957" t="s">
        <v>5766</v>
      </c>
      <c r="B957" t="s">
        <v>3100</v>
      </c>
      <c r="C957" s="1" t="s">
        <v>52</v>
      </c>
      <c r="D957" s="1" t="s">
        <v>52</v>
      </c>
      <c r="E957" t="s">
        <v>5767</v>
      </c>
      <c r="F957" t="s">
        <v>8549</v>
      </c>
      <c r="G957" t="s">
        <v>5769</v>
      </c>
      <c r="H957" t="s">
        <v>8550</v>
      </c>
      <c r="I957" t="s">
        <v>8211</v>
      </c>
      <c r="J957" t="s">
        <v>8426</v>
      </c>
      <c r="K957" t="s">
        <v>8427</v>
      </c>
      <c r="L957" t="s">
        <v>8428</v>
      </c>
      <c r="M957" t="s">
        <v>65</v>
      </c>
    </row>
    <row r="958" spans="1:13" x14ac:dyDescent="0.25">
      <c r="A958" t="s">
        <v>5766</v>
      </c>
      <c r="B958" t="s">
        <v>3183</v>
      </c>
      <c r="C958" s="1" t="s">
        <v>3185</v>
      </c>
      <c r="D958" s="1" t="s">
        <v>8551</v>
      </c>
      <c r="E958" t="s">
        <v>3187</v>
      </c>
      <c r="F958" t="s">
        <v>8552</v>
      </c>
      <c r="G958" t="s">
        <v>8553</v>
      </c>
      <c r="H958" t="s">
        <v>8554</v>
      </c>
      <c r="I958" t="s">
        <v>8555</v>
      </c>
      <c r="J958" t="s">
        <v>8556</v>
      </c>
      <c r="K958" t="s">
        <v>6403</v>
      </c>
      <c r="L958" t="s">
        <v>6404</v>
      </c>
    </row>
    <row r="959" spans="1:13" x14ac:dyDescent="0.25">
      <c r="A959" t="s">
        <v>5766</v>
      </c>
      <c r="B959" t="s">
        <v>3183</v>
      </c>
      <c r="C959" s="1" t="s">
        <v>3189</v>
      </c>
      <c r="D959" s="1" t="s">
        <v>8557</v>
      </c>
      <c r="E959" t="s">
        <v>3190</v>
      </c>
      <c r="F959" t="s">
        <v>8558</v>
      </c>
      <c r="G959" t="s">
        <v>8559</v>
      </c>
      <c r="H959" t="s">
        <v>8560</v>
      </c>
      <c r="I959" t="s">
        <v>8089</v>
      </c>
      <c r="J959" t="s">
        <v>8556</v>
      </c>
      <c r="K959" t="s">
        <v>6403</v>
      </c>
      <c r="L959" t="s">
        <v>6404</v>
      </c>
    </row>
    <row r="960" spans="1:13" x14ac:dyDescent="0.25">
      <c r="A960" t="s">
        <v>5766</v>
      </c>
      <c r="B960" t="s">
        <v>3183</v>
      </c>
      <c r="C960" s="1" t="s">
        <v>3192</v>
      </c>
      <c r="D960" s="1" t="s">
        <v>8561</v>
      </c>
      <c r="E960" t="s">
        <v>3193</v>
      </c>
      <c r="F960" t="s">
        <v>8562</v>
      </c>
      <c r="G960" t="s">
        <v>8563</v>
      </c>
      <c r="H960" t="s">
        <v>8564</v>
      </c>
      <c r="I960" t="s">
        <v>8565</v>
      </c>
      <c r="J960" t="s">
        <v>8556</v>
      </c>
      <c r="K960" t="s">
        <v>6403</v>
      </c>
      <c r="L960" t="s">
        <v>6404</v>
      </c>
    </row>
    <row r="961" spans="1:13" x14ac:dyDescent="0.25">
      <c r="A961" t="s">
        <v>5766</v>
      </c>
      <c r="B961" t="s">
        <v>3183</v>
      </c>
      <c r="C961" s="1" t="s">
        <v>3195</v>
      </c>
      <c r="D961" s="1" t="s">
        <v>8566</v>
      </c>
      <c r="E961" t="s">
        <v>3196</v>
      </c>
      <c r="F961" t="s">
        <v>8558</v>
      </c>
      <c r="G961" t="s">
        <v>8567</v>
      </c>
      <c r="H961" t="s">
        <v>8568</v>
      </c>
      <c r="I961" t="s">
        <v>6678</v>
      </c>
      <c r="J961" t="s">
        <v>8556</v>
      </c>
      <c r="K961" t="s">
        <v>6403</v>
      </c>
      <c r="L961" t="s">
        <v>6404</v>
      </c>
    </row>
    <row r="962" spans="1:13" x14ac:dyDescent="0.25">
      <c r="A962" t="s">
        <v>5766</v>
      </c>
      <c r="B962" t="s">
        <v>3183</v>
      </c>
      <c r="C962" s="1" t="s">
        <v>3198</v>
      </c>
      <c r="D962" s="1" t="s">
        <v>8569</v>
      </c>
      <c r="E962" t="s">
        <v>3199</v>
      </c>
      <c r="F962" t="s">
        <v>8570</v>
      </c>
      <c r="G962" t="s">
        <v>8571</v>
      </c>
      <c r="H962" t="s">
        <v>8572</v>
      </c>
      <c r="I962" t="s">
        <v>7028</v>
      </c>
      <c r="J962" t="s">
        <v>8556</v>
      </c>
      <c r="K962" t="s">
        <v>6403</v>
      </c>
      <c r="L962" t="s">
        <v>6404</v>
      </c>
    </row>
    <row r="963" spans="1:13" x14ac:dyDescent="0.25">
      <c r="A963" t="s">
        <v>5766</v>
      </c>
      <c r="B963" t="s">
        <v>3183</v>
      </c>
      <c r="C963" s="1" t="s">
        <v>3201</v>
      </c>
      <c r="D963" s="1" t="s">
        <v>8573</v>
      </c>
      <c r="E963" t="s">
        <v>3202</v>
      </c>
      <c r="F963" t="s">
        <v>8574</v>
      </c>
      <c r="G963" t="s">
        <v>8575</v>
      </c>
      <c r="H963" t="s">
        <v>8576</v>
      </c>
      <c r="I963" t="s">
        <v>6678</v>
      </c>
      <c r="J963" t="s">
        <v>8556</v>
      </c>
      <c r="K963" t="s">
        <v>6403</v>
      </c>
      <c r="L963" t="s">
        <v>6404</v>
      </c>
    </row>
    <row r="964" spans="1:13" x14ac:dyDescent="0.25">
      <c r="A964" t="s">
        <v>5766</v>
      </c>
      <c r="B964" t="s">
        <v>3183</v>
      </c>
      <c r="C964" s="1" t="s">
        <v>3204</v>
      </c>
      <c r="D964" s="1" t="s">
        <v>8577</v>
      </c>
      <c r="E964" t="s">
        <v>3206</v>
      </c>
      <c r="F964" t="s">
        <v>8578</v>
      </c>
      <c r="G964" t="s">
        <v>8579</v>
      </c>
      <c r="H964" t="s">
        <v>8580</v>
      </c>
      <c r="I964" t="s">
        <v>8425</v>
      </c>
      <c r="J964" t="s">
        <v>8556</v>
      </c>
      <c r="K964" t="s">
        <v>6403</v>
      </c>
      <c r="L964" t="s">
        <v>6404</v>
      </c>
    </row>
    <row r="965" spans="1:13" x14ac:dyDescent="0.25">
      <c r="A965" t="s">
        <v>5766</v>
      </c>
      <c r="B965" t="s">
        <v>3183</v>
      </c>
      <c r="C965" s="1" t="s">
        <v>3208</v>
      </c>
      <c r="D965" s="1" t="s">
        <v>8581</v>
      </c>
      <c r="E965" t="s">
        <v>3209</v>
      </c>
      <c r="F965" t="s">
        <v>8582</v>
      </c>
      <c r="G965" t="s">
        <v>8583</v>
      </c>
      <c r="H965" t="s">
        <v>8584</v>
      </c>
      <c r="I965" t="s">
        <v>6678</v>
      </c>
      <c r="J965" t="s">
        <v>8556</v>
      </c>
      <c r="K965" t="s">
        <v>6403</v>
      </c>
      <c r="L965" t="s">
        <v>6404</v>
      </c>
    </row>
    <row r="966" spans="1:13" x14ac:dyDescent="0.25">
      <c r="A966" t="s">
        <v>5766</v>
      </c>
      <c r="B966" t="s">
        <v>3183</v>
      </c>
      <c r="C966" s="1" t="s">
        <v>3211</v>
      </c>
      <c r="D966" s="1" t="s">
        <v>8585</v>
      </c>
      <c r="E966" t="s">
        <v>3212</v>
      </c>
      <c r="F966" t="s">
        <v>8586</v>
      </c>
      <c r="G966" t="s">
        <v>8587</v>
      </c>
      <c r="H966" t="s">
        <v>8588</v>
      </c>
      <c r="I966" t="s">
        <v>7093</v>
      </c>
      <c r="J966" t="s">
        <v>8556</v>
      </c>
      <c r="K966" t="s">
        <v>6403</v>
      </c>
      <c r="L966" t="s">
        <v>6404</v>
      </c>
    </row>
    <row r="967" spans="1:13" x14ac:dyDescent="0.25">
      <c r="A967" t="s">
        <v>5766</v>
      </c>
      <c r="B967" t="s">
        <v>3183</v>
      </c>
      <c r="C967" s="1" t="s">
        <v>3214</v>
      </c>
      <c r="D967" s="1" t="s">
        <v>8589</v>
      </c>
      <c r="E967" t="s">
        <v>3215</v>
      </c>
      <c r="F967" t="s">
        <v>8590</v>
      </c>
      <c r="G967" t="s">
        <v>8591</v>
      </c>
      <c r="H967" t="s">
        <v>8592</v>
      </c>
      <c r="I967" t="s">
        <v>6789</v>
      </c>
      <c r="J967" t="s">
        <v>8556</v>
      </c>
      <c r="K967" t="s">
        <v>6403</v>
      </c>
      <c r="L967" t="s">
        <v>6404</v>
      </c>
    </row>
    <row r="968" spans="1:13" x14ac:dyDescent="0.25">
      <c r="A968" t="s">
        <v>5766</v>
      </c>
      <c r="B968" t="s">
        <v>3183</v>
      </c>
      <c r="C968" s="1" t="s">
        <v>3217</v>
      </c>
      <c r="D968" s="1" t="s">
        <v>8593</v>
      </c>
      <c r="E968" t="s">
        <v>3219</v>
      </c>
      <c r="F968" t="s">
        <v>8594</v>
      </c>
      <c r="G968" t="s">
        <v>8595</v>
      </c>
      <c r="H968" t="s">
        <v>8596</v>
      </c>
      <c r="I968" t="s">
        <v>8597</v>
      </c>
      <c r="J968" t="s">
        <v>8556</v>
      </c>
      <c r="K968" t="s">
        <v>6403</v>
      </c>
      <c r="L968" t="s">
        <v>6404</v>
      </c>
    </row>
    <row r="969" spans="1:13" x14ac:dyDescent="0.25">
      <c r="A969" t="s">
        <v>5766</v>
      </c>
      <c r="B969" t="s">
        <v>3183</v>
      </c>
      <c r="C969" s="1" t="s">
        <v>141</v>
      </c>
      <c r="D969" s="1" t="s">
        <v>5870</v>
      </c>
      <c r="E969" t="s">
        <v>142</v>
      </c>
      <c r="F969" t="s">
        <v>8598</v>
      </c>
      <c r="G969" t="s">
        <v>5872</v>
      </c>
      <c r="H969" t="s">
        <v>8599</v>
      </c>
      <c r="I969" t="s">
        <v>8425</v>
      </c>
      <c r="J969" t="s">
        <v>8556</v>
      </c>
      <c r="K969" t="s">
        <v>6403</v>
      </c>
      <c r="L969" t="s">
        <v>6404</v>
      </c>
    </row>
    <row r="970" spans="1:13" x14ac:dyDescent="0.25">
      <c r="A970" t="s">
        <v>5766</v>
      </c>
      <c r="B970" t="s">
        <v>3183</v>
      </c>
      <c r="C970" s="1" t="s">
        <v>144</v>
      </c>
      <c r="D970" s="1" t="s">
        <v>5875</v>
      </c>
      <c r="E970" t="s">
        <v>145</v>
      </c>
      <c r="F970" t="s">
        <v>8600</v>
      </c>
      <c r="G970" t="s">
        <v>5877</v>
      </c>
      <c r="H970" t="s">
        <v>8601</v>
      </c>
      <c r="I970" t="s">
        <v>8236</v>
      </c>
      <c r="J970" t="s">
        <v>8556</v>
      </c>
      <c r="K970" t="s">
        <v>6403</v>
      </c>
      <c r="L970" t="s">
        <v>6404</v>
      </c>
    </row>
    <row r="971" spans="1:13" x14ac:dyDescent="0.25">
      <c r="A971" t="s">
        <v>5766</v>
      </c>
      <c r="B971" t="s">
        <v>3183</v>
      </c>
      <c r="C971" s="1" t="s">
        <v>78</v>
      </c>
      <c r="D971" s="1" t="s">
        <v>5780</v>
      </c>
      <c r="E971" t="s">
        <v>5781</v>
      </c>
      <c r="F971" t="s">
        <v>8602</v>
      </c>
      <c r="G971" t="s">
        <v>5783</v>
      </c>
      <c r="H971" t="s">
        <v>8603</v>
      </c>
      <c r="I971" t="s">
        <v>6686</v>
      </c>
      <c r="J971" t="s">
        <v>8556</v>
      </c>
      <c r="K971" t="s">
        <v>6403</v>
      </c>
      <c r="L971" t="s">
        <v>6404</v>
      </c>
      <c r="M971" t="s">
        <v>65</v>
      </c>
    </row>
    <row r="972" spans="1:13" x14ac:dyDescent="0.25">
      <c r="A972" t="s">
        <v>5766</v>
      </c>
      <c r="B972" t="s">
        <v>3183</v>
      </c>
      <c r="C972" s="1" t="s">
        <v>3221</v>
      </c>
      <c r="D972" s="1" t="s">
        <v>8604</v>
      </c>
      <c r="E972" t="s">
        <v>3222</v>
      </c>
      <c r="F972" t="s">
        <v>8594</v>
      </c>
      <c r="G972" t="s">
        <v>8605</v>
      </c>
      <c r="H972" t="s">
        <v>8606</v>
      </c>
      <c r="I972" t="s">
        <v>6248</v>
      </c>
      <c r="J972" t="s">
        <v>8556</v>
      </c>
      <c r="K972" t="s">
        <v>6403</v>
      </c>
      <c r="L972" t="s">
        <v>6404</v>
      </c>
    </row>
    <row r="973" spans="1:13" x14ac:dyDescent="0.25">
      <c r="A973" t="s">
        <v>5766</v>
      </c>
      <c r="B973" t="s">
        <v>3183</v>
      </c>
      <c r="C973" s="1" t="s">
        <v>3224</v>
      </c>
      <c r="D973" s="1" t="s">
        <v>8607</v>
      </c>
      <c r="E973" t="s">
        <v>3225</v>
      </c>
      <c r="F973" t="s">
        <v>5922</v>
      </c>
      <c r="G973" t="s">
        <v>8608</v>
      </c>
      <c r="H973" t="s">
        <v>8609</v>
      </c>
      <c r="I973" t="s">
        <v>8610</v>
      </c>
      <c r="J973" t="s">
        <v>8556</v>
      </c>
      <c r="K973" t="s">
        <v>6403</v>
      </c>
      <c r="L973" t="s">
        <v>6404</v>
      </c>
    </row>
    <row r="974" spans="1:13" x14ac:dyDescent="0.25">
      <c r="A974" t="s">
        <v>5766</v>
      </c>
      <c r="B974" t="s">
        <v>3183</v>
      </c>
      <c r="C974" s="1" t="s">
        <v>3227</v>
      </c>
      <c r="D974" s="1" t="s">
        <v>8611</v>
      </c>
      <c r="E974" t="s">
        <v>3228</v>
      </c>
      <c r="F974" t="s">
        <v>8612</v>
      </c>
      <c r="G974" t="s">
        <v>8613</v>
      </c>
      <c r="H974" t="s">
        <v>8614</v>
      </c>
      <c r="I974" t="s">
        <v>6057</v>
      </c>
      <c r="J974" t="s">
        <v>8556</v>
      </c>
      <c r="K974" t="s">
        <v>6403</v>
      </c>
      <c r="L974" t="s">
        <v>6404</v>
      </c>
    </row>
    <row r="975" spans="1:13" x14ac:dyDescent="0.25">
      <c r="A975" t="s">
        <v>5766</v>
      </c>
      <c r="B975" t="s">
        <v>3183</v>
      </c>
      <c r="C975" s="1" t="s">
        <v>3230</v>
      </c>
      <c r="D975" s="1" t="s">
        <v>8615</v>
      </c>
      <c r="E975" t="s">
        <v>3231</v>
      </c>
      <c r="F975" t="s">
        <v>6428</v>
      </c>
      <c r="G975" t="s">
        <v>8616</v>
      </c>
      <c r="H975" t="s">
        <v>8617</v>
      </c>
      <c r="I975" t="s">
        <v>6101</v>
      </c>
      <c r="J975" t="s">
        <v>8556</v>
      </c>
      <c r="K975" t="s">
        <v>6403</v>
      </c>
      <c r="L975" t="s">
        <v>6404</v>
      </c>
    </row>
    <row r="976" spans="1:13" x14ac:dyDescent="0.25">
      <c r="A976" t="s">
        <v>5766</v>
      </c>
      <c r="B976" t="s">
        <v>3183</v>
      </c>
      <c r="C976" s="1" t="s">
        <v>3233</v>
      </c>
      <c r="D976" s="1" t="s">
        <v>8618</v>
      </c>
      <c r="E976" t="s">
        <v>3234</v>
      </c>
      <c r="F976" t="s">
        <v>5976</v>
      </c>
      <c r="G976" t="s">
        <v>8619</v>
      </c>
      <c r="H976" t="s">
        <v>8620</v>
      </c>
      <c r="I976" t="s">
        <v>7848</v>
      </c>
      <c r="J976" t="s">
        <v>8556</v>
      </c>
      <c r="K976" t="s">
        <v>6403</v>
      </c>
      <c r="L976" t="s">
        <v>6404</v>
      </c>
    </row>
    <row r="977" spans="1:12" x14ac:dyDescent="0.25">
      <c r="A977" t="s">
        <v>5766</v>
      </c>
      <c r="B977" t="s">
        <v>3183</v>
      </c>
      <c r="C977" s="1" t="s">
        <v>3236</v>
      </c>
      <c r="D977" s="1" t="s">
        <v>8621</v>
      </c>
      <c r="E977" t="s">
        <v>3237</v>
      </c>
      <c r="F977" t="s">
        <v>8622</v>
      </c>
      <c r="G977" t="s">
        <v>8623</v>
      </c>
      <c r="H977" t="s">
        <v>8624</v>
      </c>
      <c r="I977" t="s">
        <v>5846</v>
      </c>
      <c r="J977" t="s">
        <v>8556</v>
      </c>
      <c r="K977" t="s">
        <v>6403</v>
      </c>
      <c r="L977" t="s">
        <v>6404</v>
      </c>
    </row>
    <row r="978" spans="1:12" x14ac:dyDescent="0.25">
      <c r="A978" t="s">
        <v>5766</v>
      </c>
      <c r="B978" t="s">
        <v>3183</v>
      </c>
      <c r="C978" s="1" t="s">
        <v>3239</v>
      </c>
      <c r="D978" s="1" t="s">
        <v>8625</v>
      </c>
      <c r="E978" t="s">
        <v>3240</v>
      </c>
      <c r="F978" t="s">
        <v>8586</v>
      </c>
      <c r="G978" t="s">
        <v>8626</v>
      </c>
      <c r="H978" t="s">
        <v>8627</v>
      </c>
      <c r="I978" t="s">
        <v>8628</v>
      </c>
      <c r="J978" t="s">
        <v>8556</v>
      </c>
      <c r="K978" t="s">
        <v>6403</v>
      </c>
      <c r="L978" t="s">
        <v>6404</v>
      </c>
    </row>
    <row r="979" spans="1:12" x14ac:dyDescent="0.25">
      <c r="A979" t="s">
        <v>5766</v>
      </c>
      <c r="B979" t="s">
        <v>3183</v>
      </c>
      <c r="C979" s="1" t="s">
        <v>3242</v>
      </c>
      <c r="D979" s="1" t="s">
        <v>8629</v>
      </c>
      <c r="E979" t="s">
        <v>3243</v>
      </c>
      <c r="F979" t="s">
        <v>6015</v>
      </c>
      <c r="G979" t="s">
        <v>8630</v>
      </c>
      <c r="H979" t="s">
        <v>8631</v>
      </c>
      <c r="I979" t="s">
        <v>8632</v>
      </c>
      <c r="J979" t="s">
        <v>8556</v>
      </c>
      <c r="K979" t="s">
        <v>6403</v>
      </c>
      <c r="L979" t="s">
        <v>6404</v>
      </c>
    </row>
    <row r="980" spans="1:12" x14ac:dyDescent="0.25">
      <c r="A980" t="s">
        <v>5766</v>
      </c>
      <c r="B980" t="s">
        <v>3183</v>
      </c>
      <c r="C980" s="1" t="s">
        <v>3245</v>
      </c>
      <c r="D980" s="1" t="s">
        <v>8633</v>
      </c>
      <c r="E980" t="s">
        <v>3247</v>
      </c>
      <c r="F980" t="s">
        <v>8634</v>
      </c>
      <c r="G980" t="s">
        <v>8635</v>
      </c>
      <c r="H980" t="s">
        <v>8636</v>
      </c>
      <c r="I980" t="s">
        <v>8637</v>
      </c>
      <c r="J980" t="s">
        <v>8556</v>
      </c>
      <c r="K980" t="s">
        <v>6403</v>
      </c>
      <c r="L980" t="s">
        <v>6404</v>
      </c>
    </row>
    <row r="981" spans="1:12" x14ac:dyDescent="0.25">
      <c r="A981" t="s">
        <v>5766</v>
      </c>
      <c r="B981" t="s">
        <v>3183</v>
      </c>
      <c r="C981" s="1" t="s">
        <v>3249</v>
      </c>
      <c r="D981" s="1" t="s">
        <v>8638</v>
      </c>
      <c r="E981" t="s">
        <v>3250</v>
      </c>
      <c r="F981" t="s">
        <v>5922</v>
      </c>
      <c r="G981" t="s">
        <v>8639</v>
      </c>
      <c r="H981" t="s">
        <v>8640</v>
      </c>
      <c r="I981" t="s">
        <v>6208</v>
      </c>
      <c r="J981" t="s">
        <v>8556</v>
      </c>
      <c r="K981" t="s">
        <v>6403</v>
      </c>
      <c r="L981" t="s">
        <v>6404</v>
      </c>
    </row>
    <row r="982" spans="1:12" x14ac:dyDescent="0.25">
      <c r="A982" t="s">
        <v>5766</v>
      </c>
      <c r="B982" t="s">
        <v>3183</v>
      </c>
      <c r="C982" s="1" t="s">
        <v>3252</v>
      </c>
      <c r="D982" s="1" t="s">
        <v>8641</v>
      </c>
      <c r="E982" t="s">
        <v>3253</v>
      </c>
      <c r="F982" t="s">
        <v>8586</v>
      </c>
      <c r="G982" t="s">
        <v>8642</v>
      </c>
      <c r="H982" t="s">
        <v>8643</v>
      </c>
      <c r="I982" t="s">
        <v>8644</v>
      </c>
      <c r="J982" t="s">
        <v>8556</v>
      </c>
      <c r="K982" t="s">
        <v>6403</v>
      </c>
      <c r="L982" t="s">
        <v>6404</v>
      </c>
    </row>
    <row r="983" spans="1:12" x14ac:dyDescent="0.25">
      <c r="A983" t="s">
        <v>5766</v>
      </c>
      <c r="B983" t="s">
        <v>3183</v>
      </c>
      <c r="C983" s="1" t="s">
        <v>3255</v>
      </c>
      <c r="D983" s="1" t="s">
        <v>8645</v>
      </c>
      <c r="E983" t="s">
        <v>3256</v>
      </c>
      <c r="F983" t="s">
        <v>5922</v>
      </c>
      <c r="G983" t="s">
        <v>8646</v>
      </c>
      <c r="H983" t="s">
        <v>8647</v>
      </c>
      <c r="I983" t="s">
        <v>8644</v>
      </c>
      <c r="J983" t="s">
        <v>8556</v>
      </c>
      <c r="K983" t="s">
        <v>6403</v>
      </c>
      <c r="L983" t="s">
        <v>6404</v>
      </c>
    </row>
    <row r="984" spans="1:12" x14ac:dyDescent="0.25">
      <c r="A984" t="s">
        <v>5766</v>
      </c>
      <c r="B984" t="s">
        <v>3183</v>
      </c>
      <c r="C984" s="1" t="s">
        <v>3258</v>
      </c>
      <c r="D984" s="1" t="s">
        <v>8648</v>
      </c>
      <c r="E984" t="s">
        <v>3259</v>
      </c>
      <c r="F984" t="s">
        <v>8634</v>
      </c>
      <c r="G984" t="s">
        <v>8649</v>
      </c>
      <c r="H984" t="s">
        <v>8650</v>
      </c>
      <c r="I984" t="s">
        <v>5864</v>
      </c>
      <c r="J984" t="s">
        <v>8556</v>
      </c>
      <c r="K984" t="s">
        <v>6403</v>
      </c>
      <c r="L984" t="s">
        <v>6404</v>
      </c>
    </row>
    <row r="985" spans="1:12" x14ac:dyDescent="0.25">
      <c r="A985" t="s">
        <v>5766</v>
      </c>
      <c r="B985" t="s">
        <v>3183</v>
      </c>
      <c r="C985" s="1" t="s">
        <v>3261</v>
      </c>
      <c r="D985" s="1" t="s">
        <v>8651</v>
      </c>
      <c r="E985" t="s">
        <v>3262</v>
      </c>
      <c r="F985" t="s">
        <v>8598</v>
      </c>
      <c r="G985" t="s">
        <v>8652</v>
      </c>
      <c r="H985" t="s">
        <v>8653</v>
      </c>
      <c r="I985" t="s">
        <v>6703</v>
      </c>
      <c r="J985" t="s">
        <v>8556</v>
      </c>
      <c r="K985" t="s">
        <v>6403</v>
      </c>
      <c r="L985" t="s">
        <v>6404</v>
      </c>
    </row>
    <row r="986" spans="1:12" x14ac:dyDescent="0.25">
      <c r="A986" t="s">
        <v>5766</v>
      </c>
      <c r="B986" t="s">
        <v>3183</v>
      </c>
      <c r="C986" s="1" t="s">
        <v>3264</v>
      </c>
      <c r="D986" s="1" t="s">
        <v>8654</v>
      </c>
      <c r="E986" t="s">
        <v>3265</v>
      </c>
      <c r="F986" t="s">
        <v>8612</v>
      </c>
      <c r="G986" t="s">
        <v>8655</v>
      </c>
      <c r="H986" t="s">
        <v>8656</v>
      </c>
      <c r="I986" t="s">
        <v>8657</v>
      </c>
      <c r="J986" t="s">
        <v>8556</v>
      </c>
      <c r="K986" t="s">
        <v>6403</v>
      </c>
      <c r="L986" t="s">
        <v>6404</v>
      </c>
    </row>
    <row r="987" spans="1:12" x14ac:dyDescent="0.25">
      <c r="A987" t="s">
        <v>5766</v>
      </c>
      <c r="B987" t="s">
        <v>3183</v>
      </c>
      <c r="C987" s="1" t="s">
        <v>3267</v>
      </c>
      <c r="D987" s="1" t="s">
        <v>8658</v>
      </c>
      <c r="E987" t="s">
        <v>3268</v>
      </c>
      <c r="F987" t="s">
        <v>8659</v>
      </c>
      <c r="G987" t="s">
        <v>8660</v>
      </c>
      <c r="H987" t="s">
        <v>8661</v>
      </c>
      <c r="I987" t="s">
        <v>6840</v>
      </c>
      <c r="J987" t="s">
        <v>8556</v>
      </c>
      <c r="K987" t="s">
        <v>6403</v>
      </c>
      <c r="L987" t="s">
        <v>6404</v>
      </c>
    </row>
    <row r="988" spans="1:12" x14ac:dyDescent="0.25">
      <c r="A988" t="s">
        <v>5766</v>
      </c>
      <c r="B988" t="s">
        <v>3183</v>
      </c>
      <c r="C988" s="1" t="s">
        <v>3270</v>
      </c>
      <c r="D988" s="1" t="s">
        <v>8662</v>
      </c>
      <c r="E988" t="s">
        <v>3271</v>
      </c>
      <c r="F988" t="s">
        <v>8663</v>
      </c>
      <c r="G988" t="s">
        <v>8664</v>
      </c>
      <c r="H988" t="s">
        <v>8665</v>
      </c>
      <c r="I988" t="s">
        <v>6208</v>
      </c>
      <c r="J988" t="s">
        <v>8556</v>
      </c>
      <c r="K988" t="s">
        <v>6403</v>
      </c>
      <c r="L988" t="s">
        <v>6404</v>
      </c>
    </row>
    <row r="989" spans="1:12" x14ac:dyDescent="0.25">
      <c r="A989" t="s">
        <v>5766</v>
      </c>
      <c r="B989" t="s">
        <v>3183</v>
      </c>
      <c r="C989" s="1" t="s">
        <v>3273</v>
      </c>
      <c r="D989" s="1" t="s">
        <v>8666</v>
      </c>
      <c r="E989" t="s">
        <v>3274</v>
      </c>
      <c r="F989" t="s">
        <v>6205</v>
      </c>
      <c r="G989" t="s">
        <v>8667</v>
      </c>
      <c r="H989" t="s">
        <v>8668</v>
      </c>
      <c r="I989" t="s">
        <v>8669</v>
      </c>
      <c r="J989" t="s">
        <v>8556</v>
      </c>
      <c r="K989" t="s">
        <v>6403</v>
      </c>
      <c r="L989" t="s">
        <v>6404</v>
      </c>
    </row>
    <row r="990" spans="1:12" x14ac:dyDescent="0.25">
      <c r="A990" t="s">
        <v>5766</v>
      </c>
      <c r="B990" t="s">
        <v>3183</v>
      </c>
      <c r="C990" s="1" t="s">
        <v>3276</v>
      </c>
      <c r="D990" s="1" t="s">
        <v>8670</v>
      </c>
      <c r="E990" t="s">
        <v>3277</v>
      </c>
      <c r="F990" t="s">
        <v>5856</v>
      </c>
      <c r="G990" t="s">
        <v>8671</v>
      </c>
      <c r="H990" t="s">
        <v>8672</v>
      </c>
      <c r="I990" t="s">
        <v>7861</v>
      </c>
      <c r="J990" t="s">
        <v>8556</v>
      </c>
      <c r="K990" t="s">
        <v>6403</v>
      </c>
      <c r="L990" t="s">
        <v>6404</v>
      </c>
    </row>
    <row r="991" spans="1:12" x14ac:dyDescent="0.25">
      <c r="A991" t="s">
        <v>5766</v>
      </c>
      <c r="B991" t="s">
        <v>3183</v>
      </c>
      <c r="C991" s="1" t="s">
        <v>3279</v>
      </c>
      <c r="D991" s="1" t="s">
        <v>8673</v>
      </c>
      <c r="E991" t="s">
        <v>3280</v>
      </c>
      <c r="F991" t="s">
        <v>8674</v>
      </c>
      <c r="G991" t="s">
        <v>8675</v>
      </c>
      <c r="H991" t="s">
        <v>8676</v>
      </c>
      <c r="I991" t="s">
        <v>6023</v>
      </c>
      <c r="J991" t="s">
        <v>8556</v>
      </c>
      <c r="K991" t="s">
        <v>6403</v>
      </c>
      <c r="L991" t="s">
        <v>6404</v>
      </c>
    </row>
    <row r="992" spans="1:12" x14ac:dyDescent="0.25">
      <c r="A992" t="s">
        <v>5766</v>
      </c>
      <c r="B992" t="s">
        <v>3183</v>
      </c>
      <c r="C992" s="1" t="s">
        <v>3282</v>
      </c>
      <c r="D992" s="1" t="s">
        <v>8677</v>
      </c>
      <c r="E992" t="s">
        <v>3283</v>
      </c>
      <c r="F992" t="s">
        <v>8053</v>
      </c>
      <c r="G992" t="s">
        <v>8678</v>
      </c>
      <c r="H992" t="s">
        <v>8679</v>
      </c>
      <c r="I992" t="s">
        <v>8680</v>
      </c>
      <c r="J992" t="s">
        <v>8556</v>
      </c>
      <c r="K992" t="s">
        <v>6403</v>
      </c>
      <c r="L992" t="s">
        <v>6404</v>
      </c>
    </row>
    <row r="993" spans="1:13" x14ac:dyDescent="0.25">
      <c r="A993" t="s">
        <v>5766</v>
      </c>
      <c r="B993" t="s">
        <v>3183</v>
      </c>
      <c r="C993" s="1" t="s">
        <v>3285</v>
      </c>
      <c r="D993" s="1" t="s">
        <v>8681</v>
      </c>
      <c r="E993" t="s">
        <v>3286</v>
      </c>
      <c r="F993" t="s">
        <v>8682</v>
      </c>
      <c r="G993" t="s">
        <v>8683</v>
      </c>
      <c r="H993" t="s">
        <v>8684</v>
      </c>
      <c r="I993" t="s">
        <v>8685</v>
      </c>
      <c r="J993" t="s">
        <v>8556</v>
      </c>
      <c r="K993" t="s">
        <v>6403</v>
      </c>
      <c r="L993" t="s">
        <v>6404</v>
      </c>
    </row>
    <row r="994" spans="1:13" x14ac:dyDescent="0.25">
      <c r="A994" t="s">
        <v>5766</v>
      </c>
      <c r="B994" t="s">
        <v>3183</v>
      </c>
      <c r="C994" s="1" t="s">
        <v>3288</v>
      </c>
      <c r="D994" s="1" t="s">
        <v>8686</v>
      </c>
      <c r="E994" t="s">
        <v>3289</v>
      </c>
      <c r="F994" t="s">
        <v>8687</v>
      </c>
      <c r="G994" t="s">
        <v>8688</v>
      </c>
      <c r="H994" t="s">
        <v>8689</v>
      </c>
      <c r="I994" t="s">
        <v>8690</v>
      </c>
      <c r="J994" t="s">
        <v>8556</v>
      </c>
      <c r="K994" t="s">
        <v>6403</v>
      </c>
      <c r="L994" t="s">
        <v>6404</v>
      </c>
    </row>
    <row r="995" spans="1:13" x14ac:dyDescent="0.25">
      <c r="A995" t="s">
        <v>5766</v>
      </c>
      <c r="B995" t="s">
        <v>3183</v>
      </c>
      <c r="C995" s="1" t="s">
        <v>3291</v>
      </c>
      <c r="D995" s="1" t="s">
        <v>8691</v>
      </c>
      <c r="E995" t="s">
        <v>3292</v>
      </c>
      <c r="F995" t="s">
        <v>8692</v>
      </c>
      <c r="G995" t="s">
        <v>8693</v>
      </c>
      <c r="H995" t="s">
        <v>8694</v>
      </c>
      <c r="I995" t="s">
        <v>7615</v>
      </c>
      <c r="J995" t="s">
        <v>8556</v>
      </c>
      <c r="K995" t="s">
        <v>6403</v>
      </c>
      <c r="L995" t="s">
        <v>6404</v>
      </c>
    </row>
    <row r="996" spans="1:13" x14ac:dyDescent="0.25">
      <c r="A996" t="s">
        <v>5766</v>
      </c>
      <c r="B996" t="s">
        <v>3183</v>
      </c>
      <c r="C996" s="1" t="s">
        <v>3294</v>
      </c>
      <c r="D996" s="1" t="s">
        <v>8695</v>
      </c>
      <c r="E996" t="s">
        <v>3295</v>
      </c>
      <c r="F996" t="s">
        <v>8696</v>
      </c>
      <c r="G996" t="s">
        <v>8697</v>
      </c>
      <c r="H996" t="s">
        <v>8698</v>
      </c>
      <c r="I996" t="s">
        <v>6075</v>
      </c>
      <c r="J996" t="s">
        <v>8556</v>
      </c>
      <c r="K996" t="s">
        <v>6403</v>
      </c>
      <c r="L996" t="s">
        <v>6404</v>
      </c>
    </row>
    <row r="997" spans="1:13" x14ac:dyDescent="0.25">
      <c r="A997" t="s">
        <v>5766</v>
      </c>
      <c r="B997" t="s">
        <v>3183</v>
      </c>
      <c r="C997" s="1" t="s">
        <v>3297</v>
      </c>
      <c r="D997" s="1" t="s">
        <v>8699</v>
      </c>
      <c r="E997" t="s">
        <v>3298</v>
      </c>
      <c r="F997" t="s">
        <v>8696</v>
      </c>
      <c r="G997" t="s">
        <v>8700</v>
      </c>
      <c r="H997" t="s">
        <v>8701</v>
      </c>
      <c r="I997" t="s">
        <v>8702</v>
      </c>
      <c r="J997" t="s">
        <v>8556</v>
      </c>
      <c r="K997" t="s">
        <v>6403</v>
      </c>
      <c r="L997" t="s">
        <v>6404</v>
      </c>
    </row>
    <row r="998" spans="1:13" x14ac:dyDescent="0.25">
      <c r="A998" t="s">
        <v>5766</v>
      </c>
      <c r="B998" t="s">
        <v>3183</v>
      </c>
      <c r="C998" s="1" t="s">
        <v>211</v>
      </c>
      <c r="D998" s="1" t="s">
        <v>5980</v>
      </c>
      <c r="E998" t="s">
        <v>212</v>
      </c>
      <c r="F998" t="s">
        <v>8682</v>
      </c>
      <c r="G998" t="s">
        <v>5982</v>
      </c>
      <c r="H998" t="s">
        <v>8703</v>
      </c>
      <c r="I998" t="s">
        <v>8704</v>
      </c>
      <c r="J998" t="s">
        <v>8556</v>
      </c>
      <c r="K998" t="s">
        <v>6403</v>
      </c>
      <c r="L998" t="s">
        <v>6404</v>
      </c>
    </row>
    <row r="999" spans="1:13" x14ac:dyDescent="0.25">
      <c r="A999" t="s">
        <v>5766</v>
      </c>
      <c r="B999" t="s">
        <v>3183</v>
      </c>
      <c r="C999" s="1" t="s">
        <v>3300</v>
      </c>
      <c r="D999" s="1" t="s">
        <v>8705</v>
      </c>
      <c r="E999" t="s">
        <v>3302</v>
      </c>
      <c r="F999" t="s">
        <v>8706</v>
      </c>
      <c r="G999" t="s">
        <v>8707</v>
      </c>
      <c r="H999" t="s">
        <v>8708</v>
      </c>
      <c r="I999" t="s">
        <v>8709</v>
      </c>
      <c r="J999" t="s">
        <v>8556</v>
      </c>
      <c r="K999" t="s">
        <v>6403</v>
      </c>
      <c r="L999" t="s">
        <v>6404</v>
      </c>
    </row>
    <row r="1000" spans="1:13" x14ac:dyDescent="0.25">
      <c r="A1000" t="s">
        <v>5766</v>
      </c>
      <c r="B1000" t="s">
        <v>3183</v>
      </c>
      <c r="C1000" s="1" t="s">
        <v>3304</v>
      </c>
      <c r="D1000" s="1" t="s">
        <v>8710</v>
      </c>
      <c r="E1000" t="s">
        <v>3305</v>
      </c>
      <c r="F1000" t="s">
        <v>8711</v>
      </c>
      <c r="G1000" t="s">
        <v>8712</v>
      </c>
      <c r="H1000" t="s">
        <v>8713</v>
      </c>
      <c r="I1000" t="s">
        <v>7494</v>
      </c>
      <c r="J1000" t="s">
        <v>8556</v>
      </c>
      <c r="K1000" t="s">
        <v>6403</v>
      </c>
      <c r="L1000" t="s">
        <v>6404</v>
      </c>
    </row>
    <row r="1001" spans="1:13" x14ac:dyDescent="0.25">
      <c r="A1001" t="s">
        <v>5766</v>
      </c>
      <c r="B1001" t="s">
        <v>3183</v>
      </c>
      <c r="C1001" s="1" t="s">
        <v>3307</v>
      </c>
      <c r="D1001" s="1" t="s">
        <v>8714</v>
      </c>
      <c r="E1001" t="s">
        <v>3308</v>
      </c>
      <c r="F1001" t="s">
        <v>8715</v>
      </c>
      <c r="G1001" t="s">
        <v>8716</v>
      </c>
      <c r="H1001" t="s">
        <v>8717</v>
      </c>
      <c r="I1001" t="s">
        <v>7010</v>
      </c>
      <c r="J1001" t="s">
        <v>8556</v>
      </c>
      <c r="K1001" t="s">
        <v>6403</v>
      </c>
      <c r="L1001" t="s">
        <v>6404</v>
      </c>
    </row>
    <row r="1002" spans="1:13" x14ac:dyDescent="0.25">
      <c r="A1002" t="s">
        <v>5766</v>
      </c>
      <c r="B1002" t="s">
        <v>3183</v>
      </c>
      <c r="C1002" s="1" t="s">
        <v>3310</v>
      </c>
      <c r="D1002" s="1" t="s">
        <v>8718</v>
      </c>
      <c r="E1002" t="s">
        <v>3311</v>
      </c>
      <c r="F1002" t="s">
        <v>8719</v>
      </c>
      <c r="G1002" t="s">
        <v>8720</v>
      </c>
      <c r="H1002" t="s">
        <v>8721</v>
      </c>
      <c r="I1002" t="s">
        <v>8722</v>
      </c>
      <c r="J1002" t="s">
        <v>8556</v>
      </c>
      <c r="K1002" t="s">
        <v>6403</v>
      </c>
      <c r="L1002" t="s">
        <v>6404</v>
      </c>
    </row>
    <row r="1003" spans="1:13" x14ac:dyDescent="0.25">
      <c r="A1003" t="s">
        <v>5766</v>
      </c>
      <c r="B1003" t="s">
        <v>3183</v>
      </c>
      <c r="C1003" s="1" t="s">
        <v>3313</v>
      </c>
      <c r="D1003" s="1" t="s">
        <v>8723</v>
      </c>
      <c r="E1003" t="s">
        <v>3315</v>
      </c>
      <c r="F1003" t="s">
        <v>8715</v>
      </c>
      <c r="G1003" t="s">
        <v>8724</v>
      </c>
      <c r="H1003" t="s">
        <v>8725</v>
      </c>
      <c r="I1003" t="s">
        <v>8726</v>
      </c>
      <c r="J1003" t="s">
        <v>8556</v>
      </c>
      <c r="K1003" t="s">
        <v>6403</v>
      </c>
      <c r="L1003" t="s">
        <v>6404</v>
      </c>
    </row>
    <row r="1004" spans="1:13" x14ac:dyDescent="0.25">
      <c r="A1004" t="s">
        <v>5766</v>
      </c>
      <c r="B1004" t="s">
        <v>3183</v>
      </c>
      <c r="C1004" s="1" t="s">
        <v>52</v>
      </c>
      <c r="D1004" s="1" t="s">
        <v>52</v>
      </c>
      <c r="E1004" t="s">
        <v>5767</v>
      </c>
      <c r="F1004" t="s">
        <v>8727</v>
      </c>
      <c r="G1004" t="s">
        <v>5769</v>
      </c>
      <c r="H1004" t="s">
        <v>8728</v>
      </c>
      <c r="I1004" t="s">
        <v>8211</v>
      </c>
      <c r="J1004" t="s">
        <v>8556</v>
      </c>
      <c r="K1004" t="s">
        <v>6403</v>
      </c>
      <c r="L1004" t="s">
        <v>6404</v>
      </c>
      <c r="M1004" t="s">
        <v>65</v>
      </c>
    </row>
    <row r="1005" spans="1:13" x14ac:dyDescent="0.25">
      <c r="A1005" t="s">
        <v>5766</v>
      </c>
      <c r="B1005" t="s">
        <v>3316</v>
      </c>
      <c r="C1005" s="1" t="s">
        <v>3317</v>
      </c>
      <c r="D1005" s="1" t="s">
        <v>3317</v>
      </c>
      <c r="E1005" t="s">
        <v>3318</v>
      </c>
      <c r="F1005" t="s">
        <v>8729</v>
      </c>
      <c r="G1005" t="s">
        <v>8730</v>
      </c>
      <c r="H1005" t="s">
        <v>3323</v>
      </c>
      <c r="I1005" t="s">
        <v>8731</v>
      </c>
      <c r="J1005" t="s">
        <v>8732</v>
      </c>
      <c r="K1005" t="s">
        <v>6403</v>
      </c>
      <c r="L1005" t="s">
        <v>6404</v>
      </c>
    </row>
    <row r="1006" spans="1:13" x14ac:dyDescent="0.25">
      <c r="A1006" t="s">
        <v>5766</v>
      </c>
      <c r="B1006" t="s">
        <v>3316</v>
      </c>
      <c r="C1006" s="1" t="s">
        <v>3325</v>
      </c>
      <c r="D1006" s="1" t="s">
        <v>3325</v>
      </c>
      <c r="E1006" t="s">
        <v>3326</v>
      </c>
      <c r="F1006" t="s">
        <v>8733</v>
      </c>
      <c r="G1006" t="s">
        <v>8734</v>
      </c>
      <c r="H1006" t="s">
        <v>3329</v>
      </c>
      <c r="I1006" t="s">
        <v>8735</v>
      </c>
      <c r="J1006" t="s">
        <v>8732</v>
      </c>
      <c r="K1006" t="s">
        <v>6403</v>
      </c>
      <c r="L1006" t="s">
        <v>6404</v>
      </c>
    </row>
    <row r="1007" spans="1:13" x14ac:dyDescent="0.25">
      <c r="A1007" t="s">
        <v>5766</v>
      </c>
      <c r="B1007" t="s">
        <v>3316</v>
      </c>
      <c r="C1007" s="1" t="s">
        <v>3331</v>
      </c>
      <c r="D1007" s="1" t="s">
        <v>3331</v>
      </c>
      <c r="E1007" t="s">
        <v>3332</v>
      </c>
      <c r="F1007" t="s">
        <v>8733</v>
      </c>
      <c r="G1007" t="s">
        <v>8736</v>
      </c>
      <c r="H1007" t="s">
        <v>3335</v>
      </c>
      <c r="I1007" t="s">
        <v>8737</v>
      </c>
      <c r="J1007" t="s">
        <v>8732</v>
      </c>
      <c r="K1007" t="s">
        <v>6403</v>
      </c>
      <c r="L1007" t="s">
        <v>6404</v>
      </c>
    </row>
    <row r="1008" spans="1:13" x14ac:dyDescent="0.25">
      <c r="A1008" t="s">
        <v>5766</v>
      </c>
      <c r="B1008" t="s">
        <v>3316</v>
      </c>
      <c r="C1008" s="1" t="s">
        <v>3337</v>
      </c>
      <c r="D1008" s="1" t="s">
        <v>3337</v>
      </c>
      <c r="E1008" t="s">
        <v>3338</v>
      </c>
      <c r="F1008" t="s">
        <v>8729</v>
      </c>
      <c r="G1008" t="s">
        <v>8738</v>
      </c>
      <c r="H1008" t="s">
        <v>3341</v>
      </c>
      <c r="I1008" t="s">
        <v>8739</v>
      </c>
      <c r="J1008" t="s">
        <v>8732</v>
      </c>
      <c r="K1008" t="s">
        <v>6403</v>
      </c>
      <c r="L1008" t="s">
        <v>6404</v>
      </c>
    </row>
    <row r="1009" spans="1:13" x14ac:dyDescent="0.25">
      <c r="A1009" t="s">
        <v>5766</v>
      </c>
      <c r="B1009" t="s">
        <v>3316</v>
      </c>
      <c r="C1009" s="1" t="s">
        <v>2631</v>
      </c>
      <c r="D1009" s="1" t="s">
        <v>2631</v>
      </c>
      <c r="E1009" t="s">
        <v>2632</v>
      </c>
      <c r="F1009" t="s">
        <v>8740</v>
      </c>
      <c r="G1009" t="s">
        <v>8003</v>
      </c>
      <c r="H1009" t="s">
        <v>8741</v>
      </c>
      <c r="I1009" t="s">
        <v>8742</v>
      </c>
      <c r="J1009" t="s">
        <v>8732</v>
      </c>
      <c r="K1009" t="s">
        <v>6403</v>
      </c>
      <c r="L1009" t="s">
        <v>6404</v>
      </c>
    </row>
    <row r="1010" spans="1:13" x14ac:dyDescent="0.25">
      <c r="A1010" t="s">
        <v>5766</v>
      </c>
      <c r="B1010" t="s">
        <v>3316</v>
      </c>
      <c r="C1010" s="1" t="s">
        <v>78</v>
      </c>
      <c r="D1010" s="1" t="s">
        <v>5780</v>
      </c>
      <c r="E1010" t="s">
        <v>5781</v>
      </c>
      <c r="F1010" t="s">
        <v>8743</v>
      </c>
      <c r="G1010" t="s">
        <v>5783</v>
      </c>
      <c r="H1010" t="s">
        <v>8744</v>
      </c>
      <c r="I1010" t="s">
        <v>8387</v>
      </c>
      <c r="J1010" t="s">
        <v>8732</v>
      </c>
      <c r="K1010" t="s">
        <v>6403</v>
      </c>
      <c r="L1010" t="s">
        <v>6404</v>
      </c>
      <c r="M1010" t="s">
        <v>65</v>
      </c>
    </row>
    <row r="1011" spans="1:13" x14ac:dyDescent="0.25">
      <c r="A1011" t="s">
        <v>5766</v>
      </c>
      <c r="B1011" t="s">
        <v>3316</v>
      </c>
      <c r="C1011" s="1" t="s">
        <v>52</v>
      </c>
      <c r="D1011" s="1" t="s">
        <v>52</v>
      </c>
      <c r="E1011" t="s">
        <v>5767</v>
      </c>
      <c r="F1011" t="s">
        <v>8745</v>
      </c>
      <c r="G1011" t="s">
        <v>5769</v>
      </c>
      <c r="H1011" t="s">
        <v>8746</v>
      </c>
      <c r="I1011" t="s">
        <v>6710</v>
      </c>
      <c r="J1011" t="s">
        <v>8732</v>
      </c>
      <c r="K1011" t="s">
        <v>6403</v>
      </c>
      <c r="L1011" t="s">
        <v>6404</v>
      </c>
      <c r="M1011" t="s">
        <v>65</v>
      </c>
    </row>
    <row r="1012" spans="1:13" x14ac:dyDescent="0.25">
      <c r="A1012" t="s">
        <v>5766</v>
      </c>
      <c r="B1012" t="s">
        <v>3343</v>
      </c>
      <c r="C1012" s="1" t="s">
        <v>3344</v>
      </c>
      <c r="D1012" s="1" t="s">
        <v>3344</v>
      </c>
      <c r="E1012" t="s">
        <v>3345</v>
      </c>
      <c r="F1012" t="s">
        <v>8747</v>
      </c>
      <c r="G1012" t="s">
        <v>8748</v>
      </c>
      <c r="H1012" t="s">
        <v>3348</v>
      </c>
      <c r="I1012" t="s">
        <v>8749</v>
      </c>
      <c r="J1012" t="s">
        <v>8750</v>
      </c>
      <c r="K1012" t="s">
        <v>8751</v>
      </c>
      <c r="L1012" t="s">
        <v>8752</v>
      </c>
    </row>
    <row r="1013" spans="1:13" x14ac:dyDescent="0.25">
      <c r="A1013" t="s">
        <v>5766</v>
      </c>
      <c r="B1013" t="s">
        <v>3343</v>
      </c>
      <c r="C1013" s="1" t="s">
        <v>3350</v>
      </c>
      <c r="D1013" s="1" t="s">
        <v>3350</v>
      </c>
      <c r="E1013" t="s">
        <v>3351</v>
      </c>
      <c r="F1013" t="s">
        <v>8753</v>
      </c>
      <c r="G1013" t="s">
        <v>8754</v>
      </c>
      <c r="H1013" t="s">
        <v>3354</v>
      </c>
      <c r="I1013" t="s">
        <v>8755</v>
      </c>
      <c r="J1013" t="s">
        <v>8750</v>
      </c>
      <c r="K1013" t="s">
        <v>8751</v>
      </c>
      <c r="L1013" t="s">
        <v>8752</v>
      </c>
    </row>
    <row r="1014" spans="1:13" x14ac:dyDescent="0.25">
      <c r="A1014" t="s">
        <v>5766</v>
      </c>
      <c r="B1014" t="s">
        <v>3343</v>
      </c>
      <c r="C1014" s="1" t="s">
        <v>3356</v>
      </c>
      <c r="D1014" s="1" t="s">
        <v>3356</v>
      </c>
      <c r="E1014" t="s">
        <v>3357</v>
      </c>
      <c r="F1014" t="s">
        <v>8753</v>
      </c>
      <c r="G1014" t="s">
        <v>8756</v>
      </c>
      <c r="H1014" t="s">
        <v>3360</v>
      </c>
      <c r="I1014" t="s">
        <v>8757</v>
      </c>
      <c r="J1014" t="s">
        <v>8750</v>
      </c>
      <c r="K1014" t="s">
        <v>8751</v>
      </c>
      <c r="L1014" t="s">
        <v>8752</v>
      </c>
    </row>
    <row r="1015" spans="1:13" x14ac:dyDescent="0.25">
      <c r="A1015" t="s">
        <v>5766</v>
      </c>
      <c r="B1015" t="s">
        <v>3343</v>
      </c>
      <c r="C1015" s="1" t="s">
        <v>3362</v>
      </c>
      <c r="D1015" s="1" t="s">
        <v>3362</v>
      </c>
      <c r="E1015" t="s">
        <v>3363</v>
      </c>
      <c r="F1015" t="s">
        <v>8747</v>
      </c>
      <c r="G1015" t="s">
        <v>8758</v>
      </c>
      <c r="H1015" t="s">
        <v>3366</v>
      </c>
      <c r="I1015" t="s">
        <v>8759</v>
      </c>
      <c r="J1015" t="s">
        <v>8750</v>
      </c>
      <c r="K1015" t="s">
        <v>8751</v>
      </c>
      <c r="L1015" t="s">
        <v>8752</v>
      </c>
    </row>
    <row r="1016" spans="1:13" x14ac:dyDescent="0.25">
      <c r="A1016" t="s">
        <v>5766</v>
      </c>
      <c r="B1016" t="s">
        <v>3343</v>
      </c>
      <c r="C1016" s="1" t="s">
        <v>2821</v>
      </c>
      <c r="D1016" s="1" t="s">
        <v>2821</v>
      </c>
      <c r="E1016" t="s">
        <v>2822</v>
      </c>
      <c r="F1016" t="s">
        <v>8760</v>
      </c>
      <c r="G1016" t="s">
        <v>8204</v>
      </c>
      <c r="H1016" t="s">
        <v>8761</v>
      </c>
      <c r="I1016" t="s">
        <v>8762</v>
      </c>
      <c r="J1016" t="s">
        <v>8750</v>
      </c>
      <c r="K1016" t="s">
        <v>8751</v>
      </c>
      <c r="L1016" t="s">
        <v>8752</v>
      </c>
    </row>
    <row r="1017" spans="1:13" x14ac:dyDescent="0.25">
      <c r="A1017" t="s">
        <v>5766</v>
      </c>
      <c r="B1017" t="s">
        <v>3343</v>
      </c>
      <c r="C1017" s="1" t="s">
        <v>78</v>
      </c>
      <c r="D1017" s="1" t="s">
        <v>5780</v>
      </c>
      <c r="E1017" t="s">
        <v>5781</v>
      </c>
      <c r="F1017" t="s">
        <v>8763</v>
      </c>
      <c r="G1017" t="s">
        <v>5783</v>
      </c>
      <c r="H1017" t="s">
        <v>8764</v>
      </c>
      <c r="I1017" t="s">
        <v>5984</v>
      </c>
      <c r="J1017" t="s">
        <v>8750</v>
      </c>
      <c r="K1017" t="s">
        <v>8751</v>
      </c>
      <c r="L1017" t="s">
        <v>8752</v>
      </c>
      <c r="M1017" t="s">
        <v>65</v>
      </c>
    </row>
    <row r="1018" spans="1:13" x14ac:dyDescent="0.25">
      <c r="A1018" t="s">
        <v>5766</v>
      </c>
      <c r="B1018" t="s">
        <v>3343</v>
      </c>
      <c r="C1018" s="1" t="s">
        <v>52</v>
      </c>
      <c r="D1018" s="1" t="s">
        <v>52</v>
      </c>
      <c r="E1018" t="s">
        <v>5767</v>
      </c>
      <c r="F1018" t="s">
        <v>8765</v>
      </c>
      <c r="G1018" t="s">
        <v>5769</v>
      </c>
      <c r="H1018" t="s">
        <v>8766</v>
      </c>
      <c r="I1018" t="s">
        <v>8767</v>
      </c>
      <c r="J1018" t="s">
        <v>8750</v>
      </c>
      <c r="K1018" t="s">
        <v>8751</v>
      </c>
      <c r="L1018" t="s">
        <v>8752</v>
      </c>
      <c r="M1018" t="s">
        <v>65</v>
      </c>
    </row>
    <row r="1019" spans="1:13" x14ac:dyDescent="0.25">
      <c r="A1019" t="s">
        <v>5766</v>
      </c>
      <c r="B1019" t="s">
        <v>3368</v>
      </c>
      <c r="C1019" s="1" t="s">
        <v>3370</v>
      </c>
      <c r="D1019" s="1" t="s">
        <v>3370</v>
      </c>
      <c r="E1019" t="s">
        <v>3371</v>
      </c>
      <c r="F1019" t="s">
        <v>8768</v>
      </c>
      <c r="G1019" t="s">
        <v>8769</v>
      </c>
      <c r="H1019" t="s">
        <v>3375</v>
      </c>
      <c r="I1019" t="s">
        <v>8770</v>
      </c>
      <c r="J1019" t="s">
        <v>8771</v>
      </c>
      <c r="K1019" t="s">
        <v>8772</v>
      </c>
      <c r="L1019" t="s">
        <v>8773</v>
      </c>
    </row>
    <row r="1020" spans="1:13" x14ac:dyDescent="0.25">
      <c r="A1020" t="s">
        <v>5766</v>
      </c>
      <c r="B1020" t="s">
        <v>3368</v>
      </c>
      <c r="C1020" s="1" t="s">
        <v>78</v>
      </c>
      <c r="D1020" s="1" t="s">
        <v>5780</v>
      </c>
      <c r="E1020" t="s">
        <v>5781</v>
      </c>
      <c r="F1020" t="s">
        <v>8774</v>
      </c>
      <c r="G1020" t="s">
        <v>5783</v>
      </c>
      <c r="H1020" t="s">
        <v>8775</v>
      </c>
      <c r="I1020" t="s">
        <v>8776</v>
      </c>
      <c r="J1020" t="s">
        <v>8771</v>
      </c>
      <c r="K1020" t="s">
        <v>8772</v>
      </c>
      <c r="L1020" t="s">
        <v>8773</v>
      </c>
      <c r="M1020" t="s">
        <v>65</v>
      </c>
    </row>
    <row r="1021" spans="1:13" x14ac:dyDescent="0.25">
      <c r="A1021" t="s">
        <v>5766</v>
      </c>
      <c r="B1021" t="s">
        <v>3368</v>
      </c>
      <c r="C1021" s="1" t="s">
        <v>52</v>
      </c>
      <c r="D1021" s="1" t="s">
        <v>52</v>
      </c>
      <c r="E1021" t="s">
        <v>5767</v>
      </c>
      <c r="F1021" t="s">
        <v>8777</v>
      </c>
      <c r="G1021" t="s">
        <v>5769</v>
      </c>
      <c r="H1021" t="s">
        <v>8778</v>
      </c>
      <c r="I1021" t="s">
        <v>8779</v>
      </c>
      <c r="J1021" t="s">
        <v>8771</v>
      </c>
      <c r="K1021" t="s">
        <v>8772</v>
      </c>
      <c r="L1021" t="s">
        <v>8773</v>
      </c>
      <c r="M1021" t="s">
        <v>65</v>
      </c>
    </row>
    <row r="1022" spans="1:13" x14ac:dyDescent="0.25">
      <c r="A1022" t="s">
        <v>5766</v>
      </c>
      <c r="B1022" t="s">
        <v>3379</v>
      </c>
      <c r="C1022" s="1" t="s">
        <v>3381</v>
      </c>
      <c r="D1022" s="1" t="s">
        <v>8780</v>
      </c>
      <c r="E1022" t="s">
        <v>3382</v>
      </c>
      <c r="F1022" t="s">
        <v>8781</v>
      </c>
      <c r="G1022" t="s">
        <v>8782</v>
      </c>
      <c r="H1022" t="s">
        <v>8783</v>
      </c>
      <c r="I1022" t="s">
        <v>6254</v>
      </c>
      <c r="J1022" t="s">
        <v>8784</v>
      </c>
      <c r="K1022" t="s">
        <v>8785</v>
      </c>
      <c r="L1022" t="s">
        <v>8786</v>
      </c>
    </row>
    <row r="1023" spans="1:13" x14ac:dyDescent="0.25">
      <c r="A1023" t="s">
        <v>5766</v>
      </c>
      <c r="B1023" t="s">
        <v>3379</v>
      </c>
      <c r="C1023" s="1" t="s">
        <v>3384</v>
      </c>
      <c r="D1023" s="1" t="s">
        <v>8787</v>
      </c>
      <c r="E1023" t="s">
        <v>3385</v>
      </c>
      <c r="F1023" t="s">
        <v>8788</v>
      </c>
      <c r="G1023" t="s">
        <v>8789</v>
      </c>
      <c r="H1023" t="s">
        <v>8790</v>
      </c>
      <c r="I1023" t="s">
        <v>7510</v>
      </c>
      <c r="J1023" t="s">
        <v>8784</v>
      </c>
      <c r="K1023" t="s">
        <v>8785</v>
      </c>
      <c r="L1023" t="s">
        <v>8786</v>
      </c>
    </row>
    <row r="1024" spans="1:13" x14ac:dyDescent="0.25">
      <c r="A1024" t="s">
        <v>5766</v>
      </c>
      <c r="B1024" t="s">
        <v>3379</v>
      </c>
      <c r="C1024" s="1" t="s">
        <v>3387</v>
      </c>
      <c r="D1024" s="1" t="s">
        <v>8791</v>
      </c>
      <c r="E1024" t="s">
        <v>3388</v>
      </c>
      <c r="F1024" t="s">
        <v>8792</v>
      </c>
      <c r="G1024" t="s">
        <v>8793</v>
      </c>
      <c r="H1024" t="s">
        <v>8794</v>
      </c>
      <c r="I1024" t="s">
        <v>8269</v>
      </c>
      <c r="J1024" t="s">
        <v>8784</v>
      </c>
      <c r="K1024" t="s">
        <v>8785</v>
      </c>
      <c r="L1024" t="s">
        <v>8786</v>
      </c>
    </row>
    <row r="1025" spans="1:13" x14ac:dyDescent="0.25">
      <c r="A1025" t="s">
        <v>5766</v>
      </c>
      <c r="B1025" t="s">
        <v>3379</v>
      </c>
      <c r="C1025" s="1" t="s">
        <v>3390</v>
      </c>
      <c r="D1025" s="1" t="s">
        <v>8795</v>
      </c>
      <c r="E1025" t="s">
        <v>3391</v>
      </c>
      <c r="F1025" t="s">
        <v>8796</v>
      </c>
      <c r="G1025" t="s">
        <v>8797</v>
      </c>
      <c r="H1025" t="s">
        <v>8798</v>
      </c>
      <c r="I1025" t="s">
        <v>8337</v>
      </c>
      <c r="J1025" t="s">
        <v>8784</v>
      </c>
      <c r="K1025" t="s">
        <v>8785</v>
      </c>
      <c r="L1025" t="s">
        <v>8786</v>
      </c>
    </row>
    <row r="1026" spans="1:13" x14ac:dyDescent="0.25">
      <c r="A1026" t="s">
        <v>5766</v>
      </c>
      <c r="B1026" t="s">
        <v>3379</v>
      </c>
      <c r="C1026" s="1" t="s">
        <v>236</v>
      </c>
      <c r="D1026" s="1" t="s">
        <v>6024</v>
      </c>
      <c r="E1026" t="s">
        <v>237</v>
      </c>
      <c r="F1026" t="s">
        <v>8799</v>
      </c>
      <c r="G1026" t="s">
        <v>6026</v>
      </c>
      <c r="H1026" t="s">
        <v>8800</v>
      </c>
      <c r="I1026" t="s">
        <v>8801</v>
      </c>
      <c r="J1026" t="s">
        <v>8784</v>
      </c>
      <c r="K1026" t="s">
        <v>8785</v>
      </c>
      <c r="L1026" t="s">
        <v>8786</v>
      </c>
    </row>
    <row r="1027" spans="1:13" x14ac:dyDescent="0.25">
      <c r="A1027" t="s">
        <v>5766</v>
      </c>
      <c r="B1027" t="s">
        <v>3379</v>
      </c>
      <c r="C1027" s="1" t="s">
        <v>3393</v>
      </c>
      <c r="D1027" s="1" t="s">
        <v>8802</v>
      </c>
      <c r="E1027" t="s">
        <v>3394</v>
      </c>
      <c r="F1027" t="s">
        <v>8803</v>
      </c>
      <c r="G1027" t="s">
        <v>8804</v>
      </c>
      <c r="H1027" t="s">
        <v>8805</v>
      </c>
      <c r="I1027" t="s">
        <v>8806</v>
      </c>
      <c r="J1027" t="s">
        <v>8784</v>
      </c>
      <c r="K1027" t="s">
        <v>8785</v>
      </c>
      <c r="L1027" t="s">
        <v>8786</v>
      </c>
    </row>
    <row r="1028" spans="1:13" x14ac:dyDescent="0.25">
      <c r="A1028" t="s">
        <v>5766</v>
      </c>
      <c r="B1028" t="s">
        <v>3379</v>
      </c>
      <c r="C1028" s="1" t="s">
        <v>3396</v>
      </c>
      <c r="D1028" s="1" t="s">
        <v>8807</v>
      </c>
      <c r="E1028" t="s">
        <v>3397</v>
      </c>
      <c r="F1028" t="s">
        <v>8808</v>
      </c>
      <c r="G1028" t="s">
        <v>8809</v>
      </c>
      <c r="H1028" t="s">
        <v>8810</v>
      </c>
      <c r="I1028" t="s">
        <v>8313</v>
      </c>
      <c r="J1028" t="s">
        <v>8784</v>
      </c>
      <c r="K1028" t="s">
        <v>8785</v>
      </c>
      <c r="L1028" t="s">
        <v>8786</v>
      </c>
    </row>
    <row r="1029" spans="1:13" x14ac:dyDescent="0.25">
      <c r="A1029" t="s">
        <v>5766</v>
      </c>
      <c r="B1029" t="s">
        <v>3379</v>
      </c>
      <c r="C1029" s="1" t="s">
        <v>3399</v>
      </c>
      <c r="D1029" s="1" t="s">
        <v>613</v>
      </c>
      <c r="E1029" t="s">
        <v>3400</v>
      </c>
      <c r="F1029" t="s">
        <v>8811</v>
      </c>
      <c r="G1029" t="s">
        <v>6612</v>
      </c>
      <c r="H1029" t="s">
        <v>8812</v>
      </c>
      <c r="I1029" t="s">
        <v>7760</v>
      </c>
      <c r="J1029" t="s">
        <v>8784</v>
      </c>
      <c r="K1029" t="s">
        <v>8785</v>
      </c>
      <c r="L1029" t="s">
        <v>8786</v>
      </c>
    </row>
    <row r="1030" spans="1:13" x14ac:dyDescent="0.25">
      <c r="A1030" t="s">
        <v>5766</v>
      </c>
      <c r="B1030" t="s">
        <v>3379</v>
      </c>
      <c r="C1030" s="1" t="s">
        <v>3402</v>
      </c>
      <c r="D1030" s="1" t="s">
        <v>8813</v>
      </c>
      <c r="E1030" t="s">
        <v>3403</v>
      </c>
      <c r="F1030" t="s">
        <v>8814</v>
      </c>
      <c r="G1030" t="s">
        <v>8815</v>
      </c>
      <c r="H1030" t="s">
        <v>8816</v>
      </c>
      <c r="I1030" t="s">
        <v>8148</v>
      </c>
      <c r="J1030" t="s">
        <v>8784</v>
      </c>
      <c r="K1030" t="s">
        <v>8785</v>
      </c>
      <c r="L1030" t="s">
        <v>8786</v>
      </c>
    </row>
    <row r="1031" spans="1:13" x14ac:dyDescent="0.25">
      <c r="A1031" t="s">
        <v>5766</v>
      </c>
      <c r="B1031" t="s">
        <v>3379</v>
      </c>
      <c r="C1031" s="1" t="s">
        <v>3405</v>
      </c>
      <c r="D1031" s="1" t="s">
        <v>8817</v>
      </c>
      <c r="E1031" t="s">
        <v>3406</v>
      </c>
      <c r="F1031" t="s">
        <v>8818</v>
      </c>
      <c r="G1031" t="s">
        <v>8819</v>
      </c>
      <c r="H1031" t="s">
        <v>8820</v>
      </c>
      <c r="I1031" t="s">
        <v>8821</v>
      </c>
      <c r="J1031" t="s">
        <v>8784</v>
      </c>
      <c r="K1031" t="s">
        <v>8785</v>
      </c>
      <c r="L1031" t="s">
        <v>8786</v>
      </c>
    </row>
    <row r="1032" spans="1:13" x14ac:dyDescent="0.25">
      <c r="A1032" t="s">
        <v>5766</v>
      </c>
      <c r="B1032" t="s">
        <v>3379</v>
      </c>
      <c r="C1032" s="1" t="s">
        <v>3408</v>
      </c>
      <c r="D1032" s="1" t="s">
        <v>8822</v>
      </c>
      <c r="E1032" t="s">
        <v>3410</v>
      </c>
      <c r="F1032" t="s">
        <v>8792</v>
      </c>
      <c r="G1032" t="s">
        <v>8823</v>
      </c>
      <c r="H1032" t="s">
        <v>8824</v>
      </c>
      <c r="I1032" t="s">
        <v>8825</v>
      </c>
      <c r="J1032" t="s">
        <v>8784</v>
      </c>
      <c r="K1032" t="s">
        <v>8785</v>
      </c>
      <c r="L1032" t="s">
        <v>8786</v>
      </c>
    </row>
    <row r="1033" spans="1:13" x14ac:dyDescent="0.25">
      <c r="A1033" t="s">
        <v>5766</v>
      </c>
      <c r="B1033" t="s">
        <v>3379</v>
      </c>
      <c r="C1033" s="1" t="s">
        <v>3412</v>
      </c>
      <c r="D1033" s="1" t="s">
        <v>8826</v>
      </c>
      <c r="E1033" t="s">
        <v>3413</v>
      </c>
      <c r="F1033" t="s">
        <v>8827</v>
      </c>
      <c r="G1033" t="s">
        <v>8828</v>
      </c>
      <c r="H1033" t="s">
        <v>8829</v>
      </c>
      <c r="I1033" t="s">
        <v>8830</v>
      </c>
      <c r="J1033" t="s">
        <v>8784</v>
      </c>
      <c r="K1033" t="s">
        <v>8785</v>
      </c>
      <c r="L1033" t="s">
        <v>8786</v>
      </c>
    </row>
    <row r="1034" spans="1:13" x14ac:dyDescent="0.25">
      <c r="A1034" t="s">
        <v>5766</v>
      </c>
      <c r="B1034" t="s">
        <v>3379</v>
      </c>
      <c r="C1034" s="1" t="s">
        <v>78</v>
      </c>
      <c r="D1034" s="1" t="s">
        <v>5780</v>
      </c>
      <c r="E1034" t="s">
        <v>5781</v>
      </c>
      <c r="F1034" t="s">
        <v>8831</v>
      </c>
      <c r="G1034" t="s">
        <v>5783</v>
      </c>
      <c r="H1034" t="s">
        <v>8832</v>
      </c>
      <c r="I1034" t="s">
        <v>8833</v>
      </c>
      <c r="J1034" t="s">
        <v>8784</v>
      </c>
      <c r="K1034" t="s">
        <v>8785</v>
      </c>
      <c r="L1034" t="s">
        <v>8786</v>
      </c>
      <c r="M1034" t="s">
        <v>65</v>
      </c>
    </row>
    <row r="1035" spans="1:13" x14ac:dyDescent="0.25">
      <c r="A1035" t="s">
        <v>5766</v>
      </c>
      <c r="B1035" t="s">
        <v>3379</v>
      </c>
      <c r="C1035" s="1" t="s">
        <v>3415</v>
      </c>
      <c r="D1035" s="1" t="s">
        <v>8834</v>
      </c>
      <c r="E1035" t="s">
        <v>3416</v>
      </c>
      <c r="F1035" t="s">
        <v>8835</v>
      </c>
      <c r="G1035" t="s">
        <v>8836</v>
      </c>
      <c r="H1035" t="s">
        <v>8837</v>
      </c>
      <c r="I1035" t="s">
        <v>8838</v>
      </c>
      <c r="J1035" t="s">
        <v>8784</v>
      </c>
      <c r="K1035" t="s">
        <v>8785</v>
      </c>
      <c r="L1035" t="s">
        <v>8786</v>
      </c>
    </row>
    <row r="1036" spans="1:13" x14ac:dyDescent="0.25">
      <c r="A1036" t="s">
        <v>5766</v>
      </c>
      <c r="B1036" t="s">
        <v>3379</v>
      </c>
      <c r="C1036" s="1" t="s">
        <v>2724</v>
      </c>
      <c r="D1036" s="1" t="s">
        <v>8090</v>
      </c>
      <c r="E1036" t="s">
        <v>2725</v>
      </c>
      <c r="F1036" t="s">
        <v>8792</v>
      </c>
      <c r="G1036" t="s">
        <v>8092</v>
      </c>
      <c r="H1036" t="s">
        <v>8839</v>
      </c>
      <c r="I1036" t="s">
        <v>8840</v>
      </c>
      <c r="J1036" t="s">
        <v>8784</v>
      </c>
      <c r="K1036" t="s">
        <v>8785</v>
      </c>
      <c r="L1036" t="s">
        <v>8786</v>
      </c>
    </row>
    <row r="1037" spans="1:13" x14ac:dyDescent="0.25">
      <c r="A1037" t="s">
        <v>5766</v>
      </c>
      <c r="B1037" t="s">
        <v>3379</v>
      </c>
      <c r="C1037" s="1" t="s">
        <v>3418</v>
      </c>
      <c r="D1037" s="1" t="s">
        <v>8841</v>
      </c>
      <c r="E1037" t="s">
        <v>3419</v>
      </c>
      <c r="F1037" t="s">
        <v>8842</v>
      </c>
      <c r="G1037" t="s">
        <v>8843</v>
      </c>
      <c r="H1037" t="s">
        <v>8844</v>
      </c>
      <c r="I1037" t="s">
        <v>6248</v>
      </c>
      <c r="J1037" t="s">
        <v>8784</v>
      </c>
      <c r="K1037" t="s">
        <v>8785</v>
      </c>
      <c r="L1037" t="s">
        <v>8786</v>
      </c>
    </row>
    <row r="1038" spans="1:13" x14ac:dyDescent="0.25">
      <c r="A1038" t="s">
        <v>5766</v>
      </c>
      <c r="B1038" t="s">
        <v>3379</v>
      </c>
      <c r="C1038" s="1" t="s">
        <v>3421</v>
      </c>
      <c r="D1038" s="1" t="s">
        <v>8845</v>
      </c>
      <c r="E1038" t="s">
        <v>3422</v>
      </c>
      <c r="F1038" t="s">
        <v>8846</v>
      </c>
      <c r="G1038" t="s">
        <v>8847</v>
      </c>
      <c r="H1038" t="s">
        <v>8848</v>
      </c>
      <c r="I1038" t="s">
        <v>8849</v>
      </c>
      <c r="J1038" t="s">
        <v>8784</v>
      </c>
      <c r="K1038" t="s">
        <v>8785</v>
      </c>
      <c r="L1038" t="s">
        <v>8786</v>
      </c>
    </row>
    <row r="1039" spans="1:13" x14ac:dyDescent="0.25">
      <c r="A1039" t="s">
        <v>5766</v>
      </c>
      <c r="B1039" t="s">
        <v>3379</v>
      </c>
      <c r="C1039" s="1" t="s">
        <v>3424</v>
      </c>
      <c r="D1039" s="1" t="s">
        <v>8850</v>
      </c>
      <c r="E1039" t="s">
        <v>3425</v>
      </c>
      <c r="F1039" t="s">
        <v>8788</v>
      </c>
      <c r="G1039" t="s">
        <v>8851</v>
      </c>
      <c r="H1039" t="s">
        <v>8852</v>
      </c>
      <c r="I1039" t="s">
        <v>8853</v>
      </c>
      <c r="J1039" t="s">
        <v>8784</v>
      </c>
      <c r="K1039" t="s">
        <v>8785</v>
      </c>
      <c r="L1039" t="s">
        <v>8786</v>
      </c>
    </row>
    <row r="1040" spans="1:13" x14ac:dyDescent="0.25">
      <c r="A1040" t="s">
        <v>5766</v>
      </c>
      <c r="B1040" t="s">
        <v>3379</v>
      </c>
      <c r="C1040" s="1" t="s">
        <v>3427</v>
      </c>
      <c r="D1040" s="1" t="s">
        <v>8854</v>
      </c>
      <c r="E1040" t="s">
        <v>3428</v>
      </c>
      <c r="F1040" t="s">
        <v>8781</v>
      </c>
      <c r="G1040" t="s">
        <v>8855</v>
      </c>
      <c r="H1040" t="s">
        <v>8856</v>
      </c>
      <c r="I1040" t="s">
        <v>6125</v>
      </c>
      <c r="J1040" t="s">
        <v>8784</v>
      </c>
      <c r="K1040" t="s">
        <v>8785</v>
      </c>
      <c r="L1040" t="s">
        <v>8786</v>
      </c>
    </row>
    <row r="1041" spans="1:12" x14ac:dyDescent="0.25">
      <c r="A1041" t="s">
        <v>5766</v>
      </c>
      <c r="B1041" t="s">
        <v>3379</v>
      </c>
      <c r="C1041" s="1" t="s">
        <v>3430</v>
      </c>
      <c r="D1041" s="1" t="s">
        <v>8857</v>
      </c>
      <c r="E1041" t="s">
        <v>3431</v>
      </c>
      <c r="F1041" t="s">
        <v>8858</v>
      </c>
      <c r="G1041" t="s">
        <v>8859</v>
      </c>
      <c r="H1041" t="s">
        <v>8860</v>
      </c>
      <c r="I1041" t="s">
        <v>8849</v>
      </c>
      <c r="J1041" t="s">
        <v>8784</v>
      </c>
      <c r="K1041" t="s">
        <v>8785</v>
      </c>
      <c r="L1041" t="s">
        <v>8786</v>
      </c>
    </row>
    <row r="1042" spans="1:12" x14ac:dyDescent="0.25">
      <c r="A1042" t="s">
        <v>5766</v>
      </c>
      <c r="B1042" t="s">
        <v>3379</v>
      </c>
      <c r="C1042" s="1" t="s">
        <v>3433</v>
      </c>
      <c r="D1042" s="1" t="s">
        <v>4343</v>
      </c>
      <c r="E1042" t="s">
        <v>3434</v>
      </c>
      <c r="F1042" t="s">
        <v>8808</v>
      </c>
      <c r="G1042" t="s">
        <v>8861</v>
      </c>
      <c r="H1042" t="s">
        <v>8862</v>
      </c>
      <c r="I1042" t="s">
        <v>8863</v>
      </c>
      <c r="J1042" t="s">
        <v>8784</v>
      </c>
      <c r="K1042" t="s">
        <v>8785</v>
      </c>
      <c r="L1042" t="s">
        <v>8786</v>
      </c>
    </row>
    <row r="1043" spans="1:12" x14ac:dyDescent="0.25">
      <c r="A1043" t="s">
        <v>5766</v>
      </c>
      <c r="B1043" t="s">
        <v>3379</v>
      </c>
      <c r="C1043" s="1" t="s">
        <v>302</v>
      </c>
      <c r="D1043" s="1" t="s">
        <v>6121</v>
      </c>
      <c r="E1043" t="s">
        <v>303</v>
      </c>
      <c r="F1043" t="s">
        <v>8864</v>
      </c>
      <c r="G1043" t="s">
        <v>6123</v>
      </c>
      <c r="H1043" t="s">
        <v>8865</v>
      </c>
      <c r="I1043" t="s">
        <v>8866</v>
      </c>
      <c r="J1043" t="s">
        <v>8784</v>
      </c>
      <c r="K1043" t="s">
        <v>8785</v>
      </c>
      <c r="L1043" t="s">
        <v>8786</v>
      </c>
    </row>
    <row r="1044" spans="1:12" x14ac:dyDescent="0.25">
      <c r="A1044" t="s">
        <v>5766</v>
      </c>
      <c r="B1044" t="s">
        <v>3379</v>
      </c>
      <c r="C1044" s="1" t="s">
        <v>305</v>
      </c>
      <c r="D1044" s="1" t="s">
        <v>6126</v>
      </c>
      <c r="E1044" t="s">
        <v>306</v>
      </c>
      <c r="F1044" t="s">
        <v>8867</v>
      </c>
      <c r="G1044" t="s">
        <v>6128</v>
      </c>
      <c r="H1044" t="s">
        <v>8868</v>
      </c>
      <c r="I1044" t="s">
        <v>8869</v>
      </c>
      <c r="J1044" t="s">
        <v>8784</v>
      </c>
      <c r="K1044" t="s">
        <v>8785</v>
      </c>
      <c r="L1044" t="s">
        <v>8786</v>
      </c>
    </row>
    <row r="1045" spans="1:12" x14ac:dyDescent="0.25">
      <c r="A1045" t="s">
        <v>5766</v>
      </c>
      <c r="B1045" t="s">
        <v>3379</v>
      </c>
      <c r="C1045" s="1" t="s">
        <v>3436</v>
      </c>
      <c r="D1045" s="1" t="s">
        <v>8870</v>
      </c>
      <c r="E1045" t="s">
        <v>3437</v>
      </c>
      <c r="F1045" t="s">
        <v>8871</v>
      </c>
      <c r="G1045" t="s">
        <v>8872</v>
      </c>
      <c r="H1045" t="s">
        <v>8873</v>
      </c>
      <c r="I1045" t="s">
        <v>8874</v>
      </c>
      <c r="J1045" t="s">
        <v>8784</v>
      </c>
      <c r="K1045" t="s">
        <v>8785</v>
      </c>
      <c r="L1045" t="s">
        <v>8786</v>
      </c>
    </row>
    <row r="1046" spans="1:12" x14ac:dyDescent="0.25">
      <c r="A1046" t="s">
        <v>5766</v>
      </c>
      <c r="B1046" t="s">
        <v>3379</v>
      </c>
      <c r="C1046" s="1" t="s">
        <v>311</v>
      </c>
      <c r="D1046" s="1" t="s">
        <v>6134</v>
      </c>
      <c r="E1046" t="s">
        <v>312</v>
      </c>
      <c r="F1046" t="s">
        <v>8875</v>
      </c>
      <c r="G1046" t="s">
        <v>6135</v>
      </c>
      <c r="H1046" t="s">
        <v>8876</v>
      </c>
      <c r="I1046" t="s">
        <v>6604</v>
      </c>
      <c r="J1046" t="s">
        <v>8784</v>
      </c>
      <c r="K1046" t="s">
        <v>8785</v>
      </c>
      <c r="L1046" t="s">
        <v>8786</v>
      </c>
    </row>
    <row r="1047" spans="1:12" x14ac:dyDescent="0.25">
      <c r="A1047" t="s">
        <v>5766</v>
      </c>
      <c r="B1047" t="s">
        <v>3379</v>
      </c>
      <c r="C1047" s="1" t="s">
        <v>3439</v>
      </c>
      <c r="D1047" s="1" t="s">
        <v>8877</v>
      </c>
      <c r="E1047" t="s">
        <v>3440</v>
      </c>
      <c r="F1047" t="s">
        <v>8878</v>
      </c>
      <c r="G1047" t="s">
        <v>8879</v>
      </c>
      <c r="H1047" t="s">
        <v>8880</v>
      </c>
      <c r="I1047" t="s">
        <v>8881</v>
      </c>
      <c r="J1047" t="s">
        <v>8784</v>
      </c>
      <c r="K1047" t="s">
        <v>8785</v>
      </c>
      <c r="L1047" t="s">
        <v>8786</v>
      </c>
    </row>
    <row r="1048" spans="1:12" x14ac:dyDescent="0.25">
      <c r="A1048" t="s">
        <v>5766</v>
      </c>
      <c r="B1048" t="s">
        <v>3379</v>
      </c>
      <c r="C1048" s="1" t="s">
        <v>3144</v>
      </c>
      <c r="D1048" s="1" t="s">
        <v>8491</v>
      </c>
      <c r="E1048" t="s">
        <v>3146</v>
      </c>
      <c r="F1048" t="s">
        <v>8882</v>
      </c>
      <c r="G1048" t="s">
        <v>8492</v>
      </c>
      <c r="H1048" t="s">
        <v>8883</v>
      </c>
      <c r="I1048" t="s">
        <v>8884</v>
      </c>
      <c r="J1048" t="s">
        <v>8784</v>
      </c>
      <c r="K1048" t="s">
        <v>8785</v>
      </c>
      <c r="L1048" t="s">
        <v>8786</v>
      </c>
    </row>
    <row r="1049" spans="1:12" x14ac:dyDescent="0.25">
      <c r="A1049" t="s">
        <v>5766</v>
      </c>
      <c r="B1049" t="s">
        <v>3379</v>
      </c>
      <c r="C1049" s="1" t="s">
        <v>730</v>
      </c>
      <c r="D1049" s="1" t="s">
        <v>6769</v>
      </c>
      <c r="E1049" t="s">
        <v>731</v>
      </c>
      <c r="F1049" t="s">
        <v>8792</v>
      </c>
      <c r="G1049" t="s">
        <v>6770</v>
      </c>
      <c r="H1049" t="s">
        <v>8885</v>
      </c>
      <c r="I1049" t="s">
        <v>8886</v>
      </c>
      <c r="J1049" t="s">
        <v>8784</v>
      </c>
      <c r="K1049" t="s">
        <v>8785</v>
      </c>
      <c r="L1049" t="s">
        <v>8786</v>
      </c>
    </row>
    <row r="1050" spans="1:12" x14ac:dyDescent="0.25">
      <c r="A1050" t="s">
        <v>5766</v>
      </c>
      <c r="B1050" t="s">
        <v>3379</v>
      </c>
      <c r="C1050" s="1" t="s">
        <v>3442</v>
      </c>
      <c r="D1050" s="1" t="s">
        <v>8887</v>
      </c>
      <c r="E1050" t="s">
        <v>3443</v>
      </c>
      <c r="F1050" t="s">
        <v>8864</v>
      </c>
      <c r="G1050" t="s">
        <v>8888</v>
      </c>
      <c r="H1050" t="s">
        <v>8889</v>
      </c>
      <c r="I1050" t="s">
        <v>8890</v>
      </c>
      <c r="J1050" t="s">
        <v>8784</v>
      </c>
      <c r="K1050" t="s">
        <v>8785</v>
      </c>
      <c r="L1050" t="s">
        <v>8786</v>
      </c>
    </row>
    <row r="1051" spans="1:12" x14ac:dyDescent="0.25">
      <c r="A1051" t="s">
        <v>5766</v>
      </c>
      <c r="B1051" t="s">
        <v>3379</v>
      </c>
      <c r="C1051" s="1" t="s">
        <v>3445</v>
      </c>
      <c r="D1051" s="1" t="s">
        <v>4650</v>
      </c>
      <c r="E1051" t="s">
        <v>3446</v>
      </c>
      <c r="F1051" t="s">
        <v>8814</v>
      </c>
      <c r="G1051" t="s">
        <v>8891</v>
      </c>
      <c r="H1051" t="s">
        <v>8892</v>
      </c>
      <c r="I1051" t="s">
        <v>8452</v>
      </c>
      <c r="J1051" t="s">
        <v>8784</v>
      </c>
      <c r="K1051" t="s">
        <v>8785</v>
      </c>
      <c r="L1051" t="s">
        <v>8786</v>
      </c>
    </row>
    <row r="1052" spans="1:12" x14ac:dyDescent="0.25">
      <c r="A1052" t="s">
        <v>5766</v>
      </c>
      <c r="B1052" t="s">
        <v>3379</v>
      </c>
      <c r="C1052" s="1" t="s">
        <v>586</v>
      </c>
      <c r="D1052" s="1" t="s">
        <v>6567</v>
      </c>
      <c r="E1052" t="s">
        <v>587</v>
      </c>
      <c r="F1052" t="s">
        <v>8893</v>
      </c>
      <c r="G1052" t="s">
        <v>6569</v>
      </c>
      <c r="H1052" t="s">
        <v>8894</v>
      </c>
      <c r="I1052" t="s">
        <v>5901</v>
      </c>
      <c r="J1052" t="s">
        <v>8784</v>
      </c>
      <c r="K1052" t="s">
        <v>8785</v>
      </c>
      <c r="L1052" t="s">
        <v>8786</v>
      </c>
    </row>
    <row r="1053" spans="1:12" x14ac:dyDescent="0.25">
      <c r="A1053" t="s">
        <v>5766</v>
      </c>
      <c r="B1053" t="s">
        <v>3379</v>
      </c>
      <c r="C1053" s="1" t="s">
        <v>3448</v>
      </c>
      <c r="D1053" s="1" t="s">
        <v>8895</v>
      </c>
      <c r="E1053" t="s">
        <v>3449</v>
      </c>
      <c r="F1053" t="s">
        <v>8846</v>
      </c>
      <c r="G1053" t="s">
        <v>8896</v>
      </c>
      <c r="H1053" t="s">
        <v>8897</v>
      </c>
      <c r="I1053" t="s">
        <v>8898</v>
      </c>
      <c r="J1053" t="s">
        <v>8784</v>
      </c>
      <c r="K1053" t="s">
        <v>8785</v>
      </c>
      <c r="L1053" t="s">
        <v>8786</v>
      </c>
    </row>
    <row r="1054" spans="1:12" x14ac:dyDescent="0.25">
      <c r="A1054" t="s">
        <v>5766</v>
      </c>
      <c r="B1054" t="s">
        <v>3379</v>
      </c>
      <c r="C1054" s="1" t="s">
        <v>3451</v>
      </c>
      <c r="D1054" s="1" t="s">
        <v>8899</v>
      </c>
      <c r="E1054" t="s">
        <v>3452</v>
      </c>
      <c r="F1054" t="s">
        <v>8900</v>
      </c>
      <c r="G1054" t="s">
        <v>8901</v>
      </c>
      <c r="H1054" t="s">
        <v>8902</v>
      </c>
      <c r="I1054" t="s">
        <v>6013</v>
      </c>
      <c r="J1054" t="s">
        <v>8784</v>
      </c>
      <c r="K1054" t="s">
        <v>8785</v>
      </c>
      <c r="L1054" t="s">
        <v>8786</v>
      </c>
    </row>
    <row r="1055" spans="1:12" x14ac:dyDescent="0.25">
      <c r="A1055" t="s">
        <v>5766</v>
      </c>
      <c r="B1055" t="s">
        <v>3379</v>
      </c>
      <c r="C1055" s="1" t="s">
        <v>3454</v>
      </c>
      <c r="D1055" s="1" t="s">
        <v>8903</v>
      </c>
      <c r="E1055" t="s">
        <v>3455</v>
      </c>
      <c r="F1055" t="s">
        <v>8904</v>
      </c>
      <c r="G1055" t="s">
        <v>8905</v>
      </c>
      <c r="H1055" t="s">
        <v>8906</v>
      </c>
      <c r="I1055" t="s">
        <v>6518</v>
      </c>
      <c r="J1055" t="s">
        <v>8784</v>
      </c>
      <c r="K1055" t="s">
        <v>8785</v>
      </c>
      <c r="L1055" t="s">
        <v>8786</v>
      </c>
    </row>
    <row r="1056" spans="1:12" x14ac:dyDescent="0.25">
      <c r="A1056" t="s">
        <v>5766</v>
      </c>
      <c r="B1056" t="s">
        <v>3379</v>
      </c>
      <c r="C1056" s="1" t="s">
        <v>595</v>
      </c>
      <c r="D1056" s="1" t="s">
        <v>6584</v>
      </c>
      <c r="E1056" t="s">
        <v>596</v>
      </c>
      <c r="F1056" t="s">
        <v>8907</v>
      </c>
      <c r="G1056" t="s">
        <v>6586</v>
      </c>
      <c r="H1056" t="s">
        <v>8908</v>
      </c>
      <c r="I1056" t="s">
        <v>5879</v>
      </c>
      <c r="J1056" t="s">
        <v>8784</v>
      </c>
      <c r="K1056" t="s">
        <v>8785</v>
      </c>
      <c r="L1056" t="s">
        <v>8786</v>
      </c>
    </row>
    <row r="1057" spans="1:13" x14ac:dyDescent="0.25">
      <c r="A1057" t="s">
        <v>5766</v>
      </c>
      <c r="B1057" t="s">
        <v>3379</v>
      </c>
      <c r="C1057" s="1" t="s">
        <v>3457</v>
      </c>
      <c r="D1057" s="1" t="s">
        <v>8909</v>
      </c>
      <c r="E1057" t="s">
        <v>3458</v>
      </c>
      <c r="F1057" t="s">
        <v>8842</v>
      </c>
      <c r="G1057" t="s">
        <v>8910</v>
      </c>
      <c r="H1057" t="s">
        <v>8911</v>
      </c>
      <c r="I1057" t="s">
        <v>6518</v>
      </c>
      <c r="J1057" t="s">
        <v>8784</v>
      </c>
      <c r="K1057" t="s">
        <v>8785</v>
      </c>
      <c r="L1057" t="s">
        <v>8786</v>
      </c>
    </row>
    <row r="1058" spans="1:13" x14ac:dyDescent="0.25">
      <c r="A1058" t="s">
        <v>5766</v>
      </c>
      <c r="B1058" t="s">
        <v>3379</v>
      </c>
      <c r="C1058" s="1" t="s">
        <v>3460</v>
      </c>
      <c r="D1058" s="1" t="s">
        <v>8912</v>
      </c>
      <c r="E1058" t="s">
        <v>3462</v>
      </c>
      <c r="F1058" t="s">
        <v>8913</v>
      </c>
      <c r="G1058" t="s">
        <v>8914</v>
      </c>
      <c r="H1058" t="s">
        <v>8915</v>
      </c>
      <c r="I1058" t="s">
        <v>6622</v>
      </c>
      <c r="J1058" t="s">
        <v>8784</v>
      </c>
      <c r="K1058" t="s">
        <v>8785</v>
      </c>
      <c r="L1058" t="s">
        <v>8786</v>
      </c>
    </row>
    <row r="1059" spans="1:13" x14ac:dyDescent="0.25">
      <c r="A1059" t="s">
        <v>5766</v>
      </c>
      <c r="B1059" t="s">
        <v>3379</v>
      </c>
      <c r="C1059" s="1" t="s">
        <v>3464</v>
      </c>
      <c r="D1059" s="1" t="s">
        <v>8916</v>
      </c>
      <c r="E1059" t="s">
        <v>3465</v>
      </c>
      <c r="F1059" t="s">
        <v>8917</v>
      </c>
      <c r="G1059" t="s">
        <v>8918</v>
      </c>
      <c r="H1059" t="s">
        <v>8919</v>
      </c>
      <c r="I1059" t="s">
        <v>8920</v>
      </c>
      <c r="J1059" t="s">
        <v>8784</v>
      </c>
      <c r="K1059" t="s">
        <v>8785</v>
      </c>
      <c r="L1059" t="s">
        <v>8786</v>
      </c>
    </row>
    <row r="1060" spans="1:13" x14ac:dyDescent="0.25">
      <c r="A1060" t="s">
        <v>5766</v>
      </c>
      <c r="B1060" t="s">
        <v>3379</v>
      </c>
      <c r="C1060" s="1" t="s">
        <v>3467</v>
      </c>
      <c r="D1060" s="1" t="s">
        <v>8921</v>
      </c>
      <c r="E1060" t="s">
        <v>3468</v>
      </c>
      <c r="F1060" t="s">
        <v>8922</v>
      </c>
      <c r="G1060" t="s">
        <v>8923</v>
      </c>
      <c r="H1060" t="s">
        <v>8924</v>
      </c>
      <c r="I1060" t="s">
        <v>8925</v>
      </c>
      <c r="J1060" t="s">
        <v>8784</v>
      </c>
      <c r="K1060" t="s">
        <v>8785</v>
      </c>
      <c r="L1060" t="s">
        <v>8786</v>
      </c>
    </row>
    <row r="1061" spans="1:13" x14ac:dyDescent="0.25">
      <c r="A1061" t="s">
        <v>5766</v>
      </c>
      <c r="B1061" t="s">
        <v>3379</v>
      </c>
      <c r="C1061" s="1" t="s">
        <v>3470</v>
      </c>
      <c r="D1061" s="1" t="s">
        <v>8926</v>
      </c>
      <c r="E1061" t="s">
        <v>3471</v>
      </c>
      <c r="F1061" t="s">
        <v>8927</v>
      </c>
      <c r="G1061" t="s">
        <v>8928</v>
      </c>
      <c r="H1061" t="s">
        <v>8929</v>
      </c>
      <c r="I1061" t="s">
        <v>8930</v>
      </c>
      <c r="J1061" t="s">
        <v>8784</v>
      </c>
      <c r="K1061" t="s">
        <v>8785</v>
      </c>
      <c r="L1061" t="s">
        <v>8786</v>
      </c>
    </row>
    <row r="1062" spans="1:13" x14ac:dyDescent="0.25">
      <c r="A1062" t="s">
        <v>5766</v>
      </c>
      <c r="B1062" t="s">
        <v>3379</v>
      </c>
      <c r="C1062" s="1" t="s">
        <v>52</v>
      </c>
      <c r="D1062" s="1" t="s">
        <v>52</v>
      </c>
      <c r="E1062" t="s">
        <v>5767</v>
      </c>
      <c r="F1062" t="s">
        <v>8931</v>
      </c>
      <c r="G1062" t="s">
        <v>5769</v>
      </c>
      <c r="H1062" t="s">
        <v>8932</v>
      </c>
      <c r="I1062" t="s">
        <v>5991</v>
      </c>
      <c r="J1062" t="s">
        <v>8784</v>
      </c>
      <c r="K1062" t="s">
        <v>8785</v>
      </c>
      <c r="L1062" t="s">
        <v>8786</v>
      </c>
      <c r="M1062" t="s">
        <v>65</v>
      </c>
    </row>
    <row r="1063" spans="1:13" x14ac:dyDescent="0.25">
      <c r="A1063" t="s">
        <v>5766</v>
      </c>
      <c r="B1063" t="s">
        <v>3472</v>
      </c>
      <c r="C1063" s="1" t="s">
        <v>3474</v>
      </c>
      <c r="D1063" s="1" t="s">
        <v>3474</v>
      </c>
      <c r="E1063" t="s">
        <v>3475</v>
      </c>
      <c r="F1063" t="s">
        <v>8933</v>
      </c>
      <c r="G1063" t="s">
        <v>8934</v>
      </c>
      <c r="H1063" t="s">
        <v>3476</v>
      </c>
      <c r="I1063" t="s">
        <v>8935</v>
      </c>
      <c r="J1063" t="s">
        <v>8936</v>
      </c>
      <c r="K1063" t="s">
        <v>8937</v>
      </c>
      <c r="L1063" t="s">
        <v>7557</v>
      </c>
    </row>
    <row r="1064" spans="1:13" x14ac:dyDescent="0.25">
      <c r="A1064" t="s">
        <v>5766</v>
      </c>
      <c r="B1064" t="s">
        <v>3472</v>
      </c>
      <c r="C1064" s="1" t="s">
        <v>78</v>
      </c>
      <c r="D1064" s="1" t="s">
        <v>5780</v>
      </c>
      <c r="E1064" t="s">
        <v>5781</v>
      </c>
      <c r="F1064" t="s">
        <v>8938</v>
      </c>
      <c r="G1064" t="s">
        <v>5783</v>
      </c>
      <c r="H1064" t="s">
        <v>8939</v>
      </c>
      <c r="I1064" t="s">
        <v>8940</v>
      </c>
      <c r="J1064" t="s">
        <v>8936</v>
      </c>
      <c r="K1064" t="s">
        <v>8937</v>
      </c>
      <c r="L1064" t="s">
        <v>7557</v>
      </c>
      <c r="M1064" t="s">
        <v>65</v>
      </c>
    </row>
    <row r="1065" spans="1:13" x14ac:dyDescent="0.25">
      <c r="A1065" t="s">
        <v>5766</v>
      </c>
      <c r="B1065" t="s">
        <v>3472</v>
      </c>
      <c r="C1065" s="1" t="s">
        <v>52</v>
      </c>
      <c r="D1065" s="1" t="s">
        <v>52</v>
      </c>
      <c r="E1065" t="s">
        <v>5767</v>
      </c>
      <c r="F1065" t="s">
        <v>8941</v>
      </c>
      <c r="G1065" t="s">
        <v>5769</v>
      </c>
      <c r="H1065" t="s">
        <v>8942</v>
      </c>
      <c r="I1065" t="s">
        <v>8943</v>
      </c>
      <c r="J1065" t="s">
        <v>8936</v>
      </c>
      <c r="K1065" t="s">
        <v>8937</v>
      </c>
      <c r="L1065" t="s">
        <v>7557</v>
      </c>
      <c r="M1065" t="s">
        <v>65</v>
      </c>
    </row>
    <row r="1066" spans="1:13" x14ac:dyDescent="0.25">
      <c r="A1066" t="s">
        <v>5766</v>
      </c>
      <c r="B1066" t="s">
        <v>3480</v>
      </c>
      <c r="C1066" s="1" t="s">
        <v>3482</v>
      </c>
      <c r="D1066" s="1" t="s">
        <v>8944</v>
      </c>
      <c r="E1066" t="s">
        <v>3483</v>
      </c>
      <c r="F1066" t="s">
        <v>8945</v>
      </c>
      <c r="G1066" t="s">
        <v>8946</v>
      </c>
      <c r="H1066" t="s">
        <v>8947</v>
      </c>
      <c r="I1066" t="s">
        <v>7377</v>
      </c>
      <c r="J1066" t="s">
        <v>8948</v>
      </c>
      <c r="K1066" t="s">
        <v>8949</v>
      </c>
      <c r="L1066" t="s">
        <v>8950</v>
      </c>
    </row>
    <row r="1067" spans="1:13" x14ac:dyDescent="0.25">
      <c r="A1067" t="s">
        <v>5766</v>
      </c>
      <c r="B1067" t="s">
        <v>3480</v>
      </c>
      <c r="C1067" s="1" t="s">
        <v>3485</v>
      </c>
      <c r="D1067" s="1" t="s">
        <v>8951</v>
      </c>
      <c r="E1067" t="s">
        <v>3486</v>
      </c>
      <c r="F1067" t="s">
        <v>8952</v>
      </c>
      <c r="G1067" t="s">
        <v>8953</v>
      </c>
      <c r="H1067" t="s">
        <v>8954</v>
      </c>
      <c r="I1067" t="s">
        <v>8955</v>
      </c>
      <c r="J1067" t="s">
        <v>8948</v>
      </c>
      <c r="K1067" t="s">
        <v>8949</v>
      </c>
      <c r="L1067" t="s">
        <v>8950</v>
      </c>
    </row>
    <row r="1068" spans="1:13" x14ac:dyDescent="0.25">
      <c r="A1068" t="s">
        <v>5766</v>
      </c>
      <c r="B1068" t="s">
        <v>3480</v>
      </c>
      <c r="C1068" s="1" t="s">
        <v>561</v>
      </c>
      <c r="D1068" s="1" t="s">
        <v>6515</v>
      </c>
      <c r="E1068" t="s">
        <v>562</v>
      </c>
      <c r="F1068" t="s">
        <v>8956</v>
      </c>
      <c r="G1068" t="s">
        <v>6516</v>
      </c>
      <c r="H1068" t="s">
        <v>8957</v>
      </c>
      <c r="I1068" t="s">
        <v>8958</v>
      </c>
      <c r="J1068" t="s">
        <v>8948</v>
      </c>
      <c r="K1068" t="s">
        <v>8949</v>
      </c>
      <c r="L1068" t="s">
        <v>8950</v>
      </c>
    </row>
    <row r="1069" spans="1:13" x14ac:dyDescent="0.25">
      <c r="A1069" t="s">
        <v>5766</v>
      </c>
      <c r="B1069" t="s">
        <v>3480</v>
      </c>
      <c r="C1069" s="1" t="s">
        <v>3488</v>
      </c>
      <c r="D1069" s="1" t="s">
        <v>8959</v>
      </c>
      <c r="E1069" t="s">
        <v>3490</v>
      </c>
      <c r="F1069" t="s">
        <v>6576</v>
      </c>
      <c r="G1069" t="s">
        <v>8960</v>
      </c>
      <c r="H1069" t="s">
        <v>8961</v>
      </c>
      <c r="I1069" t="s">
        <v>8962</v>
      </c>
      <c r="J1069" t="s">
        <v>8948</v>
      </c>
      <c r="K1069" t="s">
        <v>8949</v>
      </c>
      <c r="L1069" t="s">
        <v>8950</v>
      </c>
    </row>
    <row r="1070" spans="1:13" x14ac:dyDescent="0.25">
      <c r="A1070" t="s">
        <v>5766</v>
      </c>
      <c r="B1070" t="s">
        <v>3480</v>
      </c>
      <c r="C1070" s="1" t="s">
        <v>3492</v>
      </c>
      <c r="D1070" s="1" t="s">
        <v>8963</v>
      </c>
      <c r="E1070" t="s">
        <v>3493</v>
      </c>
      <c r="F1070" t="s">
        <v>8964</v>
      </c>
      <c r="G1070" t="s">
        <v>8965</v>
      </c>
      <c r="H1070" t="s">
        <v>8966</v>
      </c>
      <c r="I1070" t="s">
        <v>8644</v>
      </c>
      <c r="J1070" t="s">
        <v>8948</v>
      </c>
      <c r="K1070" t="s">
        <v>8949</v>
      </c>
      <c r="L1070" t="s">
        <v>8950</v>
      </c>
    </row>
    <row r="1071" spans="1:13" x14ac:dyDescent="0.25">
      <c r="A1071" t="s">
        <v>5766</v>
      </c>
      <c r="B1071" t="s">
        <v>3480</v>
      </c>
      <c r="C1071" s="1" t="s">
        <v>3105</v>
      </c>
      <c r="D1071" s="1" t="s">
        <v>8429</v>
      </c>
      <c r="E1071" t="s">
        <v>3106</v>
      </c>
      <c r="F1071" t="s">
        <v>6162</v>
      </c>
      <c r="G1071" t="s">
        <v>8431</v>
      </c>
      <c r="H1071" t="s">
        <v>8967</v>
      </c>
      <c r="I1071" t="s">
        <v>7497</v>
      </c>
      <c r="J1071" t="s">
        <v>8948</v>
      </c>
      <c r="K1071" t="s">
        <v>8949</v>
      </c>
      <c r="L1071" t="s">
        <v>8950</v>
      </c>
    </row>
    <row r="1072" spans="1:13" x14ac:dyDescent="0.25">
      <c r="A1072" t="s">
        <v>5766</v>
      </c>
      <c r="B1072" t="s">
        <v>3480</v>
      </c>
      <c r="C1072" s="1" t="s">
        <v>3495</v>
      </c>
      <c r="D1072" s="1" t="s">
        <v>8968</v>
      </c>
      <c r="E1072" t="s">
        <v>3496</v>
      </c>
      <c r="F1072" t="s">
        <v>5808</v>
      </c>
      <c r="G1072" t="s">
        <v>8969</v>
      </c>
      <c r="H1072" t="s">
        <v>8970</v>
      </c>
      <c r="I1072" t="s">
        <v>8971</v>
      </c>
      <c r="J1072" t="s">
        <v>8948</v>
      </c>
      <c r="K1072" t="s">
        <v>8949</v>
      </c>
      <c r="L1072" t="s">
        <v>8950</v>
      </c>
    </row>
    <row r="1073" spans="1:13" x14ac:dyDescent="0.25">
      <c r="A1073" t="s">
        <v>5766</v>
      </c>
      <c r="B1073" t="s">
        <v>3480</v>
      </c>
      <c r="C1073" s="1" t="s">
        <v>3498</v>
      </c>
      <c r="D1073" s="1" t="s">
        <v>8972</v>
      </c>
      <c r="E1073" t="s">
        <v>3499</v>
      </c>
      <c r="F1073" t="s">
        <v>8973</v>
      </c>
      <c r="G1073" t="s">
        <v>8974</v>
      </c>
      <c r="H1073" t="s">
        <v>8975</v>
      </c>
      <c r="I1073" t="s">
        <v>6013</v>
      </c>
      <c r="J1073" t="s">
        <v>8948</v>
      </c>
      <c r="K1073" t="s">
        <v>8949</v>
      </c>
      <c r="L1073" t="s">
        <v>8950</v>
      </c>
    </row>
    <row r="1074" spans="1:13" x14ac:dyDescent="0.25">
      <c r="A1074" t="s">
        <v>5766</v>
      </c>
      <c r="B1074" t="s">
        <v>3480</v>
      </c>
      <c r="C1074" s="1" t="s">
        <v>3501</v>
      </c>
      <c r="D1074" s="1" t="s">
        <v>8976</v>
      </c>
      <c r="E1074" t="s">
        <v>3502</v>
      </c>
      <c r="F1074" t="s">
        <v>8977</v>
      </c>
      <c r="G1074" t="s">
        <v>8978</v>
      </c>
      <c r="H1074" t="s">
        <v>8979</v>
      </c>
      <c r="I1074" t="s">
        <v>5969</v>
      </c>
      <c r="J1074" t="s">
        <v>8948</v>
      </c>
      <c r="K1074" t="s">
        <v>8949</v>
      </c>
      <c r="L1074" t="s">
        <v>8950</v>
      </c>
    </row>
    <row r="1075" spans="1:13" x14ac:dyDescent="0.25">
      <c r="A1075" t="s">
        <v>5766</v>
      </c>
      <c r="B1075" t="s">
        <v>3480</v>
      </c>
      <c r="C1075" s="1" t="s">
        <v>3504</v>
      </c>
      <c r="D1075" s="1" t="s">
        <v>8980</v>
      </c>
      <c r="E1075" t="s">
        <v>3505</v>
      </c>
      <c r="F1075" t="s">
        <v>8981</v>
      </c>
      <c r="G1075" t="s">
        <v>8982</v>
      </c>
      <c r="H1075" t="s">
        <v>8983</v>
      </c>
      <c r="I1075" t="s">
        <v>8984</v>
      </c>
      <c r="J1075" t="s">
        <v>8948</v>
      </c>
      <c r="K1075" t="s">
        <v>8949</v>
      </c>
      <c r="L1075" t="s">
        <v>8950</v>
      </c>
    </row>
    <row r="1076" spans="1:13" x14ac:dyDescent="0.25">
      <c r="A1076" t="s">
        <v>5766</v>
      </c>
      <c r="B1076" t="s">
        <v>3480</v>
      </c>
      <c r="C1076" s="1" t="s">
        <v>3507</v>
      </c>
      <c r="D1076" s="1" t="s">
        <v>8985</v>
      </c>
      <c r="E1076" t="s">
        <v>3508</v>
      </c>
      <c r="F1076" t="s">
        <v>8986</v>
      </c>
      <c r="G1076" t="s">
        <v>8987</v>
      </c>
      <c r="H1076" t="s">
        <v>8988</v>
      </c>
      <c r="I1076" t="s">
        <v>6468</v>
      </c>
      <c r="J1076" t="s">
        <v>8948</v>
      </c>
      <c r="K1076" t="s">
        <v>8949</v>
      </c>
      <c r="L1076" t="s">
        <v>8950</v>
      </c>
    </row>
    <row r="1077" spans="1:13" x14ac:dyDescent="0.25">
      <c r="A1077" t="s">
        <v>5766</v>
      </c>
      <c r="B1077" t="s">
        <v>3480</v>
      </c>
      <c r="C1077" s="1" t="s">
        <v>3510</v>
      </c>
      <c r="D1077" s="1" t="s">
        <v>8989</v>
      </c>
      <c r="E1077" t="s">
        <v>3511</v>
      </c>
      <c r="F1077" t="s">
        <v>8990</v>
      </c>
      <c r="G1077" t="s">
        <v>8991</v>
      </c>
      <c r="H1077" t="s">
        <v>8992</v>
      </c>
      <c r="I1077" t="s">
        <v>6273</v>
      </c>
      <c r="J1077" t="s">
        <v>8948</v>
      </c>
      <c r="K1077" t="s">
        <v>8949</v>
      </c>
      <c r="L1077" t="s">
        <v>8950</v>
      </c>
    </row>
    <row r="1078" spans="1:13" x14ac:dyDescent="0.25">
      <c r="A1078" t="s">
        <v>5766</v>
      </c>
      <c r="B1078" t="s">
        <v>3480</v>
      </c>
      <c r="C1078" s="1" t="s">
        <v>3513</v>
      </c>
      <c r="D1078" s="1" t="s">
        <v>8993</v>
      </c>
      <c r="E1078" t="s">
        <v>3514</v>
      </c>
      <c r="F1078" t="s">
        <v>8994</v>
      </c>
      <c r="G1078" t="s">
        <v>8995</v>
      </c>
      <c r="H1078" t="s">
        <v>8996</v>
      </c>
      <c r="I1078" t="s">
        <v>6352</v>
      </c>
      <c r="J1078" t="s">
        <v>8948</v>
      </c>
      <c r="K1078" t="s">
        <v>8949</v>
      </c>
      <c r="L1078" t="s">
        <v>8950</v>
      </c>
    </row>
    <row r="1079" spans="1:13" x14ac:dyDescent="0.25">
      <c r="A1079" t="s">
        <v>5766</v>
      </c>
      <c r="B1079" t="s">
        <v>3480</v>
      </c>
      <c r="C1079" s="1" t="s">
        <v>78</v>
      </c>
      <c r="D1079" s="1" t="s">
        <v>5780</v>
      </c>
      <c r="E1079" t="s">
        <v>5781</v>
      </c>
      <c r="F1079" t="s">
        <v>8997</v>
      </c>
      <c r="G1079" t="s">
        <v>5783</v>
      </c>
      <c r="H1079" t="s">
        <v>8998</v>
      </c>
      <c r="I1079" t="s">
        <v>8999</v>
      </c>
      <c r="J1079" t="s">
        <v>8948</v>
      </c>
      <c r="K1079" t="s">
        <v>8949</v>
      </c>
      <c r="L1079" t="s">
        <v>8950</v>
      </c>
      <c r="M1079" t="s">
        <v>65</v>
      </c>
    </row>
    <row r="1080" spans="1:13" x14ac:dyDescent="0.25">
      <c r="A1080" t="s">
        <v>5766</v>
      </c>
      <c r="B1080" t="s">
        <v>3480</v>
      </c>
      <c r="C1080" s="1" t="s">
        <v>3516</v>
      </c>
      <c r="D1080" s="1" t="s">
        <v>9000</v>
      </c>
      <c r="E1080" t="s">
        <v>3517</v>
      </c>
      <c r="F1080" t="s">
        <v>9001</v>
      </c>
      <c r="G1080" t="s">
        <v>9002</v>
      </c>
      <c r="H1080" t="s">
        <v>9003</v>
      </c>
      <c r="I1080" t="s">
        <v>7188</v>
      </c>
      <c r="J1080" t="s">
        <v>8948</v>
      </c>
      <c r="K1080" t="s">
        <v>8949</v>
      </c>
      <c r="L1080" t="s">
        <v>8950</v>
      </c>
    </row>
    <row r="1081" spans="1:13" x14ac:dyDescent="0.25">
      <c r="A1081" t="s">
        <v>5766</v>
      </c>
      <c r="B1081" t="s">
        <v>3480</v>
      </c>
      <c r="C1081" s="1" t="s">
        <v>296</v>
      </c>
      <c r="D1081" s="1" t="s">
        <v>6112</v>
      </c>
      <c r="E1081" t="s">
        <v>297</v>
      </c>
      <c r="F1081" t="s">
        <v>9004</v>
      </c>
      <c r="G1081" t="s">
        <v>6114</v>
      </c>
      <c r="H1081" t="s">
        <v>9005</v>
      </c>
      <c r="I1081" t="s">
        <v>9006</v>
      </c>
      <c r="J1081" t="s">
        <v>8948</v>
      </c>
      <c r="K1081" t="s">
        <v>8949</v>
      </c>
      <c r="L1081" t="s">
        <v>8950</v>
      </c>
    </row>
    <row r="1082" spans="1:13" x14ac:dyDescent="0.25">
      <c r="A1082" t="s">
        <v>5766</v>
      </c>
      <c r="B1082" t="s">
        <v>3480</v>
      </c>
      <c r="C1082" s="1" t="s">
        <v>3519</v>
      </c>
      <c r="D1082" s="1" t="s">
        <v>9007</v>
      </c>
      <c r="E1082" t="s">
        <v>3520</v>
      </c>
      <c r="F1082" t="s">
        <v>9008</v>
      </c>
      <c r="G1082" t="s">
        <v>9009</v>
      </c>
      <c r="H1082" t="s">
        <v>9010</v>
      </c>
      <c r="I1082" t="s">
        <v>5882</v>
      </c>
      <c r="J1082" t="s">
        <v>8948</v>
      </c>
      <c r="K1082" t="s">
        <v>8949</v>
      </c>
      <c r="L1082" t="s">
        <v>8950</v>
      </c>
    </row>
    <row r="1083" spans="1:13" x14ac:dyDescent="0.25">
      <c r="A1083" t="s">
        <v>5766</v>
      </c>
      <c r="B1083" t="s">
        <v>3480</v>
      </c>
      <c r="C1083" s="1" t="s">
        <v>580</v>
      </c>
      <c r="D1083" s="1" t="s">
        <v>6554</v>
      </c>
      <c r="E1083" t="s">
        <v>581</v>
      </c>
      <c r="F1083" t="s">
        <v>9011</v>
      </c>
      <c r="G1083" t="s">
        <v>6556</v>
      </c>
      <c r="H1083" t="s">
        <v>9012</v>
      </c>
      <c r="I1083" t="s">
        <v>6695</v>
      </c>
      <c r="J1083" t="s">
        <v>8948</v>
      </c>
      <c r="K1083" t="s">
        <v>8949</v>
      </c>
      <c r="L1083" t="s">
        <v>8950</v>
      </c>
    </row>
    <row r="1084" spans="1:13" x14ac:dyDescent="0.25">
      <c r="A1084" t="s">
        <v>5766</v>
      </c>
      <c r="B1084" t="s">
        <v>3480</v>
      </c>
      <c r="C1084" s="1" t="s">
        <v>3522</v>
      </c>
      <c r="D1084" s="1" t="s">
        <v>9013</v>
      </c>
      <c r="E1084" t="s">
        <v>3523</v>
      </c>
      <c r="F1084" t="s">
        <v>9014</v>
      </c>
      <c r="G1084" t="s">
        <v>9015</v>
      </c>
      <c r="H1084" t="s">
        <v>9016</v>
      </c>
      <c r="I1084" t="s">
        <v>6321</v>
      </c>
      <c r="J1084" t="s">
        <v>8948</v>
      </c>
      <c r="K1084" t="s">
        <v>8949</v>
      </c>
      <c r="L1084" t="s">
        <v>8950</v>
      </c>
    </row>
    <row r="1085" spans="1:13" x14ac:dyDescent="0.25">
      <c r="A1085" t="s">
        <v>5766</v>
      </c>
      <c r="B1085" t="s">
        <v>3480</v>
      </c>
      <c r="C1085" s="1" t="s">
        <v>3525</v>
      </c>
      <c r="D1085" s="1" t="s">
        <v>4415</v>
      </c>
      <c r="E1085" t="s">
        <v>3526</v>
      </c>
      <c r="F1085" t="s">
        <v>9017</v>
      </c>
      <c r="G1085" t="s">
        <v>9018</v>
      </c>
      <c r="H1085" t="s">
        <v>9019</v>
      </c>
      <c r="I1085" t="s">
        <v>9020</v>
      </c>
      <c r="J1085" t="s">
        <v>8948</v>
      </c>
      <c r="K1085" t="s">
        <v>8949</v>
      </c>
      <c r="L1085" t="s">
        <v>8950</v>
      </c>
    </row>
    <row r="1086" spans="1:13" x14ac:dyDescent="0.25">
      <c r="A1086" t="s">
        <v>5766</v>
      </c>
      <c r="B1086" t="s">
        <v>3480</v>
      </c>
      <c r="C1086" s="1" t="s">
        <v>3528</v>
      </c>
      <c r="D1086" s="1" t="s">
        <v>9021</v>
      </c>
      <c r="E1086" t="s">
        <v>3529</v>
      </c>
      <c r="F1086" t="s">
        <v>9004</v>
      </c>
      <c r="G1086" t="s">
        <v>9022</v>
      </c>
      <c r="H1086" t="s">
        <v>9023</v>
      </c>
      <c r="I1086" t="s">
        <v>7510</v>
      </c>
      <c r="J1086" t="s">
        <v>8948</v>
      </c>
      <c r="K1086" t="s">
        <v>8949</v>
      </c>
      <c r="L1086" t="s">
        <v>8950</v>
      </c>
    </row>
    <row r="1087" spans="1:13" x14ac:dyDescent="0.25">
      <c r="A1087" t="s">
        <v>5766</v>
      </c>
      <c r="B1087" t="s">
        <v>3480</v>
      </c>
      <c r="C1087" s="1" t="s">
        <v>3531</v>
      </c>
      <c r="D1087" s="1" t="s">
        <v>9024</v>
      </c>
      <c r="E1087" t="s">
        <v>3532</v>
      </c>
      <c r="F1087" t="s">
        <v>9025</v>
      </c>
      <c r="G1087" t="s">
        <v>9026</v>
      </c>
      <c r="H1087" t="s">
        <v>9027</v>
      </c>
      <c r="I1087" t="s">
        <v>6089</v>
      </c>
      <c r="J1087" t="s">
        <v>8948</v>
      </c>
      <c r="K1087" t="s">
        <v>8949</v>
      </c>
      <c r="L1087" t="s">
        <v>8950</v>
      </c>
    </row>
    <row r="1088" spans="1:13" x14ac:dyDescent="0.25">
      <c r="A1088" t="s">
        <v>5766</v>
      </c>
      <c r="B1088" t="s">
        <v>3480</v>
      </c>
      <c r="C1088" s="1" t="s">
        <v>3534</v>
      </c>
      <c r="D1088" s="1" t="s">
        <v>9028</v>
      </c>
      <c r="E1088" t="s">
        <v>3535</v>
      </c>
      <c r="F1088" t="s">
        <v>9029</v>
      </c>
      <c r="G1088" t="s">
        <v>9030</v>
      </c>
      <c r="H1088" t="s">
        <v>9031</v>
      </c>
      <c r="I1088" t="s">
        <v>9032</v>
      </c>
      <c r="J1088" t="s">
        <v>8948</v>
      </c>
      <c r="K1088" t="s">
        <v>8949</v>
      </c>
      <c r="L1088" t="s">
        <v>8950</v>
      </c>
    </row>
    <row r="1089" spans="1:13" x14ac:dyDescent="0.25">
      <c r="A1089" t="s">
        <v>5766</v>
      </c>
      <c r="B1089" t="s">
        <v>3480</v>
      </c>
      <c r="C1089" s="1" t="s">
        <v>3148</v>
      </c>
      <c r="D1089" s="1" t="s">
        <v>8495</v>
      </c>
      <c r="E1089" t="s">
        <v>3149</v>
      </c>
      <c r="F1089" t="s">
        <v>6251</v>
      </c>
      <c r="G1089" t="s">
        <v>8497</v>
      </c>
      <c r="H1089" t="s">
        <v>9033</v>
      </c>
      <c r="I1089" t="s">
        <v>6137</v>
      </c>
      <c r="J1089" t="s">
        <v>8948</v>
      </c>
      <c r="K1089" t="s">
        <v>8949</v>
      </c>
      <c r="L1089" t="s">
        <v>8950</v>
      </c>
    </row>
    <row r="1090" spans="1:13" x14ac:dyDescent="0.25">
      <c r="A1090" t="s">
        <v>5766</v>
      </c>
      <c r="B1090" t="s">
        <v>3480</v>
      </c>
      <c r="C1090" s="1" t="s">
        <v>3537</v>
      </c>
      <c r="D1090" s="1" t="s">
        <v>9034</v>
      </c>
      <c r="E1090" t="s">
        <v>3538</v>
      </c>
      <c r="F1090" t="s">
        <v>9035</v>
      </c>
      <c r="G1090" t="s">
        <v>9036</v>
      </c>
      <c r="H1090" t="s">
        <v>9037</v>
      </c>
      <c r="I1090" t="s">
        <v>9038</v>
      </c>
      <c r="J1090" t="s">
        <v>8948</v>
      </c>
      <c r="K1090" t="s">
        <v>8949</v>
      </c>
      <c r="L1090" t="s">
        <v>8950</v>
      </c>
    </row>
    <row r="1091" spans="1:13" x14ac:dyDescent="0.25">
      <c r="A1091" t="s">
        <v>5766</v>
      </c>
      <c r="B1091" t="s">
        <v>3480</v>
      </c>
      <c r="C1091" s="1" t="s">
        <v>3540</v>
      </c>
      <c r="D1091" s="1" t="s">
        <v>9039</v>
      </c>
      <c r="E1091" t="s">
        <v>3541</v>
      </c>
      <c r="F1091" t="s">
        <v>7343</v>
      </c>
      <c r="G1091" t="s">
        <v>9040</v>
      </c>
      <c r="H1091" t="s">
        <v>9041</v>
      </c>
      <c r="I1091" t="s">
        <v>6192</v>
      </c>
      <c r="J1091" t="s">
        <v>8948</v>
      </c>
      <c r="K1091" t="s">
        <v>8949</v>
      </c>
      <c r="L1091" t="s">
        <v>8950</v>
      </c>
    </row>
    <row r="1092" spans="1:13" x14ac:dyDescent="0.25">
      <c r="A1092" t="s">
        <v>5766</v>
      </c>
      <c r="B1092" t="s">
        <v>3480</v>
      </c>
      <c r="C1092" s="1" t="s">
        <v>3543</v>
      </c>
      <c r="D1092" s="1" t="s">
        <v>9042</v>
      </c>
      <c r="E1092" t="s">
        <v>3544</v>
      </c>
      <c r="F1092" t="s">
        <v>9035</v>
      </c>
      <c r="G1092" t="s">
        <v>9043</v>
      </c>
      <c r="H1092" t="s">
        <v>9044</v>
      </c>
      <c r="I1092" t="s">
        <v>5831</v>
      </c>
      <c r="J1092" t="s">
        <v>8948</v>
      </c>
      <c r="K1092" t="s">
        <v>8949</v>
      </c>
      <c r="L1092" t="s">
        <v>8950</v>
      </c>
    </row>
    <row r="1093" spans="1:13" x14ac:dyDescent="0.25">
      <c r="A1093" t="s">
        <v>5766</v>
      </c>
      <c r="B1093" t="s">
        <v>3480</v>
      </c>
      <c r="C1093" s="1" t="s">
        <v>3157</v>
      </c>
      <c r="D1093" s="1" t="s">
        <v>8509</v>
      </c>
      <c r="E1093" t="s">
        <v>3158</v>
      </c>
      <c r="F1093" t="s">
        <v>9045</v>
      </c>
      <c r="G1093" t="s">
        <v>6276</v>
      </c>
      <c r="H1093" t="s">
        <v>9046</v>
      </c>
      <c r="I1093" t="s">
        <v>9047</v>
      </c>
      <c r="J1093" t="s">
        <v>8948</v>
      </c>
      <c r="K1093" t="s">
        <v>8949</v>
      </c>
      <c r="L1093" t="s">
        <v>8950</v>
      </c>
    </row>
    <row r="1094" spans="1:13" x14ac:dyDescent="0.25">
      <c r="A1094" t="s">
        <v>5766</v>
      </c>
      <c r="B1094" t="s">
        <v>3480</v>
      </c>
      <c r="C1094" s="1" t="s">
        <v>3169</v>
      </c>
      <c r="D1094" s="1" t="s">
        <v>8524</v>
      </c>
      <c r="E1094" t="s">
        <v>3170</v>
      </c>
      <c r="F1094" t="s">
        <v>8994</v>
      </c>
      <c r="G1094" t="s">
        <v>8526</v>
      </c>
      <c r="H1094" t="s">
        <v>9048</v>
      </c>
      <c r="I1094" t="s">
        <v>7497</v>
      </c>
      <c r="J1094" t="s">
        <v>8948</v>
      </c>
      <c r="K1094" t="s">
        <v>8949</v>
      </c>
      <c r="L1094" t="s">
        <v>8950</v>
      </c>
    </row>
    <row r="1095" spans="1:13" x14ac:dyDescent="0.25">
      <c r="A1095" t="s">
        <v>5766</v>
      </c>
      <c r="B1095" t="s">
        <v>3480</v>
      </c>
      <c r="C1095" s="1" t="s">
        <v>595</v>
      </c>
      <c r="D1095" s="1" t="s">
        <v>6584</v>
      </c>
      <c r="E1095" t="s">
        <v>596</v>
      </c>
      <c r="F1095" t="s">
        <v>9025</v>
      </c>
      <c r="G1095" t="s">
        <v>6586</v>
      </c>
      <c r="H1095" t="s">
        <v>9049</v>
      </c>
      <c r="I1095" t="s">
        <v>6811</v>
      </c>
      <c r="J1095" t="s">
        <v>8948</v>
      </c>
      <c r="K1095" t="s">
        <v>8949</v>
      </c>
      <c r="L1095" t="s">
        <v>8950</v>
      </c>
    </row>
    <row r="1096" spans="1:13" x14ac:dyDescent="0.25">
      <c r="A1096" t="s">
        <v>5766</v>
      </c>
      <c r="B1096" t="s">
        <v>3480</v>
      </c>
      <c r="C1096" s="1" t="s">
        <v>598</v>
      </c>
      <c r="D1096" s="1" t="s">
        <v>6589</v>
      </c>
      <c r="E1096" t="s">
        <v>599</v>
      </c>
      <c r="F1096" t="s">
        <v>9050</v>
      </c>
      <c r="G1096" t="s">
        <v>6590</v>
      </c>
      <c r="H1096" t="s">
        <v>9051</v>
      </c>
      <c r="I1096" t="s">
        <v>9052</v>
      </c>
      <c r="J1096" t="s">
        <v>8948</v>
      </c>
      <c r="K1096" t="s">
        <v>8949</v>
      </c>
      <c r="L1096" t="s">
        <v>8950</v>
      </c>
    </row>
    <row r="1097" spans="1:13" x14ac:dyDescent="0.25">
      <c r="A1097" t="s">
        <v>5766</v>
      </c>
      <c r="B1097" t="s">
        <v>3480</v>
      </c>
      <c r="C1097" s="1" t="s">
        <v>3546</v>
      </c>
      <c r="D1097" s="1" t="s">
        <v>9053</v>
      </c>
      <c r="E1097" t="s">
        <v>3547</v>
      </c>
      <c r="F1097" t="s">
        <v>9054</v>
      </c>
      <c r="G1097" t="s">
        <v>9055</v>
      </c>
      <c r="H1097" t="s">
        <v>9056</v>
      </c>
      <c r="I1097" t="s">
        <v>9057</v>
      </c>
      <c r="J1097" t="s">
        <v>8948</v>
      </c>
      <c r="K1097" t="s">
        <v>8949</v>
      </c>
      <c r="L1097" t="s">
        <v>8950</v>
      </c>
    </row>
    <row r="1098" spans="1:13" x14ac:dyDescent="0.25">
      <c r="A1098" t="s">
        <v>5766</v>
      </c>
      <c r="B1098" t="s">
        <v>3480</v>
      </c>
      <c r="C1098" s="1" t="s">
        <v>3549</v>
      </c>
      <c r="D1098" s="1" t="s">
        <v>9058</v>
      </c>
      <c r="E1098" t="s">
        <v>3550</v>
      </c>
      <c r="F1098" t="s">
        <v>9059</v>
      </c>
      <c r="G1098" t="s">
        <v>9060</v>
      </c>
      <c r="H1098" t="s">
        <v>9061</v>
      </c>
      <c r="I1098" t="s">
        <v>9062</v>
      </c>
      <c r="J1098" t="s">
        <v>8948</v>
      </c>
      <c r="K1098" t="s">
        <v>8949</v>
      </c>
      <c r="L1098" t="s">
        <v>8950</v>
      </c>
    </row>
    <row r="1099" spans="1:13" x14ac:dyDescent="0.25">
      <c r="A1099" t="s">
        <v>5766</v>
      </c>
      <c r="B1099" t="s">
        <v>3480</v>
      </c>
      <c r="C1099" s="1" t="s">
        <v>3552</v>
      </c>
      <c r="D1099" s="1" t="s">
        <v>9063</v>
      </c>
      <c r="E1099" t="s">
        <v>3553</v>
      </c>
      <c r="F1099" t="s">
        <v>9064</v>
      </c>
      <c r="G1099" t="s">
        <v>9065</v>
      </c>
      <c r="H1099" t="s">
        <v>9066</v>
      </c>
      <c r="I1099" t="s">
        <v>9067</v>
      </c>
      <c r="J1099" t="s">
        <v>8948</v>
      </c>
      <c r="K1099" t="s">
        <v>8949</v>
      </c>
      <c r="L1099" t="s">
        <v>8950</v>
      </c>
    </row>
    <row r="1100" spans="1:13" x14ac:dyDescent="0.25">
      <c r="A1100" t="s">
        <v>5766</v>
      </c>
      <c r="B1100" t="s">
        <v>3480</v>
      </c>
      <c r="C1100" s="1" t="s">
        <v>3555</v>
      </c>
      <c r="D1100" s="1" t="s">
        <v>9068</v>
      </c>
      <c r="E1100" t="s">
        <v>3556</v>
      </c>
      <c r="F1100" t="s">
        <v>9069</v>
      </c>
      <c r="G1100" t="s">
        <v>9070</v>
      </c>
      <c r="H1100" t="s">
        <v>9071</v>
      </c>
      <c r="I1100" t="s">
        <v>6713</v>
      </c>
      <c r="J1100" t="s">
        <v>8948</v>
      </c>
      <c r="K1100" t="s">
        <v>8949</v>
      </c>
      <c r="L1100" t="s">
        <v>8950</v>
      </c>
    </row>
    <row r="1101" spans="1:13" x14ac:dyDescent="0.25">
      <c r="A1101" t="s">
        <v>5766</v>
      </c>
      <c r="B1101" t="s">
        <v>3480</v>
      </c>
      <c r="C1101" s="1" t="s">
        <v>52</v>
      </c>
      <c r="D1101" s="1" t="s">
        <v>52</v>
      </c>
      <c r="E1101" t="s">
        <v>5767</v>
      </c>
      <c r="F1101" t="s">
        <v>9072</v>
      </c>
      <c r="G1101" t="s">
        <v>5769</v>
      </c>
      <c r="H1101" t="s">
        <v>9073</v>
      </c>
      <c r="I1101" t="s">
        <v>9074</v>
      </c>
      <c r="J1101" t="s">
        <v>8948</v>
      </c>
      <c r="K1101" t="s">
        <v>8949</v>
      </c>
      <c r="L1101" t="s">
        <v>8950</v>
      </c>
      <c r="M1101" t="s">
        <v>65</v>
      </c>
    </row>
    <row r="1102" spans="1:13" x14ac:dyDescent="0.25">
      <c r="A1102" t="s">
        <v>5766</v>
      </c>
      <c r="B1102" t="s">
        <v>3557</v>
      </c>
      <c r="C1102" s="1" t="s">
        <v>221</v>
      </c>
      <c r="D1102" s="1" t="s">
        <v>5999</v>
      </c>
      <c r="E1102" t="s">
        <v>222</v>
      </c>
      <c r="F1102" t="s">
        <v>9075</v>
      </c>
      <c r="G1102" t="s">
        <v>6001</v>
      </c>
      <c r="H1102" t="s">
        <v>9076</v>
      </c>
      <c r="I1102" t="s">
        <v>8334</v>
      </c>
      <c r="J1102" t="s">
        <v>9077</v>
      </c>
      <c r="K1102" t="s">
        <v>9078</v>
      </c>
      <c r="L1102" t="s">
        <v>9079</v>
      </c>
    </row>
    <row r="1103" spans="1:13" x14ac:dyDescent="0.25">
      <c r="A1103" t="s">
        <v>5766</v>
      </c>
      <c r="B1103" t="s">
        <v>3557</v>
      </c>
      <c r="C1103" s="1" t="s">
        <v>233</v>
      </c>
      <c r="D1103" s="1" t="s">
        <v>6019</v>
      </c>
      <c r="E1103" t="s">
        <v>234</v>
      </c>
      <c r="F1103" t="s">
        <v>9080</v>
      </c>
      <c r="G1103" t="s">
        <v>6021</v>
      </c>
      <c r="H1103" t="s">
        <v>9081</v>
      </c>
      <c r="I1103" t="s">
        <v>8387</v>
      </c>
      <c r="J1103" t="s">
        <v>9077</v>
      </c>
      <c r="K1103" t="s">
        <v>9078</v>
      </c>
      <c r="L1103" t="s">
        <v>9079</v>
      </c>
    </row>
    <row r="1104" spans="1:13" x14ac:dyDescent="0.25">
      <c r="A1104" t="s">
        <v>5766</v>
      </c>
      <c r="B1104" t="s">
        <v>3557</v>
      </c>
      <c r="C1104" s="1" t="s">
        <v>3559</v>
      </c>
      <c r="D1104" s="1" t="s">
        <v>9082</v>
      </c>
      <c r="E1104" t="s">
        <v>3560</v>
      </c>
      <c r="F1104" t="s">
        <v>9083</v>
      </c>
      <c r="G1104" t="s">
        <v>9084</v>
      </c>
      <c r="H1104" t="s">
        <v>9085</v>
      </c>
      <c r="I1104" t="s">
        <v>9086</v>
      </c>
      <c r="J1104" t="s">
        <v>9077</v>
      </c>
      <c r="K1104" t="s">
        <v>9078</v>
      </c>
      <c r="L1104" t="s">
        <v>9079</v>
      </c>
    </row>
    <row r="1105" spans="1:12" x14ac:dyDescent="0.25">
      <c r="A1105" t="s">
        <v>5766</v>
      </c>
      <c r="B1105" t="s">
        <v>3557</v>
      </c>
      <c r="C1105" s="1" t="s">
        <v>3562</v>
      </c>
      <c r="D1105" s="1" t="s">
        <v>9087</v>
      </c>
      <c r="E1105" t="s">
        <v>3563</v>
      </c>
      <c r="F1105" t="s">
        <v>9088</v>
      </c>
      <c r="G1105" t="s">
        <v>9089</v>
      </c>
      <c r="H1105" t="s">
        <v>9090</v>
      </c>
      <c r="I1105" t="s">
        <v>8089</v>
      </c>
      <c r="J1105" t="s">
        <v>9077</v>
      </c>
      <c r="K1105" t="s">
        <v>9078</v>
      </c>
      <c r="L1105" t="s">
        <v>9079</v>
      </c>
    </row>
    <row r="1106" spans="1:12" x14ac:dyDescent="0.25">
      <c r="A1106" t="s">
        <v>5766</v>
      </c>
      <c r="B1106" t="s">
        <v>3557</v>
      </c>
      <c r="C1106" s="1" t="s">
        <v>242</v>
      </c>
      <c r="D1106" s="1" t="s">
        <v>6033</v>
      </c>
      <c r="E1106" t="s">
        <v>243</v>
      </c>
      <c r="F1106" t="s">
        <v>9091</v>
      </c>
      <c r="G1106" t="s">
        <v>6034</v>
      </c>
      <c r="H1106" t="s">
        <v>9092</v>
      </c>
      <c r="I1106" t="s">
        <v>8637</v>
      </c>
      <c r="J1106" t="s">
        <v>9077</v>
      </c>
      <c r="K1106" t="s">
        <v>9078</v>
      </c>
      <c r="L1106" t="s">
        <v>9079</v>
      </c>
    </row>
    <row r="1107" spans="1:12" x14ac:dyDescent="0.25">
      <c r="A1107" t="s">
        <v>5766</v>
      </c>
      <c r="B1107" t="s">
        <v>3557</v>
      </c>
      <c r="C1107" s="1" t="s">
        <v>3565</v>
      </c>
      <c r="D1107" s="1" t="s">
        <v>9093</v>
      </c>
      <c r="E1107" t="s">
        <v>3566</v>
      </c>
      <c r="F1107" t="s">
        <v>9094</v>
      </c>
      <c r="G1107" t="s">
        <v>9095</v>
      </c>
      <c r="H1107" t="s">
        <v>9096</v>
      </c>
      <c r="I1107" t="s">
        <v>6920</v>
      </c>
      <c r="J1107" t="s">
        <v>9077</v>
      </c>
      <c r="K1107" t="s">
        <v>9078</v>
      </c>
      <c r="L1107" t="s">
        <v>9079</v>
      </c>
    </row>
    <row r="1108" spans="1:12" x14ac:dyDescent="0.25">
      <c r="A1108" t="s">
        <v>5766</v>
      </c>
      <c r="B1108" t="s">
        <v>3557</v>
      </c>
      <c r="C1108" s="1" t="s">
        <v>3102</v>
      </c>
      <c r="D1108" s="1" t="s">
        <v>8421</v>
      </c>
      <c r="E1108" t="s">
        <v>3103</v>
      </c>
      <c r="F1108" t="s">
        <v>9097</v>
      </c>
      <c r="G1108" t="s">
        <v>8423</v>
      </c>
      <c r="H1108" t="s">
        <v>9098</v>
      </c>
      <c r="I1108" t="s">
        <v>5979</v>
      </c>
      <c r="J1108" t="s">
        <v>9077</v>
      </c>
      <c r="K1108" t="s">
        <v>9078</v>
      </c>
      <c r="L1108" t="s">
        <v>9079</v>
      </c>
    </row>
    <row r="1109" spans="1:12" x14ac:dyDescent="0.25">
      <c r="A1109" t="s">
        <v>5766</v>
      </c>
      <c r="B1109" t="s">
        <v>3557</v>
      </c>
      <c r="C1109" s="1" t="s">
        <v>561</v>
      </c>
      <c r="D1109" s="1" t="s">
        <v>6515</v>
      </c>
      <c r="E1109" t="s">
        <v>562</v>
      </c>
      <c r="F1109" t="s">
        <v>9099</v>
      </c>
      <c r="G1109" t="s">
        <v>6516</v>
      </c>
      <c r="H1109" t="s">
        <v>9100</v>
      </c>
      <c r="I1109" t="s">
        <v>6173</v>
      </c>
      <c r="J1109" t="s">
        <v>9077</v>
      </c>
      <c r="K1109" t="s">
        <v>9078</v>
      </c>
      <c r="L1109" t="s">
        <v>9079</v>
      </c>
    </row>
    <row r="1110" spans="1:12" x14ac:dyDescent="0.25">
      <c r="A1110" t="s">
        <v>5766</v>
      </c>
      <c r="B1110" t="s">
        <v>3557</v>
      </c>
      <c r="C1110" s="1" t="s">
        <v>251</v>
      </c>
      <c r="D1110" s="1" t="s">
        <v>6046</v>
      </c>
      <c r="E1110" t="s">
        <v>252</v>
      </c>
      <c r="F1110" t="s">
        <v>9101</v>
      </c>
      <c r="G1110" t="s">
        <v>6047</v>
      </c>
      <c r="H1110" t="s">
        <v>9102</v>
      </c>
      <c r="I1110" t="s">
        <v>6254</v>
      </c>
      <c r="J1110" t="s">
        <v>9077</v>
      </c>
      <c r="K1110" t="s">
        <v>9078</v>
      </c>
      <c r="L1110" t="s">
        <v>9079</v>
      </c>
    </row>
    <row r="1111" spans="1:12" x14ac:dyDescent="0.25">
      <c r="A1111" t="s">
        <v>5766</v>
      </c>
      <c r="B1111" t="s">
        <v>3557</v>
      </c>
      <c r="C1111" s="1" t="s">
        <v>3568</v>
      </c>
      <c r="D1111" s="1" t="s">
        <v>9103</v>
      </c>
      <c r="E1111" t="s">
        <v>3569</v>
      </c>
      <c r="F1111" t="s">
        <v>6288</v>
      </c>
      <c r="G1111" t="s">
        <v>9104</v>
      </c>
      <c r="H1111" t="s">
        <v>9105</v>
      </c>
      <c r="I1111" t="s">
        <v>9062</v>
      </c>
      <c r="J1111" t="s">
        <v>9077</v>
      </c>
      <c r="K1111" t="s">
        <v>9078</v>
      </c>
      <c r="L1111" t="s">
        <v>9079</v>
      </c>
    </row>
    <row r="1112" spans="1:12" x14ac:dyDescent="0.25">
      <c r="A1112" t="s">
        <v>5766</v>
      </c>
      <c r="B1112" t="s">
        <v>3557</v>
      </c>
      <c r="C1112" s="1" t="s">
        <v>3571</v>
      </c>
      <c r="D1112" s="1" t="s">
        <v>9106</v>
      </c>
      <c r="E1112" t="s">
        <v>3572</v>
      </c>
      <c r="F1112" t="s">
        <v>9107</v>
      </c>
      <c r="G1112" t="s">
        <v>9108</v>
      </c>
      <c r="H1112" t="s">
        <v>9109</v>
      </c>
      <c r="I1112" t="s">
        <v>6893</v>
      </c>
      <c r="J1112" t="s">
        <v>9077</v>
      </c>
      <c r="K1112" t="s">
        <v>9078</v>
      </c>
      <c r="L1112" t="s">
        <v>9079</v>
      </c>
    </row>
    <row r="1113" spans="1:12" x14ac:dyDescent="0.25">
      <c r="A1113" t="s">
        <v>5766</v>
      </c>
      <c r="B1113" t="s">
        <v>3557</v>
      </c>
      <c r="C1113" s="1" t="s">
        <v>3574</v>
      </c>
      <c r="D1113" s="1" t="s">
        <v>9110</v>
      </c>
      <c r="E1113" t="s">
        <v>3575</v>
      </c>
      <c r="F1113" t="s">
        <v>9111</v>
      </c>
      <c r="G1113" t="s">
        <v>9112</v>
      </c>
      <c r="H1113" t="s">
        <v>9113</v>
      </c>
      <c r="I1113" t="s">
        <v>8072</v>
      </c>
      <c r="J1113" t="s">
        <v>9077</v>
      </c>
      <c r="K1113" t="s">
        <v>9078</v>
      </c>
      <c r="L1113" t="s">
        <v>9079</v>
      </c>
    </row>
    <row r="1114" spans="1:12" x14ac:dyDescent="0.25">
      <c r="A1114" t="s">
        <v>5766</v>
      </c>
      <c r="B1114" t="s">
        <v>3557</v>
      </c>
      <c r="C1114" s="1" t="s">
        <v>257</v>
      </c>
      <c r="D1114" s="1" t="s">
        <v>6054</v>
      </c>
      <c r="E1114" t="s">
        <v>258</v>
      </c>
      <c r="F1114" t="s">
        <v>9114</v>
      </c>
      <c r="G1114" t="s">
        <v>6055</v>
      </c>
      <c r="H1114" t="s">
        <v>9115</v>
      </c>
      <c r="I1114" t="s">
        <v>6057</v>
      </c>
      <c r="J1114" t="s">
        <v>9077</v>
      </c>
      <c r="K1114" t="s">
        <v>9078</v>
      </c>
      <c r="L1114" t="s">
        <v>9079</v>
      </c>
    </row>
    <row r="1115" spans="1:12" x14ac:dyDescent="0.25">
      <c r="A1115" t="s">
        <v>5766</v>
      </c>
      <c r="B1115" t="s">
        <v>3557</v>
      </c>
      <c r="C1115" s="1" t="s">
        <v>3577</v>
      </c>
      <c r="D1115" s="1" t="s">
        <v>9116</v>
      </c>
      <c r="E1115" t="s">
        <v>3578</v>
      </c>
      <c r="F1115" t="s">
        <v>9117</v>
      </c>
      <c r="G1115" t="s">
        <v>9118</v>
      </c>
      <c r="H1115" t="s">
        <v>9119</v>
      </c>
      <c r="I1115" t="s">
        <v>6937</v>
      </c>
      <c r="J1115" t="s">
        <v>9077</v>
      </c>
      <c r="K1115" t="s">
        <v>9078</v>
      </c>
      <c r="L1115" t="s">
        <v>9079</v>
      </c>
    </row>
    <row r="1116" spans="1:12" x14ac:dyDescent="0.25">
      <c r="A1116" t="s">
        <v>5766</v>
      </c>
      <c r="B1116" t="s">
        <v>3557</v>
      </c>
      <c r="C1116" s="1" t="s">
        <v>3408</v>
      </c>
      <c r="D1116" s="1" t="s">
        <v>8822</v>
      </c>
      <c r="E1116" t="s">
        <v>3410</v>
      </c>
      <c r="F1116" t="s">
        <v>9120</v>
      </c>
      <c r="G1116" t="s">
        <v>8823</v>
      </c>
      <c r="H1116" t="s">
        <v>9121</v>
      </c>
      <c r="I1116" t="s">
        <v>6278</v>
      </c>
      <c r="J1116" t="s">
        <v>9077</v>
      </c>
      <c r="K1116" t="s">
        <v>9078</v>
      </c>
      <c r="L1116" t="s">
        <v>9079</v>
      </c>
    </row>
    <row r="1117" spans="1:12" x14ac:dyDescent="0.25">
      <c r="A1117" t="s">
        <v>5766</v>
      </c>
      <c r="B1117" t="s">
        <v>3557</v>
      </c>
      <c r="C1117" s="1" t="s">
        <v>263</v>
      </c>
      <c r="D1117" s="1" t="s">
        <v>6062</v>
      </c>
      <c r="E1117" t="s">
        <v>264</v>
      </c>
      <c r="F1117" t="s">
        <v>9122</v>
      </c>
      <c r="G1117" t="s">
        <v>6064</v>
      </c>
      <c r="H1117" t="s">
        <v>9123</v>
      </c>
      <c r="I1117" t="s">
        <v>9124</v>
      </c>
      <c r="J1117" t="s">
        <v>9077</v>
      </c>
      <c r="K1117" t="s">
        <v>9078</v>
      </c>
      <c r="L1117" t="s">
        <v>9079</v>
      </c>
    </row>
    <row r="1118" spans="1:12" x14ac:dyDescent="0.25">
      <c r="A1118" t="s">
        <v>5766</v>
      </c>
      <c r="B1118" t="s">
        <v>3557</v>
      </c>
      <c r="C1118" s="1" t="s">
        <v>3580</v>
      </c>
      <c r="D1118" s="1" t="s">
        <v>9125</v>
      </c>
      <c r="E1118" t="s">
        <v>3581</v>
      </c>
      <c r="F1118" t="s">
        <v>9126</v>
      </c>
      <c r="G1118" t="s">
        <v>9127</v>
      </c>
      <c r="H1118" t="s">
        <v>9128</v>
      </c>
      <c r="I1118" t="s">
        <v>8503</v>
      </c>
      <c r="J1118" t="s">
        <v>9077</v>
      </c>
      <c r="K1118" t="s">
        <v>9078</v>
      </c>
      <c r="L1118" t="s">
        <v>9079</v>
      </c>
    </row>
    <row r="1119" spans="1:12" x14ac:dyDescent="0.25">
      <c r="A1119" t="s">
        <v>5766</v>
      </c>
      <c r="B1119" t="s">
        <v>3557</v>
      </c>
      <c r="C1119" s="1" t="s">
        <v>3583</v>
      </c>
      <c r="D1119" s="1" t="s">
        <v>9129</v>
      </c>
      <c r="E1119" t="s">
        <v>3584</v>
      </c>
      <c r="F1119" t="s">
        <v>9130</v>
      </c>
      <c r="G1119" t="s">
        <v>9131</v>
      </c>
      <c r="H1119" t="s">
        <v>9132</v>
      </c>
      <c r="I1119" t="s">
        <v>8244</v>
      </c>
      <c r="J1119" t="s">
        <v>9077</v>
      </c>
      <c r="K1119" t="s">
        <v>9078</v>
      </c>
      <c r="L1119" t="s">
        <v>9079</v>
      </c>
    </row>
    <row r="1120" spans="1:12" x14ac:dyDescent="0.25">
      <c r="A1120" t="s">
        <v>5766</v>
      </c>
      <c r="B1120" t="s">
        <v>3557</v>
      </c>
      <c r="C1120" s="1" t="s">
        <v>3586</v>
      </c>
      <c r="D1120" s="1" t="s">
        <v>9133</v>
      </c>
      <c r="E1120" t="s">
        <v>3587</v>
      </c>
      <c r="F1120" t="s">
        <v>9134</v>
      </c>
      <c r="G1120" t="s">
        <v>9135</v>
      </c>
      <c r="H1120" t="s">
        <v>9136</v>
      </c>
      <c r="I1120" t="s">
        <v>5816</v>
      </c>
      <c r="J1120" t="s">
        <v>9077</v>
      </c>
      <c r="K1120" t="s">
        <v>9078</v>
      </c>
      <c r="L1120" t="s">
        <v>9079</v>
      </c>
    </row>
    <row r="1121" spans="1:13" x14ac:dyDescent="0.25">
      <c r="A1121" t="s">
        <v>5766</v>
      </c>
      <c r="B1121" t="s">
        <v>3557</v>
      </c>
      <c r="C1121" s="1" t="s">
        <v>269</v>
      </c>
      <c r="D1121" s="1" t="s">
        <v>6072</v>
      </c>
      <c r="E1121" t="s">
        <v>270</v>
      </c>
      <c r="F1121" t="s">
        <v>9137</v>
      </c>
      <c r="G1121" t="s">
        <v>6073</v>
      </c>
      <c r="H1121" t="s">
        <v>9138</v>
      </c>
      <c r="I1121" t="s">
        <v>6149</v>
      </c>
      <c r="J1121" t="s">
        <v>9077</v>
      </c>
      <c r="K1121" t="s">
        <v>9078</v>
      </c>
      <c r="L1121" t="s">
        <v>9079</v>
      </c>
    </row>
    <row r="1122" spans="1:13" x14ac:dyDescent="0.25">
      <c r="A1122" t="s">
        <v>5766</v>
      </c>
      <c r="B1122" t="s">
        <v>3557</v>
      </c>
      <c r="C1122" s="1" t="s">
        <v>3504</v>
      </c>
      <c r="D1122" s="1" t="s">
        <v>8980</v>
      </c>
      <c r="E1122" t="s">
        <v>3505</v>
      </c>
      <c r="F1122" t="s">
        <v>9139</v>
      </c>
      <c r="G1122" t="s">
        <v>8982</v>
      </c>
      <c r="H1122" t="s">
        <v>9140</v>
      </c>
      <c r="I1122" t="s">
        <v>9141</v>
      </c>
      <c r="J1122" t="s">
        <v>9077</v>
      </c>
      <c r="K1122" t="s">
        <v>9078</v>
      </c>
      <c r="L1122" t="s">
        <v>9079</v>
      </c>
    </row>
    <row r="1123" spans="1:13" x14ac:dyDescent="0.25">
      <c r="A1123" t="s">
        <v>5766</v>
      </c>
      <c r="B1123" t="s">
        <v>3557</v>
      </c>
      <c r="C1123" s="1" t="s">
        <v>3589</v>
      </c>
      <c r="D1123" s="1" t="s">
        <v>9142</v>
      </c>
      <c r="E1123" t="s">
        <v>3590</v>
      </c>
      <c r="F1123" t="s">
        <v>9143</v>
      </c>
      <c r="G1123" t="s">
        <v>9144</v>
      </c>
      <c r="H1123" t="s">
        <v>9145</v>
      </c>
      <c r="I1123" t="s">
        <v>9062</v>
      </c>
      <c r="J1123" t="s">
        <v>9077</v>
      </c>
      <c r="K1123" t="s">
        <v>9078</v>
      </c>
      <c r="L1123" t="s">
        <v>9079</v>
      </c>
    </row>
    <row r="1124" spans="1:13" x14ac:dyDescent="0.25">
      <c r="A1124" t="s">
        <v>5766</v>
      </c>
      <c r="B1124" t="s">
        <v>3557</v>
      </c>
      <c r="C1124" s="1" t="s">
        <v>78</v>
      </c>
      <c r="D1124" s="1" t="s">
        <v>5780</v>
      </c>
      <c r="E1124" t="s">
        <v>5781</v>
      </c>
      <c r="F1124" t="s">
        <v>9146</v>
      </c>
      <c r="G1124" t="s">
        <v>5783</v>
      </c>
      <c r="H1124" t="s">
        <v>9147</v>
      </c>
      <c r="I1124" t="s">
        <v>8227</v>
      </c>
      <c r="J1124" t="s">
        <v>9077</v>
      </c>
      <c r="K1124" t="s">
        <v>9078</v>
      </c>
      <c r="L1124" t="s">
        <v>9079</v>
      </c>
      <c r="M1124" t="s">
        <v>65</v>
      </c>
    </row>
    <row r="1125" spans="1:13" x14ac:dyDescent="0.25">
      <c r="A1125" t="s">
        <v>5766</v>
      </c>
      <c r="B1125" t="s">
        <v>3557</v>
      </c>
      <c r="C1125" s="1" t="s">
        <v>278</v>
      </c>
      <c r="D1125" s="1" t="s">
        <v>6085</v>
      </c>
      <c r="E1125" t="s">
        <v>279</v>
      </c>
      <c r="F1125" t="s">
        <v>9148</v>
      </c>
      <c r="G1125" t="s">
        <v>6087</v>
      </c>
      <c r="H1125" t="s">
        <v>9149</v>
      </c>
      <c r="I1125" t="s">
        <v>8920</v>
      </c>
      <c r="J1125" t="s">
        <v>9077</v>
      </c>
      <c r="K1125" t="s">
        <v>9078</v>
      </c>
      <c r="L1125" t="s">
        <v>9079</v>
      </c>
    </row>
    <row r="1126" spans="1:13" x14ac:dyDescent="0.25">
      <c r="A1126" t="s">
        <v>5766</v>
      </c>
      <c r="B1126" t="s">
        <v>3557</v>
      </c>
      <c r="C1126" s="1" t="s">
        <v>287</v>
      </c>
      <c r="D1126" s="1" t="s">
        <v>6098</v>
      </c>
      <c r="E1126" t="s">
        <v>288</v>
      </c>
      <c r="F1126" t="s">
        <v>9150</v>
      </c>
      <c r="G1126" t="s">
        <v>6099</v>
      </c>
      <c r="H1126" t="s">
        <v>9151</v>
      </c>
      <c r="I1126" t="s">
        <v>9152</v>
      </c>
      <c r="J1126" t="s">
        <v>9077</v>
      </c>
      <c r="K1126" t="s">
        <v>9078</v>
      </c>
      <c r="L1126" t="s">
        <v>9079</v>
      </c>
    </row>
    <row r="1127" spans="1:13" x14ac:dyDescent="0.25">
      <c r="A1127" t="s">
        <v>5766</v>
      </c>
      <c r="B1127" t="s">
        <v>3557</v>
      </c>
      <c r="C1127" s="1" t="s">
        <v>3592</v>
      </c>
      <c r="D1127" s="1" t="s">
        <v>9153</v>
      </c>
      <c r="E1127" t="s">
        <v>3593</v>
      </c>
      <c r="F1127" t="s">
        <v>9154</v>
      </c>
      <c r="G1127" t="s">
        <v>9155</v>
      </c>
      <c r="H1127" t="s">
        <v>9156</v>
      </c>
      <c r="I1127" t="s">
        <v>9157</v>
      </c>
      <c r="J1127" t="s">
        <v>9077</v>
      </c>
      <c r="K1127" t="s">
        <v>9078</v>
      </c>
      <c r="L1127" t="s">
        <v>9079</v>
      </c>
    </row>
    <row r="1128" spans="1:13" x14ac:dyDescent="0.25">
      <c r="A1128" t="s">
        <v>5766</v>
      </c>
      <c r="B1128" t="s">
        <v>3557</v>
      </c>
      <c r="C1128" s="1" t="s">
        <v>308</v>
      </c>
      <c r="D1128" s="1" t="s">
        <v>2662</v>
      </c>
      <c r="E1128" t="s">
        <v>309</v>
      </c>
      <c r="F1128" t="s">
        <v>9158</v>
      </c>
      <c r="G1128" t="s">
        <v>6131</v>
      </c>
      <c r="H1128" t="s">
        <v>9159</v>
      </c>
      <c r="I1128" t="s">
        <v>9160</v>
      </c>
      <c r="J1128" t="s">
        <v>9077</v>
      </c>
      <c r="K1128" t="s">
        <v>9078</v>
      </c>
      <c r="L1128" t="s">
        <v>9079</v>
      </c>
    </row>
    <row r="1129" spans="1:13" x14ac:dyDescent="0.25">
      <c r="A1129" t="s">
        <v>5766</v>
      </c>
      <c r="B1129" t="s">
        <v>3557</v>
      </c>
      <c r="C1129" s="1" t="s">
        <v>3595</v>
      </c>
      <c r="D1129" s="1" t="s">
        <v>9161</v>
      </c>
      <c r="E1129" t="s">
        <v>3596</v>
      </c>
      <c r="F1129" t="s">
        <v>9162</v>
      </c>
      <c r="G1129" t="s">
        <v>9163</v>
      </c>
      <c r="H1129" t="s">
        <v>9164</v>
      </c>
      <c r="I1129" t="s">
        <v>8390</v>
      </c>
      <c r="J1129" t="s">
        <v>9077</v>
      </c>
      <c r="K1129" t="s">
        <v>9078</v>
      </c>
      <c r="L1129" t="s">
        <v>9079</v>
      </c>
    </row>
    <row r="1130" spans="1:13" x14ac:dyDescent="0.25">
      <c r="A1130" t="s">
        <v>5766</v>
      </c>
      <c r="B1130" t="s">
        <v>3557</v>
      </c>
      <c r="C1130" s="1" t="s">
        <v>3598</v>
      </c>
      <c r="D1130" s="1" t="s">
        <v>9165</v>
      </c>
      <c r="E1130" t="s">
        <v>3599</v>
      </c>
      <c r="F1130" t="s">
        <v>9166</v>
      </c>
      <c r="G1130" t="s">
        <v>9167</v>
      </c>
      <c r="H1130" t="s">
        <v>9168</v>
      </c>
      <c r="I1130" t="s">
        <v>5821</v>
      </c>
      <c r="J1130" t="s">
        <v>9077</v>
      </c>
      <c r="K1130" t="s">
        <v>9078</v>
      </c>
      <c r="L1130" t="s">
        <v>9079</v>
      </c>
    </row>
    <row r="1131" spans="1:13" x14ac:dyDescent="0.25">
      <c r="A1131" t="s">
        <v>5766</v>
      </c>
      <c r="B1131" t="s">
        <v>3557</v>
      </c>
      <c r="C1131" s="1" t="s">
        <v>3601</v>
      </c>
      <c r="D1131" s="1" t="s">
        <v>9169</v>
      </c>
      <c r="E1131" t="s">
        <v>3602</v>
      </c>
      <c r="F1131" t="s">
        <v>9170</v>
      </c>
      <c r="G1131" t="s">
        <v>9171</v>
      </c>
      <c r="H1131" t="s">
        <v>9172</v>
      </c>
      <c r="I1131" t="s">
        <v>5910</v>
      </c>
      <c r="J1131" t="s">
        <v>9077</v>
      </c>
      <c r="K1131" t="s">
        <v>9078</v>
      </c>
      <c r="L1131" t="s">
        <v>9079</v>
      </c>
    </row>
    <row r="1132" spans="1:13" x14ac:dyDescent="0.25">
      <c r="A1132" t="s">
        <v>5766</v>
      </c>
      <c r="B1132" t="s">
        <v>3557</v>
      </c>
      <c r="C1132" s="1" t="s">
        <v>314</v>
      </c>
      <c r="D1132" s="1" t="s">
        <v>6138</v>
      </c>
      <c r="E1132" t="s">
        <v>315</v>
      </c>
      <c r="F1132" t="s">
        <v>9173</v>
      </c>
      <c r="G1132" t="s">
        <v>6139</v>
      </c>
      <c r="H1132" t="s">
        <v>9174</v>
      </c>
      <c r="I1132" t="s">
        <v>5938</v>
      </c>
      <c r="J1132" t="s">
        <v>9077</v>
      </c>
      <c r="K1132" t="s">
        <v>9078</v>
      </c>
      <c r="L1132" t="s">
        <v>9079</v>
      </c>
    </row>
    <row r="1133" spans="1:13" x14ac:dyDescent="0.25">
      <c r="A1133" t="s">
        <v>5766</v>
      </c>
      <c r="B1133" t="s">
        <v>3557</v>
      </c>
      <c r="C1133" s="1" t="s">
        <v>3604</v>
      </c>
      <c r="D1133" s="1" t="s">
        <v>9175</v>
      </c>
      <c r="E1133" t="s">
        <v>3605</v>
      </c>
      <c r="F1133" t="s">
        <v>9176</v>
      </c>
      <c r="G1133" t="s">
        <v>9177</v>
      </c>
      <c r="H1133" t="s">
        <v>9178</v>
      </c>
      <c r="I1133" t="s">
        <v>7478</v>
      </c>
      <c r="J1133" t="s">
        <v>9077</v>
      </c>
      <c r="K1133" t="s">
        <v>9078</v>
      </c>
      <c r="L1133" t="s">
        <v>9079</v>
      </c>
    </row>
    <row r="1134" spans="1:13" x14ac:dyDescent="0.25">
      <c r="A1134" t="s">
        <v>5766</v>
      </c>
      <c r="B1134" t="s">
        <v>3557</v>
      </c>
      <c r="C1134" s="1" t="s">
        <v>323</v>
      </c>
      <c r="D1134" s="1" t="s">
        <v>2676</v>
      </c>
      <c r="E1134" t="s">
        <v>324</v>
      </c>
      <c r="F1134" t="s">
        <v>9179</v>
      </c>
      <c r="G1134" t="s">
        <v>6151</v>
      </c>
      <c r="H1134" t="s">
        <v>9180</v>
      </c>
      <c r="I1134" t="s">
        <v>9181</v>
      </c>
      <c r="J1134" t="s">
        <v>9077</v>
      </c>
      <c r="K1134" t="s">
        <v>9078</v>
      </c>
      <c r="L1134" t="s">
        <v>9079</v>
      </c>
    </row>
    <row r="1135" spans="1:13" x14ac:dyDescent="0.25">
      <c r="A1135" t="s">
        <v>5766</v>
      </c>
      <c r="B1135" t="s">
        <v>3557</v>
      </c>
      <c r="C1135" s="1" t="s">
        <v>3607</v>
      </c>
      <c r="D1135" s="1" t="s">
        <v>9182</v>
      </c>
      <c r="E1135" t="s">
        <v>3608</v>
      </c>
      <c r="F1135" t="s">
        <v>9183</v>
      </c>
      <c r="G1135" t="s">
        <v>9184</v>
      </c>
      <c r="H1135" t="s">
        <v>9185</v>
      </c>
      <c r="I1135" t="s">
        <v>6743</v>
      </c>
      <c r="J1135" t="s">
        <v>9077</v>
      </c>
      <c r="K1135" t="s">
        <v>9078</v>
      </c>
      <c r="L1135" t="s">
        <v>9079</v>
      </c>
    </row>
    <row r="1136" spans="1:13" x14ac:dyDescent="0.25">
      <c r="A1136" t="s">
        <v>5766</v>
      </c>
      <c r="B1136" t="s">
        <v>3557</v>
      </c>
      <c r="C1136" s="1" t="s">
        <v>3610</v>
      </c>
      <c r="D1136" s="1" t="s">
        <v>9186</v>
      </c>
      <c r="E1136" t="s">
        <v>3611</v>
      </c>
      <c r="F1136" t="s">
        <v>9187</v>
      </c>
      <c r="G1136" t="s">
        <v>9188</v>
      </c>
      <c r="H1136" t="s">
        <v>9189</v>
      </c>
      <c r="I1136" t="s">
        <v>7003</v>
      </c>
      <c r="J1136" t="s">
        <v>9077</v>
      </c>
      <c r="K1136" t="s">
        <v>9078</v>
      </c>
      <c r="L1136" t="s">
        <v>9079</v>
      </c>
    </row>
    <row r="1137" spans="1:12" x14ac:dyDescent="0.25">
      <c r="A1137" t="s">
        <v>5766</v>
      </c>
      <c r="B1137" t="s">
        <v>3557</v>
      </c>
      <c r="C1137" s="1" t="s">
        <v>3537</v>
      </c>
      <c r="D1137" s="1" t="s">
        <v>9034</v>
      </c>
      <c r="E1137" t="s">
        <v>3538</v>
      </c>
      <c r="F1137" t="s">
        <v>9190</v>
      </c>
      <c r="G1137" t="s">
        <v>9036</v>
      </c>
      <c r="H1137" t="s">
        <v>9191</v>
      </c>
      <c r="I1137" t="s">
        <v>5905</v>
      </c>
      <c r="J1137" t="s">
        <v>9077</v>
      </c>
      <c r="K1137" t="s">
        <v>9078</v>
      </c>
      <c r="L1137" t="s">
        <v>9079</v>
      </c>
    </row>
    <row r="1138" spans="1:12" x14ac:dyDescent="0.25">
      <c r="A1138" t="s">
        <v>5766</v>
      </c>
      <c r="B1138" t="s">
        <v>3557</v>
      </c>
      <c r="C1138" s="1" t="s">
        <v>335</v>
      </c>
      <c r="D1138" s="1" t="s">
        <v>6166</v>
      </c>
      <c r="E1138" t="s">
        <v>336</v>
      </c>
      <c r="F1138" t="s">
        <v>9192</v>
      </c>
      <c r="G1138" t="s">
        <v>6167</v>
      </c>
      <c r="H1138" t="s">
        <v>9193</v>
      </c>
      <c r="I1138" t="s">
        <v>6238</v>
      </c>
      <c r="J1138" t="s">
        <v>9077</v>
      </c>
      <c r="K1138" t="s">
        <v>9078</v>
      </c>
      <c r="L1138" t="s">
        <v>9079</v>
      </c>
    </row>
    <row r="1139" spans="1:12" x14ac:dyDescent="0.25">
      <c r="A1139" t="s">
        <v>5766</v>
      </c>
      <c r="B1139" t="s">
        <v>3557</v>
      </c>
      <c r="C1139" s="1" t="s">
        <v>338</v>
      </c>
      <c r="D1139" s="1" t="s">
        <v>6170</v>
      </c>
      <c r="E1139" t="s">
        <v>339</v>
      </c>
      <c r="F1139" t="s">
        <v>9194</v>
      </c>
      <c r="G1139" t="s">
        <v>6171</v>
      </c>
      <c r="H1139" t="s">
        <v>9195</v>
      </c>
      <c r="I1139" t="s">
        <v>6954</v>
      </c>
      <c r="J1139" t="s">
        <v>9077</v>
      </c>
      <c r="K1139" t="s">
        <v>9078</v>
      </c>
      <c r="L1139" t="s">
        <v>9079</v>
      </c>
    </row>
    <row r="1140" spans="1:12" x14ac:dyDescent="0.25">
      <c r="A1140" t="s">
        <v>5766</v>
      </c>
      <c r="B1140" t="s">
        <v>3557</v>
      </c>
      <c r="C1140" s="1" t="s">
        <v>3613</v>
      </c>
      <c r="D1140" s="1" t="s">
        <v>9196</v>
      </c>
      <c r="E1140" t="s">
        <v>3614</v>
      </c>
      <c r="F1140" t="s">
        <v>9197</v>
      </c>
      <c r="G1140" t="s">
        <v>9198</v>
      </c>
      <c r="H1140" t="s">
        <v>9199</v>
      </c>
      <c r="I1140" t="s">
        <v>6321</v>
      </c>
      <c r="J1140" t="s">
        <v>9077</v>
      </c>
      <c r="K1140" t="s">
        <v>9078</v>
      </c>
      <c r="L1140" t="s">
        <v>9079</v>
      </c>
    </row>
    <row r="1141" spans="1:12" x14ac:dyDescent="0.25">
      <c r="A1141" t="s">
        <v>5766</v>
      </c>
      <c r="B1141" t="s">
        <v>3557</v>
      </c>
      <c r="C1141" s="1" t="s">
        <v>3154</v>
      </c>
      <c r="D1141" s="1" t="s">
        <v>8504</v>
      </c>
      <c r="E1141" t="s">
        <v>3155</v>
      </c>
      <c r="F1141" t="s">
        <v>9200</v>
      </c>
      <c r="G1141" t="s">
        <v>8506</v>
      </c>
      <c r="H1141" t="s">
        <v>9201</v>
      </c>
      <c r="I1141" t="s">
        <v>7478</v>
      </c>
      <c r="J1141" t="s">
        <v>9077</v>
      </c>
      <c r="K1141" t="s">
        <v>9078</v>
      </c>
      <c r="L1141" t="s">
        <v>9079</v>
      </c>
    </row>
    <row r="1142" spans="1:12" x14ac:dyDescent="0.25">
      <c r="A1142" t="s">
        <v>5766</v>
      </c>
      <c r="B1142" t="s">
        <v>3557</v>
      </c>
      <c r="C1142" s="1" t="s">
        <v>3616</v>
      </c>
      <c r="D1142" s="1" t="s">
        <v>9202</v>
      </c>
      <c r="E1142" t="s">
        <v>3617</v>
      </c>
      <c r="F1142" t="s">
        <v>9203</v>
      </c>
      <c r="G1142" t="s">
        <v>9204</v>
      </c>
      <c r="H1142" t="s">
        <v>9205</v>
      </c>
      <c r="I1142" t="s">
        <v>8597</v>
      </c>
      <c r="J1142" t="s">
        <v>9077</v>
      </c>
      <c r="K1142" t="s">
        <v>9078</v>
      </c>
      <c r="L1142" t="s">
        <v>9079</v>
      </c>
    </row>
    <row r="1143" spans="1:12" x14ac:dyDescent="0.25">
      <c r="A1143" t="s">
        <v>5766</v>
      </c>
      <c r="B1143" t="s">
        <v>3557</v>
      </c>
      <c r="C1143" s="1" t="s">
        <v>350</v>
      </c>
      <c r="D1143" s="1" t="s">
        <v>6185</v>
      </c>
      <c r="E1143" t="s">
        <v>351</v>
      </c>
      <c r="F1143" t="s">
        <v>9206</v>
      </c>
      <c r="G1143" t="s">
        <v>6186</v>
      </c>
      <c r="H1143" t="s">
        <v>9207</v>
      </c>
      <c r="I1143" t="s">
        <v>9152</v>
      </c>
      <c r="J1143" t="s">
        <v>9077</v>
      </c>
      <c r="K1143" t="s">
        <v>9078</v>
      </c>
      <c r="L1143" t="s">
        <v>9079</v>
      </c>
    </row>
    <row r="1144" spans="1:12" x14ac:dyDescent="0.25">
      <c r="A1144" t="s">
        <v>5766</v>
      </c>
      <c r="B1144" t="s">
        <v>3557</v>
      </c>
      <c r="C1144" s="1" t="s">
        <v>3619</v>
      </c>
      <c r="D1144" s="1" t="s">
        <v>9208</v>
      </c>
      <c r="E1144" t="s">
        <v>3621</v>
      </c>
      <c r="F1144" t="s">
        <v>9209</v>
      </c>
      <c r="G1144" t="s">
        <v>9210</v>
      </c>
      <c r="H1144" t="s">
        <v>9211</v>
      </c>
      <c r="I1144" t="s">
        <v>6137</v>
      </c>
      <c r="J1144" t="s">
        <v>9077</v>
      </c>
      <c r="K1144" t="s">
        <v>9078</v>
      </c>
      <c r="L1144" t="s">
        <v>9079</v>
      </c>
    </row>
    <row r="1145" spans="1:12" x14ac:dyDescent="0.25">
      <c r="A1145" t="s">
        <v>5766</v>
      </c>
      <c r="B1145" t="s">
        <v>3557</v>
      </c>
      <c r="C1145" s="1" t="s">
        <v>3623</v>
      </c>
      <c r="D1145" s="1" t="s">
        <v>9212</v>
      </c>
      <c r="E1145" t="s">
        <v>3624</v>
      </c>
      <c r="F1145" t="s">
        <v>9213</v>
      </c>
      <c r="G1145" t="s">
        <v>9214</v>
      </c>
      <c r="H1145" t="s">
        <v>9215</v>
      </c>
      <c r="I1145" t="s">
        <v>7856</v>
      </c>
      <c r="J1145" t="s">
        <v>9077</v>
      </c>
      <c r="K1145" t="s">
        <v>9078</v>
      </c>
      <c r="L1145" t="s">
        <v>9079</v>
      </c>
    </row>
    <row r="1146" spans="1:12" x14ac:dyDescent="0.25">
      <c r="A1146" t="s">
        <v>5766</v>
      </c>
      <c r="B1146" t="s">
        <v>3557</v>
      </c>
      <c r="C1146" s="1" t="s">
        <v>754</v>
      </c>
      <c r="D1146" s="1" t="s">
        <v>2683</v>
      </c>
      <c r="E1146" t="s">
        <v>755</v>
      </c>
      <c r="F1146" t="s">
        <v>9216</v>
      </c>
      <c r="G1146" t="s">
        <v>6809</v>
      </c>
      <c r="H1146" t="s">
        <v>9217</v>
      </c>
      <c r="I1146" t="s">
        <v>9218</v>
      </c>
      <c r="J1146" t="s">
        <v>9077</v>
      </c>
      <c r="K1146" t="s">
        <v>9078</v>
      </c>
      <c r="L1146" t="s">
        <v>9079</v>
      </c>
    </row>
    <row r="1147" spans="1:12" x14ac:dyDescent="0.25">
      <c r="A1147" t="s">
        <v>5766</v>
      </c>
      <c r="B1147" t="s">
        <v>3557</v>
      </c>
      <c r="C1147" s="1" t="s">
        <v>3626</v>
      </c>
      <c r="D1147" s="1" t="s">
        <v>9219</v>
      </c>
      <c r="E1147" t="s">
        <v>3627</v>
      </c>
      <c r="F1147" t="s">
        <v>9220</v>
      </c>
      <c r="G1147" t="s">
        <v>9221</v>
      </c>
      <c r="H1147" t="s">
        <v>9222</v>
      </c>
      <c r="I1147" t="s">
        <v>6934</v>
      </c>
      <c r="J1147" t="s">
        <v>9077</v>
      </c>
      <c r="K1147" t="s">
        <v>9078</v>
      </c>
      <c r="L1147" t="s">
        <v>9079</v>
      </c>
    </row>
    <row r="1148" spans="1:12" x14ac:dyDescent="0.25">
      <c r="A1148" t="s">
        <v>5766</v>
      </c>
      <c r="B1148" t="s">
        <v>3557</v>
      </c>
      <c r="C1148" s="1" t="s">
        <v>372</v>
      </c>
      <c r="D1148" s="1" t="s">
        <v>6213</v>
      </c>
      <c r="E1148" t="s">
        <v>373</v>
      </c>
      <c r="F1148" t="s">
        <v>9223</v>
      </c>
      <c r="G1148" t="s">
        <v>6214</v>
      </c>
      <c r="H1148" t="s">
        <v>9224</v>
      </c>
      <c r="I1148" t="s">
        <v>7093</v>
      </c>
      <c r="J1148" t="s">
        <v>9077</v>
      </c>
      <c r="K1148" t="s">
        <v>9078</v>
      </c>
      <c r="L1148" t="s">
        <v>9079</v>
      </c>
    </row>
    <row r="1149" spans="1:12" x14ac:dyDescent="0.25">
      <c r="A1149" t="s">
        <v>5766</v>
      </c>
      <c r="B1149" t="s">
        <v>3557</v>
      </c>
      <c r="C1149" s="1" t="s">
        <v>3629</v>
      </c>
      <c r="D1149" s="1" t="s">
        <v>9225</v>
      </c>
      <c r="E1149" t="s">
        <v>3630</v>
      </c>
      <c r="F1149" t="s">
        <v>9226</v>
      </c>
      <c r="G1149" t="s">
        <v>9227</v>
      </c>
      <c r="H1149" t="s">
        <v>9228</v>
      </c>
      <c r="I1149" t="s">
        <v>6157</v>
      </c>
      <c r="J1149" t="s">
        <v>9077</v>
      </c>
      <c r="K1149" t="s">
        <v>9078</v>
      </c>
      <c r="L1149" t="s">
        <v>9079</v>
      </c>
    </row>
    <row r="1150" spans="1:12" x14ac:dyDescent="0.25">
      <c r="A1150" t="s">
        <v>5766</v>
      </c>
      <c r="B1150" t="s">
        <v>3557</v>
      </c>
      <c r="C1150" s="1" t="s">
        <v>375</v>
      </c>
      <c r="D1150" s="1" t="s">
        <v>6216</v>
      </c>
      <c r="E1150" t="s">
        <v>376</v>
      </c>
      <c r="F1150" t="s">
        <v>9229</v>
      </c>
      <c r="G1150" t="s">
        <v>6217</v>
      </c>
      <c r="H1150" t="s">
        <v>9230</v>
      </c>
      <c r="I1150" t="s">
        <v>6920</v>
      </c>
      <c r="J1150" t="s">
        <v>9077</v>
      </c>
      <c r="K1150" t="s">
        <v>9078</v>
      </c>
      <c r="L1150" t="s">
        <v>9079</v>
      </c>
    </row>
    <row r="1151" spans="1:12" x14ac:dyDescent="0.25">
      <c r="A1151" t="s">
        <v>5766</v>
      </c>
      <c r="B1151" t="s">
        <v>3557</v>
      </c>
      <c r="C1151" s="1" t="s">
        <v>387</v>
      </c>
      <c r="D1151" s="1" t="s">
        <v>6230</v>
      </c>
      <c r="E1151" t="s">
        <v>388</v>
      </c>
      <c r="F1151" t="s">
        <v>9231</v>
      </c>
      <c r="G1151" t="s">
        <v>6232</v>
      </c>
      <c r="H1151" t="s">
        <v>9232</v>
      </c>
      <c r="I1151" t="s">
        <v>6192</v>
      </c>
      <c r="J1151" t="s">
        <v>9077</v>
      </c>
      <c r="K1151" t="s">
        <v>9078</v>
      </c>
      <c r="L1151" t="s">
        <v>9079</v>
      </c>
    </row>
    <row r="1152" spans="1:12" x14ac:dyDescent="0.25">
      <c r="A1152" t="s">
        <v>5766</v>
      </c>
      <c r="B1152" t="s">
        <v>3557</v>
      </c>
      <c r="C1152" s="1" t="s">
        <v>390</v>
      </c>
      <c r="D1152" s="1" t="s">
        <v>6235</v>
      </c>
      <c r="E1152" t="s">
        <v>391</v>
      </c>
      <c r="F1152" t="s">
        <v>9233</v>
      </c>
      <c r="G1152" t="s">
        <v>6236</v>
      </c>
      <c r="H1152" t="s">
        <v>9234</v>
      </c>
      <c r="I1152" t="s">
        <v>6954</v>
      </c>
      <c r="J1152" t="s">
        <v>9077</v>
      </c>
      <c r="K1152" t="s">
        <v>9078</v>
      </c>
      <c r="L1152" t="s">
        <v>9079</v>
      </c>
    </row>
    <row r="1153" spans="1:13" x14ac:dyDescent="0.25">
      <c r="A1153" t="s">
        <v>5766</v>
      </c>
      <c r="B1153" t="s">
        <v>3557</v>
      </c>
      <c r="C1153" s="1" t="s">
        <v>52</v>
      </c>
      <c r="D1153" s="1" t="s">
        <v>52</v>
      </c>
      <c r="E1153" t="s">
        <v>5767</v>
      </c>
      <c r="F1153" t="s">
        <v>9235</v>
      </c>
      <c r="G1153" t="s">
        <v>5769</v>
      </c>
      <c r="H1153" t="s">
        <v>9236</v>
      </c>
      <c r="I1153" t="s">
        <v>6396</v>
      </c>
      <c r="J1153" t="s">
        <v>9077</v>
      </c>
      <c r="K1153" t="s">
        <v>9078</v>
      </c>
      <c r="L1153" t="s">
        <v>9079</v>
      </c>
      <c r="M1153" t="s">
        <v>65</v>
      </c>
    </row>
    <row r="1154" spans="1:13" x14ac:dyDescent="0.25">
      <c r="A1154" t="s">
        <v>5766</v>
      </c>
      <c r="B1154" t="s">
        <v>3631</v>
      </c>
      <c r="C1154" s="1" t="s">
        <v>3633</v>
      </c>
      <c r="D1154" s="1" t="s">
        <v>3633</v>
      </c>
      <c r="E1154" t="s">
        <v>3634</v>
      </c>
      <c r="F1154" t="s">
        <v>9237</v>
      </c>
      <c r="G1154" t="s">
        <v>9238</v>
      </c>
      <c r="H1154" t="s">
        <v>3636</v>
      </c>
      <c r="I1154" t="s">
        <v>9239</v>
      </c>
      <c r="J1154" t="s">
        <v>9240</v>
      </c>
      <c r="K1154" t="s">
        <v>9241</v>
      </c>
      <c r="L1154" t="s">
        <v>9242</v>
      </c>
    </row>
    <row r="1155" spans="1:13" x14ac:dyDescent="0.25">
      <c r="A1155" t="s">
        <v>5766</v>
      </c>
      <c r="B1155" t="s">
        <v>3631</v>
      </c>
      <c r="C1155" s="1" t="s">
        <v>78</v>
      </c>
      <c r="D1155" s="1" t="s">
        <v>5780</v>
      </c>
      <c r="E1155" t="s">
        <v>5781</v>
      </c>
      <c r="F1155" t="s">
        <v>9243</v>
      </c>
      <c r="G1155" t="s">
        <v>5783</v>
      </c>
      <c r="H1155" t="s">
        <v>9244</v>
      </c>
      <c r="I1155" t="s">
        <v>9245</v>
      </c>
      <c r="J1155" t="s">
        <v>9240</v>
      </c>
      <c r="K1155" t="s">
        <v>9241</v>
      </c>
      <c r="L1155" t="s">
        <v>9242</v>
      </c>
      <c r="M1155" t="s">
        <v>65</v>
      </c>
    </row>
    <row r="1156" spans="1:13" x14ac:dyDescent="0.25">
      <c r="A1156" t="s">
        <v>5766</v>
      </c>
      <c r="B1156" t="s">
        <v>3631</v>
      </c>
      <c r="C1156" s="1" t="s">
        <v>52</v>
      </c>
      <c r="D1156" s="1" t="s">
        <v>52</v>
      </c>
      <c r="E1156" t="s">
        <v>5767</v>
      </c>
      <c r="F1156" t="s">
        <v>9246</v>
      </c>
      <c r="G1156" t="s">
        <v>5769</v>
      </c>
      <c r="H1156" t="s">
        <v>9247</v>
      </c>
      <c r="I1156" t="s">
        <v>9248</v>
      </c>
      <c r="J1156" t="s">
        <v>9240</v>
      </c>
      <c r="K1156" t="s">
        <v>9241</v>
      </c>
      <c r="L1156" t="s">
        <v>9242</v>
      </c>
      <c r="M1156" t="s">
        <v>65</v>
      </c>
    </row>
    <row r="1157" spans="1:13" x14ac:dyDescent="0.25">
      <c r="A1157" t="s">
        <v>5766</v>
      </c>
      <c r="B1157" t="s">
        <v>3640</v>
      </c>
      <c r="C1157" s="1" t="s">
        <v>3642</v>
      </c>
      <c r="D1157" s="1" t="s">
        <v>9249</v>
      </c>
      <c r="E1157" t="s">
        <v>3643</v>
      </c>
      <c r="F1157" t="s">
        <v>9250</v>
      </c>
      <c r="G1157" t="s">
        <v>9251</v>
      </c>
      <c r="H1157" t="s">
        <v>9252</v>
      </c>
      <c r="I1157" t="s">
        <v>8709</v>
      </c>
      <c r="J1157" t="s">
        <v>9253</v>
      </c>
      <c r="K1157" t="s">
        <v>9254</v>
      </c>
      <c r="L1157" t="s">
        <v>9255</v>
      </c>
    </row>
    <row r="1158" spans="1:13" x14ac:dyDescent="0.25">
      <c r="A1158" t="s">
        <v>5766</v>
      </c>
      <c r="B1158" t="s">
        <v>3640</v>
      </c>
      <c r="C1158" s="1" t="s">
        <v>3645</v>
      </c>
      <c r="D1158" s="1" t="s">
        <v>9256</v>
      </c>
      <c r="E1158" t="s">
        <v>3646</v>
      </c>
      <c r="F1158" t="s">
        <v>9257</v>
      </c>
      <c r="G1158" t="s">
        <v>9258</v>
      </c>
      <c r="H1158" t="s">
        <v>9259</v>
      </c>
      <c r="I1158" t="s">
        <v>6566</v>
      </c>
      <c r="J1158" t="s">
        <v>9253</v>
      </c>
      <c r="K1158" t="s">
        <v>9254</v>
      </c>
      <c r="L1158" t="s">
        <v>9255</v>
      </c>
    </row>
    <row r="1159" spans="1:13" x14ac:dyDescent="0.25">
      <c r="A1159" t="s">
        <v>5766</v>
      </c>
      <c r="B1159" t="s">
        <v>3640</v>
      </c>
      <c r="C1159" s="1" t="s">
        <v>3648</v>
      </c>
      <c r="D1159" s="1" t="s">
        <v>9260</v>
      </c>
      <c r="E1159" t="s">
        <v>3649</v>
      </c>
      <c r="F1159" t="s">
        <v>9261</v>
      </c>
      <c r="G1159" t="s">
        <v>9262</v>
      </c>
      <c r="H1159" t="s">
        <v>9263</v>
      </c>
      <c r="I1159" t="s">
        <v>5841</v>
      </c>
      <c r="J1159" t="s">
        <v>9253</v>
      </c>
      <c r="K1159" t="s">
        <v>9254</v>
      </c>
      <c r="L1159" t="s">
        <v>9255</v>
      </c>
    </row>
    <row r="1160" spans="1:13" x14ac:dyDescent="0.25">
      <c r="A1160" t="s">
        <v>5766</v>
      </c>
      <c r="B1160" t="s">
        <v>3640</v>
      </c>
      <c r="C1160" s="1" t="s">
        <v>713</v>
      </c>
      <c r="D1160" s="1" t="s">
        <v>6734</v>
      </c>
      <c r="E1160" t="s">
        <v>714</v>
      </c>
      <c r="F1160" t="s">
        <v>9264</v>
      </c>
      <c r="G1160" t="s">
        <v>6736</v>
      </c>
      <c r="H1160" t="s">
        <v>9265</v>
      </c>
      <c r="I1160" t="s">
        <v>9266</v>
      </c>
      <c r="J1160" t="s">
        <v>9253</v>
      </c>
      <c r="K1160" t="s">
        <v>9254</v>
      </c>
      <c r="L1160" t="s">
        <v>9255</v>
      </c>
    </row>
    <row r="1161" spans="1:13" x14ac:dyDescent="0.25">
      <c r="A1161" t="s">
        <v>5766</v>
      </c>
      <c r="B1161" t="s">
        <v>3640</v>
      </c>
      <c r="C1161" s="1" t="s">
        <v>3651</v>
      </c>
      <c r="D1161" s="1" t="s">
        <v>9267</v>
      </c>
      <c r="E1161" t="s">
        <v>3652</v>
      </c>
      <c r="F1161" t="s">
        <v>9268</v>
      </c>
      <c r="G1161" t="s">
        <v>9269</v>
      </c>
      <c r="H1161" t="s">
        <v>9270</v>
      </c>
      <c r="I1161" t="s">
        <v>8157</v>
      </c>
      <c r="J1161" t="s">
        <v>9253</v>
      </c>
      <c r="K1161" t="s">
        <v>9254</v>
      </c>
      <c r="L1161" t="s">
        <v>9255</v>
      </c>
    </row>
    <row r="1162" spans="1:13" x14ac:dyDescent="0.25">
      <c r="A1162" t="s">
        <v>5766</v>
      </c>
      <c r="B1162" t="s">
        <v>3640</v>
      </c>
      <c r="C1162" s="1" t="s">
        <v>3195</v>
      </c>
      <c r="D1162" s="1" t="s">
        <v>8566</v>
      </c>
      <c r="E1162" t="s">
        <v>3196</v>
      </c>
      <c r="F1162" t="s">
        <v>9271</v>
      </c>
      <c r="G1162" t="s">
        <v>8567</v>
      </c>
      <c r="H1162" t="s">
        <v>9272</v>
      </c>
      <c r="I1162" t="s">
        <v>8134</v>
      </c>
      <c r="J1162" t="s">
        <v>9253</v>
      </c>
      <c r="K1162" t="s">
        <v>9254</v>
      </c>
      <c r="L1162" t="s">
        <v>9255</v>
      </c>
    </row>
    <row r="1163" spans="1:13" x14ac:dyDescent="0.25">
      <c r="A1163" t="s">
        <v>5766</v>
      </c>
      <c r="B1163" t="s">
        <v>3640</v>
      </c>
      <c r="C1163" s="1" t="s">
        <v>3654</v>
      </c>
      <c r="D1163" s="1" t="s">
        <v>9273</v>
      </c>
      <c r="E1163" t="s">
        <v>3655</v>
      </c>
      <c r="F1163" t="s">
        <v>9274</v>
      </c>
      <c r="G1163" t="s">
        <v>9275</v>
      </c>
      <c r="H1163" t="s">
        <v>9276</v>
      </c>
      <c r="I1163" t="s">
        <v>5854</v>
      </c>
      <c r="J1163" t="s">
        <v>9253</v>
      </c>
      <c r="K1163" t="s">
        <v>9254</v>
      </c>
      <c r="L1163" t="s">
        <v>9255</v>
      </c>
    </row>
    <row r="1164" spans="1:13" x14ac:dyDescent="0.25">
      <c r="A1164" t="s">
        <v>5766</v>
      </c>
      <c r="B1164" t="s">
        <v>3640</v>
      </c>
      <c r="C1164" s="1" t="s">
        <v>3657</v>
      </c>
      <c r="D1164" s="1" t="s">
        <v>9277</v>
      </c>
      <c r="E1164" t="s">
        <v>3658</v>
      </c>
      <c r="F1164" t="s">
        <v>9278</v>
      </c>
      <c r="G1164" t="s">
        <v>9279</v>
      </c>
      <c r="H1164" t="s">
        <v>9280</v>
      </c>
      <c r="I1164" t="s">
        <v>7447</v>
      </c>
      <c r="J1164" t="s">
        <v>9253</v>
      </c>
      <c r="K1164" t="s">
        <v>9254</v>
      </c>
      <c r="L1164" t="s">
        <v>9255</v>
      </c>
    </row>
    <row r="1165" spans="1:13" x14ac:dyDescent="0.25">
      <c r="A1165" t="s">
        <v>5766</v>
      </c>
      <c r="B1165" t="s">
        <v>3640</v>
      </c>
      <c r="C1165" s="1" t="s">
        <v>3660</v>
      </c>
      <c r="D1165" s="1" t="s">
        <v>9281</v>
      </c>
      <c r="E1165" t="s">
        <v>3661</v>
      </c>
      <c r="F1165" t="s">
        <v>9282</v>
      </c>
      <c r="G1165" t="s">
        <v>9283</v>
      </c>
      <c r="H1165" t="s">
        <v>9284</v>
      </c>
      <c r="I1165" t="s">
        <v>8425</v>
      </c>
      <c r="J1165" t="s">
        <v>9253</v>
      </c>
      <c r="K1165" t="s">
        <v>9254</v>
      </c>
      <c r="L1165" t="s">
        <v>9255</v>
      </c>
    </row>
    <row r="1166" spans="1:13" x14ac:dyDescent="0.25">
      <c r="A1166" t="s">
        <v>5766</v>
      </c>
      <c r="B1166" t="s">
        <v>3640</v>
      </c>
      <c r="C1166" s="1" t="s">
        <v>78</v>
      </c>
      <c r="D1166" s="1" t="s">
        <v>5780</v>
      </c>
      <c r="E1166" t="s">
        <v>5781</v>
      </c>
      <c r="F1166" t="s">
        <v>9285</v>
      </c>
      <c r="G1166" t="s">
        <v>5783</v>
      </c>
      <c r="H1166" t="s">
        <v>9286</v>
      </c>
      <c r="I1166" t="s">
        <v>9287</v>
      </c>
      <c r="J1166" t="s">
        <v>9253</v>
      </c>
      <c r="K1166" t="s">
        <v>9254</v>
      </c>
      <c r="L1166" t="s">
        <v>9255</v>
      </c>
      <c r="M1166" t="s">
        <v>65</v>
      </c>
    </row>
    <row r="1167" spans="1:13" x14ac:dyDescent="0.25">
      <c r="A1167" t="s">
        <v>5766</v>
      </c>
      <c r="B1167" t="s">
        <v>3640</v>
      </c>
      <c r="C1167" s="1" t="s">
        <v>3663</v>
      </c>
      <c r="D1167" s="1" t="s">
        <v>9288</v>
      </c>
      <c r="E1167" t="s">
        <v>3664</v>
      </c>
      <c r="F1167" t="s">
        <v>9289</v>
      </c>
      <c r="G1167" t="s">
        <v>9290</v>
      </c>
      <c r="H1167" t="s">
        <v>9291</v>
      </c>
      <c r="I1167" t="s">
        <v>9292</v>
      </c>
      <c r="J1167" t="s">
        <v>9253</v>
      </c>
      <c r="K1167" t="s">
        <v>9254</v>
      </c>
      <c r="L1167" t="s">
        <v>9255</v>
      </c>
    </row>
    <row r="1168" spans="1:13" x14ac:dyDescent="0.25">
      <c r="A1168" t="s">
        <v>5766</v>
      </c>
      <c r="B1168" t="s">
        <v>3640</v>
      </c>
      <c r="C1168" s="1" t="s">
        <v>3666</v>
      </c>
      <c r="D1168" s="1" t="s">
        <v>9293</v>
      </c>
      <c r="E1168" t="s">
        <v>3667</v>
      </c>
      <c r="F1168" t="s">
        <v>9294</v>
      </c>
      <c r="G1168" t="s">
        <v>9295</v>
      </c>
      <c r="H1168" t="s">
        <v>9296</v>
      </c>
      <c r="I1168" t="s">
        <v>6357</v>
      </c>
      <c r="J1168" t="s">
        <v>9253</v>
      </c>
      <c r="K1168" t="s">
        <v>9254</v>
      </c>
      <c r="L1168" t="s">
        <v>9255</v>
      </c>
    </row>
    <row r="1169" spans="1:13" x14ac:dyDescent="0.25">
      <c r="A1169" t="s">
        <v>5766</v>
      </c>
      <c r="B1169" t="s">
        <v>3640</v>
      </c>
      <c r="C1169" s="1" t="s">
        <v>3669</v>
      </c>
      <c r="D1169" s="1" t="s">
        <v>9297</v>
      </c>
      <c r="E1169" t="s">
        <v>3670</v>
      </c>
      <c r="F1169" t="s">
        <v>9298</v>
      </c>
      <c r="G1169" t="s">
        <v>9299</v>
      </c>
      <c r="H1169" t="s">
        <v>9300</v>
      </c>
      <c r="I1169" t="s">
        <v>9301</v>
      </c>
      <c r="J1169" t="s">
        <v>9253</v>
      </c>
      <c r="K1169" t="s">
        <v>9254</v>
      </c>
      <c r="L1169" t="s">
        <v>9255</v>
      </c>
    </row>
    <row r="1170" spans="1:13" x14ac:dyDescent="0.25">
      <c r="A1170" t="s">
        <v>5766</v>
      </c>
      <c r="B1170" t="s">
        <v>3640</v>
      </c>
      <c r="C1170" s="1" t="s">
        <v>3672</v>
      </c>
      <c r="D1170" s="1" t="s">
        <v>9302</v>
      </c>
      <c r="E1170" t="s">
        <v>3673</v>
      </c>
      <c r="F1170" t="s">
        <v>9303</v>
      </c>
      <c r="G1170" t="s">
        <v>9304</v>
      </c>
      <c r="H1170" t="s">
        <v>9305</v>
      </c>
      <c r="I1170" t="s">
        <v>9306</v>
      </c>
      <c r="J1170" t="s">
        <v>9253</v>
      </c>
      <c r="K1170" t="s">
        <v>9254</v>
      </c>
      <c r="L1170" t="s">
        <v>9255</v>
      </c>
    </row>
    <row r="1171" spans="1:13" x14ac:dyDescent="0.25">
      <c r="A1171" t="s">
        <v>5766</v>
      </c>
      <c r="B1171" t="s">
        <v>3640</v>
      </c>
      <c r="C1171" s="1" t="s">
        <v>3675</v>
      </c>
      <c r="D1171" s="1" t="s">
        <v>9307</v>
      </c>
      <c r="E1171" t="s">
        <v>3676</v>
      </c>
      <c r="F1171" t="s">
        <v>9308</v>
      </c>
      <c r="G1171" t="s">
        <v>9309</v>
      </c>
      <c r="H1171" t="s">
        <v>9310</v>
      </c>
      <c r="I1171" t="s">
        <v>6743</v>
      </c>
      <c r="J1171" t="s">
        <v>9253</v>
      </c>
      <c r="K1171" t="s">
        <v>9254</v>
      </c>
      <c r="L1171" t="s">
        <v>9255</v>
      </c>
    </row>
    <row r="1172" spans="1:13" x14ac:dyDescent="0.25">
      <c r="A1172" t="s">
        <v>5766</v>
      </c>
      <c r="B1172" t="s">
        <v>3640</v>
      </c>
      <c r="C1172" s="1" t="s">
        <v>3678</v>
      </c>
      <c r="D1172" s="1" t="s">
        <v>9311</v>
      </c>
      <c r="E1172" t="s">
        <v>3679</v>
      </c>
      <c r="F1172" t="s">
        <v>9308</v>
      </c>
      <c r="G1172" t="s">
        <v>9312</v>
      </c>
      <c r="H1172" t="s">
        <v>9313</v>
      </c>
      <c r="I1172" t="s">
        <v>9292</v>
      </c>
      <c r="J1172" t="s">
        <v>9253</v>
      </c>
      <c r="K1172" t="s">
        <v>9254</v>
      </c>
      <c r="L1172" t="s">
        <v>9255</v>
      </c>
    </row>
    <row r="1173" spans="1:13" x14ac:dyDescent="0.25">
      <c r="A1173" t="s">
        <v>5766</v>
      </c>
      <c r="B1173" t="s">
        <v>3640</v>
      </c>
      <c r="C1173" s="1" t="s">
        <v>3681</v>
      </c>
      <c r="D1173" s="1" t="s">
        <v>9314</v>
      </c>
      <c r="E1173" t="s">
        <v>3682</v>
      </c>
      <c r="F1173" t="s">
        <v>9315</v>
      </c>
      <c r="G1173" t="s">
        <v>9316</v>
      </c>
      <c r="H1173" t="s">
        <v>9317</v>
      </c>
      <c r="I1173" t="s">
        <v>9318</v>
      </c>
      <c r="J1173" t="s">
        <v>9253</v>
      </c>
      <c r="K1173" t="s">
        <v>9254</v>
      </c>
      <c r="L1173" t="s">
        <v>9255</v>
      </c>
    </row>
    <row r="1174" spans="1:13" x14ac:dyDescent="0.25">
      <c r="A1174" t="s">
        <v>5766</v>
      </c>
      <c r="B1174" t="s">
        <v>3640</v>
      </c>
      <c r="C1174" s="1" t="s">
        <v>3684</v>
      </c>
      <c r="D1174" s="1" t="s">
        <v>9319</v>
      </c>
      <c r="E1174" t="s">
        <v>3685</v>
      </c>
      <c r="F1174" t="s">
        <v>9320</v>
      </c>
      <c r="G1174" t="s">
        <v>9321</v>
      </c>
      <c r="H1174" t="s">
        <v>9322</v>
      </c>
      <c r="I1174" t="s">
        <v>9323</v>
      </c>
      <c r="J1174" t="s">
        <v>9253</v>
      </c>
      <c r="K1174" t="s">
        <v>9254</v>
      </c>
      <c r="L1174" t="s">
        <v>9255</v>
      </c>
    </row>
    <row r="1175" spans="1:13" x14ac:dyDescent="0.25">
      <c r="A1175" t="s">
        <v>5766</v>
      </c>
      <c r="B1175" t="s">
        <v>3640</v>
      </c>
      <c r="C1175" s="1" t="s">
        <v>3687</v>
      </c>
      <c r="D1175" s="1" t="s">
        <v>9324</v>
      </c>
      <c r="E1175" t="s">
        <v>3688</v>
      </c>
      <c r="F1175" t="s">
        <v>9308</v>
      </c>
      <c r="G1175" t="s">
        <v>9325</v>
      </c>
      <c r="H1175" t="s">
        <v>9326</v>
      </c>
      <c r="I1175" t="s">
        <v>9327</v>
      </c>
      <c r="J1175" t="s">
        <v>9253</v>
      </c>
      <c r="K1175" t="s">
        <v>9254</v>
      </c>
      <c r="L1175" t="s">
        <v>9255</v>
      </c>
    </row>
    <row r="1176" spans="1:13" x14ac:dyDescent="0.25">
      <c r="A1176" t="s">
        <v>5766</v>
      </c>
      <c r="B1176" t="s">
        <v>3640</v>
      </c>
      <c r="C1176" s="1" t="s">
        <v>3690</v>
      </c>
      <c r="D1176" s="1" t="s">
        <v>9328</v>
      </c>
      <c r="E1176" t="s">
        <v>3691</v>
      </c>
      <c r="F1176" t="s">
        <v>9329</v>
      </c>
      <c r="G1176" t="s">
        <v>9330</v>
      </c>
      <c r="H1176" t="s">
        <v>9331</v>
      </c>
      <c r="I1176" t="s">
        <v>5920</v>
      </c>
      <c r="J1176" t="s">
        <v>9253</v>
      </c>
      <c r="K1176" t="s">
        <v>9254</v>
      </c>
      <c r="L1176" t="s">
        <v>9255</v>
      </c>
    </row>
    <row r="1177" spans="1:13" x14ac:dyDescent="0.25">
      <c r="A1177" t="s">
        <v>5766</v>
      </c>
      <c r="B1177" t="s">
        <v>3640</v>
      </c>
      <c r="C1177" s="1" t="s">
        <v>3693</v>
      </c>
      <c r="D1177" s="1" t="s">
        <v>9332</v>
      </c>
      <c r="E1177" t="s">
        <v>3694</v>
      </c>
      <c r="F1177" t="s">
        <v>9315</v>
      </c>
      <c r="G1177" t="s">
        <v>9333</v>
      </c>
      <c r="H1177" t="s">
        <v>9334</v>
      </c>
      <c r="I1177" t="s">
        <v>9335</v>
      </c>
      <c r="J1177" t="s">
        <v>9253</v>
      </c>
      <c r="K1177" t="s">
        <v>9254</v>
      </c>
      <c r="L1177" t="s">
        <v>9255</v>
      </c>
    </row>
    <row r="1178" spans="1:13" x14ac:dyDescent="0.25">
      <c r="A1178" t="s">
        <v>5766</v>
      </c>
      <c r="B1178" t="s">
        <v>3640</v>
      </c>
      <c r="C1178" s="1" t="s">
        <v>3696</v>
      </c>
      <c r="D1178" s="1" t="s">
        <v>9336</v>
      </c>
      <c r="E1178" t="s">
        <v>3697</v>
      </c>
      <c r="F1178" t="s">
        <v>9337</v>
      </c>
      <c r="G1178" t="s">
        <v>9338</v>
      </c>
      <c r="H1178" t="s">
        <v>9339</v>
      </c>
      <c r="I1178" t="s">
        <v>9340</v>
      </c>
      <c r="J1178" t="s">
        <v>9253</v>
      </c>
      <c r="K1178" t="s">
        <v>9254</v>
      </c>
      <c r="L1178" t="s">
        <v>9255</v>
      </c>
    </row>
    <row r="1179" spans="1:13" x14ac:dyDescent="0.25">
      <c r="A1179" t="s">
        <v>5766</v>
      </c>
      <c r="B1179" t="s">
        <v>3640</v>
      </c>
      <c r="C1179" s="1" t="s">
        <v>214</v>
      </c>
      <c r="D1179" s="1" t="s">
        <v>5985</v>
      </c>
      <c r="E1179" t="s">
        <v>215</v>
      </c>
      <c r="F1179" t="s">
        <v>9341</v>
      </c>
      <c r="G1179" t="s">
        <v>5986</v>
      </c>
      <c r="H1179" t="s">
        <v>9342</v>
      </c>
      <c r="I1179" t="s">
        <v>6364</v>
      </c>
      <c r="J1179" t="s">
        <v>9253</v>
      </c>
      <c r="K1179" t="s">
        <v>9254</v>
      </c>
      <c r="L1179" t="s">
        <v>9255</v>
      </c>
    </row>
    <row r="1180" spans="1:13" x14ac:dyDescent="0.25">
      <c r="A1180" t="s">
        <v>5766</v>
      </c>
      <c r="B1180" t="s">
        <v>3640</v>
      </c>
      <c r="C1180" s="1" t="s">
        <v>52</v>
      </c>
      <c r="D1180" s="1" t="s">
        <v>52</v>
      </c>
      <c r="E1180" t="s">
        <v>5767</v>
      </c>
      <c r="F1180" t="s">
        <v>9343</v>
      </c>
      <c r="G1180" t="s">
        <v>5769</v>
      </c>
      <c r="H1180" t="s">
        <v>9344</v>
      </c>
      <c r="I1180" t="s">
        <v>6710</v>
      </c>
      <c r="J1180" t="s">
        <v>9253</v>
      </c>
      <c r="K1180" t="s">
        <v>9254</v>
      </c>
      <c r="L1180" t="s">
        <v>9255</v>
      </c>
      <c r="M1180" t="s">
        <v>65</v>
      </c>
    </row>
    <row r="1181" spans="1:13" x14ac:dyDescent="0.25">
      <c r="A1181" t="s">
        <v>5766</v>
      </c>
      <c r="B1181" t="s">
        <v>3698</v>
      </c>
      <c r="C1181" s="1" t="s">
        <v>3700</v>
      </c>
      <c r="D1181" s="1" t="s">
        <v>9345</v>
      </c>
      <c r="E1181" t="s">
        <v>3701</v>
      </c>
      <c r="F1181" t="s">
        <v>9346</v>
      </c>
      <c r="G1181" t="s">
        <v>9347</v>
      </c>
      <c r="H1181" t="s">
        <v>9348</v>
      </c>
      <c r="I1181" t="s">
        <v>9349</v>
      </c>
      <c r="J1181" t="s">
        <v>9350</v>
      </c>
      <c r="K1181" t="s">
        <v>7993</v>
      </c>
      <c r="L1181" t="s">
        <v>7994</v>
      </c>
    </row>
    <row r="1182" spans="1:13" x14ac:dyDescent="0.25">
      <c r="A1182" t="s">
        <v>5766</v>
      </c>
      <c r="B1182" t="s">
        <v>3698</v>
      </c>
      <c r="C1182" s="1" t="s">
        <v>3703</v>
      </c>
      <c r="D1182" s="1" t="s">
        <v>9351</v>
      </c>
      <c r="E1182" t="s">
        <v>3704</v>
      </c>
      <c r="F1182" t="s">
        <v>9352</v>
      </c>
      <c r="G1182" t="s">
        <v>9353</v>
      </c>
      <c r="H1182" t="s">
        <v>9354</v>
      </c>
      <c r="I1182" t="s">
        <v>8528</v>
      </c>
      <c r="J1182" t="s">
        <v>9350</v>
      </c>
      <c r="K1182" t="s">
        <v>7993</v>
      </c>
      <c r="L1182" t="s">
        <v>7994</v>
      </c>
    </row>
    <row r="1183" spans="1:13" x14ac:dyDescent="0.25">
      <c r="A1183" t="s">
        <v>5766</v>
      </c>
      <c r="B1183" t="s">
        <v>3698</v>
      </c>
      <c r="C1183" s="1" t="s">
        <v>3706</v>
      </c>
      <c r="D1183" s="1" t="s">
        <v>9355</v>
      </c>
      <c r="E1183" t="s">
        <v>3707</v>
      </c>
      <c r="F1183" t="s">
        <v>9356</v>
      </c>
      <c r="G1183" t="s">
        <v>9357</v>
      </c>
      <c r="H1183" t="s">
        <v>9358</v>
      </c>
      <c r="I1183" t="s">
        <v>9359</v>
      </c>
      <c r="J1183" t="s">
        <v>9350</v>
      </c>
      <c r="K1183" t="s">
        <v>7993</v>
      </c>
      <c r="L1183" t="s">
        <v>7994</v>
      </c>
    </row>
    <row r="1184" spans="1:13" x14ac:dyDescent="0.25">
      <c r="A1184" t="s">
        <v>5766</v>
      </c>
      <c r="B1184" t="s">
        <v>3698</v>
      </c>
      <c r="C1184" s="1" t="s">
        <v>3709</v>
      </c>
      <c r="D1184" s="1" t="s">
        <v>9360</v>
      </c>
      <c r="E1184" t="s">
        <v>3710</v>
      </c>
      <c r="F1184" t="s">
        <v>9361</v>
      </c>
      <c r="G1184" t="s">
        <v>9362</v>
      </c>
      <c r="H1184" t="s">
        <v>9363</v>
      </c>
      <c r="I1184" t="s">
        <v>9364</v>
      </c>
      <c r="J1184" t="s">
        <v>9350</v>
      </c>
      <c r="K1184" t="s">
        <v>7993</v>
      </c>
      <c r="L1184" t="s">
        <v>7994</v>
      </c>
    </row>
    <row r="1185" spans="1:13" x14ac:dyDescent="0.25">
      <c r="A1185" t="s">
        <v>5766</v>
      </c>
      <c r="B1185" t="s">
        <v>3698</v>
      </c>
      <c r="C1185" s="1" t="s">
        <v>3712</v>
      </c>
      <c r="D1185" s="1" t="s">
        <v>9365</v>
      </c>
      <c r="E1185" t="s">
        <v>3713</v>
      </c>
      <c r="F1185" t="s">
        <v>9366</v>
      </c>
      <c r="G1185" t="s">
        <v>9367</v>
      </c>
      <c r="H1185" t="s">
        <v>9368</v>
      </c>
      <c r="I1185" t="s">
        <v>5943</v>
      </c>
      <c r="J1185" t="s">
        <v>9350</v>
      </c>
      <c r="K1185" t="s">
        <v>7993</v>
      </c>
      <c r="L1185" t="s">
        <v>7994</v>
      </c>
    </row>
    <row r="1186" spans="1:13" x14ac:dyDescent="0.25">
      <c r="A1186" t="s">
        <v>5766</v>
      </c>
      <c r="B1186" t="s">
        <v>3698</v>
      </c>
      <c r="C1186" s="1" t="s">
        <v>3715</v>
      </c>
      <c r="D1186" s="1" t="s">
        <v>9369</v>
      </c>
      <c r="E1186" t="s">
        <v>3716</v>
      </c>
      <c r="F1186" t="s">
        <v>9370</v>
      </c>
      <c r="G1186" t="s">
        <v>9371</v>
      </c>
      <c r="H1186" t="s">
        <v>9372</v>
      </c>
      <c r="I1186" t="s">
        <v>9373</v>
      </c>
      <c r="J1186" t="s">
        <v>9350</v>
      </c>
      <c r="K1186" t="s">
        <v>7993</v>
      </c>
      <c r="L1186" t="s">
        <v>7994</v>
      </c>
    </row>
    <row r="1187" spans="1:13" x14ac:dyDescent="0.25">
      <c r="A1187" t="s">
        <v>5766</v>
      </c>
      <c r="B1187" t="s">
        <v>3698</v>
      </c>
      <c r="C1187" s="1" t="s">
        <v>3718</v>
      </c>
      <c r="D1187" s="1" t="s">
        <v>9374</v>
      </c>
      <c r="E1187" t="s">
        <v>3719</v>
      </c>
      <c r="F1187" t="s">
        <v>9375</v>
      </c>
      <c r="G1187" t="s">
        <v>9376</v>
      </c>
      <c r="H1187" t="s">
        <v>9377</v>
      </c>
      <c r="I1187" t="s">
        <v>6144</v>
      </c>
      <c r="J1187" t="s">
        <v>9350</v>
      </c>
      <c r="K1187" t="s">
        <v>7993</v>
      </c>
      <c r="L1187" t="s">
        <v>7994</v>
      </c>
    </row>
    <row r="1188" spans="1:13" x14ac:dyDescent="0.25">
      <c r="A1188" t="s">
        <v>5766</v>
      </c>
      <c r="B1188" t="s">
        <v>3698</v>
      </c>
      <c r="C1188" s="1" t="s">
        <v>3721</v>
      </c>
      <c r="D1188" s="1" t="s">
        <v>9378</v>
      </c>
      <c r="E1188" t="s">
        <v>3722</v>
      </c>
      <c r="F1188" t="s">
        <v>9379</v>
      </c>
      <c r="G1188" t="s">
        <v>9380</v>
      </c>
      <c r="H1188" t="s">
        <v>9381</v>
      </c>
      <c r="I1188" t="s">
        <v>9382</v>
      </c>
      <c r="J1188" t="s">
        <v>9350</v>
      </c>
      <c r="K1188" t="s">
        <v>7993</v>
      </c>
      <c r="L1188" t="s">
        <v>7994</v>
      </c>
    </row>
    <row r="1189" spans="1:13" x14ac:dyDescent="0.25">
      <c r="A1189" t="s">
        <v>5766</v>
      </c>
      <c r="B1189" t="s">
        <v>3698</v>
      </c>
      <c r="C1189" s="1" t="s">
        <v>3724</v>
      </c>
      <c r="D1189" s="1" t="s">
        <v>9383</v>
      </c>
      <c r="E1189" t="s">
        <v>3725</v>
      </c>
      <c r="F1189" t="s">
        <v>9384</v>
      </c>
      <c r="G1189" t="s">
        <v>9385</v>
      </c>
      <c r="H1189" t="s">
        <v>9386</v>
      </c>
      <c r="I1189" t="s">
        <v>9387</v>
      </c>
      <c r="J1189" t="s">
        <v>9350</v>
      </c>
      <c r="K1189" t="s">
        <v>7993</v>
      </c>
      <c r="L1189" t="s">
        <v>7994</v>
      </c>
    </row>
    <row r="1190" spans="1:13" x14ac:dyDescent="0.25">
      <c r="A1190" t="s">
        <v>5766</v>
      </c>
      <c r="B1190" t="s">
        <v>3698</v>
      </c>
      <c r="C1190" s="1" t="s">
        <v>3727</v>
      </c>
      <c r="D1190" s="1" t="s">
        <v>9388</v>
      </c>
      <c r="E1190" t="s">
        <v>3728</v>
      </c>
      <c r="F1190" t="s">
        <v>9389</v>
      </c>
      <c r="G1190" t="s">
        <v>9390</v>
      </c>
      <c r="H1190" t="s">
        <v>9391</v>
      </c>
      <c r="I1190" t="s">
        <v>9392</v>
      </c>
      <c r="J1190" t="s">
        <v>9350</v>
      </c>
      <c r="K1190" t="s">
        <v>7993</v>
      </c>
      <c r="L1190" t="s">
        <v>7994</v>
      </c>
    </row>
    <row r="1191" spans="1:13" x14ac:dyDescent="0.25">
      <c r="A1191" t="s">
        <v>5766</v>
      </c>
      <c r="B1191" t="s">
        <v>3698</v>
      </c>
      <c r="C1191" s="1" t="s">
        <v>3730</v>
      </c>
      <c r="D1191" s="1" t="s">
        <v>9393</v>
      </c>
      <c r="E1191" t="s">
        <v>3731</v>
      </c>
      <c r="F1191" t="s">
        <v>9394</v>
      </c>
      <c r="G1191" t="s">
        <v>9395</v>
      </c>
      <c r="H1191" t="s">
        <v>9396</v>
      </c>
      <c r="I1191" t="s">
        <v>9052</v>
      </c>
      <c r="J1191" t="s">
        <v>9350</v>
      </c>
      <c r="K1191" t="s">
        <v>7993</v>
      </c>
      <c r="L1191" t="s">
        <v>7994</v>
      </c>
    </row>
    <row r="1192" spans="1:13" x14ac:dyDescent="0.25">
      <c r="A1192" t="s">
        <v>5766</v>
      </c>
      <c r="B1192" t="s">
        <v>3698</v>
      </c>
      <c r="C1192" s="1" t="s">
        <v>3733</v>
      </c>
      <c r="D1192" s="1" t="s">
        <v>9397</v>
      </c>
      <c r="E1192" t="s">
        <v>3735</v>
      </c>
      <c r="F1192" t="s">
        <v>9398</v>
      </c>
      <c r="G1192" t="s">
        <v>9399</v>
      </c>
      <c r="H1192" t="s">
        <v>9400</v>
      </c>
      <c r="I1192" t="s">
        <v>9401</v>
      </c>
      <c r="J1192" t="s">
        <v>9350</v>
      </c>
      <c r="K1192" t="s">
        <v>7993</v>
      </c>
      <c r="L1192" t="s">
        <v>7994</v>
      </c>
    </row>
    <row r="1193" spans="1:13" x14ac:dyDescent="0.25">
      <c r="A1193" t="s">
        <v>5766</v>
      </c>
      <c r="B1193" t="s">
        <v>3698</v>
      </c>
      <c r="C1193" s="1" t="s">
        <v>78</v>
      </c>
      <c r="D1193" s="1" t="s">
        <v>5780</v>
      </c>
      <c r="E1193" t="s">
        <v>5781</v>
      </c>
      <c r="F1193" t="s">
        <v>9402</v>
      </c>
      <c r="G1193" t="s">
        <v>5783</v>
      </c>
      <c r="H1193" t="s">
        <v>9403</v>
      </c>
      <c r="I1193" t="s">
        <v>9404</v>
      </c>
      <c r="J1193" t="s">
        <v>9350</v>
      </c>
      <c r="K1193" t="s">
        <v>7993</v>
      </c>
      <c r="L1193" t="s">
        <v>7994</v>
      </c>
      <c r="M1193" t="s">
        <v>65</v>
      </c>
    </row>
    <row r="1194" spans="1:13" x14ac:dyDescent="0.25">
      <c r="A1194" t="s">
        <v>5766</v>
      </c>
      <c r="B1194" t="s">
        <v>3698</v>
      </c>
      <c r="C1194" s="1" t="s">
        <v>3737</v>
      </c>
      <c r="D1194" s="1" t="s">
        <v>9405</v>
      </c>
      <c r="E1194" t="s">
        <v>3738</v>
      </c>
      <c r="F1194" t="s">
        <v>8443</v>
      </c>
      <c r="G1194" t="s">
        <v>9406</v>
      </c>
      <c r="H1194" t="s">
        <v>9407</v>
      </c>
      <c r="I1194" t="s">
        <v>9408</v>
      </c>
      <c r="J1194" t="s">
        <v>9350</v>
      </c>
      <c r="K1194" t="s">
        <v>7993</v>
      </c>
      <c r="L1194" t="s">
        <v>7994</v>
      </c>
    </row>
    <row r="1195" spans="1:13" x14ac:dyDescent="0.25">
      <c r="A1195" t="s">
        <v>5766</v>
      </c>
      <c r="B1195" t="s">
        <v>3698</v>
      </c>
      <c r="C1195" s="1" t="s">
        <v>3740</v>
      </c>
      <c r="D1195" s="1" t="s">
        <v>9409</v>
      </c>
      <c r="E1195" t="s">
        <v>3741</v>
      </c>
      <c r="F1195" t="s">
        <v>9410</v>
      </c>
      <c r="G1195" t="s">
        <v>9411</v>
      </c>
      <c r="H1195" t="s">
        <v>9412</v>
      </c>
      <c r="I1195" t="s">
        <v>9413</v>
      </c>
      <c r="J1195" t="s">
        <v>9350</v>
      </c>
      <c r="K1195" t="s">
        <v>7993</v>
      </c>
      <c r="L1195" t="s">
        <v>7994</v>
      </c>
    </row>
    <row r="1196" spans="1:13" x14ac:dyDescent="0.25">
      <c r="A1196" t="s">
        <v>5766</v>
      </c>
      <c r="B1196" t="s">
        <v>3698</v>
      </c>
      <c r="C1196" s="1" t="s">
        <v>3743</v>
      </c>
      <c r="D1196" s="1" t="s">
        <v>9414</v>
      </c>
      <c r="E1196" t="s">
        <v>3744</v>
      </c>
      <c r="F1196" t="s">
        <v>9415</v>
      </c>
      <c r="G1196" t="s">
        <v>9002</v>
      </c>
      <c r="H1196" t="s">
        <v>9416</v>
      </c>
      <c r="I1196" t="s">
        <v>7410</v>
      </c>
      <c r="J1196" t="s">
        <v>9350</v>
      </c>
      <c r="K1196" t="s">
        <v>7993</v>
      </c>
      <c r="L1196" t="s">
        <v>7994</v>
      </c>
    </row>
    <row r="1197" spans="1:13" x14ac:dyDescent="0.25">
      <c r="A1197" t="s">
        <v>5766</v>
      </c>
      <c r="B1197" t="s">
        <v>3698</v>
      </c>
      <c r="C1197" s="1" t="s">
        <v>502</v>
      </c>
      <c r="D1197" s="1" t="s">
        <v>6422</v>
      </c>
      <c r="E1197" t="s">
        <v>504</v>
      </c>
      <c r="F1197" t="s">
        <v>9417</v>
      </c>
      <c r="G1197" t="s">
        <v>6424</v>
      </c>
      <c r="H1197" t="s">
        <v>9418</v>
      </c>
      <c r="I1197" t="s">
        <v>9382</v>
      </c>
      <c r="J1197" t="s">
        <v>9350</v>
      </c>
      <c r="K1197" t="s">
        <v>7993</v>
      </c>
      <c r="L1197" t="s">
        <v>7994</v>
      </c>
    </row>
    <row r="1198" spans="1:13" x14ac:dyDescent="0.25">
      <c r="A1198" t="s">
        <v>5766</v>
      </c>
      <c r="B1198" t="s">
        <v>3698</v>
      </c>
      <c r="C1198" s="1" t="s">
        <v>3746</v>
      </c>
      <c r="D1198" s="1" t="s">
        <v>9419</v>
      </c>
      <c r="E1198" t="s">
        <v>3747</v>
      </c>
      <c r="F1198" t="s">
        <v>9420</v>
      </c>
      <c r="G1198" t="s">
        <v>9421</v>
      </c>
      <c r="H1198" t="s">
        <v>9422</v>
      </c>
      <c r="I1198" t="s">
        <v>5887</v>
      </c>
      <c r="J1198" t="s">
        <v>9350</v>
      </c>
      <c r="K1198" t="s">
        <v>7993</v>
      </c>
      <c r="L1198" t="s">
        <v>7994</v>
      </c>
    </row>
    <row r="1199" spans="1:13" x14ac:dyDescent="0.25">
      <c r="A1199" t="s">
        <v>5766</v>
      </c>
      <c r="B1199" t="s">
        <v>3698</v>
      </c>
      <c r="C1199" s="1" t="s">
        <v>3749</v>
      </c>
      <c r="D1199" s="1" t="s">
        <v>9423</v>
      </c>
      <c r="E1199" t="s">
        <v>3750</v>
      </c>
      <c r="F1199" t="s">
        <v>9424</v>
      </c>
      <c r="G1199" t="s">
        <v>9425</v>
      </c>
      <c r="H1199" t="s">
        <v>9426</v>
      </c>
      <c r="I1199" t="s">
        <v>6559</v>
      </c>
      <c r="J1199" t="s">
        <v>9350</v>
      </c>
      <c r="K1199" t="s">
        <v>7993</v>
      </c>
      <c r="L1199" t="s">
        <v>7994</v>
      </c>
    </row>
    <row r="1200" spans="1:13" x14ac:dyDescent="0.25">
      <c r="A1200" t="s">
        <v>5766</v>
      </c>
      <c r="B1200" t="s">
        <v>3698</v>
      </c>
      <c r="C1200" s="1" t="s">
        <v>3752</v>
      </c>
      <c r="D1200" s="1" t="s">
        <v>9427</v>
      </c>
      <c r="E1200" t="s">
        <v>3753</v>
      </c>
      <c r="F1200" t="s">
        <v>9428</v>
      </c>
      <c r="G1200" t="s">
        <v>9429</v>
      </c>
      <c r="H1200" t="s">
        <v>9430</v>
      </c>
      <c r="I1200" t="s">
        <v>9431</v>
      </c>
      <c r="J1200" t="s">
        <v>9350</v>
      </c>
      <c r="K1200" t="s">
        <v>7993</v>
      </c>
      <c r="L1200" t="s">
        <v>7994</v>
      </c>
    </row>
    <row r="1201" spans="1:13" x14ac:dyDescent="0.25">
      <c r="A1201" t="s">
        <v>5766</v>
      </c>
      <c r="B1201" t="s">
        <v>3698</v>
      </c>
      <c r="C1201" s="1" t="s">
        <v>3755</v>
      </c>
      <c r="D1201" s="1" t="s">
        <v>9432</v>
      </c>
      <c r="E1201" t="s">
        <v>3756</v>
      </c>
      <c r="F1201" t="s">
        <v>9433</v>
      </c>
      <c r="G1201" t="s">
        <v>9434</v>
      </c>
      <c r="H1201" t="s">
        <v>9435</v>
      </c>
      <c r="I1201" t="s">
        <v>9436</v>
      </c>
      <c r="J1201" t="s">
        <v>9350</v>
      </c>
      <c r="K1201" t="s">
        <v>7993</v>
      </c>
      <c r="L1201" t="s">
        <v>7994</v>
      </c>
    </row>
    <row r="1202" spans="1:13" x14ac:dyDescent="0.25">
      <c r="A1202" t="s">
        <v>5766</v>
      </c>
      <c r="B1202" t="s">
        <v>3698</v>
      </c>
      <c r="C1202" s="1" t="s">
        <v>3758</v>
      </c>
      <c r="D1202" s="1" t="s">
        <v>9437</v>
      </c>
      <c r="E1202" t="s">
        <v>3759</v>
      </c>
      <c r="F1202" t="s">
        <v>9438</v>
      </c>
      <c r="G1202" t="s">
        <v>9439</v>
      </c>
      <c r="H1202" t="s">
        <v>9440</v>
      </c>
      <c r="I1202" t="s">
        <v>9441</v>
      </c>
      <c r="J1202" t="s">
        <v>9350</v>
      </c>
      <c r="K1202" t="s">
        <v>7993</v>
      </c>
      <c r="L1202" t="s">
        <v>7994</v>
      </c>
    </row>
    <row r="1203" spans="1:13" x14ac:dyDescent="0.25">
      <c r="A1203" t="s">
        <v>5766</v>
      </c>
      <c r="B1203" t="s">
        <v>3698</v>
      </c>
      <c r="C1203" s="1" t="s">
        <v>3761</v>
      </c>
      <c r="D1203" s="1" t="s">
        <v>9442</v>
      </c>
      <c r="E1203" t="s">
        <v>3762</v>
      </c>
      <c r="F1203" t="s">
        <v>9443</v>
      </c>
      <c r="G1203" t="s">
        <v>9444</v>
      </c>
      <c r="H1203" t="s">
        <v>9445</v>
      </c>
      <c r="I1203" t="s">
        <v>9446</v>
      </c>
      <c r="J1203" t="s">
        <v>9350</v>
      </c>
      <c r="K1203" t="s">
        <v>7993</v>
      </c>
      <c r="L1203" t="s">
        <v>7994</v>
      </c>
    </row>
    <row r="1204" spans="1:13" x14ac:dyDescent="0.25">
      <c r="A1204" t="s">
        <v>5766</v>
      </c>
      <c r="B1204" t="s">
        <v>3698</v>
      </c>
      <c r="C1204" s="1" t="s">
        <v>3764</v>
      </c>
      <c r="D1204" s="1" t="s">
        <v>9447</v>
      </c>
      <c r="E1204" t="s">
        <v>3765</v>
      </c>
      <c r="F1204" t="s">
        <v>9448</v>
      </c>
      <c r="G1204" t="s">
        <v>9449</v>
      </c>
      <c r="H1204" t="s">
        <v>9450</v>
      </c>
      <c r="I1204" t="s">
        <v>9451</v>
      </c>
      <c r="J1204" t="s">
        <v>9350</v>
      </c>
      <c r="K1204" t="s">
        <v>7993</v>
      </c>
      <c r="L1204" t="s">
        <v>7994</v>
      </c>
    </row>
    <row r="1205" spans="1:13" x14ac:dyDescent="0.25">
      <c r="A1205" t="s">
        <v>5766</v>
      </c>
      <c r="B1205" t="s">
        <v>3698</v>
      </c>
      <c r="C1205" s="1" t="s">
        <v>3767</v>
      </c>
      <c r="D1205" s="1" t="s">
        <v>9452</v>
      </c>
      <c r="E1205" t="s">
        <v>3768</v>
      </c>
      <c r="F1205" t="s">
        <v>9453</v>
      </c>
      <c r="G1205" t="s">
        <v>9454</v>
      </c>
      <c r="H1205" t="s">
        <v>9455</v>
      </c>
      <c r="I1205" t="s">
        <v>9456</v>
      </c>
      <c r="J1205" t="s">
        <v>9350</v>
      </c>
      <c r="K1205" t="s">
        <v>7993</v>
      </c>
      <c r="L1205" t="s">
        <v>7994</v>
      </c>
    </row>
    <row r="1206" spans="1:13" x14ac:dyDescent="0.25">
      <c r="A1206" t="s">
        <v>5766</v>
      </c>
      <c r="B1206" t="s">
        <v>3698</v>
      </c>
      <c r="C1206" s="1" t="s">
        <v>3770</v>
      </c>
      <c r="D1206" s="1" t="s">
        <v>9457</v>
      </c>
      <c r="E1206" t="s">
        <v>3771</v>
      </c>
      <c r="F1206" t="s">
        <v>9458</v>
      </c>
      <c r="G1206" t="s">
        <v>9459</v>
      </c>
      <c r="H1206" t="s">
        <v>9460</v>
      </c>
      <c r="I1206" t="s">
        <v>9461</v>
      </c>
      <c r="J1206" t="s">
        <v>9350</v>
      </c>
      <c r="K1206" t="s">
        <v>7993</v>
      </c>
      <c r="L1206" t="s">
        <v>7994</v>
      </c>
    </row>
    <row r="1207" spans="1:13" x14ac:dyDescent="0.25">
      <c r="A1207" t="s">
        <v>5766</v>
      </c>
      <c r="B1207" t="s">
        <v>3698</v>
      </c>
      <c r="C1207" s="1" t="s">
        <v>52</v>
      </c>
      <c r="D1207" s="1" t="s">
        <v>52</v>
      </c>
      <c r="E1207" t="s">
        <v>5767</v>
      </c>
      <c r="F1207" t="s">
        <v>9462</v>
      </c>
      <c r="G1207" t="s">
        <v>5769</v>
      </c>
      <c r="H1207" t="s">
        <v>9463</v>
      </c>
      <c r="I1207" t="s">
        <v>9464</v>
      </c>
      <c r="J1207" t="s">
        <v>9350</v>
      </c>
      <c r="K1207" t="s">
        <v>7993</v>
      </c>
      <c r="L1207" t="s">
        <v>7994</v>
      </c>
      <c r="M1207" t="s">
        <v>65</v>
      </c>
    </row>
    <row r="1208" spans="1:13" x14ac:dyDescent="0.25">
      <c r="A1208" t="s">
        <v>5766</v>
      </c>
      <c r="B1208" t="s">
        <v>3772</v>
      </c>
      <c r="C1208" s="1" t="s">
        <v>3774</v>
      </c>
      <c r="D1208" s="1" t="s">
        <v>9465</v>
      </c>
      <c r="E1208" t="s">
        <v>3775</v>
      </c>
      <c r="F1208" t="s">
        <v>9466</v>
      </c>
      <c r="G1208" t="s">
        <v>9467</v>
      </c>
      <c r="H1208" t="s">
        <v>9468</v>
      </c>
      <c r="I1208" t="s">
        <v>8157</v>
      </c>
      <c r="J1208" t="s">
        <v>9469</v>
      </c>
      <c r="K1208" t="s">
        <v>7993</v>
      </c>
      <c r="L1208" t="s">
        <v>7994</v>
      </c>
    </row>
    <row r="1209" spans="1:13" x14ac:dyDescent="0.25">
      <c r="A1209" t="s">
        <v>5766</v>
      </c>
      <c r="B1209" t="s">
        <v>3772</v>
      </c>
      <c r="C1209" s="1" t="s">
        <v>3777</v>
      </c>
      <c r="D1209" s="1" t="s">
        <v>9470</v>
      </c>
      <c r="E1209" t="s">
        <v>3778</v>
      </c>
      <c r="F1209" t="s">
        <v>9471</v>
      </c>
      <c r="G1209" t="s">
        <v>9472</v>
      </c>
      <c r="H1209" t="s">
        <v>9473</v>
      </c>
      <c r="I1209" t="s">
        <v>6259</v>
      </c>
      <c r="J1209" t="s">
        <v>9469</v>
      </c>
      <c r="K1209" t="s">
        <v>7993</v>
      </c>
      <c r="L1209" t="s">
        <v>7994</v>
      </c>
    </row>
    <row r="1210" spans="1:13" x14ac:dyDescent="0.25">
      <c r="A1210" t="s">
        <v>5766</v>
      </c>
      <c r="B1210" t="s">
        <v>3772</v>
      </c>
      <c r="C1210" s="1" t="s">
        <v>3780</v>
      </c>
      <c r="D1210" s="1" t="s">
        <v>9474</v>
      </c>
      <c r="E1210" t="s">
        <v>3781</v>
      </c>
      <c r="F1210" t="s">
        <v>6297</v>
      </c>
      <c r="G1210" t="s">
        <v>9475</v>
      </c>
      <c r="H1210" t="s">
        <v>9476</v>
      </c>
      <c r="I1210" t="s">
        <v>9477</v>
      </c>
      <c r="J1210" t="s">
        <v>9469</v>
      </c>
      <c r="K1210" t="s">
        <v>7993</v>
      </c>
      <c r="L1210" t="s">
        <v>7994</v>
      </c>
    </row>
    <row r="1211" spans="1:13" x14ac:dyDescent="0.25">
      <c r="A1211" t="s">
        <v>5766</v>
      </c>
      <c r="B1211" t="s">
        <v>3772</v>
      </c>
      <c r="C1211" s="1" t="s">
        <v>3783</v>
      </c>
      <c r="D1211" s="1" t="s">
        <v>9478</v>
      </c>
      <c r="E1211" t="s">
        <v>3785</v>
      </c>
      <c r="F1211" t="s">
        <v>9384</v>
      </c>
      <c r="G1211" t="s">
        <v>9479</v>
      </c>
      <c r="H1211" t="s">
        <v>9480</v>
      </c>
      <c r="I1211" t="s">
        <v>7641</v>
      </c>
      <c r="J1211" t="s">
        <v>9469</v>
      </c>
      <c r="K1211" t="s">
        <v>7993</v>
      </c>
      <c r="L1211" t="s">
        <v>7994</v>
      </c>
    </row>
    <row r="1212" spans="1:13" x14ac:dyDescent="0.25">
      <c r="A1212" t="s">
        <v>5766</v>
      </c>
      <c r="B1212" t="s">
        <v>3772</v>
      </c>
      <c r="C1212" s="1" t="s">
        <v>3787</v>
      </c>
      <c r="D1212" s="1" t="s">
        <v>9481</v>
      </c>
      <c r="E1212" t="s">
        <v>3788</v>
      </c>
      <c r="F1212" t="s">
        <v>9482</v>
      </c>
      <c r="G1212" t="s">
        <v>9483</v>
      </c>
      <c r="H1212" t="s">
        <v>9484</v>
      </c>
      <c r="I1212" t="s">
        <v>9485</v>
      </c>
      <c r="J1212" t="s">
        <v>9469</v>
      </c>
      <c r="K1212" t="s">
        <v>7993</v>
      </c>
      <c r="L1212" t="s">
        <v>7994</v>
      </c>
    </row>
    <row r="1213" spans="1:13" x14ac:dyDescent="0.25">
      <c r="A1213" t="s">
        <v>5766</v>
      </c>
      <c r="B1213" t="s">
        <v>3772</v>
      </c>
      <c r="C1213" s="1" t="s">
        <v>3790</v>
      </c>
      <c r="D1213" s="1" t="s">
        <v>9486</v>
      </c>
      <c r="E1213" t="s">
        <v>3791</v>
      </c>
      <c r="F1213" t="s">
        <v>9487</v>
      </c>
      <c r="G1213" t="s">
        <v>9488</v>
      </c>
      <c r="H1213" t="s">
        <v>9489</v>
      </c>
      <c r="I1213" t="s">
        <v>7848</v>
      </c>
      <c r="J1213" t="s">
        <v>9469</v>
      </c>
      <c r="K1213" t="s">
        <v>7993</v>
      </c>
      <c r="L1213" t="s">
        <v>7994</v>
      </c>
    </row>
    <row r="1214" spans="1:13" x14ac:dyDescent="0.25">
      <c r="A1214" t="s">
        <v>5766</v>
      </c>
      <c r="B1214" t="s">
        <v>3772</v>
      </c>
      <c r="C1214" s="1" t="s">
        <v>3793</v>
      </c>
      <c r="D1214" s="1" t="s">
        <v>9490</v>
      </c>
      <c r="E1214" t="s">
        <v>3794</v>
      </c>
      <c r="F1214" t="s">
        <v>9491</v>
      </c>
      <c r="G1214" t="s">
        <v>9492</v>
      </c>
      <c r="H1214" t="s">
        <v>9493</v>
      </c>
      <c r="I1214" t="s">
        <v>6053</v>
      </c>
      <c r="J1214" t="s">
        <v>9469</v>
      </c>
      <c r="K1214" t="s">
        <v>7993</v>
      </c>
      <c r="L1214" t="s">
        <v>7994</v>
      </c>
    </row>
    <row r="1215" spans="1:13" x14ac:dyDescent="0.25">
      <c r="A1215" t="s">
        <v>5766</v>
      </c>
      <c r="B1215" t="s">
        <v>3772</v>
      </c>
      <c r="C1215" s="1" t="s">
        <v>3796</v>
      </c>
      <c r="D1215" s="1" t="s">
        <v>9494</v>
      </c>
      <c r="E1215" t="s">
        <v>3797</v>
      </c>
      <c r="F1215" t="s">
        <v>9495</v>
      </c>
      <c r="G1215" t="s">
        <v>9496</v>
      </c>
      <c r="H1215" t="s">
        <v>9497</v>
      </c>
      <c r="I1215" t="s">
        <v>9152</v>
      </c>
      <c r="J1215" t="s">
        <v>9469</v>
      </c>
      <c r="K1215" t="s">
        <v>7993</v>
      </c>
      <c r="L1215" t="s">
        <v>7994</v>
      </c>
    </row>
    <row r="1216" spans="1:13" x14ac:dyDescent="0.25">
      <c r="A1216" t="s">
        <v>5766</v>
      </c>
      <c r="B1216" t="s">
        <v>3772</v>
      </c>
      <c r="C1216" s="1" t="s">
        <v>3799</v>
      </c>
      <c r="D1216" s="1" t="s">
        <v>9498</v>
      </c>
      <c r="E1216" t="s">
        <v>3800</v>
      </c>
      <c r="F1216" t="s">
        <v>9499</v>
      </c>
      <c r="G1216" t="s">
        <v>9500</v>
      </c>
      <c r="H1216" t="s">
        <v>9501</v>
      </c>
      <c r="I1216" t="s">
        <v>8072</v>
      </c>
      <c r="J1216" t="s">
        <v>9469</v>
      </c>
      <c r="K1216" t="s">
        <v>7993</v>
      </c>
      <c r="L1216" t="s">
        <v>7994</v>
      </c>
    </row>
    <row r="1217" spans="1:13" x14ac:dyDescent="0.25">
      <c r="A1217" t="s">
        <v>5766</v>
      </c>
      <c r="B1217" t="s">
        <v>3772</v>
      </c>
      <c r="C1217" s="1" t="s">
        <v>3802</v>
      </c>
      <c r="D1217" s="1" t="s">
        <v>9502</v>
      </c>
      <c r="E1217" t="s">
        <v>3803</v>
      </c>
      <c r="F1217" t="s">
        <v>9503</v>
      </c>
      <c r="G1217" t="s">
        <v>9504</v>
      </c>
      <c r="H1217" t="s">
        <v>9505</v>
      </c>
      <c r="I1217" t="s">
        <v>8089</v>
      </c>
      <c r="J1217" t="s">
        <v>9469</v>
      </c>
      <c r="K1217" t="s">
        <v>7993</v>
      </c>
      <c r="L1217" t="s">
        <v>7994</v>
      </c>
    </row>
    <row r="1218" spans="1:13" x14ac:dyDescent="0.25">
      <c r="A1218" t="s">
        <v>5766</v>
      </c>
      <c r="B1218" t="s">
        <v>3772</v>
      </c>
      <c r="C1218" s="1" t="s">
        <v>3805</v>
      </c>
      <c r="D1218" s="1" t="s">
        <v>9506</v>
      </c>
      <c r="E1218" t="s">
        <v>3806</v>
      </c>
      <c r="F1218" t="s">
        <v>9507</v>
      </c>
      <c r="G1218" t="s">
        <v>9508</v>
      </c>
      <c r="H1218" t="s">
        <v>9509</v>
      </c>
      <c r="I1218" t="s">
        <v>8726</v>
      </c>
      <c r="J1218" t="s">
        <v>9469</v>
      </c>
      <c r="K1218" t="s">
        <v>7993</v>
      </c>
      <c r="L1218" t="s">
        <v>7994</v>
      </c>
    </row>
    <row r="1219" spans="1:13" x14ac:dyDescent="0.25">
      <c r="A1219" t="s">
        <v>5766</v>
      </c>
      <c r="B1219" t="s">
        <v>3772</v>
      </c>
      <c r="C1219" s="1" t="s">
        <v>3808</v>
      </c>
      <c r="D1219" s="1" t="s">
        <v>9510</v>
      </c>
      <c r="E1219" t="s">
        <v>3809</v>
      </c>
      <c r="F1219" t="s">
        <v>9511</v>
      </c>
      <c r="G1219" t="s">
        <v>9512</v>
      </c>
      <c r="H1219" t="s">
        <v>9513</v>
      </c>
      <c r="I1219" t="s">
        <v>6238</v>
      </c>
      <c r="J1219" t="s">
        <v>9469</v>
      </c>
      <c r="K1219" t="s">
        <v>7993</v>
      </c>
      <c r="L1219" t="s">
        <v>7994</v>
      </c>
    </row>
    <row r="1220" spans="1:13" x14ac:dyDescent="0.25">
      <c r="A1220" t="s">
        <v>5766</v>
      </c>
      <c r="B1220" t="s">
        <v>3772</v>
      </c>
      <c r="C1220" s="1" t="s">
        <v>3811</v>
      </c>
      <c r="D1220" s="1" t="s">
        <v>9514</v>
      </c>
      <c r="E1220" t="s">
        <v>3812</v>
      </c>
      <c r="F1220" t="s">
        <v>9515</v>
      </c>
      <c r="G1220" t="s">
        <v>9516</v>
      </c>
      <c r="H1220" t="s">
        <v>9517</v>
      </c>
      <c r="I1220" t="s">
        <v>6909</v>
      </c>
      <c r="J1220" t="s">
        <v>9469</v>
      </c>
      <c r="K1220" t="s">
        <v>7993</v>
      </c>
      <c r="L1220" t="s">
        <v>7994</v>
      </c>
    </row>
    <row r="1221" spans="1:13" x14ac:dyDescent="0.25">
      <c r="A1221" t="s">
        <v>5766</v>
      </c>
      <c r="B1221" t="s">
        <v>3772</v>
      </c>
      <c r="C1221" s="1" t="s">
        <v>3814</v>
      </c>
      <c r="D1221" s="1" t="s">
        <v>9518</v>
      </c>
      <c r="E1221" t="s">
        <v>3815</v>
      </c>
      <c r="F1221" t="s">
        <v>9361</v>
      </c>
      <c r="G1221" t="s">
        <v>9519</v>
      </c>
      <c r="H1221" t="s">
        <v>9520</v>
      </c>
      <c r="I1221" t="s">
        <v>9521</v>
      </c>
      <c r="J1221" t="s">
        <v>9469</v>
      </c>
      <c r="K1221" t="s">
        <v>7993</v>
      </c>
      <c r="L1221" t="s">
        <v>7994</v>
      </c>
    </row>
    <row r="1222" spans="1:13" x14ac:dyDescent="0.25">
      <c r="A1222" t="s">
        <v>5766</v>
      </c>
      <c r="B1222" t="s">
        <v>3772</v>
      </c>
      <c r="C1222" s="1" t="s">
        <v>3817</v>
      </c>
      <c r="D1222" s="1" t="s">
        <v>9522</v>
      </c>
      <c r="E1222" t="s">
        <v>3818</v>
      </c>
      <c r="F1222" t="s">
        <v>9491</v>
      </c>
      <c r="G1222" t="s">
        <v>9523</v>
      </c>
      <c r="H1222" t="s">
        <v>9524</v>
      </c>
      <c r="I1222" t="s">
        <v>6057</v>
      </c>
      <c r="J1222" t="s">
        <v>9469</v>
      </c>
      <c r="K1222" t="s">
        <v>7993</v>
      </c>
      <c r="L1222" t="s">
        <v>7994</v>
      </c>
    </row>
    <row r="1223" spans="1:13" x14ac:dyDescent="0.25">
      <c r="A1223" t="s">
        <v>5766</v>
      </c>
      <c r="B1223" t="s">
        <v>3772</v>
      </c>
      <c r="C1223" s="1" t="s">
        <v>3820</v>
      </c>
      <c r="D1223" s="1" t="s">
        <v>9525</v>
      </c>
      <c r="E1223" t="s">
        <v>3821</v>
      </c>
      <c r="F1223" t="s">
        <v>9526</v>
      </c>
      <c r="G1223" t="s">
        <v>9527</v>
      </c>
      <c r="H1223" t="s">
        <v>9528</v>
      </c>
      <c r="I1223" t="s">
        <v>7641</v>
      </c>
      <c r="J1223" t="s">
        <v>9469</v>
      </c>
      <c r="K1223" t="s">
        <v>7993</v>
      </c>
      <c r="L1223" t="s">
        <v>7994</v>
      </c>
    </row>
    <row r="1224" spans="1:13" x14ac:dyDescent="0.25">
      <c r="A1224" t="s">
        <v>5766</v>
      </c>
      <c r="B1224" t="s">
        <v>3772</v>
      </c>
      <c r="C1224" s="1" t="s">
        <v>3823</v>
      </c>
      <c r="D1224" s="1" t="s">
        <v>9529</v>
      </c>
      <c r="E1224" t="s">
        <v>3824</v>
      </c>
      <c r="F1224" t="s">
        <v>9530</v>
      </c>
      <c r="G1224" t="s">
        <v>9531</v>
      </c>
      <c r="H1224" t="s">
        <v>9532</v>
      </c>
      <c r="I1224" t="s">
        <v>6934</v>
      </c>
      <c r="J1224" t="s">
        <v>9469</v>
      </c>
      <c r="K1224" t="s">
        <v>7993</v>
      </c>
      <c r="L1224" t="s">
        <v>7994</v>
      </c>
    </row>
    <row r="1225" spans="1:13" x14ac:dyDescent="0.25">
      <c r="A1225" t="s">
        <v>5766</v>
      </c>
      <c r="B1225" t="s">
        <v>3772</v>
      </c>
      <c r="C1225" s="1" t="s">
        <v>3826</v>
      </c>
      <c r="D1225" s="1" t="s">
        <v>9533</v>
      </c>
      <c r="E1225" t="s">
        <v>3827</v>
      </c>
      <c r="F1225" t="s">
        <v>9534</v>
      </c>
      <c r="G1225" t="s">
        <v>9535</v>
      </c>
      <c r="H1225" t="s">
        <v>9536</v>
      </c>
      <c r="I1225" t="s">
        <v>9047</v>
      </c>
      <c r="J1225" t="s">
        <v>9469</v>
      </c>
      <c r="K1225" t="s">
        <v>7993</v>
      </c>
      <c r="L1225" t="s">
        <v>7994</v>
      </c>
    </row>
    <row r="1226" spans="1:13" x14ac:dyDescent="0.25">
      <c r="A1226" t="s">
        <v>5766</v>
      </c>
      <c r="B1226" t="s">
        <v>3772</v>
      </c>
      <c r="C1226" s="1" t="s">
        <v>78</v>
      </c>
      <c r="D1226" s="1" t="s">
        <v>5780</v>
      </c>
      <c r="E1226" t="s">
        <v>5781</v>
      </c>
      <c r="F1226" t="s">
        <v>9537</v>
      </c>
      <c r="G1226" t="s">
        <v>5783</v>
      </c>
      <c r="H1226" t="s">
        <v>9538</v>
      </c>
      <c r="I1226" t="s">
        <v>5831</v>
      </c>
      <c r="J1226" t="s">
        <v>9469</v>
      </c>
      <c r="K1226" t="s">
        <v>7993</v>
      </c>
      <c r="L1226" t="s">
        <v>7994</v>
      </c>
      <c r="M1226" t="s">
        <v>65</v>
      </c>
    </row>
    <row r="1227" spans="1:13" x14ac:dyDescent="0.25">
      <c r="A1227" t="s">
        <v>5766</v>
      </c>
      <c r="B1227" t="s">
        <v>3772</v>
      </c>
      <c r="C1227" s="1" t="s">
        <v>3829</v>
      </c>
      <c r="D1227" s="1" t="s">
        <v>9539</v>
      </c>
      <c r="E1227" t="s">
        <v>3830</v>
      </c>
      <c r="F1227" t="s">
        <v>9361</v>
      </c>
      <c r="G1227" t="s">
        <v>8480</v>
      </c>
      <c r="H1227" t="s">
        <v>9540</v>
      </c>
      <c r="I1227" t="s">
        <v>6184</v>
      </c>
      <c r="J1227" t="s">
        <v>9469</v>
      </c>
      <c r="K1227" t="s">
        <v>7993</v>
      </c>
      <c r="L1227" t="s">
        <v>7994</v>
      </c>
    </row>
    <row r="1228" spans="1:13" x14ac:dyDescent="0.25">
      <c r="A1228" t="s">
        <v>5766</v>
      </c>
      <c r="B1228" t="s">
        <v>3772</v>
      </c>
      <c r="C1228" s="1" t="s">
        <v>3832</v>
      </c>
      <c r="D1228" s="1" t="s">
        <v>9541</v>
      </c>
      <c r="E1228" t="s">
        <v>3833</v>
      </c>
      <c r="F1228" t="s">
        <v>9542</v>
      </c>
      <c r="G1228" t="s">
        <v>6294</v>
      </c>
      <c r="H1228" t="s">
        <v>9543</v>
      </c>
      <c r="I1228" t="s">
        <v>5816</v>
      </c>
      <c r="J1228" t="s">
        <v>9469</v>
      </c>
      <c r="K1228" t="s">
        <v>7993</v>
      </c>
      <c r="L1228" t="s">
        <v>7994</v>
      </c>
    </row>
    <row r="1229" spans="1:13" x14ac:dyDescent="0.25">
      <c r="A1229" t="s">
        <v>5766</v>
      </c>
      <c r="B1229" t="s">
        <v>3772</v>
      </c>
      <c r="C1229" s="1" t="s">
        <v>3835</v>
      </c>
      <c r="D1229" s="1" t="s">
        <v>9544</v>
      </c>
      <c r="E1229" t="s">
        <v>3836</v>
      </c>
      <c r="F1229" t="s">
        <v>9545</v>
      </c>
      <c r="G1229" t="s">
        <v>9546</v>
      </c>
      <c r="H1229" t="s">
        <v>9547</v>
      </c>
      <c r="I1229" t="s">
        <v>6713</v>
      </c>
      <c r="J1229" t="s">
        <v>9469</v>
      </c>
      <c r="K1229" t="s">
        <v>7993</v>
      </c>
      <c r="L1229" t="s">
        <v>7994</v>
      </c>
    </row>
    <row r="1230" spans="1:13" x14ac:dyDescent="0.25">
      <c r="A1230" t="s">
        <v>5766</v>
      </c>
      <c r="B1230" t="s">
        <v>3772</v>
      </c>
      <c r="C1230" s="1" t="s">
        <v>3838</v>
      </c>
      <c r="D1230" s="1" t="s">
        <v>9548</v>
      </c>
      <c r="E1230" t="s">
        <v>3839</v>
      </c>
      <c r="F1230" t="s">
        <v>9549</v>
      </c>
      <c r="G1230" t="s">
        <v>9550</v>
      </c>
      <c r="H1230" t="s">
        <v>9551</v>
      </c>
      <c r="I1230" t="s">
        <v>9552</v>
      </c>
      <c r="J1230" t="s">
        <v>9469</v>
      </c>
      <c r="K1230" t="s">
        <v>7993</v>
      </c>
      <c r="L1230" t="s">
        <v>7994</v>
      </c>
    </row>
    <row r="1231" spans="1:13" x14ac:dyDescent="0.25">
      <c r="A1231" t="s">
        <v>5766</v>
      </c>
      <c r="B1231" t="s">
        <v>3772</v>
      </c>
      <c r="C1231" s="1" t="s">
        <v>3841</v>
      </c>
      <c r="D1231" s="1" t="s">
        <v>9553</v>
      </c>
      <c r="E1231" t="s">
        <v>3842</v>
      </c>
      <c r="F1231" t="s">
        <v>9554</v>
      </c>
      <c r="G1231" t="s">
        <v>9555</v>
      </c>
      <c r="H1231" t="s">
        <v>9556</v>
      </c>
      <c r="I1231" t="s">
        <v>6149</v>
      </c>
      <c r="J1231" t="s">
        <v>9469</v>
      </c>
      <c r="K1231" t="s">
        <v>7993</v>
      </c>
      <c r="L1231" t="s">
        <v>7994</v>
      </c>
    </row>
    <row r="1232" spans="1:13" x14ac:dyDescent="0.25">
      <c r="A1232" t="s">
        <v>5766</v>
      </c>
      <c r="B1232" t="s">
        <v>3772</v>
      </c>
      <c r="C1232" s="1" t="s">
        <v>3844</v>
      </c>
      <c r="D1232" s="1" t="s">
        <v>9557</v>
      </c>
      <c r="E1232" t="s">
        <v>3845</v>
      </c>
      <c r="F1232" t="s">
        <v>9558</v>
      </c>
      <c r="G1232" t="s">
        <v>9559</v>
      </c>
      <c r="H1232" t="s">
        <v>9560</v>
      </c>
      <c r="I1232" t="s">
        <v>9561</v>
      </c>
      <c r="J1232" t="s">
        <v>9469</v>
      </c>
      <c r="K1232" t="s">
        <v>7993</v>
      </c>
      <c r="L1232" t="s">
        <v>7994</v>
      </c>
    </row>
    <row r="1233" spans="1:12" x14ac:dyDescent="0.25">
      <c r="A1233" t="s">
        <v>5766</v>
      </c>
      <c r="B1233" t="s">
        <v>3772</v>
      </c>
      <c r="C1233" s="1" t="s">
        <v>3847</v>
      </c>
      <c r="D1233" s="1" t="s">
        <v>9562</v>
      </c>
      <c r="E1233" t="s">
        <v>3848</v>
      </c>
      <c r="F1233" t="s">
        <v>9563</v>
      </c>
      <c r="G1233" t="s">
        <v>9564</v>
      </c>
      <c r="H1233" t="s">
        <v>9565</v>
      </c>
      <c r="I1233" t="s">
        <v>9566</v>
      </c>
      <c r="J1233" t="s">
        <v>9469</v>
      </c>
      <c r="K1233" t="s">
        <v>7993</v>
      </c>
      <c r="L1233" t="s">
        <v>7994</v>
      </c>
    </row>
    <row r="1234" spans="1:12" x14ac:dyDescent="0.25">
      <c r="A1234" t="s">
        <v>5766</v>
      </c>
      <c r="B1234" t="s">
        <v>3772</v>
      </c>
      <c r="C1234" s="1" t="s">
        <v>3850</v>
      </c>
      <c r="D1234" s="1" t="s">
        <v>9567</v>
      </c>
      <c r="E1234" t="s">
        <v>3851</v>
      </c>
      <c r="F1234" t="s">
        <v>9491</v>
      </c>
      <c r="G1234" t="s">
        <v>9568</v>
      </c>
      <c r="H1234" t="s">
        <v>9569</v>
      </c>
      <c r="I1234" t="s">
        <v>8884</v>
      </c>
      <c r="J1234" t="s">
        <v>9469</v>
      </c>
      <c r="K1234" t="s">
        <v>7993</v>
      </c>
      <c r="L1234" t="s">
        <v>7994</v>
      </c>
    </row>
    <row r="1235" spans="1:12" x14ac:dyDescent="0.25">
      <c r="A1235" t="s">
        <v>5766</v>
      </c>
      <c r="B1235" t="s">
        <v>3772</v>
      </c>
      <c r="C1235" s="1" t="s">
        <v>3853</v>
      </c>
      <c r="D1235" s="1" t="s">
        <v>9570</v>
      </c>
      <c r="E1235" t="s">
        <v>3854</v>
      </c>
      <c r="F1235" t="s">
        <v>9571</v>
      </c>
      <c r="G1235" t="s">
        <v>9572</v>
      </c>
      <c r="H1235" t="s">
        <v>9573</v>
      </c>
      <c r="I1235" t="s">
        <v>8962</v>
      </c>
      <c r="J1235" t="s">
        <v>9469</v>
      </c>
      <c r="K1235" t="s">
        <v>7993</v>
      </c>
      <c r="L1235" t="s">
        <v>7994</v>
      </c>
    </row>
    <row r="1236" spans="1:12" x14ac:dyDescent="0.25">
      <c r="A1236" t="s">
        <v>5766</v>
      </c>
      <c r="B1236" t="s">
        <v>3772</v>
      </c>
      <c r="C1236" s="1" t="s">
        <v>3856</v>
      </c>
      <c r="D1236" s="1" t="s">
        <v>9574</v>
      </c>
      <c r="E1236" t="s">
        <v>3857</v>
      </c>
      <c r="F1236" t="s">
        <v>9575</v>
      </c>
      <c r="G1236" t="s">
        <v>9576</v>
      </c>
      <c r="H1236" t="s">
        <v>9577</v>
      </c>
      <c r="I1236" t="s">
        <v>6286</v>
      </c>
      <c r="J1236" t="s">
        <v>9469</v>
      </c>
      <c r="K1236" t="s">
        <v>7993</v>
      </c>
      <c r="L1236" t="s">
        <v>7994</v>
      </c>
    </row>
    <row r="1237" spans="1:12" x14ac:dyDescent="0.25">
      <c r="A1237" t="s">
        <v>5766</v>
      </c>
      <c r="B1237" t="s">
        <v>3772</v>
      </c>
      <c r="C1237" s="1" t="s">
        <v>3859</v>
      </c>
      <c r="D1237" s="1" t="s">
        <v>9578</v>
      </c>
      <c r="E1237" t="s">
        <v>3860</v>
      </c>
      <c r="F1237" t="s">
        <v>5940</v>
      </c>
      <c r="G1237" t="s">
        <v>9579</v>
      </c>
      <c r="H1237" t="s">
        <v>9580</v>
      </c>
      <c r="I1237" t="s">
        <v>9581</v>
      </c>
      <c r="J1237" t="s">
        <v>9469</v>
      </c>
      <c r="K1237" t="s">
        <v>7993</v>
      </c>
      <c r="L1237" t="s">
        <v>7994</v>
      </c>
    </row>
    <row r="1238" spans="1:12" x14ac:dyDescent="0.25">
      <c r="A1238" t="s">
        <v>5766</v>
      </c>
      <c r="B1238" t="s">
        <v>3772</v>
      </c>
      <c r="C1238" s="1" t="s">
        <v>3862</v>
      </c>
      <c r="D1238" s="1" t="s">
        <v>9582</v>
      </c>
      <c r="E1238" t="s">
        <v>3863</v>
      </c>
      <c r="F1238" t="s">
        <v>9583</v>
      </c>
      <c r="G1238" t="s">
        <v>9584</v>
      </c>
      <c r="H1238" t="s">
        <v>9585</v>
      </c>
      <c r="I1238" t="s">
        <v>7188</v>
      </c>
      <c r="J1238" t="s">
        <v>9469</v>
      </c>
      <c r="K1238" t="s">
        <v>7993</v>
      </c>
      <c r="L1238" t="s">
        <v>7994</v>
      </c>
    </row>
    <row r="1239" spans="1:12" x14ac:dyDescent="0.25">
      <c r="A1239" t="s">
        <v>5766</v>
      </c>
      <c r="B1239" t="s">
        <v>3772</v>
      </c>
      <c r="C1239" s="1" t="s">
        <v>3865</v>
      </c>
      <c r="D1239" s="1" t="s">
        <v>9586</v>
      </c>
      <c r="E1239" t="s">
        <v>3866</v>
      </c>
      <c r="F1239" t="s">
        <v>9379</v>
      </c>
      <c r="G1239" t="s">
        <v>9587</v>
      </c>
      <c r="H1239" t="s">
        <v>9588</v>
      </c>
      <c r="I1239" t="s">
        <v>9589</v>
      </c>
      <c r="J1239" t="s">
        <v>9469</v>
      </c>
      <c r="K1239" t="s">
        <v>7993</v>
      </c>
      <c r="L1239" t="s">
        <v>7994</v>
      </c>
    </row>
    <row r="1240" spans="1:12" x14ac:dyDescent="0.25">
      <c r="A1240" t="s">
        <v>5766</v>
      </c>
      <c r="B1240" t="s">
        <v>3772</v>
      </c>
      <c r="C1240" s="1" t="s">
        <v>3868</v>
      </c>
      <c r="D1240" s="1" t="s">
        <v>9590</v>
      </c>
      <c r="E1240" t="s">
        <v>3869</v>
      </c>
      <c r="F1240" t="s">
        <v>9591</v>
      </c>
      <c r="G1240" t="s">
        <v>9592</v>
      </c>
      <c r="H1240" t="s">
        <v>9593</v>
      </c>
      <c r="I1240" t="s">
        <v>6903</v>
      </c>
      <c r="J1240" t="s">
        <v>9469</v>
      </c>
      <c r="K1240" t="s">
        <v>7993</v>
      </c>
      <c r="L1240" t="s">
        <v>7994</v>
      </c>
    </row>
    <row r="1241" spans="1:12" x14ac:dyDescent="0.25">
      <c r="A1241" t="s">
        <v>5766</v>
      </c>
      <c r="B1241" t="s">
        <v>3772</v>
      </c>
      <c r="C1241" s="1" t="s">
        <v>3871</v>
      </c>
      <c r="D1241" s="1" t="s">
        <v>9594</v>
      </c>
      <c r="E1241" t="s">
        <v>3872</v>
      </c>
      <c r="F1241" t="s">
        <v>9595</v>
      </c>
      <c r="G1241" t="s">
        <v>9596</v>
      </c>
      <c r="H1241" t="s">
        <v>9597</v>
      </c>
      <c r="I1241" t="s">
        <v>9598</v>
      </c>
      <c r="J1241" t="s">
        <v>9469</v>
      </c>
      <c r="K1241" t="s">
        <v>7993</v>
      </c>
      <c r="L1241" t="s">
        <v>7994</v>
      </c>
    </row>
    <row r="1242" spans="1:12" x14ac:dyDescent="0.25">
      <c r="A1242" t="s">
        <v>5766</v>
      </c>
      <c r="B1242" t="s">
        <v>3772</v>
      </c>
      <c r="C1242" s="1" t="s">
        <v>3874</v>
      </c>
      <c r="D1242" s="1" t="s">
        <v>9599</v>
      </c>
      <c r="E1242" t="s">
        <v>3875</v>
      </c>
      <c r="F1242" t="s">
        <v>9600</v>
      </c>
      <c r="G1242" t="s">
        <v>9601</v>
      </c>
      <c r="H1242" t="s">
        <v>9602</v>
      </c>
      <c r="I1242" t="s">
        <v>6286</v>
      </c>
      <c r="J1242" t="s">
        <v>9469</v>
      </c>
      <c r="K1242" t="s">
        <v>7993</v>
      </c>
      <c r="L1242" t="s">
        <v>7994</v>
      </c>
    </row>
    <row r="1243" spans="1:12" x14ac:dyDescent="0.25">
      <c r="A1243" t="s">
        <v>5766</v>
      </c>
      <c r="B1243" t="s">
        <v>3772</v>
      </c>
      <c r="C1243" s="1" t="s">
        <v>3877</v>
      </c>
      <c r="D1243" s="1" t="s">
        <v>9603</v>
      </c>
      <c r="E1243" t="s">
        <v>3878</v>
      </c>
      <c r="F1243" t="s">
        <v>9604</v>
      </c>
      <c r="G1243" t="s">
        <v>9605</v>
      </c>
      <c r="H1243" t="s">
        <v>9606</v>
      </c>
      <c r="I1243" t="s">
        <v>6023</v>
      </c>
      <c r="J1243" t="s">
        <v>9469</v>
      </c>
      <c r="K1243" t="s">
        <v>7993</v>
      </c>
      <c r="L1243" t="s">
        <v>7994</v>
      </c>
    </row>
    <row r="1244" spans="1:12" x14ac:dyDescent="0.25">
      <c r="A1244" t="s">
        <v>5766</v>
      </c>
      <c r="B1244" t="s">
        <v>3772</v>
      </c>
      <c r="C1244" s="1" t="s">
        <v>3880</v>
      </c>
      <c r="D1244" s="1" t="s">
        <v>9607</v>
      </c>
      <c r="E1244" t="s">
        <v>3881</v>
      </c>
      <c r="F1244" t="s">
        <v>8612</v>
      </c>
      <c r="G1244" t="s">
        <v>9608</v>
      </c>
      <c r="H1244" t="s">
        <v>9609</v>
      </c>
      <c r="I1244" t="s">
        <v>9610</v>
      </c>
      <c r="J1244" t="s">
        <v>9469</v>
      </c>
      <c r="K1244" t="s">
        <v>7993</v>
      </c>
      <c r="L1244" t="s">
        <v>7994</v>
      </c>
    </row>
    <row r="1245" spans="1:12" x14ac:dyDescent="0.25">
      <c r="A1245" t="s">
        <v>5766</v>
      </c>
      <c r="B1245" t="s">
        <v>3772</v>
      </c>
      <c r="C1245" s="1" t="s">
        <v>3883</v>
      </c>
      <c r="D1245" s="1" t="s">
        <v>9611</v>
      </c>
      <c r="E1245" t="s">
        <v>3885</v>
      </c>
      <c r="F1245" t="s">
        <v>9612</v>
      </c>
      <c r="G1245" t="s">
        <v>9613</v>
      </c>
      <c r="H1245" t="s">
        <v>9614</v>
      </c>
      <c r="I1245" t="s">
        <v>6913</v>
      </c>
      <c r="J1245" t="s">
        <v>9469</v>
      </c>
      <c r="K1245" t="s">
        <v>7993</v>
      </c>
      <c r="L1245" t="s">
        <v>7994</v>
      </c>
    </row>
    <row r="1246" spans="1:12" x14ac:dyDescent="0.25">
      <c r="A1246" t="s">
        <v>5766</v>
      </c>
      <c r="B1246" t="s">
        <v>3772</v>
      </c>
      <c r="C1246" s="1" t="s">
        <v>3887</v>
      </c>
      <c r="D1246" s="1" t="s">
        <v>9615</v>
      </c>
      <c r="E1246" t="s">
        <v>3888</v>
      </c>
      <c r="F1246" t="s">
        <v>9466</v>
      </c>
      <c r="G1246" t="s">
        <v>9616</v>
      </c>
      <c r="H1246" t="s">
        <v>9617</v>
      </c>
      <c r="I1246" t="s">
        <v>7003</v>
      </c>
      <c r="J1246" t="s">
        <v>9469</v>
      </c>
      <c r="K1246" t="s">
        <v>7993</v>
      </c>
      <c r="L1246" t="s">
        <v>7994</v>
      </c>
    </row>
    <row r="1247" spans="1:12" x14ac:dyDescent="0.25">
      <c r="A1247" t="s">
        <v>5766</v>
      </c>
      <c r="B1247" t="s">
        <v>3772</v>
      </c>
      <c r="C1247" s="1" t="s">
        <v>3890</v>
      </c>
      <c r="D1247" s="1" t="s">
        <v>9618</v>
      </c>
      <c r="E1247" t="s">
        <v>3891</v>
      </c>
      <c r="F1247" t="s">
        <v>9619</v>
      </c>
      <c r="G1247" t="s">
        <v>9620</v>
      </c>
      <c r="H1247" t="s">
        <v>9621</v>
      </c>
      <c r="I1247" t="s">
        <v>9622</v>
      </c>
      <c r="J1247" t="s">
        <v>9469</v>
      </c>
      <c r="K1247" t="s">
        <v>7993</v>
      </c>
      <c r="L1247" t="s">
        <v>7994</v>
      </c>
    </row>
    <row r="1248" spans="1:12" x14ac:dyDescent="0.25">
      <c r="A1248" t="s">
        <v>5766</v>
      </c>
      <c r="B1248" t="s">
        <v>3772</v>
      </c>
      <c r="C1248" s="1" t="s">
        <v>3893</v>
      </c>
      <c r="D1248" s="1" t="s">
        <v>9623</v>
      </c>
      <c r="E1248" t="s">
        <v>3894</v>
      </c>
      <c r="F1248" t="s">
        <v>9624</v>
      </c>
      <c r="G1248" t="s">
        <v>9625</v>
      </c>
      <c r="H1248" t="s">
        <v>9626</v>
      </c>
      <c r="I1248" t="s">
        <v>9627</v>
      </c>
      <c r="J1248" t="s">
        <v>9469</v>
      </c>
      <c r="K1248" t="s">
        <v>7993</v>
      </c>
      <c r="L1248" t="s">
        <v>7994</v>
      </c>
    </row>
    <row r="1249" spans="1:12" x14ac:dyDescent="0.25">
      <c r="A1249" t="s">
        <v>5766</v>
      </c>
      <c r="B1249" t="s">
        <v>3772</v>
      </c>
      <c r="C1249" s="1" t="s">
        <v>3896</v>
      </c>
      <c r="D1249" s="1" t="s">
        <v>9628</v>
      </c>
      <c r="E1249" t="s">
        <v>3897</v>
      </c>
      <c r="F1249" t="s">
        <v>9629</v>
      </c>
      <c r="G1249" t="s">
        <v>9630</v>
      </c>
      <c r="H1249" t="s">
        <v>9631</v>
      </c>
      <c r="I1249" t="s">
        <v>9632</v>
      </c>
      <c r="J1249" t="s">
        <v>9469</v>
      </c>
      <c r="K1249" t="s">
        <v>7993</v>
      </c>
      <c r="L1249" t="s">
        <v>7994</v>
      </c>
    </row>
    <row r="1250" spans="1:12" x14ac:dyDescent="0.25">
      <c r="A1250" t="s">
        <v>5766</v>
      </c>
      <c r="B1250" t="s">
        <v>3772</v>
      </c>
      <c r="C1250" s="1" t="s">
        <v>3899</v>
      </c>
      <c r="D1250" s="1" t="s">
        <v>9633</v>
      </c>
      <c r="E1250" t="s">
        <v>3900</v>
      </c>
      <c r="F1250" t="s">
        <v>9629</v>
      </c>
      <c r="G1250" t="s">
        <v>9634</v>
      </c>
      <c r="H1250" t="s">
        <v>9635</v>
      </c>
      <c r="I1250" t="s">
        <v>8390</v>
      </c>
      <c r="J1250" t="s">
        <v>9469</v>
      </c>
      <c r="K1250" t="s">
        <v>7993</v>
      </c>
      <c r="L1250" t="s">
        <v>7994</v>
      </c>
    </row>
    <row r="1251" spans="1:12" x14ac:dyDescent="0.25">
      <c r="A1251" t="s">
        <v>5766</v>
      </c>
      <c r="B1251" t="s">
        <v>3772</v>
      </c>
      <c r="C1251" s="1" t="s">
        <v>3902</v>
      </c>
      <c r="D1251" s="1" t="s">
        <v>9636</v>
      </c>
      <c r="E1251" t="s">
        <v>3903</v>
      </c>
      <c r="F1251" t="s">
        <v>9637</v>
      </c>
      <c r="G1251" t="s">
        <v>9638</v>
      </c>
      <c r="H1251" t="s">
        <v>9639</v>
      </c>
      <c r="I1251" t="s">
        <v>7093</v>
      </c>
      <c r="J1251" t="s">
        <v>9469</v>
      </c>
      <c r="K1251" t="s">
        <v>7993</v>
      </c>
      <c r="L1251" t="s">
        <v>7994</v>
      </c>
    </row>
    <row r="1252" spans="1:12" x14ac:dyDescent="0.25">
      <c r="A1252" t="s">
        <v>5766</v>
      </c>
      <c r="B1252" t="s">
        <v>3772</v>
      </c>
      <c r="C1252" s="1" t="s">
        <v>3905</v>
      </c>
      <c r="D1252" s="1" t="s">
        <v>9640</v>
      </c>
      <c r="E1252" t="s">
        <v>3906</v>
      </c>
      <c r="F1252" t="s">
        <v>9641</v>
      </c>
      <c r="G1252" t="s">
        <v>9642</v>
      </c>
      <c r="H1252" t="s">
        <v>9643</v>
      </c>
      <c r="I1252" t="s">
        <v>8863</v>
      </c>
      <c r="J1252" t="s">
        <v>9469</v>
      </c>
      <c r="K1252" t="s">
        <v>7993</v>
      </c>
      <c r="L1252" t="s">
        <v>7994</v>
      </c>
    </row>
    <row r="1253" spans="1:12" x14ac:dyDescent="0.25">
      <c r="A1253" t="s">
        <v>5766</v>
      </c>
      <c r="B1253" t="s">
        <v>3772</v>
      </c>
      <c r="C1253" s="1" t="s">
        <v>3908</v>
      </c>
      <c r="D1253" s="1" t="s">
        <v>9644</v>
      </c>
      <c r="E1253" t="s">
        <v>3909</v>
      </c>
      <c r="F1253" t="s">
        <v>9645</v>
      </c>
      <c r="G1253" t="s">
        <v>9646</v>
      </c>
      <c r="H1253" t="s">
        <v>9647</v>
      </c>
      <c r="I1253" t="s">
        <v>9648</v>
      </c>
      <c r="J1253" t="s">
        <v>9469</v>
      </c>
      <c r="K1253" t="s">
        <v>7993</v>
      </c>
      <c r="L1253" t="s">
        <v>7994</v>
      </c>
    </row>
    <row r="1254" spans="1:12" x14ac:dyDescent="0.25">
      <c r="A1254" t="s">
        <v>5766</v>
      </c>
      <c r="B1254" t="s">
        <v>3772</v>
      </c>
      <c r="C1254" s="1" t="s">
        <v>3911</v>
      </c>
      <c r="D1254" s="1" t="s">
        <v>9649</v>
      </c>
      <c r="E1254" t="s">
        <v>3912</v>
      </c>
      <c r="F1254" t="s">
        <v>9650</v>
      </c>
      <c r="G1254" t="s">
        <v>8123</v>
      </c>
      <c r="H1254" t="s">
        <v>9651</v>
      </c>
      <c r="I1254" t="s">
        <v>7478</v>
      </c>
      <c r="J1254" t="s">
        <v>9469</v>
      </c>
      <c r="K1254" t="s">
        <v>7993</v>
      </c>
      <c r="L1254" t="s">
        <v>7994</v>
      </c>
    </row>
    <row r="1255" spans="1:12" x14ac:dyDescent="0.25">
      <c r="A1255" t="s">
        <v>5766</v>
      </c>
      <c r="B1255" t="s">
        <v>3772</v>
      </c>
      <c r="C1255" s="1" t="s">
        <v>3914</v>
      </c>
      <c r="D1255" s="1" t="s">
        <v>9652</v>
      </c>
      <c r="E1255" t="s">
        <v>3915</v>
      </c>
      <c r="F1255" t="s">
        <v>9417</v>
      </c>
      <c r="G1255" t="s">
        <v>9653</v>
      </c>
      <c r="H1255" t="s">
        <v>9654</v>
      </c>
      <c r="I1255" t="s">
        <v>5920</v>
      </c>
      <c r="J1255" t="s">
        <v>9469</v>
      </c>
      <c r="K1255" t="s">
        <v>7993</v>
      </c>
      <c r="L1255" t="s">
        <v>7994</v>
      </c>
    </row>
    <row r="1256" spans="1:12" x14ac:dyDescent="0.25">
      <c r="A1256" t="s">
        <v>5766</v>
      </c>
      <c r="B1256" t="s">
        <v>3772</v>
      </c>
      <c r="C1256" s="1" t="s">
        <v>3917</v>
      </c>
      <c r="D1256" s="1" t="s">
        <v>9655</v>
      </c>
      <c r="E1256" t="s">
        <v>3918</v>
      </c>
      <c r="F1256" t="s">
        <v>9656</v>
      </c>
      <c r="G1256" t="s">
        <v>9657</v>
      </c>
      <c r="H1256" t="s">
        <v>9658</v>
      </c>
      <c r="I1256" t="s">
        <v>6192</v>
      </c>
      <c r="J1256" t="s">
        <v>9469</v>
      </c>
      <c r="K1256" t="s">
        <v>7993</v>
      </c>
      <c r="L1256" t="s">
        <v>7994</v>
      </c>
    </row>
    <row r="1257" spans="1:12" x14ac:dyDescent="0.25">
      <c r="A1257" t="s">
        <v>5766</v>
      </c>
      <c r="B1257" t="s">
        <v>3772</v>
      </c>
      <c r="C1257" s="1" t="s">
        <v>3920</v>
      </c>
      <c r="D1257" s="1" t="s">
        <v>9659</v>
      </c>
      <c r="E1257" t="s">
        <v>3921</v>
      </c>
      <c r="F1257" t="s">
        <v>9660</v>
      </c>
      <c r="G1257" t="s">
        <v>9661</v>
      </c>
      <c r="H1257" t="s">
        <v>9662</v>
      </c>
      <c r="I1257" t="s">
        <v>6116</v>
      </c>
      <c r="J1257" t="s">
        <v>9469</v>
      </c>
      <c r="K1257" t="s">
        <v>7993</v>
      </c>
      <c r="L1257" t="s">
        <v>7994</v>
      </c>
    </row>
    <row r="1258" spans="1:12" x14ac:dyDescent="0.25">
      <c r="A1258" t="s">
        <v>5766</v>
      </c>
      <c r="B1258" t="s">
        <v>3772</v>
      </c>
      <c r="C1258" s="1" t="s">
        <v>3923</v>
      </c>
      <c r="D1258" s="1" t="s">
        <v>9663</v>
      </c>
      <c r="E1258" t="s">
        <v>3924</v>
      </c>
      <c r="F1258" t="s">
        <v>9542</v>
      </c>
      <c r="G1258" t="s">
        <v>9664</v>
      </c>
      <c r="H1258" t="s">
        <v>9665</v>
      </c>
      <c r="I1258" t="s">
        <v>5920</v>
      </c>
      <c r="J1258" t="s">
        <v>9469</v>
      </c>
      <c r="K1258" t="s">
        <v>7993</v>
      </c>
      <c r="L1258" t="s">
        <v>7994</v>
      </c>
    </row>
    <row r="1259" spans="1:12" x14ac:dyDescent="0.25">
      <c r="A1259" t="s">
        <v>5766</v>
      </c>
      <c r="B1259" t="s">
        <v>3772</v>
      </c>
      <c r="C1259" s="1" t="s">
        <v>3926</v>
      </c>
      <c r="D1259" s="1" t="s">
        <v>9666</v>
      </c>
      <c r="E1259" t="s">
        <v>3927</v>
      </c>
      <c r="F1259" t="s">
        <v>9667</v>
      </c>
      <c r="G1259" t="s">
        <v>9668</v>
      </c>
      <c r="H1259" t="s">
        <v>9669</v>
      </c>
      <c r="I1259" t="s">
        <v>6798</v>
      </c>
      <c r="J1259" t="s">
        <v>9469</v>
      </c>
      <c r="K1259" t="s">
        <v>7993</v>
      </c>
      <c r="L1259" t="s">
        <v>7994</v>
      </c>
    </row>
    <row r="1260" spans="1:12" x14ac:dyDescent="0.25">
      <c r="A1260" t="s">
        <v>5766</v>
      </c>
      <c r="B1260" t="s">
        <v>3772</v>
      </c>
      <c r="C1260" s="1" t="s">
        <v>3929</v>
      </c>
      <c r="D1260" s="1" t="s">
        <v>9670</v>
      </c>
      <c r="E1260" t="s">
        <v>3930</v>
      </c>
      <c r="F1260" t="s">
        <v>9361</v>
      </c>
      <c r="G1260" t="s">
        <v>9671</v>
      </c>
      <c r="H1260" t="s">
        <v>9672</v>
      </c>
      <c r="I1260" t="s">
        <v>7335</v>
      </c>
      <c r="J1260" t="s">
        <v>9469</v>
      </c>
      <c r="K1260" t="s">
        <v>7993</v>
      </c>
      <c r="L1260" t="s">
        <v>7994</v>
      </c>
    </row>
    <row r="1261" spans="1:12" x14ac:dyDescent="0.25">
      <c r="A1261" t="s">
        <v>5766</v>
      </c>
      <c r="B1261" t="s">
        <v>3772</v>
      </c>
      <c r="C1261" s="1" t="s">
        <v>3932</v>
      </c>
      <c r="D1261" s="1" t="s">
        <v>9673</v>
      </c>
      <c r="E1261" t="s">
        <v>3933</v>
      </c>
      <c r="F1261" t="s">
        <v>8612</v>
      </c>
      <c r="G1261" t="s">
        <v>9674</v>
      </c>
      <c r="H1261" t="s">
        <v>9675</v>
      </c>
      <c r="I1261" t="s">
        <v>9676</v>
      </c>
      <c r="J1261" t="s">
        <v>9469</v>
      </c>
      <c r="K1261" t="s">
        <v>7993</v>
      </c>
      <c r="L1261" t="s">
        <v>7994</v>
      </c>
    </row>
    <row r="1262" spans="1:12" x14ac:dyDescent="0.25">
      <c r="A1262" t="s">
        <v>5766</v>
      </c>
      <c r="B1262" t="s">
        <v>3772</v>
      </c>
      <c r="C1262" s="1" t="s">
        <v>3935</v>
      </c>
      <c r="D1262" s="1" t="s">
        <v>9677</v>
      </c>
      <c r="E1262" t="s">
        <v>3936</v>
      </c>
      <c r="F1262" t="s">
        <v>9645</v>
      </c>
      <c r="G1262" t="s">
        <v>9678</v>
      </c>
      <c r="H1262" t="s">
        <v>9679</v>
      </c>
      <c r="I1262" t="s">
        <v>6144</v>
      </c>
      <c r="J1262" t="s">
        <v>9469</v>
      </c>
      <c r="K1262" t="s">
        <v>7993</v>
      </c>
      <c r="L1262" t="s">
        <v>7994</v>
      </c>
    </row>
    <row r="1263" spans="1:12" x14ac:dyDescent="0.25">
      <c r="A1263" t="s">
        <v>5766</v>
      </c>
      <c r="B1263" t="s">
        <v>3772</v>
      </c>
      <c r="C1263" s="1" t="s">
        <v>3938</v>
      </c>
      <c r="D1263" s="1" t="s">
        <v>9680</v>
      </c>
      <c r="E1263" t="s">
        <v>3939</v>
      </c>
      <c r="F1263" t="s">
        <v>9681</v>
      </c>
      <c r="G1263" t="s">
        <v>9682</v>
      </c>
      <c r="H1263" t="s">
        <v>9683</v>
      </c>
      <c r="I1263" t="s">
        <v>7363</v>
      </c>
      <c r="J1263" t="s">
        <v>9469</v>
      </c>
      <c r="K1263" t="s">
        <v>7993</v>
      </c>
      <c r="L1263" t="s">
        <v>7994</v>
      </c>
    </row>
    <row r="1264" spans="1:12" x14ac:dyDescent="0.25">
      <c r="A1264" t="s">
        <v>5766</v>
      </c>
      <c r="B1264" t="s">
        <v>3772</v>
      </c>
      <c r="C1264" s="1" t="s">
        <v>3941</v>
      </c>
      <c r="D1264" s="1" t="s">
        <v>9684</v>
      </c>
      <c r="E1264" t="s">
        <v>3942</v>
      </c>
      <c r="F1264" t="s">
        <v>9685</v>
      </c>
      <c r="G1264" t="s">
        <v>9686</v>
      </c>
      <c r="H1264" t="s">
        <v>9687</v>
      </c>
      <c r="I1264" t="s">
        <v>8528</v>
      </c>
      <c r="J1264" t="s">
        <v>9469</v>
      </c>
      <c r="K1264" t="s">
        <v>7993</v>
      </c>
      <c r="L1264" t="s">
        <v>7994</v>
      </c>
    </row>
    <row r="1265" spans="1:13" x14ac:dyDescent="0.25">
      <c r="A1265" t="s">
        <v>5766</v>
      </c>
      <c r="B1265" t="s">
        <v>3772</v>
      </c>
      <c r="C1265" s="1" t="s">
        <v>3944</v>
      </c>
      <c r="D1265" s="1" t="s">
        <v>9688</v>
      </c>
      <c r="E1265" t="s">
        <v>3945</v>
      </c>
      <c r="F1265" t="s">
        <v>9689</v>
      </c>
      <c r="G1265" t="s">
        <v>9690</v>
      </c>
      <c r="H1265" t="s">
        <v>9691</v>
      </c>
      <c r="I1265" t="s">
        <v>9692</v>
      </c>
      <c r="J1265" t="s">
        <v>9469</v>
      </c>
      <c r="K1265" t="s">
        <v>7993</v>
      </c>
      <c r="L1265" t="s">
        <v>7994</v>
      </c>
    </row>
    <row r="1266" spans="1:13" x14ac:dyDescent="0.25">
      <c r="A1266" t="s">
        <v>5766</v>
      </c>
      <c r="B1266" t="s">
        <v>3772</v>
      </c>
      <c r="C1266" s="1" t="s">
        <v>3947</v>
      </c>
      <c r="D1266" s="1" t="s">
        <v>9693</v>
      </c>
      <c r="E1266" t="s">
        <v>3948</v>
      </c>
      <c r="F1266" t="s">
        <v>6297</v>
      </c>
      <c r="G1266" t="s">
        <v>9694</v>
      </c>
      <c r="H1266" t="s">
        <v>9695</v>
      </c>
      <c r="I1266" t="s">
        <v>7497</v>
      </c>
      <c r="J1266" t="s">
        <v>9469</v>
      </c>
      <c r="K1266" t="s">
        <v>7993</v>
      </c>
      <c r="L1266" t="s">
        <v>7994</v>
      </c>
    </row>
    <row r="1267" spans="1:13" x14ac:dyDescent="0.25">
      <c r="A1267" t="s">
        <v>5766</v>
      </c>
      <c r="B1267" t="s">
        <v>3772</v>
      </c>
      <c r="C1267" s="1" t="s">
        <v>52</v>
      </c>
      <c r="D1267" s="1" t="s">
        <v>52</v>
      </c>
      <c r="E1267" t="s">
        <v>5767</v>
      </c>
      <c r="F1267" t="s">
        <v>9696</v>
      </c>
      <c r="G1267" t="s">
        <v>5769</v>
      </c>
      <c r="H1267" t="s">
        <v>9697</v>
      </c>
      <c r="I1267" t="s">
        <v>8160</v>
      </c>
      <c r="J1267" t="s">
        <v>9469</v>
      </c>
      <c r="K1267" t="s">
        <v>7993</v>
      </c>
      <c r="L1267" t="s">
        <v>7994</v>
      </c>
      <c r="M1267" t="s">
        <v>65</v>
      </c>
    </row>
    <row r="1268" spans="1:13" x14ac:dyDescent="0.25">
      <c r="A1268" t="s">
        <v>5766</v>
      </c>
      <c r="B1268" t="s">
        <v>3949</v>
      </c>
      <c r="C1268" s="1" t="s">
        <v>2595</v>
      </c>
      <c r="D1268" s="1" t="s">
        <v>2595</v>
      </c>
      <c r="E1268" t="s">
        <v>2596</v>
      </c>
      <c r="F1268" t="s">
        <v>7989</v>
      </c>
      <c r="G1268" t="s">
        <v>7990</v>
      </c>
      <c r="H1268" t="s">
        <v>2608</v>
      </c>
      <c r="I1268" t="s">
        <v>9698</v>
      </c>
      <c r="J1268" t="s">
        <v>9699</v>
      </c>
      <c r="K1268" t="s">
        <v>7993</v>
      </c>
      <c r="L1268" t="s">
        <v>7994</v>
      </c>
    </row>
    <row r="1269" spans="1:13" x14ac:dyDescent="0.25">
      <c r="A1269" t="s">
        <v>5766</v>
      </c>
      <c r="B1269" t="s">
        <v>3949</v>
      </c>
      <c r="C1269" s="1" t="s">
        <v>3951</v>
      </c>
      <c r="D1269" s="1" t="s">
        <v>3951</v>
      </c>
      <c r="E1269" t="s">
        <v>3952</v>
      </c>
      <c r="F1269" t="s">
        <v>7995</v>
      </c>
      <c r="G1269" t="s">
        <v>9700</v>
      </c>
      <c r="H1269" t="s">
        <v>3955</v>
      </c>
      <c r="I1269" t="s">
        <v>9701</v>
      </c>
      <c r="J1269" t="s">
        <v>9699</v>
      </c>
      <c r="K1269" t="s">
        <v>7993</v>
      </c>
      <c r="L1269" t="s">
        <v>7994</v>
      </c>
    </row>
    <row r="1270" spans="1:13" x14ac:dyDescent="0.25">
      <c r="A1270" t="s">
        <v>5766</v>
      </c>
      <c r="B1270" t="s">
        <v>3949</v>
      </c>
      <c r="C1270" s="1" t="s">
        <v>2624</v>
      </c>
      <c r="D1270" s="1" t="s">
        <v>2624</v>
      </c>
      <c r="E1270" t="s">
        <v>2625</v>
      </c>
      <c r="F1270" t="s">
        <v>7989</v>
      </c>
      <c r="G1270" t="s">
        <v>8000</v>
      </c>
      <c r="H1270" t="s">
        <v>2628</v>
      </c>
      <c r="I1270" t="s">
        <v>9702</v>
      </c>
      <c r="J1270" t="s">
        <v>9699</v>
      </c>
      <c r="K1270" t="s">
        <v>7993</v>
      </c>
      <c r="L1270" t="s">
        <v>7994</v>
      </c>
    </row>
    <row r="1271" spans="1:13" x14ac:dyDescent="0.25">
      <c r="A1271" t="s">
        <v>5766</v>
      </c>
      <c r="B1271" t="s">
        <v>3949</v>
      </c>
      <c r="C1271" s="1" t="s">
        <v>2631</v>
      </c>
      <c r="D1271" s="1" t="s">
        <v>2631</v>
      </c>
      <c r="E1271" t="s">
        <v>2632</v>
      </c>
      <c r="F1271" t="s">
        <v>9703</v>
      </c>
      <c r="G1271" t="s">
        <v>8003</v>
      </c>
      <c r="H1271" t="s">
        <v>9704</v>
      </c>
      <c r="I1271" t="s">
        <v>9705</v>
      </c>
      <c r="J1271" t="s">
        <v>9699</v>
      </c>
      <c r="K1271" t="s">
        <v>7993</v>
      </c>
      <c r="L1271" t="s">
        <v>7994</v>
      </c>
    </row>
    <row r="1272" spans="1:13" x14ac:dyDescent="0.25">
      <c r="A1272" t="s">
        <v>5766</v>
      </c>
      <c r="B1272" t="s">
        <v>3949</v>
      </c>
      <c r="C1272" s="1" t="s">
        <v>78</v>
      </c>
      <c r="D1272" s="1" t="s">
        <v>5780</v>
      </c>
      <c r="E1272" t="s">
        <v>5781</v>
      </c>
      <c r="F1272" t="s">
        <v>9706</v>
      </c>
      <c r="G1272" t="s">
        <v>5783</v>
      </c>
      <c r="H1272" t="s">
        <v>9707</v>
      </c>
      <c r="I1272" t="s">
        <v>9708</v>
      </c>
      <c r="J1272" t="s">
        <v>9699</v>
      </c>
      <c r="K1272" t="s">
        <v>7993</v>
      </c>
      <c r="L1272" t="s">
        <v>7994</v>
      </c>
      <c r="M1272" t="s">
        <v>65</v>
      </c>
    </row>
    <row r="1273" spans="1:13" x14ac:dyDescent="0.25">
      <c r="A1273" t="s">
        <v>5766</v>
      </c>
      <c r="B1273" t="s">
        <v>3949</v>
      </c>
      <c r="C1273" s="1" t="s">
        <v>52</v>
      </c>
      <c r="D1273" s="1" t="s">
        <v>52</v>
      </c>
      <c r="E1273" t="s">
        <v>5767</v>
      </c>
      <c r="F1273" t="s">
        <v>9709</v>
      </c>
      <c r="G1273" t="s">
        <v>5769</v>
      </c>
      <c r="H1273" t="s">
        <v>9710</v>
      </c>
      <c r="I1273" t="s">
        <v>6396</v>
      </c>
      <c r="J1273" t="s">
        <v>9699</v>
      </c>
      <c r="K1273" t="s">
        <v>7993</v>
      </c>
      <c r="L1273" t="s">
        <v>7994</v>
      </c>
      <c r="M1273" t="s">
        <v>65</v>
      </c>
    </row>
    <row r="1274" spans="1:13" x14ac:dyDescent="0.25">
      <c r="A1274" t="s">
        <v>5766</v>
      </c>
      <c r="B1274" t="s">
        <v>3958</v>
      </c>
      <c r="C1274" s="1" t="s">
        <v>2796</v>
      </c>
      <c r="D1274" s="1" t="s">
        <v>2796</v>
      </c>
      <c r="E1274" t="s">
        <v>2797</v>
      </c>
      <c r="F1274" t="s">
        <v>9711</v>
      </c>
      <c r="G1274" t="s">
        <v>8191</v>
      </c>
      <c r="H1274" t="s">
        <v>3959</v>
      </c>
      <c r="I1274" t="s">
        <v>9712</v>
      </c>
      <c r="J1274" t="s">
        <v>9713</v>
      </c>
      <c r="K1274" t="s">
        <v>9714</v>
      </c>
      <c r="L1274" t="s">
        <v>9715</v>
      </c>
    </row>
    <row r="1275" spans="1:13" x14ac:dyDescent="0.25">
      <c r="A1275" t="s">
        <v>5766</v>
      </c>
      <c r="B1275" t="s">
        <v>3958</v>
      </c>
      <c r="C1275" s="1" t="s">
        <v>3961</v>
      </c>
      <c r="D1275" s="1" t="s">
        <v>3961</v>
      </c>
      <c r="E1275" t="s">
        <v>3962</v>
      </c>
      <c r="F1275" t="s">
        <v>9716</v>
      </c>
      <c r="G1275" t="s">
        <v>9717</v>
      </c>
      <c r="H1275" t="s">
        <v>3965</v>
      </c>
      <c r="I1275" t="s">
        <v>9718</v>
      </c>
      <c r="J1275" t="s">
        <v>9713</v>
      </c>
      <c r="K1275" t="s">
        <v>9714</v>
      </c>
      <c r="L1275" t="s">
        <v>9715</v>
      </c>
    </row>
    <row r="1276" spans="1:13" x14ac:dyDescent="0.25">
      <c r="A1276" t="s">
        <v>5766</v>
      </c>
      <c r="B1276" t="s">
        <v>3958</v>
      </c>
      <c r="C1276" s="1" t="s">
        <v>3967</v>
      </c>
      <c r="D1276" s="1" t="s">
        <v>3967</v>
      </c>
      <c r="E1276" t="s">
        <v>3968</v>
      </c>
      <c r="F1276" t="s">
        <v>9711</v>
      </c>
      <c r="G1276" t="s">
        <v>9719</v>
      </c>
      <c r="H1276" t="s">
        <v>3971</v>
      </c>
      <c r="I1276" t="s">
        <v>9720</v>
      </c>
      <c r="J1276" t="s">
        <v>9713</v>
      </c>
      <c r="K1276" t="s">
        <v>9714</v>
      </c>
      <c r="L1276" t="s">
        <v>9715</v>
      </c>
    </row>
    <row r="1277" spans="1:13" x14ac:dyDescent="0.25">
      <c r="A1277" t="s">
        <v>5766</v>
      </c>
      <c r="B1277" t="s">
        <v>3958</v>
      </c>
      <c r="C1277" s="1" t="s">
        <v>2821</v>
      </c>
      <c r="D1277" s="1" t="s">
        <v>2821</v>
      </c>
      <c r="E1277" t="s">
        <v>2822</v>
      </c>
      <c r="F1277" t="s">
        <v>9721</v>
      </c>
      <c r="G1277" t="s">
        <v>8204</v>
      </c>
      <c r="H1277" t="s">
        <v>9722</v>
      </c>
      <c r="I1277" t="s">
        <v>9723</v>
      </c>
      <c r="J1277" t="s">
        <v>9713</v>
      </c>
      <c r="K1277" t="s">
        <v>9714</v>
      </c>
      <c r="L1277" t="s">
        <v>9715</v>
      </c>
    </row>
    <row r="1278" spans="1:13" x14ac:dyDescent="0.25">
      <c r="A1278" t="s">
        <v>5766</v>
      </c>
      <c r="B1278" t="s">
        <v>3958</v>
      </c>
      <c r="C1278" s="1" t="s">
        <v>78</v>
      </c>
      <c r="D1278" s="1" t="s">
        <v>5780</v>
      </c>
      <c r="E1278" t="s">
        <v>5781</v>
      </c>
      <c r="F1278" t="s">
        <v>9724</v>
      </c>
      <c r="G1278" t="s">
        <v>5783</v>
      </c>
      <c r="H1278" t="s">
        <v>9725</v>
      </c>
      <c r="I1278" t="s">
        <v>9062</v>
      </c>
      <c r="J1278" t="s">
        <v>9713</v>
      </c>
      <c r="K1278" t="s">
        <v>9714</v>
      </c>
      <c r="L1278" t="s">
        <v>9715</v>
      </c>
      <c r="M1278" t="s">
        <v>65</v>
      </c>
    </row>
    <row r="1279" spans="1:13" x14ac:dyDescent="0.25">
      <c r="A1279" t="s">
        <v>5766</v>
      </c>
      <c r="B1279" t="s">
        <v>3958</v>
      </c>
      <c r="C1279" s="1" t="s">
        <v>52</v>
      </c>
      <c r="D1279" s="1" t="s">
        <v>52</v>
      </c>
      <c r="E1279" t="s">
        <v>5767</v>
      </c>
      <c r="F1279" t="s">
        <v>9726</v>
      </c>
      <c r="G1279" t="s">
        <v>5769</v>
      </c>
      <c r="H1279" t="s">
        <v>9727</v>
      </c>
      <c r="I1279" t="s">
        <v>8211</v>
      </c>
      <c r="J1279" t="s">
        <v>9713</v>
      </c>
      <c r="K1279" t="s">
        <v>9714</v>
      </c>
      <c r="L1279" t="s">
        <v>9715</v>
      </c>
      <c r="M1279" t="s">
        <v>65</v>
      </c>
    </row>
    <row r="1280" spans="1:13" x14ac:dyDescent="0.25">
      <c r="A1280" t="s">
        <v>5766</v>
      </c>
      <c r="B1280" t="s">
        <v>3973</v>
      </c>
      <c r="C1280" s="1" t="s">
        <v>707</v>
      </c>
      <c r="D1280" s="1" t="s">
        <v>2648</v>
      </c>
      <c r="E1280" t="s">
        <v>708</v>
      </c>
      <c r="F1280" t="s">
        <v>9728</v>
      </c>
      <c r="G1280" t="s">
        <v>6723</v>
      </c>
      <c r="H1280" t="s">
        <v>9729</v>
      </c>
      <c r="I1280" t="s">
        <v>9730</v>
      </c>
      <c r="J1280" t="s">
        <v>9731</v>
      </c>
      <c r="K1280" t="s">
        <v>9732</v>
      </c>
      <c r="L1280" t="s">
        <v>9733</v>
      </c>
    </row>
    <row r="1281" spans="1:13" x14ac:dyDescent="0.25">
      <c r="A1281" t="s">
        <v>5766</v>
      </c>
      <c r="B1281" t="s">
        <v>3973</v>
      </c>
      <c r="C1281" s="1" t="s">
        <v>3975</v>
      </c>
      <c r="D1281" s="1" t="s">
        <v>9734</v>
      </c>
      <c r="E1281" t="s">
        <v>3976</v>
      </c>
      <c r="F1281" t="s">
        <v>9735</v>
      </c>
      <c r="G1281" t="s">
        <v>9736</v>
      </c>
      <c r="H1281" t="s">
        <v>9737</v>
      </c>
      <c r="I1281" t="s">
        <v>6036</v>
      </c>
      <c r="J1281" t="s">
        <v>9731</v>
      </c>
      <c r="K1281" t="s">
        <v>9732</v>
      </c>
      <c r="L1281" t="s">
        <v>9733</v>
      </c>
    </row>
    <row r="1282" spans="1:13" x14ac:dyDescent="0.25">
      <c r="A1282" t="s">
        <v>5766</v>
      </c>
      <c r="B1282" t="s">
        <v>3973</v>
      </c>
      <c r="C1282" s="1" t="s">
        <v>3192</v>
      </c>
      <c r="D1282" s="1" t="s">
        <v>8561</v>
      </c>
      <c r="E1282" t="s">
        <v>3193</v>
      </c>
      <c r="F1282" t="s">
        <v>9029</v>
      </c>
      <c r="G1282" t="s">
        <v>8563</v>
      </c>
      <c r="H1282" t="s">
        <v>9738</v>
      </c>
      <c r="I1282" t="s">
        <v>8866</v>
      </c>
      <c r="J1282" t="s">
        <v>9731</v>
      </c>
      <c r="K1282" t="s">
        <v>9732</v>
      </c>
      <c r="L1282" t="s">
        <v>9733</v>
      </c>
    </row>
    <row r="1283" spans="1:13" x14ac:dyDescent="0.25">
      <c r="A1283" t="s">
        <v>5766</v>
      </c>
      <c r="B1283" t="s">
        <v>3973</v>
      </c>
      <c r="C1283" s="1" t="s">
        <v>3978</v>
      </c>
      <c r="D1283" s="1" t="s">
        <v>9739</v>
      </c>
      <c r="E1283" t="s">
        <v>3979</v>
      </c>
      <c r="F1283" t="s">
        <v>9740</v>
      </c>
      <c r="G1283" t="s">
        <v>9741</v>
      </c>
      <c r="H1283" t="s">
        <v>9742</v>
      </c>
      <c r="I1283" t="s">
        <v>7401</v>
      </c>
      <c r="J1283" t="s">
        <v>9731</v>
      </c>
      <c r="K1283" t="s">
        <v>9732</v>
      </c>
      <c r="L1283" t="s">
        <v>9733</v>
      </c>
    </row>
    <row r="1284" spans="1:13" x14ac:dyDescent="0.25">
      <c r="A1284" t="s">
        <v>5766</v>
      </c>
      <c r="B1284" t="s">
        <v>3973</v>
      </c>
      <c r="C1284" s="1" t="s">
        <v>3198</v>
      </c>
      <c r="D1284" s="1" t="s">
        <v>8569</v>
      </c>
      <c r="E1284" t="s">
        <v>3199</v>
      </c>
      <c r="F1284" t="s">
        <v>9743</v>
      </c>
      <c r="G1284" t="s">
        <v>8571</v>
      </c>
      <c r="H1284" t="s">
        <v>9744</v>
      </c>
      <c r="I1284" t="s">
        <v>6321</v>
      </c>
      <c r="J1284" t="s">
        <v>9731</v>
      </c>
      <c r="K1284" t="s">
        <v>9732</v>
      </c>
      <c r="L1284" t="s">
        <v>9733</v>
      </c>
    </row>
    <row r="1285" spans="1:13" x14ac:dyDescent="0.25">
      <c r="A1285" t="s">
        <v>5766</v>
      </c>
      <c r="B1285" t="s">
        <v>3973</v>
      </c>
      <c r="C1285" s="1" t="s">
        <v>3214</v>
      </c>
      <c r="D1285" s="1" t="s">
        <v>8589</v>
      </c>
      <c r="E1285" t="s">
        <v>3215</v>
      </c>
      <c r="F1285" t="s">
        <v>9745</v>
      </c>
      <c r="G1285" t="s">
        <v>8591</v>
      </c>
      <c r="H1285" t="s">
        <v>9746</v>
      </c>
      <c r="I1285" t="s">
        <v>9747</v>
      </c>
      <c r="J1285" t="s">
        <v>9731</v>
      </c>
      <c r="K1285" t="s">
        <v>9732</v>
      </c>
      <c r="L1285" t="s">
        <v>9733</v>
      </c>
    </row>
    <row r="1286" spans="1:13" x14ac:dyDescent="0.25">
      <c r="A1286" t="s">
        <v>5766</v>
      </c>
      <c r="B1286" t="s">
        <v>3973</v>
      </c>
      <c r="C1286" s="1" t="s">
        <v>3981</v>
      </c>
      <c r="D1286" s="1" t="s">
        <v>9748</v>
      </c>
      <c r="E1286" t="s">
        <v>3982</v>
      </c>
      <c r="F1286" t="s">
        <v>9749</v>
      </c>
      <c r="G1286" t="s">
        <v>9750</v>
      </c>
      <c r="H1286" t="s">
        <v>9751</v>
      </c>
      <c r="I1286" t="s">
        <v>9752</v>
      </c>
      <c r="J1286" t="s">
        <v>9731</v>
      </c>
      <c r="K1286" t="s">
        <v>9732</v>
      </c>
      <c r="L1286" t="s">
        <v>9733</v>
      </c>
    </row>
    <row r="1287" spans="1:13" x14ac:dyDescent="0.25">
      <c r="A1287" t="s">
        <v>5766</v>
      </c>
      <c r="B1287" t="s">
        <v>3973</v>
      </c>
      <c r="C1287" s="1" t="s">
        <v>3984</v>
      </c>
      <c r="D1287" s="1" t="s">
        <v>9753</v>
      </c>
      <c r="E1287" t="s">
        <v>3986</v>
      </c>
      <c r="F1287" t="s">
        <v>9754</v>
      </c>
      <c r="G1287" t="s">
        <v>9755</v>
      </c>
      <c r="H1287" t="s">
        <v>9756</v>
      </c>
      <c r="I1287" t="s">
        <v>5988</v>
      </c>
      <c r="J1287" t="s">
        <v>9731</v>
      </c>
      <c r="K1287" t="s">
        <v>9732</v>
      </c>
      <c r="L1287" t="s">
        <v>9733</v>
      </c>
    </row>
    <row r="1288" spans="1:13" x14ac:dyDescent="0.25">
      <c r="A1288" t="s">
        <v>5766</v>
      </c>
      <c r="B1288" t="s">
        <v>3973</v>
      </c>
      <c r="C1288" s="1" t="s">
        <v>3988</v>
      </c>
      <c r="D1288" s="1" t="s">
        <v>9757</v>
      </c>
      <c r="E1288" t="s">
        <v>3989</v>
      </c>
      <c r="F1288" t="s">
        <v>9758</v>
      </c>
      <c r="G1288" t="s">
        <v>9759</v>
      </c>
      <c r="H1288" t="s">
        <v>9760</v>
      </c>
      <c r="I1288" t="s">
        <v>6278</v>
      </c>
      <c r="J1288" t="s">
        <v>9731</v>
      </c>
      <c r="K1288" t="s">
        <v>9732</v>
      </c>
      <c r="L1288" t="s">
        <v>9733</v>
      </c>
    </row>
    <row r="1289" spans="1:13" x14ac:dyDescent="0.25">
      <c r="A1289" t="s">
        <v>5766</v>
      </c>
      <c r="B1289" t="s">
        <v>3973</v>
      </c>
      <c r="C1289" s="1" t="s">
        <v>3991</v>
      </c>
      <c r="D1289" s="1" t="s">
        <v>9761</v>
      </c>
      <c r="E1289" t="s">
        <v>3992</v>
      </c>
      <c r="F1289" t="s">
        <v>9762</v>
      </c>
      <c r="G1289" t="s">
        <v>9763</v>
      </c>
      <c r="H1289" t="s">
        <v>9764</v>
      </c>
      <c r="I1289" t="s">
        <v>8644</v>
      </c>
      <c r="J1289" t="s">
        <v>9731</v>
      </c>
      <c r="K1289" t="s">
        <v>9732</v>
      </c>
      <c r="L1289" t="s">
        <v>9733</v>
      </c>
    </row>
    <row r="1290" spans="1:13" x14ac:dyDescent="0.25">
      <c r="A1290" t="s">
        <v>5766</v>
      </c>
      <c r="B1290" t="s">
        <v>3973</v>
      </c>
      <c r="C1290" s="1" t="s">
        <v>3994</v>
      </c>
      <c r="D1290" s="1" t="s">
        <v>9765</v>
      </c>
      <c r="E1290" t="s">
        <v>3995</v>
      </c>
      <c r="F1290" t="s">
        <v>9766</v>
      </c>
      <c r="G1290" t="s">
        <v>9767</v>
      </c>
      <c r="H1290" t="s">
        <v>9768</v>
      </c>
      <c r="I1290" t="s">
        <v>7353</v>
      </c>
      <c r="J1290" t="s">
        <v>9731</v>
      </c>
      <c r="K1290" t="s">
        <v>9732</v>
      </c>
      <c r="L1290" t="s">
        <v>9733</v>
      </c>
    </row>
    <row r="1291" spans="1:13" x14ac:dyDescent="0.25">
      <c r="A1291" t="s">
        <v>5766</v>
      </c>
      <c r="B1291" t="s">
        <v>3973</v>
      </c>
      <c r="C1291" s="1" t="s">
        <v>3217</v>
      </c>
      <c r="D1291" s="1" t="s">
        <v>8593</v>
      </c>
      <c r="E1291" t="s">
        <v>3219</v>
      </c>
      <c r="F1291" t="s">
        <v>9769</v>
      </c>
      <c r="G1291" t="s">
        <v>8595</v>
      </c>
      <c r="H1291" t="s">
        <v>9770</v>
      </c>
      <c r="I1291" t="s">
        <v>5859</v>
      </c>
      <c r="J1291" t="s">
        <v>9731</v>
      </c>
      <c r="K1291" t="s">
        <v>9732</v>
      </c>
      <c r="L1291" t="s">
        <v>9733</v>
      </c>
    </row>
    <row r="1292" spans="1:13" x14ac:dyDescent="0.25">
      <c r="A1292" t="s">
        <v>5766</v>
      </c>
      <c r="B1292" t="s">
        <v>3973</v>
      </c>
      <c r="C1292" s="1" t="s">
        <v>141</v>
      </c>
      <c r="D1292" s="1" t="s">
        <v>5870</v>
      </c>
      <c r="E1292" t="s">
        <v>142</v>
      </c>
      <c r="F1292" t="s">
        <v>9771</v>
      </c>
      <c r="G1292" t="s">
        <v>5872</v>
      </c>
      <c r="H1292" t="s">
        <v>9772</v>
      </c>
      <c r="I1292" t="s">
        <v>8425</v>
      </c>
      <c r="J1292" t="s">
        <v>9731</v>
      </c>
      <c r="K1292" t="s">
        <v>9732</v>
      </c>
      <c r="L1292" t="s">
        <v>9733</v>
      </c>
    </row>
    <row r="1293" spans="1:13" x14ac:dyDescent="0.25">
      <c r="A1293" t="s">
        <v>5766</v>
      </c>
      <c r="B1293" t="s">
        <v>3973</v>
      </c>
      <c r="C1293" s="1" t="s">
        <v>144</v>
      </c>
      <c r="D1293" s="1" t="s">
        <v>5875</v>
      </c>
      <c r="E1293" t="s">
        <v>145</v>
      </c>
      <c r="F1293" t="s">
        <v>9773</v>
      </c>
      <c r="G1293" t="s">
        <v>5877</v>
      </c>
      <c r="H1293" t="s">
        <v>9774</v>
      </c>
      <c r="I1293" t="s">
        <v>8236</v>
      </c>
      <c r="J1293" t="s">
        <v>9731</v>
      </c>
      <c r="K1293" t="s">
        <v>9732</v>
      </c>
      <c r="L1293" t="s">
        <v>9733</v>
      </c>
    </row>
    <row r="1294" spans="1:13" x14ac:dyDescent="0.25">
      <c r="A1294" t="s">
        <v>5766</v>
      </c>
      <c r="B1294" t="s">
        <v>3973</v>
      </c>
      <c r="C1294" s="1" t="s">
        <v>78</v>
      </c>
      <c r="D1294" s="1" t="s">
        <v>5780</v>
      </c>
      <c r="E1294" t="s">
        <v>5781</v>
      </c>
      <c r="F1294" t="s">
        <v>9775</v>
      </c>
      <c r="G1294" t="s">
        <v>5783</v>
      </c>
      <c r="H1294" t="s">
        <v>9776</v>
      </c>
      <c r="I1294" t="s">
        <v>8072</v>
      </c>
      <c r="J1294" t="s">
        <v>9731</v>
      </c>
      <c r="K1294" t="s">
        <v>9732</v>
      </c>
      <c r="L1294" t="s">
        <v>9733</v>
      </c>
      <c r="M1294" t="s">
        <v>65</v>
      </c>
    </row>
    <row r="1295" spans="1:13" x14ac:dyDescent="0.25">
      <c r="A1295" t="s">
        <v>5766</v>
      </c>
      <c r="B1295" t="s">
        <v>3973</v>
      </c>
      <c r="C1295" s="1" t="s">
        <v>3997</v>
      </c>
      <c r="D1295" s="1" t="s">
        <v>9777</v>
      </c>
      <c r="E1295" t="s">
        <v>3998</v>
      </c>
      <c r="F1295" t="s">
        <v>9778</v>
      </c>
      <c r="G1295" t="s">
        <v>9779</v>
      </c>
      <c r="H1295" t="s">
        <v>9780</v>
      </c>
      <c r="I1295" t="s">
        <v>8632</v>
      </c>
      <c r="J1295" t="s">
        <v>9731</v>
      </c>
      <c r="K1295" t="s">
        <v>9732</v>
      </c>
      <c r="L1295" t="s">
        <v>9733</v>
      </c>
    </row>
    <row r="1296" spans="1:13" x14ac:dyDescent="0.25">
      <c r="A1296" t="s">
        <v>5766</v>
      </c>
      <c r="B1296" t="s">
        <v>3973</v>
      </c>
      <c r="C1296" s="1" t="s">
        <v>4000</v>
      </c>
      <c r="D1296" s="1" t="s">
        <v>9781</v>
      </c>
      <c r="E1296" t="s">
        <v>4001</v>
      </c>
      <c r="F1296" t="s">
        <v>9782</v>
      </c>
      <c r="G1296" t="s">
        <v>9783</v>
      </c>
      <c r="H1296" t="s">
        <v>9784</v>
      </c>
      <c r="I1296" t="s">
        <v>9785</v>
      </c>
      <c r="J1296" t="s">
        <v>9731</v>
      </c>
      <c r="K1296" t="s">
        <v>9732</v>
      </c>
      <c r="L1296" t="s">
        <v>9733</v>
      </c>
    </row>
    <row r="1297" spans="1:12" x14ac:dyDescent="0.25">
      <c r="A1297" t="s">
        <v>5766</v>
      </c>
      <c r="B1297" t="s">
        <v>3973</v>
      </c>
      <c r="C1297" s="1" t="s">
        <v>4003</v>
      </c>
      <c r="D1297" s="1" t="s">
        <v>9786</v>
      </c>
      <c r="E1297" t="s">
        <v>4004</v>
      </c>
      <c r="F1297" t="s">
        <v>9787</v>
      </c>
      <c r="G1297" t="s">
        <v>9788</v>
      </c>
      <c r="H1297" t="s">
        <v>9789</v>
      </c>
      <c r="I1297" t="s">
        <v>8955</v>
      </c>
      <c r="J1297" t="s">
        <v>9731</v>
      </c>
      <c r="K1297" t="s">
        <v>9732</v>
      </c>
      <c r="L1297" t="s">
        <v>9733</v>
      </c>
    </row>
    <row r="1298" spans="1:12" x14ac:dyDescent="0.25">
      <c r="A1298" t="s">
        <v>5766</v>
      </c>
      <c r="B1298" t="s">
        <v>3973</v>
      </c>
      <c r="C1298" s="1" t="s">
        <v>4006</v>
      </c>
      <c r="D1298" s="1" t="s">
        <v>9790</v>
      </c>
      <c r="E1298" t="s">
        <v>4007</v>
      </c>
      <c r="F1298" t="s">
        <v>9791</v>
      </c>
      <c r="G1298" t="s">
        <v>9792</v>
      </c>
      <c r="H1298" t="s">
        <v>9793</v>
      </c>
      <c r="I1298" t="s">
        <v>8094</v>
      </c>
      <c r="J1298" t="s">
        <v>9731</v>
      </c>
      <c r="K1298" t="s">
        <v>9732</v>
      </c>
      <c r="L1298" t="s">
        <v>9733</v>
      </c>
    </row>
    <row r="1299" spans="1:12" x14ac:dyDescent="0.25">
      <c r="A1299" t="s">
        <v>5766</v>
      </c>
      <c r="B1299" t="s">
        <v>3973</v>
      </c>
      <c r="C1299" s="1" t="s">
        <v>4009</v>
      </c>
      <c r="D1299" s="1" t="s">
        <v>9794</v>
      </c>
      <c r="E1299" t="s">
        <v>4010</v>
      </c>
      <c r="F1299" t="s">
        <v>9795</v>
      </c>
      <c r="G1299" t="s">
        <v>9796</v>
      </c>
      <c r="H1299" t="s">
        <v>9797</v>
      </c>
      <c r="I1299" t="s">
        <v>9157</v>
      </c>
      <c r="J1299" t="s">
        <v>9731</v>
      </c>
      <c r="K1299" t="s">
        <v>9732</v>
      </c>
      <c r="L1299" t="s">
        <v>9733</v>
      </c>
    </row>
    <row r="1300" spans="1:12" x14ac:dyDescent="0.25">
      <c r="A1300" t="s">
        <v>5766</v>
      </c>
      <c r="B1300" t="s">
        <v>3973</v>
      </c>
      <c r="C1300" s="1" t="s">
        <v>3227</v>
      </c>
      <c r="D1300" s="1" t="s">
        <v>8611</v>
      </c>
      <c r="E1300" t="s">
        <v>3228</v>
      </c>
      <c r="F1300" t="s">
        <v>9762</v>
      </c>
      <c r="G1300" t="s">
        <v>8613</v>
      </c>
      <c r="H1300" t="s">
        <v>9798</v>
      </c>
      <c r="I1300" t="s">
        <v>6094</v>
      </c>
      <c r="J1300" t="s">
        <v>9731</v>
      </c>
      <c r="K1300" t="s">
        <v>9732</v>
      </c>
      <c r="L1300" t="s">
        <v>9733</v>
      </c>
    </row>
    <row r="1301" spans="1:12" x14ac:dyDescent="0.25">
      <c r="A1301" t="s">
        <v>5766</v>
      </c>
      <c r="B1301" t="s">
        <v>3973</v>
      </c>
      <c r="C1301" s="1" t="s">
        <v>3230</v>
      </c>
      <c r="D1301" s="1" t="s">
        <v>8615</v>
      </c>
      <c r="E1301" t="s">
        <v>3231</v>
      </c>
      <c r="F1301" t="s">
        <v>9799</v>
      </c>
      <c r="G1301" t="s">
        <v>8616</v>
      </c>
      <c r="H1301" t="s">
        <v>9800</v>
      </c>
      <c r="I1301" t="s">
        <v>9801</v>
      </c>
      <c r="J1301" t="s">
        <v>9731</v>
      </c>
      <c r="K1301" t="s">
        <v>9732</v>
      </c>
      <c r="L1301" t="s">
        <v>9733</v>
      </c>
    </row>
    <row r="1302" spans="1:12" x14ac:dyDescent="0.25">
      <c r="A1302" t="s">
        <v>5766</v>
      </c>
      <c r="B1302" t="s">
        <v>3973</v>
      </c>
      <c r="C1302" s="1" t="s">
        <v>4012</v>
      </c>
      <c r="D1302" s="1" t="s">
        <v>9802</v>
      </c>
      <c r="E1302" t="s">
        <v>4013</v>
      </c>
      <c r="F1302" t="s">
        <v>9803</v>
      </c>
      <c r="G1302" t="s">
        <v>5977</v>
      </c>
      <c r="H1302" t="s">
        <v>9804</v>
      </c>
      <c r="I1302" t="s">
        <v>6254</v>
      </c>
      <c r="J1302" t="s">
        <v>9731</v>
      </c>
      <c r="K1302" t="s">
        <v>9732</v>
      </c>
      <c r="L1302" t="s">
        <v>9733</v>
      </c>
    </row>
    <row r="1303" spans="1:12" x14ac:dyDescent="0.25">
      <c r="A1303" t="s">
        <v>5766</v>
      </c>
      <c r="B1303" t="s">
        <v>3973</v>
      </c>
      <c r="C1303" s="1" t="s">
        <v>4015</v>
      </c>
      <c r="D1303" s="1" t="s">
        <v>9805</v>
      </c>
      <c r="E1303" t="s">
        <v>4016</v>
      </c>
      <c r="F1303" t="s">
        <v>9806</v>
      </c>
      <c r="G1303" t="s">
        <v>9807</v>
      </c>
      <c r="H1303" t="s">
        <v>9808</v>
      </c>
      <c r="I1303" t="s">
        <v>9436</v>
      </c>
      <c r="J1303" t="s">
        <v>9731</v>
      </c>
      <c r="K1303" t="s">
        <v>9732</v>
      </c>
      <c r="L1303" t="s">
        <v>9733</v>
      </c>
    </row>
    <row r="1304" spans="1:12" x14ac:dyDescent="0.25">
      <c r="A1304" t="s">
        <v>5766</v>
      </c>
      <c r="B1304" t="s">
        <v>3973</v>
      </c>
      <c r="C1304" s="1" t="s">
        <v>4018</v>
      </c>
      <c r="D1304" s="1" t="s">
        <v>9809</v>
      </c>
      <c r="E1304" t="s">
        <v>4019</v>
      </c>
      <c r="F1304" t="s">
        <v>9810</v>
      </c>
      <c r="G1304" t="s">
        <v>9811</v>
      </c>
      <c r="H1304" t="s">
        <v>9812</v>
      </c>
      <c r="I1304" t="s">
        <v>9813</v>
      </c>
      <c r="J1304" t="s">
        <v>9731</v>
      </c>
      <c r="K1304" t="s">
        <v>9732</v>
      </c>
      <c r="L1304" t="s">
        <v>9733</v>
      </c>
    </row>
    <row r="1305" spans="1:12" x14ac:dyDescent="0.25">
      <c r="A1305" t="s">
        <v>5766</v>
      </c>
      <c r="B1305" t="s">
        <v>3973</v>
      </c>
      <c r="C1305" s="1" t="s">
        <v>3239</v>
      </c>
      <c r="D1305" s="1" t="s">
        <v>8625</v>
      </c>
      <c r="E1305" t="s">
        <v>3240</v>
      </c>
      <c r="F1305" t="s">
        <v>9814</v>
      </c>
      <c r="G1305" t="s">
        <v>8626</v>
      </c>
      <c r="H1305" t="s">
        <v>9815</v>
      </c>
      <c r="I1305" t="s">
        <v>9816</v>
      </c>
      <c r="J1305" t="s">
        <v>9731</v>
      </c>
      <c r="K1305" t="s">
        <v>9732</v>
      </c>
      <c r="L1305" t="s">
        <v>9733</v>
      </c>
    </row>
    <row r="1306" spans="1:12" x14ac:dyDescent="0.25">
      <c r="A1306" t="s">
        <v>5766</v>
      </c>
      <c r="B1306" t="s">
        <v>3973</v>
      </c>
      <c r="C1306" s="1" t="s">
        <v>4021</v>
      </c>
      <c r="D1306" s="1" t="s">
        <v>9817</v>
      </c>
      <c r="E1306" t="s">
        <v>4022</v>
      </c>
      <c r="F1306" t="s">
        <v>9818</v>
      </c>
      <c r="G1306" t="s">
        <v>9819</v>
      </c>
      <c r="H1306" t="s">
        <v>9820</v>
      </c>
      <c r="I1306" t="s">
        <v>8337</v>
      </c>
      <c r="J1306" t="s">
        <v>9731</v>
      </c>
      <c r="K1306" t="s">
        <v>9732</v>
      </c>
      <c r="L1306" t="s">
        <v>9733</v>
      </c>
    </row>
    <row r="1307" spans="1:12" x14ac:dyDescent="0.25">
      <c r="A1307" t="s">
        <v>5766</v>
      </c>
      <c r="B1307" t="s">
        <v>3973</v>
      </c>
      <c r="C1307" s="1" t="s">
        <v>4024</v>
      </c>
      <c r="D1307" s="1" t="s">
        <v>9821</v>
      </c>
      <c r="E1307" t="s">
        <v>4025</v>
      </c>
      <c r="F1307" t="s">
        <v>9534</v>
      </c>
      <c r="G1307" t="s">
        <v>9822</v>
      </c>
      <c r="H1307" t="s">
        <v>9823</v>
      </c>
      <c r="I1307" t="s">
        <v>6089</v>
      </c>
      <c r="J1307" t="s">
        <v>9731</v>
      </c>
      <c r="K1307" t="s">
        <v>9732</v>
      </c>
      <c r="L1307" t="s">
        <v>9733</v>
      </c>
    </row>
    <row r="1308" spans="1:12" x14ac:dyDescent="0.25">
      <c r="A1308" t="s">
        <v>5766</v>
      </c>
      <c r="B1308" t="s">
        <v>3973</v>
      </c>
      <c r="C1308" s="1" t="s">
        <v>3255</v>
      </c>
      <c r="D1308" s="1" t="s">
        <v>8645</v>
      </c>
      <c r="E1308" t="s">
        <v>3256</v>
      </c>
      <c r="F1308" t="s">
        <v>9771</v>
      </c>
      <c r="G1308" t="s">
        <v>8646</v>
      </c>
      <c r="H1308" t="s">
        <v>9824</v>
      </c>
      <c r="I1308" t="s">
        <v>6530</v>
      </c>
      <c r="J1308" t="s">
        <v>9731</v>
      </c>
      <c r="K1308" t="s">
        <v>9732</v>
      </c>
      <c r="L1308" t="s">
        <v>9733</v>
      </c>
    </row>
    <row r="1309" spans="1:12" x14ac:dyDescent="0.25">
      <c r="A1309" t="s">
        <v>5766</v>
      </c>
      <c r="B1309" t="s">
        <v>3973</v>
      </c>
      <c r="C1309" s="1" t="s">
        <v>4027</v>
      </c>
      <c r="D1309" s="1" t="s">
        <v>9825</v>
      </c>
      <c r="E1309" t="s">
        <v>4028</v>
      </c>
      <c r="F1309" t="s">
        <v>9826</v>
      </c>
      <c r="G1309" t="s">
        <v>9827</v>
      </c>
      <c r="H1309" t="s">
        <v>9828</v>
      </c>
      <c r="I1309" t="s">
        <v>6305</v>
      </c>
      <c r="J1309" t="s">
        <v>9731</v>
      </c>
      <c r="K1309" t="s">
        <v>9732</v>
      </c>
      <c r="L1309" t="s">
        <v>9733</v>
      </c>
    </row>
    <row r="1310" spans="1:12" x14ac:dyDescent="0.25">
      <c r="A1310" t="s">
        <v>5766</v>
      </c>
      <c r="B1310" t="s">
        <v>3973</v>
      </c>
      <c r="C1310" s="1" t="s">
        <v>4030</v>
      </c>
      <c r="D1310" s="1" t="s">
        <v>9829</v>
      </c>
      <c r="E1310" t="s">
        <v>4031</v>
      </c>
      <c r="F1310" t="s">
        <v>9830</v>
      </c>
      <c r="G1310" t="s">
        <v>9831</v>
      </c>
      <c r="H1310" t="s">
        <v>9832</v>
      </c>
      <c r="I1310" t="s">
        <v>9598</v>
      </c>
      <c r="J1310" t="s">
        <v>9731</v>
      </c>
      <c r="K1310" t="s">
        <v>9732</v>
      </c>
      <c r="L1310" t="s">
        <v>9733</v>
      </c>
    </row>
    <row r="1311" spans="1:12" x14ac:dyDescent="0.25">
      <c r="A1311" t="s">
        <v>5766</v>
      </c>
      <c r="B1311" t="s">
        <v>3973</v>
      </c>
      <c r="C1311" s="1" t="s">
        <v>3264</v>
      </c>
      <c r="D1311" s="1" t="s">
        <v>8654</v>
      </c>
      <c r="E1311" t="s">
        <v>3265</v>
      </c>
      <c r="F1311" t="s">
        <v>9029</v>
      </c>
      <c r="G1311" t="s">
        <v>8655</v>
      </c>
      <c r="H1311" t="s">
        <v>9833</v>
      </c>
      <c r="I1311" t="s">
        <v>6760</v>
      </c>
      <c r="J1311" t="s">
        <v>9731</v>
      </c>
      <c r="K1311" t="s">
        <v>9732</v>
      </c>
      <c r="L1311" t="s">
        <v>9733</v>
      </c>
    </row>
    <row r="1312" spans="1:12" x14ac:dyDescent="0.25">
      <c r="A1312" t="s">
        <v>5766</v>
      </c>
      <c r="B1312" t="s">
        <v>3973</v>
      </c>
      <c r="C1312" s="1" t="s">
        <v>4033</v>
      </c>
      <c r="D1312" s="1" t="s">
        <v>9834</v>
      </c>
      <c r="E1312" t="s">
        <v>4034</v>
      </c>
      <c r="F1312" t="s">
        <v>9835</v>
      </c>
      <c r="G1312" t="s">
        <v>9836</v>
      </c>
      <c r="H1312" t="s">
        <v>9837</v>
      </c>
      <c r="I1312" t="s">
        <v>5920</v>
      </c>
      <c r="J1312" t="s">
        <v>9731</v>
      </c>
      <c r="K1312" t="s">
        <v>9732</v>
      </c>
      <c r="L1312" t="s">
        <v>9733</v>
      </c>
    </row>
    <row r="1313" spans="1:13" x14ac:dyDescent="0.25">
      <c r="A1313" t="s">
        <v>5766</v>
      </c>
      <c r="B1313" t="s">
        <v>3973</v>
      </c>
      <c r="C1313" s="1" t="s">
        <v>4036</v>
      </c>
      <c r="D1313" s="1" t="s">
        <v>9838</v>
      </c>
      <c r="E1313" t="s">
        <v>4037</v>
      </c>
      <c r="F1313" t="s">
        <v>9839</v>
      </c>
      <c r="G1313" t="s">
        <v>9840</v>
      </c>
      <c r="H1313" t="s">
        <v>9841</v>
      </c>
      <c r="I1313" t="s">
        <v>5811</v>
      </c>
      <c r="J1313" t="s">
        <v>9731</v>
      </c>
      <c r="K1313" t="s">
        <v>9732</v>
      </c>
      <c r="L1313" t="s">
        <v>9733</v>
      </c>
    </row>
    <row r="1314" spans="1:13" x14ac:dyDescent="0.25">
      <c r="A1314" t="s">
        <v>5766</v>
      </c>
      <c r="B1314" t="s">
        <v>3973</v>
      </c>
      <c r="C1314" s="1" t="s">
        <v>4039</v>
      </c>
      <c r="D1314" s="1" t="s">
        <v>9842</v>
      </c>
      <c r="E1314" t="s">
        <v>4040</v>
      </c>
      <c r="F1314" t="s">
        <v>9843</v>
      </c>
      <c r="G1314" t="s">
        <v>9844</v>
      </c>
      <c r="H1314" t="s">
        <v>9845</v>
      </c>
      <c r="I1314" t="s">
        <v>8555</v>
      </c>
      <c r="J1314" t="s">
        <v>9731</v>
      </c>
      <c r="K1314" t="s">
        <v>9732</v>
      </c>
      <c r="L1314" t="s">
        <v>9733</v>
      </c>
    </row>
    <row r="1315" spans="1:13" x14ac:dyDescent="0.25">
      <c r="A1315" t="s">
        <v>5766</v>
      </c>
      <c r="B1315" t="s">
        <v>3973</v>
      </c>
      <c r="C1315" s="1" t="s">
        <v>4042</v>
      </c>
      <c r="D1315" s="1" t="s">
        <v>9846</v>
      </c>
      <c r="E1315" t="s">
        <v>4044</v>
      </c>
      <c r="F1315" t="s">
        <v>9847</v>
      </c>
      <c r="G1315" t="s">
        <v>9848</v>
      </c>
      <c r="H1315" t="s">
        <v>9849</v>
      </c>
      <c r="I1315" t="s">
        <v>5920</v>
      </c>
      <c r="J1315" t="s">
        <v>9731</v>
      </c>
      <c r="K1315" t="s">
        <v>9732</v>
      </c>
      <c r="L1315" t="s">
        <v>9733</v>
      </c>
    </row>
    <row r="1316" spans="1:13" x14ac:dyDescent="0.25">
      <c r="A1316" t="s">
        <v>5766</v>
      </c>
      <c r="B1316" t="s">
        <v>3973</v>
      </c>
      <c r="C1316" s="1" t="s">
        <v>4046</v>
      </c>
      <c r="D1316" s="1" t="s">
        <v>9850</v>
      </c>
      <c r="E1316" t="s">
        <v>4047</v>
      </c>
      <c r="F1316" t="s">
        <v>9851</v>
      </c>
      <c r="G1316" t="s">
        <v>9852</v>
      </c>
      <c r="H1316" t="s">
        <v>9853</v>
      </c>
      <c r="I1316" t="s">
        <v>6200</v>
      </c>
      <c r="J1316" t="s">
        <v>9731</v>
      </c>
      <c r="K1316" t="s">
        <v>9732</v>
      </c>
      <c r="L1316" t="s">
        <v>9733</v>
      </c>
    </row>
    <row r="1317" spans="1:13" x14ac:dyDescent="0.25">
      <c r="A1317" t="s">
        <v>5766</v>
      </c>
      <c r="B1317" t="s">
        <v>3973</v>
      </c>
      <c r="C1317" s="1" t="s">
        <v>4049</v>
      </c>
      <c r="D1317" s="1" t="s">
        <v>9854</v>
      </c>
      <c r="E1317" t="s">
        <v>4050</v>
      </c>
      <c r="F1317" t="s">
        <v>9855</v>
      </c>
      <c r="G1317" t="s">
        <v>9856</v>
      </c>
      <c r="H1317" t="s">
        <v>9857</v>
      </c>
      <c r="I1317" t="s">
        <v>6120</v>
      </c>
      <c r="J1317" t="s">
        <v>9731</v>
      </c>
      <c r="K1317" t="s">
        <v>9732</v>
      </c>
      <c r="L1317" t="s">
        <v>9733</v>
      </c>
    </row>
    <row r="1318" spans="1:13" x14ac:dyDescent="0.25">
      <c r="A1318" t="s">
        <v>5766</v>
      </c>
      <c r="B1318" t="s">
        <v>3973</v>
      </c>
      <c r="C1318" s="1" t="s">
        <v>4052</v>
      </c>
      <c r="D1318" s="1" t="s">
        <v>9858</v>
      </c>
      <c r="E1318" t="s">
        <v>4053</v>
      </c>
      <c r="F1318" t="s">
        <v>9769</v>
      </c>
      <c r="G1318" t="s">
        <v>9859</v>
      </c>
      <c r="H1318" t="s">
        <v>9860</v>
      </c>
      <c r="I1318" t="s">
        <v>8920</v>
      </c>
      <c r="J1318" t="s">
        <v>9731</v>
      </c>
      <c r="K1318" t="s">
        <v>9732</v>
      </c>
      <c r="L1318" t="s">
        <v>9733</v>
      </c>
    </row>
    <row r="1319" spans="1:13" x14ac:dyDescent="0.25">
      <c r="A1319" t="s">
        <v>5766</v>
      </c>
      <c r="B1319" t="s">
        <v>3973</v>
      </c>
      <c r="C1319" s="1" t="s">
        <v>4055</v>
      </c>
      <c r="D1319" s="1" t="s">
        <v>9861</v>
      </c>
      <c r="E1319" t="s">
        <v>4056</v>
      </c>
      <c r="F1319" t="s">
        <v>9862</v>
      </c>
      <c r="G1319" t="s">
        <v>9863</v>
      </c>
      <c r="H1319" t="s">
        <v>9864</v>
      </c>
      <c r="I1319" t="s">
        <v>6254</v>
      </c>
      <c r="J1319" t="s">
        <v>9731</v>
      </c>
      <c r="K1319" t="s">
        <v>9732</v>
      </c>
      <c r="L1319" t="s">
        <v>9733</v>
      </c>
    </row>
    <row r="1320" spans="1:13" x14ac:dyDescent="0.25">
      <c r="A1320" t="s">
        <v>5766</v>
      </c>
      <c r="B1320" t="s">
        <v>3973</v>
      </c>
      <c r="C1320" s="1" t="s">
        <v>211</v>
      </c>
      <c r="D1320" s="1" t="s">
        <v>5980</v>
      </c>
      <c r="E1320" t="s">
        <v>212</v>
      </c>
      <c r="F1320" t="s">
        <v>6755</v>
      </c>
      <c r="G1320" t="s">
        <v>5982</v>
      </c>
      <c r="H1320" t="s">
        <v>9865</v>
      </c>
      <c r="I1320" t="s">
        <v>9340</v>
      </c>
      <c r="J1320" t="s">
        <v>9731</v>
      </c>
      <c r="K1320" t="s">
        <v>9732</v>
      </c>
      <c r="L1320" t="s">
        <v>9733</v>
      </c>
    </row>
    <row r="1321" spans="1:13" x14ac:dyDescent="0.25">
      <c r="A1321" t="s">
        <v>5766</v>
      </c>
      <c r="B1321" t="s">
        <v>3973</v>
      </c>
      <c r="C1321" s="1" t="s">
        <v>3310</v>
      </c>
      <c r="D1321" s="1" t="s">
        <v>8718</v>
      </c>
      <c r="E1321" t="s">
        <v>3311</v>
      </c>
      <c r="F1321" t="s">
        <v>9866</v>
      </c>
      <c r="G1321" t="s">
        <v>8720</v>
      </c>
      <c r="H1321" t="s">
        <v>9867</v>
      </c>
      <c r="I1321" t="s">
        <v>9057</v>
      </c>
      <c r="J1321" t="s">
        <v>9731</v>
      </c>
      <c r="K1321" t="s">
        <v>9732</v>
      </c>
      <c r="L1321" t="s">
        <v>9733</v>
      </c>
    </row>
    <row r="1322" spans="1:13" x14ac:dyDescent="0.25">
      <c r="A1322" t="s">
        <v>5766</v>
      </c>
      <c r="B1322" t="s">
        <v>3973</v>
      </c>
      <c r="C1322" s="1" t="s">
        <v>3313</v>
      </c>
      <c r="D1322" s="1" t="s">
        <v>8723</v>
      </c>
      <c r="E1322" t="s">
        <v>3315</v>
      </c>
      <c r="F1322" t="s">
        <v>9743</v>
      </c>
      <c r="G1322" t="s">
        <v>8724</v>
      </c>
      <c r="H1322" t="s">
        <v>9868</v>
      </c>
      <c r="I1322" t="s">
        <v>6226</v>
      </c>
      <c r="J1322" t="s">
        <v>9731</v>
      </c>
      <c r="K1322" t="s">
        <v>9732</v>
      </c>
      <c r="L1322" t="s">
        <v>9733</v>
      </c>
    </row>
    <row r="1323" spans="1:13" x14ac:dyDescent="0.25">
      <c r="A1323" t="s">
        <v>5766</v>
      </c>
      <c r="B1323" t="s">
        <v>3973</v>
      </c>
      <c r="C1323" s="1" t="s">
        <v>52</v>
      </c>
      <c r="D1323" s="1" t="s">
        <v>52</v>
      </c>
      <c r="E1323" t="s">
        <v>5767</v>
      </c>
      <c r="F1323" t="s">
        <v>9869</v>
      </c>
      <c r="G1323" t="s">
        <v>5769</v>
      </c>
      <c r="H1323" t="s">
        <v>9870</v>
      </c>
      <c r="I1323" t="s">
        <v>9871</v>
      </c>
      <c r="J1323" t="s">
        <v>9731</v>
      </c>
      <c r="K1323" t="s">
        <v>9732</v>
      </c>
      <c r="L1323" t="s">
        <v>9733</v>
      </c>
      <c r="M1323" t="s">
        <v>65</v>
      </c>
    </row>
    <row r="1324" spans="1:13" x14ac:dyDescent="0.25">
      <c r="A1324" t="s">
        <v>5766</v>
      </c>
      <c r="B1324" t="s">
        <v>4057</v>
      </c>
      <c r="C1324" s="1" t="s">
        <v>4058</v>
      </c>
      <c r="D1324" s="1" t="s">
        <v>4058</v>
      </c>
      <c r="E1324" t="s">
        <v>4059</v>
      </c>
      <c r="F1324" t="s">
        <v>8663</v>
      </c>
      <c r="G1324" t="s">
        <v>9872</v>
      </c>
      <c r="H1324" t="s">
        <v>4064</v>
      </c>
      <c r="I1324" t="s">
        <v>9873</v>
      </c>
      <c r="J1324" t="s">
        <v>9874</v>
      </c>
      <c r="K1324" t="s">
        <v>8174</v>
      </c>
      <c r="L1324" t="s">
        <v>8175</v>
      </c>
    </row>
    <row r="1325" spans="1:13" x14ac:dyDescent="0.25">
      <c r="A1325" t="s">
        <v>5766</v>
      </c>
      <c r="B1325" t="s">
        <v>4057</v>
      </c>
      <c r="C1325" s="1" t="s">
        <v>4066</v>
      </c>
      <c r="D1325" s="1" t="s">
        <v>4066</v>
      </c>
      <c r="E1325" t="s">
        <v>4067</v>
      </c>
      <c r="F1325" t="s">
        <v>9875</v>
      </c>
      <c r="G1325" t="s">
        <v>9876</v>
      </c>
      <c r="H1325" t="s">
        <v>4070</v>
      </c>
      <c r="I1325" t="s">
        <v>9877</v>
      </c>
      <c r="J1325" t="s">
        <v>9874</v>
      </c>
      <c r="K1325" t="s">
        <v>8174</v>
      </c>
      <c r="L1325" t="s">
        <v>8175</v>
      </c>
    </row>
    <row r="1326" spans="1:13" x14ac:dyDescent="0.25">
      <c r="A1326" t="s">
        <v>5766</v>
      </c>
      <c r="B1326" t="s">
        <v>4057</v>
      </c>
      <c r="C1326" s="1" t="s">
        <v>4072</v>
      </c>
      <c r="D1326" s="1" t="s">
        <v>4072</v>
      </c>
      <c r="E1326" t="s">
        <v>4073</v>
      </c>
      <c r="F1326" t="s">
        <v>9875</v>
      </c>
      <c r="G1326" t="s">
        <v>9878</v>
      </c>
      <c r="H1326" t="s">
        <v>4076</v>
      </c>
      <c r="I1326" t="s">
        <v>9879</v>
      </c>
      <c r="J1326" t="s">
        <v>9874</v>
      </c>
      <c r="K1326" t="s">
        <v>8174</v>
      </c>
      <c r="L1326" t="s">
        <v>8175</v>
      </c>
    </row>
    <row r="1327" spans="1:13" x14ac:dyDescent="0.25">
      <c r="A1327" t="s">
        <v>5766</v>
      </c>
      <c r="B1327" t="s">
        <v>4057</v>
      </c>
      <c r="C1327" s="1" t="s">
        <v>4078</v>
      </c>
      <c r="D1327" s="1" t="s">
        <v>4078</v>
      </c>
      <c r="E1327" t="s">
        <v>4079</v>
      </c>
      <c r="F1327" t="s">
        <v>8663</v>
      </c>
      <c r="G1327" t="s">
        <v>9880</v>
      </c>
      <c r="H1327" t="s">
        <v>4082</v>
      </c>
      <c r="I1327" t="s">
        <v>9881</v>
      </c>
      <c r="J1327" t="s">
        <v>9874</v>
      </c>
      <c r="K1327" t="s">
        <v>8174</v>
      </c>
      <c r="L1327" t="s">
        <v>8175</v>
      </c>
    </row>
    <row r="1328" spans="1:13" x14ac:dyDescent="0.25">
      <c r="A1328" t="s">
        <v>5766</v>
      </c>
      <c r="B1328" t="s">
        <v>4057</v>
      </c>
      <c r="C1328" s="1" t="s">
        <v>2631</v>
      </c>
      <c r="D1328" s="1" t="s">
        <v>2631</v>
      </c>
      <c r="E1328" t="s">
        <v>2632</v>
      </c>
      <c r="F1328" t="s">
        <v>9882</v>
      </c>
      <c r="G1328" t="s">
        <v>8003</v>
      </c>
      <c r="H1328" t="s">
        <v>9883</v>
      </c>
      <c r="I1328" t="s">
        <v>9884</v>
      </c>
      <c r="J1328" t="s">
        <v>9874</v>
      </c>
      <c r="K1328" t="s">
        <v>8174</v>
      </c>
      <c r="L1328" t="s">
        <v>8175</v>
      </c>
    </row>
    <row r="1329" spans="1:13" x14ac:dyDescent="0.25">
      <c r="A1329" t="s">
        <v>5766</v>
      </c>
      <c r="B1329" t="s">
        <v>4057</v>
      </c>
      <c r="C1329" s="1" t="s">
        <v>78</v>
      </c>
      <c r="D1329" s="1" t="s">
        <v>5780</v>
      </c>
      <c r="E1329" t="s">
        <v>5781</v>
      </c>
      <c r="F1329" t="s">
        <v>9885</v>
      </c>
      <c r="G1329" t="s">
        <v>5783</v>
      </c>
      <c r="H1329" t="s">
        <v>9886</v>
      </c>
      <c r="I1329" t="s">
        <v>8244</v>
      </c>
      <c r="J1329" t="s">
        <v>9874</v>
      </c>
      <c r="K1329" t="s">
        <v>8174</v>
      </c>
      <c r="L1329" t="s">
        <v>8175</v>
      </c>
      <c r="M1329" t="s">
        <v>65</v>
      </c>
    </row>
    <row r="1330" spans="1:13" x14ac:dyDescent="0.25">
      <c r="A1330" t="s">
        <v>5766</v>
      </c>
      <c r="B1330" t="s">
        <v>4057</v>
      </c>
      <c r="C1330" s="1" t="s">
        <v>52</v>
      </c>
      <c r="D1330" s="1" t="s">
        <v>52</v>
      </c>
      <c r="E1330" t="s">
        <v>5767</v>
      </c>
      <c r="F1330" t="s">
        <v>9887</v>
      </c>
      <c r="G1330" t="s">
        <v>5769</v>
      </c>
      <c r="H1330" t="s">
        <v>9888</v>
      </c>
      <c r="I1330" t="s">
        <v>6710</v>
      </c>
      <c r="J1330" t="s">
        <v>9874</v>
      </c>
      <c r="K1330" t="s">
        <v>8174</v>
      </c>
      <c r="L1330" t="s">
        <v>8175</v>
      </c>
      <c r="M1330" t="s">
        <v>65</v>
      </c>
    </row>
    <row r="1331" spans="1:13" x14ac:dyDescent="0.25">
      <c r="A1331" t="s">
        <v>5766</v>
      </c>
      <c r="B1331" t="s">
        <v>4084</v>
      </c>
      <c r="C1331" s="1" t="s">
        <v>4085</v>
      </c>
      <c r="D1331" s="1" t="s">
        <v>4085</v>
      </c>
      <c r="E1331" t="s">
        <v>4086</v>
      </c>
      <c r="F1331" t="s">
        <v>9889</v>
      </c>
      <c r="G1331" t="s">
        <v>9890</v>
      </c>
      <c r="H1331" t="s">
        <v>4089</v>
      </c>
      <c r="I1331" t="s">
        <v>9891</v>
      </c>
      <c r="J1331" t="s">
        <v>9892</v>
      </c>
      <c r="K1331" t="s">
        <v>9714</v>
      </c>
      <c r="L1331" t="s">
        <v>9715</v>
      </c>
    </row>
    <row r="1332" spans="1:13" x14ac:dyDescent="0.25">
      <c r="A1332" t="s">
        <v>5766</v>
      </c>
      <c r="B1332" t="s">
        <v>4084</v>
      </c>
      <c r="C1332" s="1" t="s">
        <v>4091</v>
      </c>
      <c r="D1332" s="1" t="s">
        <v>4091</v>
      </c>
      <c r="E1332" t="s">
        <v>4092</v>
      </c>
      <c r="F1332" t="s">
        <v>9893</v>
      </c>
      <c r="G1332" t="s">
        <v>9894</v>
      </c>
      <c r="H1332" t="s">
        <v>4095</v>
      </c>
      <c r="I1332" t="s">
        <v>9895</v>
      </c>
      <c r="J1332" t="s">
        <v>9892</v>
      </c>
      <c r="K1332" t="s">
        <v>9714</v>
      </c>
      <c r="L1332" t="s">
        <v>9715</v>
      </c>
    </row>
    <row r="1333" spans="1:13" x14ac:dyDescent="0.25">
      <c r="A1333" t="s">
        <v>5766</v>
      </c>
      <c r="B1333" t="s">
        <v>4084</v>
      </c>
      <c r="C1333" s="1" t="s">
        <v>4097</v>
      </c>
      <c r="D1333" s="1" t="s">
        <v>4097</v>
      </c>
      <c r="E1333" t="s">
        <v>4098</v>
      </c>
      <c r="F1333" t="s">
        <v>9893</v>
      </c>
      <c r="G1333" t="s">
        <v>9896</v>
      </c>
      <c r="H1333" t="s">
        <v>4101</v>
      </c>
      <c r="I1333" t="s">
        <v>9897</v>
      </c>
      <c r="J1333" t="s">
        <v>9892</v>
      </c>
      <c r="K1333" t="s">
        <v>9714</v>
      </c>
      <c r="L1333" t="s">
        <v>9715</v>
      </c>
    </row>
    <row r="1334" spans="1:13" x14ac:dyDescent="0.25">
      <c r="A1334" t="s">
        <v>5766</v>
      </c>
      <c r="B1334" t="s">
        <v>4084</v>
      </c>
      <c r="C1334" s="1" t="s">
        <v>4103</v>
      </c>
      <c r="D1334" s="1" t="s">
        <v>4103</v>
      </c>
      <c r="E1334" t="s">
        <v>4104</v>
      </c>
      <c r="F1334" t="s">
        <v>9889</v>
      </c>
      <c r="G1334" t="s">
        <v>9898</v>
      </c>
      <c r="H1334" t="s">
        <v>4107</v>
      </c>
      <c r="I1334" t="s">
        <v>9899</v>
      </c>
      <c r="J1334" t="s">
        <v>9892</v>
      </c>
      <c r="K1334" t="s">
        <v>9714</v>
      </c>
      <c r="L1334" t="s">
        <v>9715</v>
      </c>
    </row>
    <row r="1335" spans="1:13" x14ac:dyDescent="0.25">
      <c r="A1335" t="s">
        <v>5766</v>
      </c>
      <c r="B1335" t="s">
        <v>4084</v>
      </c>
      <c r="C1335" s="1" t="s">
        <v>2821</v>
      </c>
      <c r="D1335" s="1" t="s">
        <v>2821</v>
      </c>
      <c r="E1335" t="s">
        <v>2822</v>
      </c>
      <c r="F1335" t="s">
        <v>9900</v>
      </c>
      <c r="G1335" t="s">
        <v>8204</v>
      </c>
      <c r="H1335" t="s">
        <v>9901</v>
      </c>
      <c r="I1335" t="s">
        <v>9902</v>
      </c>
      <c r="J1335" t="s">
        <v>9892</v>
      </c>
      <c r="K1335" t="s">
        <v>9714</v>
      </c>
      <c r="L1335" t="s">
        <v>9715</v>
      </c>
    </row>
    <row r="1336" spans="1:13" x14ac:dyDescent="0.25">
      <c r="A1336" t="s">
        <v>5766</v>
      </c>
      <c r="B1336" t="s">
        <v>4084</v>
      </c>
      <c r="C1336" s="1" t="s">
        <v>78</v>
      </c>
      <c r="D1336" s="1" t="s">
        <v>5780</v>
      </c>
      <c r="E1336" t="s">
        <v>5781</v>
      </c>
      <c r="F1336" t="s">
        <v>9903</v>
      </c>
      <c r="G1336" t="s">
        <v>5783</v>
      </c>
      <c r="H1336" t="s">
        <v>9904</v>
      </c>
      <c r="I1336" t="s">
        <v>8597</v>
      </c>
      <c r="J1336" t="s">
        <v>9892</v>
      </c>
      <c r="K1336" t="s">
        <v>9714</v>
      </c>
      <c r="L1336" t="s">
        <v>9715</v>
      </c>
      <c r="M1336" t="s">
        <v>65</v>
      </c>
    </row>
    <row r="1337" spans="1:13" x14ac:dyDescent="0.25">
      <c r="A1337" t="s">
        <v>5766</v>
      </c>
      <c r="B1337" t="s">
        <v>4084</v>
      </c>
      <c r="C1337" s="1" t="s">
        <v>52</v>
      </c>
      <c r="D1337" s="1" t="s">
        <v>52</v>
      </c>
      <c r="E1337" t="s">
        <v>5767</v>
      </c>
      <c r="F1337" t="s">
        <v>9905</v>
      </c>
      <c r="G1337" t="s">
        <v>5769</v>
      </c>
      <c r="H1337" t="s">
        <v>9906</v>
      </c>
      <c r="I1337" t="s">
        <v>8211</v>
      </c>
      <c r="J1337" t="s">
        <v>9892</v>
      </c>
      <c r="K1337" t="s">
        <v>9714</v>
      </c>
      <c r="L1337" t="s">
        <v>9715</v>
      </c>
      <c r="M1337" t="s">
        <v>65</v>
      </c>
    </row>
    <row r="1338" spans="1:13" x14ac:dyDescent="0.25">
      <c r="A1338" t="s">
        <v>5766</v>
      </c>
      <c r="B1338" t="s">
        <v>4109</v>
      </c>
      <c r="C1338" s="1" t="s">
        <v>4111</v>
      </c>
      <c r="D1338" s="1" t="s">
        <v>9907</v>
      </c>
      <c r="E1338" t="s">
        <v>4112</v>
      </c>
      <c r="F1338" t="s">
        <v>9908</v>
      </c>
      <c r="G1338" t="s">
        <v>9909</v>
      </c>
      <c r="H1338" t="s">
        <v>9910</v>
      </c>
      <c r="I1338" t="s">
        <v>8704</v>
      </c>
      <c r="J1338" t="s">
        <v>9911</v>
      </c>
      <c r="K1338" t="s">
        <v>9912</v>
      </c>
      <c r="L1338" t="s">
        <v>9913</v>
      </c>
    </row>
    <row r="1339" spans="1:13" x14ac:dyDescent="0.25">
      <c r="A1339" t="s">
        <v>5766</v>
      </c>
      <c r="B1339" t="s">
        <v>4109</v>
      </c>
      <c r="C1339" s="1" t="s">
        <v>4114</v>
      </c>
      <c r="D1339" s="1" t="s">
        <v>9914</v>
      </c>
      <c r="E1339" t="s">
        <v>4115</v>
      </c>
      <c r="F1339" t="s">
        <v>9915</v>
      </c>
      <c r="G1339" t="s">
        <v>9916</v>
      </c>
      <c r="H1339" t="s">
        <v>9917</v>
      </c>
      <c r="I1339" t="s">
        <v>9918</v>
      </c>
      <c r="J1339" t="s">
        <v>9911</v>
      </c>
      <c r="K1339" t="s">
        <v>9912</v>
      </c>
      <c r="L1339" t="s">
        <v>9913</v>
      </c>
    </row>
    <row r="1340" spans="1:13" x14ac:dyDescent="0.25">
      <c r="A1340" t="s">
        <v>5766</v>
      </c>
      <c r="B1340" t="s">
        <v>4109</v>
      </c>
      <c r="C1340" s="1" t="s">
        <v>4117</v>
      </c>
      <c r="D1340" s="1" t="s">
        <v>9919</v>
      </c>
      <c r="E1340" t="s">
        <v>4118</v>
      </c>
      <c r="F1340" t="s">
        <v>9920</v>
      </c>
      <c r="G1340" t="s">
        <v>9921</v>
      </c>
      <c r="H1340" t="s">
        <v>9922</v>
      </c>
      <c r="I1340" t="s">
        <v>6798</v>
      </c>
      <c r="J1340" t="s">
        <v>9911</v>
      </c>
      <c r="K1340" t="s">
        <v>9912</v>
      </c>
      <c r="L1340" t="s">
        <v>9913</v>
      </c>
    </row>
    <row r="1341" spans="1:13" x14ac:dyDescent="0.25">
      <c r="A1341" t="s">
        <v>5766</v>
      </c>
      <c r="B1341" t="s">
        <v>4109</v>
      </c>
      <c r="C1341" s="1" t="s">
        <v>4120</v>
      </c>
      <c r="D1341" s="1" t="s">
        <v>9923</v>
      </c>
      <c r="E1341" t="s">
        <v>4121</v>
      </c>
      <c r="F1341" t="s">
        <v>9924</v>
      </c>
      <c r="G1341" t="s">
        <v>9925</v>
      </c>
      <c r="H1341" t="s">
        <v>9926</v>
      </c>
      <c r="I1341" t="s">
        <v>9927</v>
      </c>
      <c r="J1341" t="s">
        <v>9911</v>
      </c>
      <c r="K1341" t="s">
        <v>9912</v>
      </c>
      <c r="L1341" t="s">
        <v>9913</v>
      </c>
    </row>
    <row r="1342" spans="1:13" x14ac:dyDescent="0.25">
      <c r="A1342" t="s">
        <v>5766</v>
      </c>
      <c r="B1342" t="s">
        <v>4109</v>
      </c>
      <c r="C1342" s="1" t="s">
        <v>4123</v>
      </c>
      <c r="D1342" s="1" t="s">
        <v>9928</v>
      </c>
      <c r="E1342" t="s">
        <v>4124</v>
      </c>
      <c r="F1342" t="s">
        <v>9929</v>
      </c>
      <c r="G1342" t="s">
        <v>9930</v>
      </c>
      <c r="H1342" t="s">
        <v>9931</v>
      </c>
      <c r="I1342" t="s">
        <v>9932</v>
      </c>
      <c r="J1342" t="s">
        <v>9911</v>
      </c>
      <c r="K1342" t="s">
        <v>9912</v>
      </c>
      <c r="L1342" t="s">
        <v>9913</v>
      </c>
    </row>
    <row r="1343" spans="1:13" x14ac:dyDescent="0.25">
      <c r="A1343" t="s">
        <v>5766</v>
      </c>
      <c r="B1343" t="s">
        <v>4109</v>
      </c>
      <c r="C1343" s="1" t="s">
        <v>4126</v>
      </c>
      <c r="D1343" s="1" t="s">
        <v>9933</v>
      </c>
      <c r="E1343" t="s">
        <v>4127</v>
      </c>
      <c r="F1343" t="s">
        <v>9934</v>
      </c>
      <c r="G1343" t="s">
        <v>9935</v>
      </c>
      <c r="H1343" t="s">
        <v>9936</v>
      </c>
      <c r="I1343" t="s">
        <v>9720</v>
      </c>
      <c r="J1343" t="s">
        <v>9911</v>
      </c>
      <c r="K1343" t="s">
        <v>9912</v>
      </c>
      <c r="L1343" t="s">
        <v>9913</v>
      </c>
    </row>
    <row r="1344" spans="1:13" x14ac:dyDescent="0.25">
      <c r="A1344" t="s">
        <v>5766</v>
      </c>
      <c r="B1344" t="s">
        <v>4109</v>
      </c>
      <c r="C1344" s="1" t="s">
        <v>3660</v>
      </c>
      <c r="D1344" s="1" t="s">
        <v>9281</v>
      </c>
      <c r="E1344" t="s">
        <v>3661</v>
      </c>
      <c r="F1344" t="s">
        <v>9937</v>
      </c>
      <c r="G1344" t="s">
        <v>9283</v>
      </c>
      <c r="H1344" t="s">
        <v>9938</v>
      </c>
      <c r="I1344" t="s">
        <v>9939</v>
      </c>
      <c r="J1344" t="s">
        <v>9911</v>
      </c>
      <c r="K1344" t="s">
        <v>9912</v>
      </c>
      <c r="L1344" t="s">
        <v>9913</v>
      </c>
    </row>
    <row r="1345" spans="1:13" x14ac:dyDescent="0.25">
      <c r="A1345" t="s">
        <v>5766</v>
      </c>
      <c r="B1345" t="s">
        <v>4109</v>
      </c>
      <c r="C1345" s="1" t="s">
        <v>78</v>
      </c>
      <c r="D1345" s="1" t="s">
        <v>5780</v>
      </c>
      <c r="E1345" t="s">
        <v>5781</v>
      </c>
      <c r="F1345" t="s">
        <v>9940</v>
      </c>
      <c r="G1345" t="s">
        <v>5783</v>
      </c>
      <c r="H1345" t="s">
        <v>9941</v>
      </c>
      <c r="I1345" t="s">
        <v>8685</v>
      </c>
      <c r="J1345" t="s">
        <v>9911</v>
      </c>
      <c r="K1345" t="s">
        <v>9912</v>
      </c>
      <c r="L1345" t="s">
        <v>9913</v>
      </c>
      <c r="M1345" t="s">
        <v>65</v>
      </c>
    </row>
    <row r="1346" spans="1:13" x14ac:dyDescent="0.25">
      <c r="A1346" t="s">
        <v>5766</v>
      </c>
      <c r="B1346" t="s">
        <v>4109</v>
      </c>
      <c r="C1346" s="1" t="s">
        <v>4129</v>
      </c>
      <c r="D1346" s="1" t="s">
        <v>9942</v>
      </c>
      <c r="E1346" t="s">
        <v>4130</v>
      </c>
      <c r="F1346" t="s">
        <v>9943</v>
      </c>
      <c r="G1346" t="s">
        <v>9944</v>
      </c>
      <c r="H1346" t="s">
        <v>9945</v>
      </c>
      <c r="I1346" t="s">
        <v>9946</v>
      </c>
      <c r="J1346" t="s">
        <v>9911</v>
      </c>
      <c r="K1346" t="s">
        <v>9912</v>
      </c>
      <c r="L1346" t="s">
        <v>9913</v>
      </c>
    </row>
    <row r="1347" spans="1:13" x14ac:dyDescent="0.25">
      <c r="A1347" t="s">
        <v>5766</v>
      </c>
      <c r="B1347" t="s">
        <v>4109</v>
      </c>
      <c r="C1347" s="1" t="s">
        <v>3672</v>
      </c>
      <c r="D1347" s="1" t="s">
        <v>9302</v>
      </c>
      <c r="E1347" t="s">
        <v>3673</v>
      </c>
      <c r="F1347" t="s">
        <v>9947</v>
      </c>
      <c r="G1347" t="s">
        <v>9304</v>
      </c>
      <c r="H1347" t="s">
        <v>9948</v>
      </c>
      <c r="I1347" t="s">
        <v>9949</v>
      </c>
      <c r="J1347" t="s">
        <v>9911</v>
      </c>
      <c r="K1347" t="s">
        <v>9912</v>
      </c>
      <c r="L1347" t="s">
        <v>9913</v>
      </c>
    </row>
    <row r="1348" spans="1:13" x14ac:dyDescent="0.25">
      <c r="A1348" t="s">
        <v>5766</v>
      </c>
      <c r="B1348" t="s">
        <v>4109</v>
      </c>
      <c r="C1348" s="1" t="s">
        <v>4132</v>
      </c>
      <c r="D1348" s="1" t="s">
        <v>9950</v>
      </c>
      <c r="E1348" t="s">
        <v>4133</v>
      </c>
      <c r="F1348" t="s">
        <v>9600</v>
      </c>
      <c r="G1348" t="s">
        <v>9951</v>
      </c>
      <c r="H1348" t="s">
        <v>9952</v>
      </c>
      <c r="I1348" t="s">
        <v>6760</v>
      </c>
      <c r="J1348" t="s">
        <v>9911</v>
      </c>
      <c r="K1348" t="s">
        <v>9912</v>
      </c>
      <c r="L1348" t="s">
        <v>9913</v>
      </c>
    </row>
    <row r="1349" spans="1:13" x14ac:dyDescent="0.25">
      <c r="A1349" t="s">
        <v>5766</v>
      </c>
      <c r="B1349" t="s">
        <v>4109</v>
      </c>
      <c r="C1349" s="1" t="s">
        <v>4135</v>
      </c>
      <c r="D1349" s="1" t="s">
        <v>9953</v>
      </c>
      <c r="E1349" t="s">
        <v>4136</v>
      </c>
      <c r="F1349" t="s">
        <v>9954</v>
      </c>
      <c r="G1349" t="s">
        <v>9955</v>
      </c>
      <c r="H1349" t="s">
        <v>9956</v>
      </c>
      <c r="I1349" t="s">
        <v>8503</v>
      </c>
      <c r="J1349" t="s">
        <v>9911</v>
      </c>
      <c r="K1349" t="s">
        <v>9912</v>
      </c>
      <c r="L1349" t="s">
        <v>9913</v>
      </c>
    </row>
    <row r="1350" spans="1:13" x14ac:dyDescent="0.25">
      <c r="A1350" t="s">
        <v>5766</v>
      </c>
      <c r="B1350" t="s">
        <v>4109</v>
      </c>
      <c r="C1350" s="1" t="s">
        <v>4138</v>
      </c>
      <c r="D1350" s="1" t="s">
        <v>9957</v>
      </c>
      <c r="E1350" t="s">
        <v>4139</v>
      </c>
      <c r="F1350" t="s">
        <v>9915</v>
      </c>
      <c r="G1350" t="s">
        <v>9958</v>
      </c>
      <c r="H1350" t="s">
        <v>9959</v>
      </c>
      <c r="I1350" t="s">
        <v>9960</v>
      </c>
      <c r="J1350" t="s">
        <v>9911</v>
      </c>
      <c r="K1350" t="s">
        <v>9912</v>
      </c>
      <c r="L1350" t="s">
        <v>9913</v>
      </c>
    </row>
    <row r="1351" spans="1:13" x14ac:dyDescent="0.25">
      <c r="A1351" t="s">
        <v>5766</v>
      </c>
      <c r="B1351" t="s">
        <v>4109</v>
      </c>
      <c r="C1351" s="1" t="s">
        <v>4141</v>
      </c>
      <c r="D1351" s="1" t="s">
        <v>9961</v>
      </c>
      <c r="E1351" t="s">
        <v>4142</v>
      </c>
      <c r="F1351" t="s">
        <v>9962</v>
      </c>
      <c r="G1351" t="s">
        <v>9963</v>
      </c>
      <c r="H1351" t="s">
        <v>9964</v>
      </c>
      <c r="I1351" t="s">
        <v>5905</v>
      </c>
      <c r="J1351" t="s">
        <v>9911</v>
      </c>
      <c r="K1351" t="s">
        <v>9912</v>
      </c>
      <c r="L1351" t="s">
        <v>9913</v>
      </c>
    </row>
    <row r="1352" spans="1:13" x14ac:dyDescent="0.25">
      <c r="A1352" t="s">
        <v>5766</v>
      </c>
      <c r="B1352" t="s">
        <v>4109</v>
      </c>
      <c r="C1352" s="1" t="s">
        <v>4144</v>
      </c>
      <c r="D1352" s="1" t="s">
        <v>9965</v>
      </c>
      <c r="E1352" t="s">
        <v>4145</v>
      </c>
      <c r="F1352" t="s">
        <v>9966</v>
      </c>
      <c r="G1352" t="s">
        <v>9967</v>
      </c>
      <c r="H1352" t="s">
        <v>9968</v>
      </c>
      <c r="I1352" t="s">
        <v>8032</v>
      </c>
      <c r="J1352" t="s">
        <v>9911</v>
      </c>
      <c r="K1352" t="s">
        <v>9912</v>
      </c>
      <c r="L1352" t="s">
        <v>9913</v>
      </c>
    </row>
    <row r="1353" spans="1:13" x14ac:dyDescent="0.25">
      <c r="A1353" t="s">
        <v>5766</v>
      </c>
      <c r="B1353" t="s">
        <v>4109</v>
      </c>
      <c r="C1353" s="1" t="s">
        <v>4147</v>
      </c>
      <c r="D1353" s="1" t="s">
        <v>9969</v>
      </c>
      <c r="E1353" t="s">
        <v>4148</v>
      </c>
      <c r="F1353" t="s">
        <v>8674</v>
      </c>
      <c r="G1353" t="s">
        <v>9970</v>
      </c>
      <c r="H1353" t="s">
        <v>9971</v>
      </c>
      <c r="I1353" t="s">
        <v>9972</v>
      </c>
      <c r="J1353" t="s">
        <v>9911</v>
      </c>
      <c r="K1353" t="s">
        <v>9912</v>
      </c>
      <c r="L1353" t="s">
        <v>9913</v>
      </c>
    </row>
    <row r="1354" spans="1:13" x14ac:dyDescent="0.25">
      <c r="A1354" t="s">
        <v>5766</v>
      </c>
      <c r="B1354" t="s">
        <v>4109</v>
      </c>
      <c r="C1354" s="1" t="s">
        <v>4150</v>
      </c>
      <c r="D1354" s="1" t="s">
        <v>9973</v>
      </c>
      <c r="E1354" t="s">
        <v>4151</v>
      </c>
      <c r="F1354" t="s">
        <v>9974</v>
      </c>
      <c r="G1354" t="s">
        <v>9975</v>
      </c>
      <c r="H1354" t="s">
        <v>9976</v>
      </c>
      <c r="I1354" t="s">
        <v>9977</v>
      </c>
      <c r="J1354" t="s">
        <v>9911</v>
      </c>
      <c r="K1354" t="s">
        <v>9912</v>
      </c>
      <c r="L1354" t="s">
        <v>9913</v>
      </c>
    </row>
    <row r="1355" spans="1:13" x14ac:dyDescent="0.25">
      <c r="A1355" t="s">
        <v>5766</v>
      </c>
      <c r="B1355" t="s">
        <v>4109</v>
      </c>
      <c r="C1355" s="1" t="s">
        <v>4153</v>
      </c>
      <c r="D1355" s="1" t="s">
        <v>9978</v>
      </c>
      <c r="E1355" t="s">
        <v>4154</v>
      </c>
      <c r="F1355" t="s">
        <v>9979</v>
      </c>
      <c r="G1355" t="s">
        <v>9980</v>
      </c>
      <c r="H1355" t="s">
        <v>9981</v>
      </c>
      <c r="I1355" t="s">
        <v>6431</v>
      </c>
      <c r="J1355" t="s">
        <v>9911</v>
      </c>
      <c r="K1355" t="s">
        <v>9912</v>
      </c>
      <c r="L1355" t="s">
        <v>9913</v>
      </c>
    </row>
    <row r="1356" spans="1:13" x14ac:dyDescent="0.25">
      <c r="A1356" t="s">
        <v>5766</v>
      </c>
      <c r="B1356" t="s">
        <v>4109</v>
      </c>
      <c r="C1356" s="1" t="s">
        <v>4156</v>
      </c>
      <c r="D1356" s="1" t="s">
        <v>9982</v>
      </c>
      <c r="E1356" t="s">
        <v>4157</v>
      </c>
      <c r="F1356" t="s">
        <v>9008</v>
      </c>
      <c r="G1356" t="s">
        <v>9983</v>
      </c>
      <c r="H1356" t="s">
        <v>9984</v>
      </c>
      <c r="I1356" t="s">
        <v>9985</v>
      </c>
      <c r="J1356" t="s">
        <v>9911</v>
      </c>
      <c r="K1356" t="s">
        <v>9912</v>
      </c>
      <c r="L1356" t="s">
        <v>9913</v>
      </c>
    </row>
    <row r="1357" spans="1:13" x14ac:dyDescent="0.25">
      <c r="A1357" t="s">
        <v>5766</v>
      </c>
      <c r="B1357" t="s">
        <v>4109</v>
      </c>
      <c r="C1357" s="1" t="s">
        <v>4159</v>
      </c>
      <c r="D1357" s="1" t="s">
        <v>9986</v>
      </c>
      <c r="E1357" t="s">
        <v>4160</v>
      </c>
      <c r="F1357" t="s">
        <v>9987</v>
      </c>
      <c r="G1357" t="s">
        <v>9988</v>
      </c>
      <c r="H1357" t="s">
        <v>9989</v>
      </c>
      <c r="I1357" t="s">
        <v>9431</v>
      </c>
      <c r="J1357" t="s">
        <v>9911</v>
      </c>
      <c r="K1357" t="s">
        <v>9912</v>
      </c>
      <c r="L1357" t="s">
        <v>9913</v>
      </c>
    </row>
    <row r="1358" spans="1:13" x14ac:dyDescent="0.25">
      <c r="A1358" t="s">
        <v>5766</v>
      </c>
      <c r="B1358" t="s">
        <v>4109</v>
      </c>
      <c r="C1358" s="1" t="s">
        <v>52</v>
      </c>
      <c r="D1358" s="1" t="s">
        <v>52</v>
      </c>
      <c r="E1358" t="s">
        <v>5767</v>
      </c>
      <c r="F1358" t="s">
        <v>9990</v>
      </c>
      <c r="G1358" t="s">
        <v>5769</v>
      </c>
      <c r="H1358" t="s">
        <v>9991</v>
      </c>
      <c r="I1358" t="s">
        <v>8160</v>
      </c>
      <c r="J1358" t="s">
        <v>9911</v>
      </c>
      <c r="K1358" t="s">
        <v>9912</v>
      </c>
      <c r="L1358" t="s">
        <v>9913</v>
      </c>
      <c r="M1358" t="s">
        <v>65</v>
      </c>
    </row>
    <row r="1359" spans="1:13" x14ac:dyDescent="0.25">
      <c r="A1359" t="s">
        <v>5766</v>
      </c>
      <c r="B1359" t="s">
        <v>4161</v>
      </c>
      <c r="C1359" s="1" t="s">
        <v>2595</v>
      </c>
      <c r="D1359" s="1" t="s">
        <v>2595</v>
      </c>
      <c r="E1359" t="s">
        <v>2596</v>
      </c>
      <c r="F1359" t="s">
        <v>9992</v>
      </c>
      <c r="G1359" t="s">
        <v>7990</v>
      </c>
      <c r="H1359" t="s">
        <v>4162</v>
      </c>
      <c r="I1359" t="s">
        <v>9993</v>
      </c>
      <c r="J1359" t="s">
        <v>9994</v>
      </c>
      <c r="K1359" t="s">
        <v>5805</v>
      </c>
      <c r="L1359" t="s">
        <v>5806</v>
      </c>
    </row>
    <row r="1360" spans="1:13" x14ac:dyDescent="0.25">
      <c r="A1360" t="s">
        <v>5766</v>
      </c>
      <c r="B1360" t="s">
        <v>4161</v>
      </c>
      <c r="C1360" s="1" t="s">
        <v>4164</v>
      </c>
      <c r="D1360" s="1" t="s">
        <v>4164</v>
      </c>
      <c r="E1360" t="s">
        <v>4165</v>
      </c>
      <c r="F1360" t="s">
        <v>9995</v>
      </c>
      <c r="G1360" t="s">
        <v>9996</v>
      </c>
      <c r="H1360" t="s">
        <v>4168</v>
      </c>
      <c r="I1360" t="s">
        <v>9997</v>
      </c>
      <c r="J1360" t="s">
        <v>9994</v>
      </c>
      <c r="K1360" t="s">
        <v>5805</v>
      </c>
      <c r="L1360" t="s">
        <v>5806</v>
      </c>
    </row>
    <row r="1361" spans="1:13" x14ac:dyDescent="0.25">
      <c r="A1361" t="s">
        <v>5766</v>
      </c>
      <c r="B1361" t="s">
        <v>4161</v>
      </c>
      <c r="C1361" s="1" t="s">
        <v>4170</v>
      </c>
      <c r="D1361" s="1" t="s">
        <v>4170</v>
      </c>
      <c r="E1361" t="s">
        <v>4171</v>
      </c>
      <c r="F1361" t="s">
        <v>9995</v>
      </c>
      <c r="G1361" t="s">
        <v>9998</v>
      </c>
      <c r="H1361" t="s">
        <v>4174</v>
      </c>
      <c r="I1361" t="s">
        <v>9999</v>
      </c>
      <c r="J1361" t="s">
        <v>9994</v>
      </c>
      <c r="K1361" t="s">
        <v>5805</v>
      </c>
      <c r="L1361" t="s">
        <v>5806</v>
      </c>
    </row>
    <row r="1362" spans="1:13" x14ac:dyDescent="0.25">
      <c r="A1362" t="s">
        <v>5766</v>
      </c>
      <c r="B1362" t="s">
        <v>4161</v>
      </c>
      <c r="C1362" s="1" t="s">
        <v>2624</v>
      </c>
      <c r="D1362" s="1" t="s">
        <v>2624</v>
      </c>
      <c r="E1362" t="s">
        <v>2625</v>
      </c>
      <c r="F1362" t="s">
        <v>9992</v>
      </c>
      <c r="G1362" t="s">
        <v>8000</v>
      </c>
      <c r="H1362" t="s">
        <v>4176</v>
      </c>
      <c r="I1362" t="s">
        <v>10000</v>
      </c>
      <c r="J1362" t="s">
        <v>9994</v>
      </c>
      <c r="K1362" t="s">
        <v>5805</v>
      </c>
      <c r="L1362" t="s">
        <v>5806</v>
      </c>
    </row>
    <row r="1363" spans="1:13" x14ac:dyDescent="0.25">
      <c r="A1363" t="s">
        <v>5766</v>
      </c>
      <c r="B1363" t="s">
        <v>4161</v>
      </c>
      <c r="C1363" s="1" t="s">
        <v>2631</v>
      </c>
      <c r="D1363" s="1" t="s">
        <v>2631</v>
      </c>
      <c r="E1363" t="s">
        <v>2632</v>
      </c>
      <c r="F1363" t="s">
        <v>10001</v>
      </c>
      <c r="G1363" t="s">
        <v>8003</v>
      </c>
      <c r="H1363" t="s">
        <v>10002</v>
      </c>
      <c r="I1363" t="s">
        <v>10003</v>
      </c>
      <c r="J1363" t="s">
        <v>9994</v>
      </c>
      <c r="K1363" t="s">
        <v>5805</v>
      </c>
      <c r="L1363" t="s">
        <v>5806</v>
      </c>
    </row>
    <row r="1364" spans="1:13" x14ac:dyDescent="0.25">
      <c r="A1364" t="s">
        <v>5766</v>
      </c>
      <c r="B1364" t="s">
        <v>4161</v>
      </c>
      <c r="C1364" s="1" t="s">
        <v>78</v>
      </c>
      <c r="D1364" s="1" t="s">
        <v>5780</v>
      </c>
      <c r="E1364" t="s">
        <v>5781</v>
      </c>
      <c r="F1364" t="s">
        <v>10004</v>
      </c>
      <c r="G1364" t="s">
        <v>5783</v>
      </c>
      <c r="H1364" t="s">
        <v>10005</v>
      </c>
      <c r="I1364" t="s">
        <v>6133</v>
      </c>
      <c r="J1364" t="s">
        <v>9994</v>
      </c>
      <c r="K1364" t="s">
        <v>5805</v>
      </c>
      <c r="L1364" t="s">
        <v>5806</v>
      </c>
      <c r="M1364" t="s">
        <v>65</v>
      </c>
    </row>
    <row r="1365" spans="1:13" x14ac:dyDescent="0.25">
      <c r="A1365" t="s">
        <v>5766</v>
      </c>
      <c r="B1365" t="s">
        <v>4161</v>
      </c>
      <c r="C1365" s="1" t="s">
        <v>52</v>
      </c>
      <c r="D1365" s="1" t="s">
        <v>52</v>
      </c>
      <c r="E1365" t="s">
        <v>5767</v>
      </c>
      <c r="F1365" t="s">
        <v>10006</v>
      </c>
      <c r="G1365" t="s">
        <v>5769</v>
      </c>
      <c r="H1365" t="s">
        <v>10007</v>
      </c>
      <c r="I1365" t="s">
        <v>6396</v>
      </c>
      <c r="J1365" t="s">
        <v>9994</v>
      </c>
      <c r="K1365" t="s">
        <v>5805</v>
      </c>
      <c r="L1365" t="s">
        <v>5806</v>
      </c>
      <c r="M1365" t="s">
        <v>65</v>
      </c>
    </row>
    <row r="1366" spans="1:13" x14ac:dyDescent="0.25">
      <c r="A1366" t="s">
        <v>5766</v>
      </c>
      <c r="B1366" t="s">
        <v>4178</v>
      </c>
      <c r="C1366" s="1" t="s">
        <v>4180</v>
      </c>
      <c r="D1366" s="1" t="s">
        <v>4180</v>
      </c>
      <c r="E1366" t="s">
        <v>4181</v>
      </c>
      <c r="F1366" t="s">
        <v>10008</v>
      </c>
      <c r="G1366" t="s">
        <v>10009</v>
      </c>
      <c r="H1366" t="s">
        <v>4182</v>
      </c>
      <c r="I1366" t="s">
        <v>10010</v>
      </c>
      <c r="J1366" t="s">
        <v>10011</v>
      </c>
      <c r="K1366" t="s">
        <v>5778</v>
      </c>
      <c r="L1366" t="s">
        <v>5779</v>
      </c>
    </row>
    <row r="1367" spans="1:13" x14ac:dyDescent="0.25">
      <c r="A1367" t="s">
        <v>5766</v>
      </c>
      <c r="B1367" t="s">
        <v>4178</v>
      </c>
      <c r="C1367" s="1" t="s">
        <v>78</v>
      </c>
      <c r="D1367" s="1" t="s">
        <v>5780</v>
      </c>
      <c r="E1367" t="s">
        <v>5781</v>
      </c>
      <c r="F1367" t="s">
        <v>10012</v>
      </c>
      <c r="G1367" t="s">
        <v>5783</v>
      </c>
      <c r="H1367" t="s">
        <v>10013</v>
      </c>
      <c r="I1367" t="s">
        <v>10014</v>
      </c>
      <c r="J1367" t="s">
        <v>10011</v>
      </c>
      <c r="K1367" t="s">
        <v>5778</v>
      </c>
      <c r="L1367" t="s">
        <v>5779</v>
      </c>
      <c r="M1367" t="s">
        <v>65</v>
      </c>
    </row>
    <row r="1368" spans="1:13" x14ac:dyDescent="0.25">
      <c r="A1368" t="s">
        <v>5766</v>
      </c>
      <c r="B1368" t="s">
        <v>4178</v>
      </c>
      <c r="C1368" s="1" t="s">
        <v>52</v>
      </c>
      <c r="D1368" s="1" t="s">
        <v>52</v>
      </c>
      <c r="E1368" t="s">
        <v>5767</v>
      </c>
      <c r="F1368" t="s">
        <v>10015</v>
      </c>
      <c r="G1368" t="s">
        <v>5769</v>
      </c>
      <c r="H1368" t="s">
        <v>10016</v>
      </c>
      <c r="I1368" t="s">
        <v>10017</v>
      </c>
      <c r="J1368" t="s">
        <v>10011</v>
      </c>
      <c r="K1368" t="s">
        <v>5778</v>
      </c>
      <c r="L1368" t="s">
        <v>5779</v>
      </c>
      <c r="M1368" t="s">
        <v>65</v>
      </c>
    </row>
    <row r="1369" spans="1:13" x14ac:dyDescent="0.25">
      <c r="A1369" t="s">
        <v>5766</v>
      </c>
      <c r="B1369" t="s">
        <v>4186</v>
      </c>
      <c r="C1369" s="1" t="s">
        <v>4188</v>
      </c>
      <c r="D1369" s="1" t="s">
        <v>4188</v>
      </c>
      <c r="E1369" t="s">
        <v>4189</v>
      </c>
      <c r="F1369" t="s">
        <v>10018</v>
      </c>
      <c r="G1369" t="s">
        <v>10019</v>
      </c>
      <c r="H1369" t="s">
        <v>4190</v>
      </c>
      <c r="I1369" t="s">
        <v>10020</v>
      </c>
      <c r="J1369" t="s">
        <v>10021</v>
      </c>
      <c r="K1369" t="s">
        <v>5997</v>
      </c>
      <c r="L1369" t="s">
        <v>5998</v>
      </c>
    </row>
    <row r="1370" spans="1:13" x14ac:dyDescent="0.25">
      <c r="A1370" t="s">
        <v>5766</v>
      </c>
      <c r="B1370" t="s">
        <v>4186</v>
      </c>
      <c r="C1370" s="1" t="s">
        <v>4194</v>
      </c>
      <c r="D1370" s="1" t="s">
        <v>4194</v>
      </c>
      <c r="E1370" t="s">
        <v>4195</v>
      </c>
      <c r="F1370" t="s">
        <v>9384</v>
      </c>
      <c r="G1370" t="s">
        <v>10019</v>
      </c>
      <c r="H1370" t="s">
        <v>4196</v>
      </c>
      <c r="I1370" t="s">
        <v>10022</v>
      </c>
      <c r="J1370" t="s">
        <v>10021</v>
      </c>
      <c r="K1370" t="s">
        <v>5997</v>
      </c>
      <c r="L1370" t="s">
        <v>5998</v>
      </c>
    </row>
    <row r="1371" spans="1:13" x14ac:dyDescent="0.25">
      <c r="A1371" t="s">
        <v>5766</v>
      </c>
      <c r="B1371" t="s">
        <v>4186</v>
      </c>
      <c r="C1371" s="1" t="s">
        <v>78</v>
      </c>
      <c r="D1371" s="1" t="s">
        <v>5780</v>
      </c>
      <c r="E1371" t="s">
        <v>5781</v>
      </c>
      <c r="F1371" t="s">
        <v>10023</v>
      </c>
      <c r="G1371" t="s">
        <v>5783</v>
      </c>
      <c r="H1371" t="s">
        <v>10024</v>
      </c>
      <c r="I1371" t="s">
        <v>10025</v>
      </c>
      <c r="J1371" t="s">
        <v>10021</v>
      </c>
      <c r="K1371" t="s">
        <v>5997</v>
      </c>
      <c r="L1371" t="s">
        <v>5998</v>
      </c>
      <c r="M1371" t="s">
        <v>65</v>
      </c>
    </row>
    <row r="1372" spans="1:13" x14ac:dyDescent="0.25">
      <c r="A1372" t="s">
        <v>5766</v>
      </c>
      <c r="B1372" t="s">
        <v>4186</v>
      </c>
      <c r="C1372" s="1" t="s">
        <v>52</v>
      </c>
      <c r="D1372" s="1" t="s">
        <v>52</v>
      </c>
      <c r="E1372" t="s">
        <v>5767</v>
      </c>
      <c r="F1372" t="s">
        <v>10026</v>
      </c>
      <c r="G1372" t="s">
        <v>5769</v>
      </c>
      <c r="H1372" t="s">
        <v>10027</v>
      </c>
      <c r="I1372" t="s">
        <v>10028</v>
      </c>
      <c r="J1372" t="s">
        <v>10021</v>
      </c>
      <c r="K1372" t="s">
        <v>5997</v>
      </c>
      <c r="L1372" t="s">
        <v>5998</v>
      </c>
      <c r="M1372" t="s">
        <v>65</v>
      </c>
    </row>
    <row r="1373" spans="1:13" x14ac:dyDescent="0.25">
      <c r="A1373" t="s">
        <v>5766</v>
      </c>
      <c r="B1373" t="s">
        <v>4198</v>
      </c>
      <c r="C1373" s="1" t="s">
        <v>230</v>
      </c>
      <c r="D1373" s="1" t="s">
        <v>6014</v>
      </c>
      <c r="E1373" t="s">
        <v>231</v>
      </c>
      <c r="F1373" t="s">
        <v>10029</v>
      </c>
      <c r="G1373" t="s">
        <v>6016</v>
      </c>
      <c r="H1373" t="s">
        <v>10030</v>
      </c>
      <c r="I1373" t="s">
        <v>9581</v>
      </c>
      <c r="J1373" t="s">
        <v>10031</v>
      </c>
      <c r="K1373" t="s">
        <v>6403</v>
      </c>
      <c r="L1373" t="s">
        <v>6404</v>
      </c>
    </row>
    <row r="1374" spans="1:13" x14ac:dyDescent="0.25">
      <c r="A1374" t="s">
        <v>5766</v>
      </c>
      <c r="B1374" t="s">
        <v>4198</v>
      </c>
      <c r="C1374" s="1" t="s">
        <v>4200</v>
      </c>
      <c r="D1374" s="1" t="s">
        <v>10032</v>
      </c>
      <c r="E1374" t="s">
        <v>4201</v>
      </c>
      <c r="F1374" t="s">
        <v>10033</v>
      </c>
      <c r="G1374" t="s">
        <v>10034</v>
      </c>
      <c r="H1374" t="s">
        <v>10035</v>
      </c>
      <c r="I1374" t="s">
        <v>10036</v>
      </c>
      <c r="J1374" t="s">
        <v>10031</v>
      </c>
      <c r="K1374" t="s">
        <v>6403</v>
      </c>
      <c r="L1374" t="s">
        <v>6404</v>
      </c>
    </row>
    <row r="1375" spans="1:13" x14ac:dyDescent="0.25">
      <c r="A1375" t="s">
        <v>5766</v>
      </c>
      <c r="B1375" t="s">
        <v>4198</v>
      </c>
      <c r="C1375" s="1" t="s">
        <v>4203</v>
      </c>
      <c r="D1375" s="1" t="s">
        <v>10037</v>
      </c>
      <c r="E1375" t="s">
        <v>4204</v>
      </c>
      <c r="F1375" t="s">
        <v>10029</v>
      </c>
      <c r="G1375" t="s">
        <v>10038</v>
      </c>
      <c r="H1375" t="s">
        <v>10039</v>
      </c>
      <c r="I1375" t="s">
        <v>8853</v>
      </c>
      <c r="J1375" t="s">
        <v>10031</v>
      </c>
      <c r="K1375" t="s">
        <v>6403</v>
      </c>
      <c r="L1375" t="s">
        <v>6404</v>
      </c>
    </row>
    <row r="1376" spans="1:13" x14ac:dyDescent="0.25">
      <c r="A1376" t="s">
        <v>5766</v>
      </c>
      <c r="B1376" t="s">
        <v>4198</v>
      </c>
      <c r="C1376" s="1" t="s">
        <v>4206</v>
      </c>
      <c r="D1376" s="1" t="s">
        <v>10040</v>
      </c>
      <c r="E1376" t="s">
        <v>4208</v>
      </c>
      <c r="F1376" t="s">
        <v>8552</v>
      </c>
      <c r="G1376" t="s">
        <v>10041</v>
      </c>
      <c r="H1376" t="s">
        <v>10042</v>
      </c>
      <c r="I1376" t="s">
        <v>9752</v>
      </c>
      <c r="J1376" t="s">
        <v>10031</v>
      </c>
      <c r="K1376" t="s">
        <v>6403</v>
      </c>
      <c r="L1376" t="s">
        <v>6404</v>
      </c>
    </row>
    <row r="1377" spans="1:13" x14ac:dyDescent="0.25">
      <c r="A1377" t="s">
        <v>5766</v>
      </c>
      <c r="B1377" t="s">
        <v>4198</v>
      </c>
      <c r="C1377" s="1" t="s">
        <v>4210</v>
      </c>
      <c r="D1377" s="1" t="s">
        <v>10043</v>
      </c>
      <c r="E1377" t="s">
        <v>4211</v>
      </c>
      <c r="F1377" t="s">
        <v>8578</v>
      </c>
      <c r="G1377" t="s">
        <v>9015</v>
      </c>
      <c r="H1377" t="s">
        <v>10044</v>
      </c>
      <c r="I1377" t="s">
        <v>6337</v>
      </c>
      <c r="J1377" t="s">
        <v>10031</v>
      </c>
      <c r="K1377" t="s">
        <v>6403</v>
      </c>
      <c r="L1377" t="s">
        <v>6404</v>
      </c>
    </row>
    <row r="1378" spans="1:13" x14ac:dyDescent="0.25">
      <c r="A1378" t="s">
        <v>5766</v>
      </c>
      <c r="B1378" t="s">
        <v>4198</v>
      </c>
      <c r="C1378" s="1" t="s">
        <v>257</v>
      </c>
      <c r="D1378" s="1" t="s">
        <v>6054</v>
      </c>
      <c r="E1378" t="s">
        <v>258</v>
      </c>
      <c r="F1378" t="s">
        <v>8552</v>
      </c>
      <c r="G1378" t="s">
        <v>6055</v>
      </c>
      <c r="H1378" t="s">
        <v>10045</v>
      </c>
      <c r="I1378" t="s">
        <v>10046</v>
      </c>
      <c r="J1378" t="s">
        <v>10031</v>
      </c>
      <c r="K1378" t="s">
        <v>6403</v>
      </c>
      <c r="L1378" t="s">
        <v>6404</v>
      </c>
    </row>
    <row r="1379" spans="1:13" x14ac:dyDescent="0.25">
      <c r="A1379" t="s">
        <v>5766</v>
      </c>
      <c r="B1379" t="s">
        <v>4198</v>
      </c>
      <c r="C1379" s="1" t="s">
        <v>4213</v>
      </c>
      <c r="D1379" s="1" t="s">
        <v>10047</v>
      </c>
      <c r="E1379" t="s">
        <v>4214</v>
      </c>
      <c r="F1379" t="s">
        <v>8558</v>
      </c>
      <c r="G1379" t="s">
        <v>10048</v>
      </c>
      <c r="H1379" t="s">
        <v>10049</v>
      </c>
      <c r="I1379" t="s">
        <v>8830</v>
      </c>
      <c r="J1379" t="s">
        <v>10031</v>
      </c>
      <c r="K1379" t="s">
        <v>6403</v>
      </c>
      <c r="L1379" t="s">
        <v>6404</v>
      </c>
    </row>
    <row r="1380" spans="1:13" x14ac:dyDescent="0.25">
      <c r="A1380" t="s">
        <v>5766</v>
      </c>
      <c r="B1380" t="s">
        <v>4198</v>
      </c>
      <c r="C1380" s="1" t="s">
        <v>440</v>
      </c>
      <c r="D1380" s="1" t="s">
        <v>6312</v>
      </c>
      <c r="E1380" t="s">
        <v>441</v>
      </c>
      <c r="F1380" t="s">
        <v>6113</v>
      </c>
      <c r="G1380" t="s">
        <v>6314</v>
      </c>
      <c r="H1380" t="s">
        <v>10050</v>
      </c>
      <c r="I1380" t="s">
        <v>8690</v>
      </c>
      <c r="J1380" t="s">
        <v>10031</v>
      </c>
      <c r="K1380" t="s">
        <v>6403</v>
      </c>
      <c r="L1380" t="s">
        <v>6404</v>
      </c>
    </row>
    <row r="1381" spans="1:13" x14ac:dyDescent="0.25">
      <c r="A1381" t="s">
        <v>5766</v>
      </c>
      <c r="B1381" t="s">
        <v>4198</v>
      </c>
      <c r="C1381" s="1" t="s">
        <v>4216</v>
      </c>
      <c r="D1381" s="1" t="s">
        <v>10051</v>
      </c>
      <c r="E1381" t="s">
        <v>4217</v>
      </c>
      <c r="F1381" t="s">
        <v>10052</v>
      </c>
      <c r="G1381" t="s">
        <v>10053</v>
      </c>
      <c r="H1381" t="s">
        <v>10054</v>
      </c>
      <c r="I1381" t="s">
        <v>8258</v>
      </c>
      <c r="J1381" t="s">
        <v>10031</v>
      </c>
      <c r="K1381" t="s">
        <v>6403</v>
      </c>
      <c r="L1381" t="s">
        <v>6404</v>
      </c>
    </row>
    <row r="1382" spans="1:13" x14ac:dyDescent="0.25">
      <c r="A1382" t="s">
        <v>5766</v>
      </c>
      <c r="B1382" t="s">
        <v>4198</v>
      </c>
      <c r="C1382" s="1" t="s">
        <v>4219</v>
      </c>
      <c r="D1382" s="1" t="s">
        <v>10055</v>
      </c>
      <c r="E1382" t="s">
        <v>4220</v>
      </c>
      <c r="F1382" t="s">
        <v>6461</v>
      </c>
      <c r="G1382" t="s">
        <v>10056</v>
      </c>
      <c r="H1382" t="s">
        <v>10057</v>
      </c>
      <c r="I1382" t="s">
        <v>6219</v>
      </c>
      <c r="J1382" t="s">
        <v>10031</v>
      </c>
      <c r="K1382" t="s">
        <v>6403</v>
      </c>
      <c r="L1382" t="s">
        <v>6404</v>
      </c>
    </row>
    <row r="1383" spans="1:13" x14ac:dyDescent="0.25">
      <c r="A1383" t="s">
        <v>5766</v>
      </c>
      <c r="B1383" t="s">
        <v>4198</v>
      </c>
      <c r="C1383" s="1" t="s">
        <v>4222</v>
      </c>
      <c r="D1383" s="1" t="s">
        <v>10058</v>
      </c>
      <c r="E1383" t="s">
        <v>4223</v>
      </c>
      <c r="F1383" t="s">
        <v>10059</v>
      </c>
      <c r="G1383" t="s">
        <v>10060</v>
      </c>
      <c r="H1383" t="s">
        <v>10061</v>
      </c>
      <c r="I1383" t="s">
        <v>9632</v>
      </c>
      <c r="J1383" t="s">
        <v>10031</v>
      </c>
      <c r="K1383" t="s">
        <v>6403</v>
      </c>
      <c r="L1383" t="s">
        <v>6404</v>
      </c>
    </row>
    <row r="1384" spans="1:13" x14ac:dyDescent="0.25">
      <c r="A1384" t="s">
        <v>5766</v>
      </c>
      <c r="B1384" t="s">
        <v>4198</v>
      </c>
      <c r="C1384" s="1" t="s">
        <v>446</v>
      </c>
      <c r="D1384" s="1" t="s">
        <v>6322</v>
      </c>
      <c r="E1384" t="s">
        <v>447</v>
      </c>
      <c r="F1384" t="s">
        <v>10062</v>
      </c>
      <c r="G1384" t="s">
        <v>6324</v>
      </c>
      <c r="H1384" t="s">
        <v>10063</v>
      </c>
      <c r="I1384" t="s">
        <v>6157</v>
      </c>
      <c r="J1384" t="s">
        <v>10031</v>
      </c>
      <c r="K1384" t="s">
        <v>6403</v>
      </c>
      <c r="L1384" t="s">
        <v>6404</v>
      </c>
    </row>
    <row r="1385" spans="1:13" x14ac:dyDescent="0.25">
      <c r="A1385" t="s">
        <v>5766</v>
      </c>
      <c r="B1385" t="s">
        <v>4198</v>
      </c>
      <c r="C1385" s="1" t="s">
        <v>78</v>
      </c>
      <c r="D1385" s="1" t="s">
        <v>5780</v>
      </c>
      <c r="E1385" t="s">
        <v>5781</v>
      </c>
      <c r="F1385" t="s">
        <v>10064</v>
      </c>
      <c r="G1385" t="s">
        <v>5783</v>
      </c>
      <c r="H1385" t="s">
        <v>10065</v>
      </c>
      <c r="I1385" t="s">
        <v>6977</v>
      </c>
      <c r="J1385" t="s">
        <v>10031</v>
      </c>
      <c r="K1385" t="s">
        <v>6403</v>
      </c>
      <c r="L1385" t="s">
        <v>6404</v>
      </c>
      <c r="M1385" t="s">
        <v>65</v>
      </c>
    </row>
    <row r="1386" spans="1:13" x14ac:dyDescent="0.25">
      <c r="A1386" t="s">
        <v>5766</v>
      </c>
      <c r="B1386" t="s">
        <v>4198</v>
      </c>
      <c r="C1386" s="1" t="s">
        <v>4225</v>
      </c>
      <c r="D1386" s="1" t="s">
        <v>10066</v>
      </c>
      <c r="E1386" t="s">
        <v>4226</v>
      </c>
      <c r="F1386" t="s">
        <v>10067</v>
      </c>
      <c r="G1386" t="s">
        <v>10068</v>
      </c>
      <c r="H1386" t="s">
        <v>10069</v>
      </c>
      <c r="I1386" t="s">
        <v>8539</v>
      </c>
      <c r="J1386" t="s">
        <v>10031</v>
      </c>
      <c r="K1386" t="s">
        <v>6403</v>
      </c>
      <c r="L1386" t="s">
        <v>6404</v>
      </c>
    </row>
    <row r="1387" spans="1:13" x14ac:dyDescent="0.25">
      <c r="A1387" t="s">
        <v>5766</v>
      </c>
      <c r="B1387" t="s">
        <v>4198</v>
      </c>
      <c r="C1387" s="1" t="s">
        <v>4228</v>
      </c>
      <c r="D1387" s="1" t="s">
        <v>10070</v>
      </c>
      <c r="E1387" t="s">
        <v>4229</v>
      </c>
      <c r="F1387" t="s">
        <v>9384</v>
      </c>
      <c r="G1387" t="s">
        <v>10071</v>
      </c>
      <c r="H1387" t="s">
        <v>10072</v>
      </c>
      <c r="I1387" t="s">
        <v>10073</v>
      </c>
      <c r="J1387" t="s">
        <v>10031</v>
      </c>
      <c r="K1387" t="s">
        <v>6403</v>
      </c>
      <c r="L1387" t="s">
        <v>6404</v>
      </c>
    </row>
    <row r="1388" spans="1:13" x14ac:dyDescent="0.25">
      <c r="A1388" t="s">
        <v>5766</v>
      </c>
      <c r="B1388" t="s">
        <v>4198</v>
      </c>
      <c r="C1388" s="1" t="s">
        <v>4231</v>
      </c>
      <c r="D1388" s="1" t="s">
        <v>10074</v>
      </c>
      <c r="E1388" t="s">
        <v>4232</v>
      </c>
      <c r="F1388" t="s">
        <v>8715</v>
      </c>
      <c r="G1388" t="s">
        <v>10075</v>
      </c>
      <c r="H1388" t="s">
        <v>10076</v>
      </c>
      <c r="I1388" t="s">
        <v>10077</v>
      </c>
      <c r="J1388" t="s">
        <v>10031</v>
      </c>
      <c r="K1388" t="s">
        <v>6403</v>
      </c>
      <c r="L1388" t="s">
        <v>6404</v>
      </c>
    </row>
    <row r="1389" spans="1:13" x14ac:dyDescent="0.25">
      <c r="A1389" t="s">
        <v>5766</v>
      </c>
      <c r="B1389" t="s">
        <v>4198</v>
      </c>
      <c r="C1389" s="1" t="s">
        <v>4234</v>
      </c>
      <c r="D1389" s="1" t="s">
        <v>10078</v>
      </c>
      <c r="E1389" t="s">
        <v>4235</v>
      </c>
      <c r="F1389" t="s">
        <v>9384</v>
      </c>
      <c r="G1389" t="s">
        <v>10079</v>
      </c>
      <c r="H1389" t="s">
        <v>10080</v>
      </c>
      <c r="I1389" t="s">
        <v>5816</v>
      </c>
      <c r="J1389" t="s">
        <v>10031</v>
      </c>
      <c r="K1389" t="s">
        <v>6403</v>
      </c>
      <c r="L1389" t="s">
        <v>6404</v>
      </c>
    </row>
    <row r="1390" spans="1:13" x14ac:dyDescent="0.25">
      <c r="A1390" t="s">
        <v>5766</v>
      </c>
      <c r="B1390" t="s">
        <v>4198</v>
      </c>
      <c r="C1390" s="1" t="s">
        <v>4237</v>
      </c>
      <c r="D1390" s="1" t="s">
        <v>10081</v>
      </c>
      <c r="E1390" t="s">
        <v>4238</v>
      </c>
      <c r="F1390" t="s">
        <v>10082</v>
      </c>
      <c r="G1390" t="s">
        <v>10083</v>
      </c>
      <c r="H1390" t="s">
        <v>10084</v>
      </c>
      <c r="I1390" t="s">
        <v>5826</v>
      </c>
      <c r="J1390" t="s">
        <v>10031</v>
      </c>
      <c r="K1390" t="s">
        <v>6403</v>
      </c>
      <c r="L1390" t="s">
        <v>6404</v>
      </c>
    </row>
    <row r="1391" spans="1:13" x14ac:dyDescent="0.25">
      <c r="A1391" t="s">
        <v>5766</v>
      </c>
      <c r="B1391" t="s">
        <v>4198</v>
      </c>
      <c r="C1391" s="1" t="s">
        <v>4240</v>
      </c>
      <c r="D1391" s="1" t="s">
        <v>10085</v>
      </c>
      <c r="E1391" t="s">
        <v>4241</v>
      </c>
      <c r="F1391" t="s">
        <v>8574</v>
      </c>
      <c r="G1391" t="s">
        <v>10086</v>
      </c>
      <c r="H1391" t="s">
        <v>10087</v>
      </c>
      <c r="I1391" t="s">
        <v>6184</v>
      </c>
      <c r="J1391" t="s">
        <v>10031</v>
      </c>
      <c r="K1391" t="s">
        <v>6403</v>
      </c>
      <c r="L1391" t="s">
        <v>6404</v>
      </c>
    </row>
    <row r="1392" spans="1:13" x14ac:dyDescent="0.25">
      <c r="A1392" t="s">
        <v>5766</v>
      </c>
      <c r="B1392" t="s">
        <v>4198</v>
      </c>
      <c r="C1392" s="1" t="s">
        <v>4243</v>
      </c>
      <c r="D1392" s="1" t="s">
        <v>10088</v>
      </c>
      <c r="E1392" t="s">
        <v>4244</v>
      </c>
      <c r="F1392" t="s">
        <v>9571</v>
      </c>
      <c r="G1392" t="s">
        <v>10089</v>
      </c>
      <c r="H1392" t="s">
        <v>10090</v>
      </c>
      <c r="I1392" t="s">
        <v>5831</v>
      </c>
      <c r="J1392" t="s">
        <v>10031</v>
      </c>
      <c r="K1392" t="s">
        <v>6403</v>
      </c>
      <c r="L1392" t="s">
        <v>6404</v>
      </c>
    </row>
    <row r="1393" spans="1:12" x14ac:dyDescent="0.25">
      <c r="A1393" t="s">
        <v>5766</v>
      </c>
      <c r="B1393" t="s">
        <v>4198</v>
      </c>
      <c r="C1393" s="1" t="s">
        <v>4246</v>
      </c>
      <c r="D1393" s="1" t="s">
        <v>10091</v>
      </c>
      <c r="E1393" t="s">
        <v>4247</v>
      </c>
      <c r="F1393" t="s">
        <v>10092</v>
      </c>
      <c r="G1393" t="s">
        <v>10093</v>
      </c>
      <c r="H1393" t="s">
        <v>10094</v>
      </c>
      <c r="I1393" t="s">
        <v>10095</v>
      </c>
      <c r="J1393" t="s">
        <v>10031</v>
      </c>
      <c r="K1393" t="s">
        <v>6403</v>
      </c>
      <c r="L1393" t="s">
        <v>6404</v>
      </c>
    </row>
    <row r="1394" spans="1:12" x14ac:dyDescent="0.25">
      <c r="A1394" t="s">
        <v>5766</v>
      </c>
      <c r="B1394" t="s">
        <v>4198</v>
      </c>
      <c r="C1394" s="1" t="s">
        <v>287</v>
      </c>
      <c r="D1394" s="1" t="s">
        <v>6098</v>
      </c>
      <c r="E1394" t="s">
        <v>288</v>
      </c>
      <c r="F1394" t="s">
        <v>5856</v>
      </c>
      <c r="G1394" t="s">
        <v>6099</v>
      </c>
      <c r="H1394" t="s">
        <v>10096</v>
      </c>
      <c r="I1394" t="s">
        <v>10097</v>
      </c>
      <c r="J1394" t="s">
        <v>10031</v>
      </c>
      <c r="K1394" t="s">
        <v>6403</v>
      </c>
      <c r="L1394" t="s">
        <v>6404</v>
      </c>
    </row>
    <row r="1395" spans="1:12" x14ac:dyDescent="0.25">
      <c r="A1395" t="s">
        <v>5766</v>
      </c>
      <c r="B1395" t="s">
        <v>4198</v>
      </c>
      <c r="C1395" s="1" t="s">
        <v>4249</v>
      </c>
      <c r="D1395" s="1" t="s">
        <v>10098</v>
      </c>
      <c r="E1395" t="s">
        <v>4250</v>
      </c>
      <c r="F1395" t="s">
        <v>10099</v>
      </c>
      <c r="G1395" t="s">
        <v>10100</v>
      </c>
      <c r="H1395" t="s">
        <v>10101</v>
      </c>
      <c r="I1395" t="s">
        <v>6018</v>
      </c>
      <c r="J1395" t="s">
        <v>10031</v>
      </c>
      <c r="K1395" t="s">
        <v>6403</v>
      </c>
      <c r="L1395" t="s">
        <v>6404</v>
      </c>
    </row>
    <row r="1396" spans="1:12" x14ac:dyDescent="0.25">
      <c r="A1396" t="s">
        <v>5766</v>
      </c>
      <c r="B1396" t="s">
        <v>4198</v>
      </c>
      <c r="C1396" s="1" t="s">
        <v>4252</v>
      </c>
      <c r="D1396" s="1" t="s">
        <v>10102</v>
      </c>
      <c r="E1396" t="s">
        <v>4253</v>
      </c>
      <c r="F1396" t="s">
        <v>6015</v>
      </c>
      <c r="G1396" t="s">
        <v>10103</v>
      </c>
      <c r="H1396" t="s">
        <v>10104</v>
      </c>
      <c r="I1396" t="s">
        <v>8884</v>
      </c>
      <c r="J1396" t="s">
        <v>10031</v>
      </c>
      <c r="K1396" t="s">
        <v>6403</v>
      </c>
      <c r="L1396" t="s">
        <v>6404</v>
      </c>
    </row>
    <row r="1397" spans="1:12" x14ac:dyDescent="0.25">
      <c r="A1397" t="s">
        <v>5766</v>
      </c>
      <c r="B1397" t="s">
        <v>4198</v>
      </c>
      <c r="C1397" s="1" t="s">
        <v>4255</v>
      </c>
      <c r="D1397" s="1" t="s">
        <v>10105</v>
      </c>
      <c r="E1397" t="s">
        <v>4256</v>
      </c>
      <c r="F1397" t="s">
        <v>8586</v>
      </c>
      <c r="G1397" t="s">
        <v>10106</v>
      </c>
      <c r="H1397" t="s">
        <v>10107</v>
      </c>
      <c r="I1397" t="s">
        <v>8008</v>
      </c>
      <c r="J1397" t="s">
        <v>10031</v>
      </c>
      <c r="K1397" t="s">
        <v>6403</v>
      </c>
      <c r="L1397" t="s">
        <v>6404</v>
      </c>
    </row>
    <row r="1398" spans="1:12" x14ac:dyDescent="0.25">
      <c r="A1398" t="s">
        <v>5766</v>
      </c>
      <c r="B1398" t="s">
        <v>4198</v>
      </c>
      <c r="C1398" s="1" t="s">
        <v>4258</v>
      </c>
      <c r="D1398" s="1" t="s">
        <v>10108</v>
      </c>
      <c r="E1398" t="s">
        <v>4259</v>
      </c>
      <c r="F1398" t="s">
        <v>6113</v>
      </c>
      <c r="G1398" t="s">
        <v>10109</v>
      </c>
      <c r="H1398" t="s">
        <v>10110</v>
      </c>
      <c r="I1398" t="s">
        <v>10111</v>
      </c>
      <c r="J1398" t="s">
        <v>10031</v>
      </c>
      <c r="K1398" t="s">
        <v>6403</v>
      </c>
      <c r="L1398" t="s">
        <v>6404</v>
      </c>
    </row>
    <row r="1399" spans="1:12" x14ac:dyDescent="0.25">
      <c r="A1399" t="s">
        <v>5766</v>
      </c>
      <c r="B1399" t="s">
        <v>4198</v>
      </c>
      <c r="C1399" s="1" t="s">
        <v>4261</v>
      </c>
      <c r="D1399" s="1" t="s">
        <v>10112</v>
      </c>
      <c r="E1399" t="s">
        <v>4262</v>
      </c>
      <c r="F1399" t="s">
        <v>10113</v>
      </c>
      <c r="G1399" t="s">
        <v>10114</v>
      </c>
      <c r="H1399" t="s">
        <v>10115</v>
      </c>
      <c r="I1399" t="s">
        <v>6913</v>
      </c>
      <c r="J1399" t="s">
        <v>10031</v>
      </c>
      <c r="K1399" t="s">
        <v>6403</v>
      </c>
      <c r="L1399" t="s">
        <v>6404</v>
      </c>
    </row>
    <row r="1400" spans="1:12" x14ac:dyDescent="0.25">
      <c r="A1400" t="s">
        <v>5766</v>
      </c>
      <c r="B1400" t="s">
        <v>4198</v>
      </c>
      <c r="C1400" s="1" t="s">
        <v>4264</v>
      </c>
      <c r="D1400" s="1" t="s">
        <v>10116</v>
      </c>
      <c r="E1400" t="s">
        <v>4265</v>
      </c>
      <c r="F1400" t="s">
        <v>8598</v>
      </c>
      <c r="G1400" t="s">
        <v>10117</v>
      </c>
      <c r="H1400" t="s">
        <v>10118</v>
      </c>
      <c r="I1400" t="s">
        <v>10119</v>
      </c>
      <c r="J1400" t="s">
        <v>10031</v>
      </c>
      <c r="K1400" t="s">
        <v>6403</v>
      </c>
      <c r="L1400" t="s">
        <v>6404</v>
      </c>
    </row>
    <row r="1401" spans="1:12" x14ac:dyDescent="0.25">
      <c r="A1401" t="s">
        <v>5766</v>
      </c>
      <c r="B1401" t="s">
        <v>4198</v>
      </c>
      <c r="C1401" s="1" t="s">
        <v>4267</v>
      </c>
      <c r="D1401" s="1" t="s">
        <v>10120</v>
      </c>
      <c r="E1401" t="s">
        <v>4268</v>
      </c>
      <c r="F1401" t="s">
        <v>10067</v>
      </c>
      <c r="G1401" t="s">
        <v>10121</v>
      </c>
      <c r="H1401" t="s">
        <v>10122</v>
      </c>
      <c r="I1401" t="s">
        <v>10123</v>
      </c>
      <c r="J1401" t="s">
        <v>10031</v>
      </c>
      <c r="K1401" t="s">
        <v>6403</v>
      </c>
      <c r="L1401" t="s">
        <v>6404</v>
      </c>
    </row>
    <row r="1402" spans="1:12" x14ac:dyDescent="0.25">
      <c r="A1402" t="s">
        <v>5766</v>
      </c>
      <c r="B1402" t="s">
        <v>4198</v>
      </c>
      <c r="C1402" s="1" t="s">
        <v>4270</v>
      </c>
      <c r="D1402" s="1" t="s">
        <v>10124</v>
      </c>
      <c r="E1402" t="s">
        <v>4272</v>
      </c>
      <c r="F1402" t="s">
        <v>6113</v>
      </c>
      <c r="G1402" t="s">
        <v>10125</v>
      </c>
      <c r="H1402" t="s">
        <v>10126</v>
      </c>
      <c r="I1402" t="s">
        <v>7497</v>
      </c>
      <c r="J1402" t="s">
        <v>10031</v>
      </c>
      <c r="K1402" t="s">
        <v>6403</v>
      </c>
      <c r="L1402" t="s">
        <v>6404</v>
      </c>
    </row>
    <row r="1403" spans="1:12" x14ac:dyDescent="0.25">
      <c r="A1403" t="s">
        <v>5766</v>
      </c>
      <c r="B1403" t="s">
        <v>4198</v>
      </c>
      <c r="C1403" s="1" t="s">
        <v>4274</v>
      </c>
      <c r="D1403" s="1" t="s">
        <v>10127</v>
      </c>
      <c r="E1403" t="s">
        <v>4275</v>
      </c>
      <c r="F1403" t="s">
        <v>10128</v>
      </c>
      <c r="G1403" t="s">
        <v>10129</v>
      </c>
      <c r="H1403" t="s">
        <v>10130</v>
      </c>
      <c r="I1403" t="s">
        <v>9047</v>
      </c>
      <c r="J1403" t="s">
        <v>10031</v>
      </c>
      <c r="K1403" t="s">
        <v>6403</v>
      </c>
      <c r="L1403" t="s">
        <v>6404</v>
      </c>
    </row>
    <row r="1404" spans="1:12" x14ac:dyDescent="0.25">
      <c r="A1404" t="s">
        <v>5766</v>
      </c>
      <c r="B1404" t="s">
        <v>4198</v>
      </c>
      <c r="C1404" s="1" t="s">
        <v>4277</v>
      </c>
      <c r="D1404" s="1" t="s">
        <v>10131</v>
      </c>
      <c r="E1404" t="s">
        <v>4278</v>
      </c>
      <c r="F1404" t="s">
        <v>5949</v>
      </c>
      <c r="G1404" t="s">
        <v>10132</v>
      </c>
      <c r="H1404" t="s">
        <v>10133</v>
      </c>
      <c r="I1404" t="s">
        <v>6173</v>
      </c>
      <c r="J1404" t="s">
        <v>10031</v>
      </c>
      <c r="K1404" t="s">
        <v>6403</v>
      </c>
      <c r="L1404" t="s">
        <v>6404</v>
      </c>
    </row>
    <row r="1405" spans="1:12" x14ac:dyDescent="0.25">
      <c r="A1405" t="s">
        <v>5766</v>
      </c>
      <c r="B1405" t="s">
        <v>4198</v>
      </c>
      <c r="C1405" s="1" t="s">
        <v>4280</v>
      </c>
      <c r="D1405" s="1" t="s">
        <v>10134</v>
      </c>
      <c r="E1405" t="s">
        <v>4281</v>
      </c>
      <c r="F1405" t="s">
        <v>10135</v>
      </c>
      <c r="G1405" t="s">
        <v>10136</v>
      </c>
      <c r="H1405" t="s">
        <v>10137</v>
      </c>
      <c r="I1405" t="s">
        <v>7861</v>
      </c>
      <c r="J1405" t="s">
        <v>10031</v>
      </c>
      <c r="K1405" t="s">
        <v>6403</v>
      </c>
      <c r="L1405" t="s">
        <v>6404</v>
      </c>
    </row>
    <row r="1406" spans="1:12" x14ac:dyDescent="0.25">
      <c r="A1406" t="s">
        <v>5766</v>
      </c>
      <c r="B1406" t="s">
        <v>4198</v>
      </c>
      <c r="C1406" s="1" t="s">
        <v>3604</v>
      </c>
      <c r="D1406" s="1" t="s">
        <v>9175</v>
      </c>
      <c r="E1406" t="s">
        <v>3605</v>
      </c>
      <c r="F1406" t="s">
        <v>10138</v>
      </c>
      <c r="G1406" t="s">
        <v>9177</v>
      </c>
      <c r="H1406" t="s">
        <v>10139</v>
      </c>
      <c r="I1406" t="s">
        <v>10140</v>
      </c>
      <c r="J1406" t="s">
        <v>10031</v>
      </c>
      <c r="K1406" t="s">
        <v>6403</v>
      </c>
      <c r="L1406" t="s">
        <v>6404</v>
      </c>
    </row>
    <row r="1407" spans="1:12" x14ac:dyDescent="0.25">
      <c r="A1407" t="s">
        <v>5766</v>
      </c>
      <c r="B1407" t="s">
        <v>4198</v>
      </c>
      <c r="C1407" s="1" t="s">
        <v>4283</v>
      </c>
      <c r="D1407" s="1" t="s">
        <v>10141</v>
      </c>
      <c r="E1407" t="s">
        <v>4284</v>
      </c>
      <c r="F1407" t="s">
        <v>10142</v>
      </c>
      <c r="G1407" t="s">
        <v>10143</v>
      </c>
      <c r="H1407" t="s">
        <v>10144</v>
      </c>
      <c r="I1407" t="s">
        <v>7661</v>
      </c>
      <c r="J1407" t="s">
        <v>10031</v>
      </c>
      <c r="K1407" t="s">
        <v>6403</v>
      </c>
      <c r="L1407" t="s">
        <v>6404</v>
      </c>
    </row>
    <row r="1408" spans="1:12" x14ac:dyDescent="0.25">
      <c r="A1408" t="s">
        <v>5766</v>
      </c>
      <c r="B1408" t="s">
        <v>4198</v>
      </c>
      <c r="C1408" s="1" t="s">
        <v>4286</v>
      </c>
      <c r="D1408" s="1" t="s">
        <v>10145</v>
      </c>
      <c r="E1408" t="s">
        <v>4287</v>
      </c>
      <c r="F1408" t="s">
        <v>10135</v>
      </c>
      <c r="G1408" t="s">
        <v>10146</v>
      </c>
      <c r="H1408" t="s">
        <v>10147</v>
      </c>
      <c r="I1408" t="s">
        <v>6053</v>
      </c>
      <c r="J1408" t="s">
        <v>10031</v>
      </c>
      <c r="K1408" t="s">
        <v>6403</v>
      </c>
      <c r="L1408" t="s">
        <v>6404</v>
      </c>
    </row>
    <row r="1409" spans="1:12" x14ac:dyDescent="0.25">
      <c r="A1409" t="s">
        <v>5766</v>
      </c>
      <c r="B1409" t="s">
        <v>4198</v>
      </c>
      <c r="C1409" s="1" t="s">
        <v>4289</v>
      </c>
      <c r="D1409" s="1" t="s">
        <v>10148</v>
      </c>
      <c r="E1409" t="s">
        <v>4290</v>
      </c>
      <c r="F1409" t="s">
        <v>10149</v>
      </c>
      <c r="G1409" t="s">
        <v>10150</v>
      </c>
      <c r="H1409" t="s">
        <v>10151</v>
      </c>
      <c r="I1409" t="s">
        <v>9047</v>
      </c>
      <c r="J1409" t="s">
        <v>10031</v>
      </c>
      <c r="K1409" t="s">
        <v>6403</v>
      </c>
      <c r="L1409" t="s">
        <v>6404</v>
      </c>
    </row>
    <row r="1410" spans="1:12" x14ac:dyDescent="0.25">
      <c r="A1410" t="s">
        <v>5766</v>
      </c>
      <c r="B1410" t="s">
        <v>4198</v>
      </c>
      <c r="C1410" s="1" t="s">
        <v>4292</v>
      </c>
      <c r="D1410" s="1" t="s">
        <v>10152</v>
      </c>
      <c r="E1410" t="s">
        <v>4293</v>
      </c>
      <c r="F1410" t="s">
        <v>10153</v>
      </c>
      <c r="G1410" t="s">
        <v>10154</v>
      </c>
      <c r="H1410" t="s">
        <v>10155</v>
      </c>
      <c r="I1410" t="s">
        <v>8284</v>
      </c>
      <c r="J1410" t="s">
        <v>10031</v>
      </c>
      <c r="K1410" t="s">
        <v>6403</v>
      </c>
      <c r="L1410" t="s">
        <v>6404</v>
      </c>
    </row>
    <row r="1411" spans="1:12" x14ac:dyDescent="0.25">
      <c r="A1411" t="s">
        <v>5766</v>
      </c>
      <c r="B1411" t="s">
        <v>4198</v>
      </c>
      <c r="C1411" s="1" t="s">
        <v>4295</v>
      </c>
      <c r="D1411" s="1" t="s">
        <v>10156</v>
      </c>
      <c r="E1411" t="s">
        <v>4296</v>
      </c>
      <c r="F1411" t="s">
        <v>8574</v>
      </c>
      <c r="G1411" t="s">
        <v>10157</v>
      </c>
      <c r="H1411" t="s">
        <v>10158</v>
      </c>
      <c r="I1411" t="s">
        <v>7396</v>
      </c>
      <c r="J1411" t="s">
        <v>10031</v>
      </c>
      <c r="K1411" t="s">
        <v>6403</v>
      </c>
      <c r="L1411" t="s">
        <v>6404</v>
      </c>
    </row>
    <row r="1412" spans="1:12" x14ac:dyDescent="0.25">
      <c r="A1412" t="s">
        <v>5766</v>
      </c>
      <c r="B1412" t="s">
        <v>4198</v>
      </c>
      <c r="C1412" s="1" t="s">
        <v>4298</v>
      </c>
      <c r="D1412" s="1" t="s">
        <v>10159</v>
      </c>
      <c r="E1412" t="s">
        <v>4299</v>
      </c>
      <c r="F1412" t="s">
        <v>8634</v>
      </c>
      <c r="G1412" t="s">
        <v>10160</v>
      </c>
      <c r="H1412" t="s">
        <v>10161</v>
      </c>
      <c r="I1412" t="s">
        <v>6311</v>
      </c>
      <c r="J1412" t="s">
        <v>10031</v>
      </c>
      <c r="K1412" t="s">
        <v>6403</v>
      </c>
      <c r="L1412" t="s">
        <v>6404</v>
      </c>
    </row>
    <row r="1413" spans="1:12" x14ac:dyDescent="0.25">
      <c r="A1413" t="s">
        <v>5766</v>
      </c>
      <c r="B1413" t="s">
        <v>4198</v>
      </c>
      <c r="C1413" s="1" t="s">
        <v>477</v>
      </c>
      <c r="D1413" s="1" t="s">
        <v>6373</v>
      </c>
      <c r="E1413" t="s">
        <v>478</v>
      </c>
      <c r="F1413" t="s">
        <v>9008</v>
      </c>
      <c r="G1413" t="s">
        <v>6374</v>
      </c>
      <c r="H1413" t="s">
        <v>10162</v>
      </c>
      <c r="I1413" t="s">
        <v>6661</v>
      </c>
      <c r="J1413" t="s">
        <v>10031</v>
      </c>
      <c r="K1413" t="s">
        <v>6403</v>
      </c>
      <c r="L1413" t="s">
        <v>6404</v>
      </c>
    </row>
    <row r="1414" spans="1:12" x14ac:dyDescent="0.25">
      <c r="A1414" t="s">
        <v>5766</v>
      </c>
      <c r="B1414" t="s">
        <v>4198</v>
      </c>
      <c r="C1414" s="1" t="s">
        <v>4301</v>
      </c>
      <c r="D1414" s="1" t="s">
        <v>10163</v>
      </c>
      <c r="E1414" t="s">
        <v>4302</v>
      </c>
      <c r="F1414" t="s">
        <v>8622</v>
      </c>
      <c r="G1414" t="s">
        <v>10164</v>
      </c>
      <c r="H1414" t="s">
        <v>10165</v>
      </c>
      <c r="I1414" t="s">
        <v>5920</v>
      </c>
      <c r="J1414" t="s">
        <v>10031</v>
      </c>
      <c r="K1414" t="s">
        <v>6403</v>
      </c>
      <c r="L1414" t="s">
        <v>6404</v>
      </c>
    </row>
    <row r="1415" spans="1:12" x14ac:dyDescent="0.25">
      <c r="A1415" t="s">
        <v>5766</v>
      </c>
      <c r="B1415" t="s">
        <v>4198</v>
      </c>
      <c r="C1415" s="1" t="s">
        <v>4304</v>
      </c>
      <c r="D1415" s="1" t="s">
        <v>10166</v>
      </c>
      <c r="E1415" t="s">
        <v>4305</v>
      </c>
      <c r="F1415" t="s">
        <v>10167</v>
      </c>
      <c r="G1415" t="s">
        <v>10168</v>
      </c>
      <c r="H1415" t="s">
        <v>10169</v>
      </c>
      <c r="I1415" t="s">
        <v>8284</v>
      </c>
      <c r="J1415" t="s">
        <v>10031</v>
      </c>
      <c r="K1415" t="s">
        <v>6403</v>
      </c>
      <c r="L1415" t="s">
        <v>6404</v>
      </c>
    </row>
    <row r="1416" spans="1:12" x14ac:dyDescent="0.25">
      <c r="A1416" t="s">
        <v>5766</v>
      </c>
      <c r="B1416" t="s">
        <v>4198</v>
      </c>
      <c r="C1416" s="1" t="s">
        <v>4307</v>
      </c>
      <c r="D1416" s="1" t="s">
        <v>10170</v>
      </c>
      <c r="E1416" t="s">
        <v>4308</v>
      </c>
      <c r="F1416" t="s">
        <v>10171</v>
      </c>
      <c r="G1416" t="s">
        <v>10172</v>
      </c>
      <c r="H1416" t="s">
        <v>10173</v>
      </c>
      <c r="I1416" t="s">
        <v>10036</v>
      </c>
      <c r="J1416" t="s">
        <v>10031</v>
      </c>
      <c r="K1416" t="s">
        <v>6403</v>
      </c>
      <c r="L1416" t="s">
        <v>6404</v>
      </c>
    </row>
    <row r="1417" spans="1:12" x14ac:dyDescent="0.25">
      <c r="A1417" t="s">
        <v>5766</v>
      </c>
      <c r="B1417" t="s">
        <v>4198</v>
      </c>
      <c r="C1417" s="1" t="s">
        <v>4310</v>
      </c>
      <c r="D1417" s="1" t="s">
        <v>10174</v>
      </c>
      <c r="E1417" t="s">
        <v>4311</v>
      </c>
      <c r="F1417" t="s">
        <v>10175</v>
      </c>
      <c r="G1417" t="s">
        <v>10176</v>
      </c>
      <c r="H1417" t="s">
        <v>10177</v>
      </c>
      <c r="I1417" t="s">
        <v>7577</v>
      </c>
      <c r="J1417" t="s">
        <v>10031</v>
      </c>
      <c r="K1417" t="s">
        <v>6403</v>
      </c>
      <c r="L1417" t="s">
        <v>6404</v>
      </c>
    </row>
    <row r="1418" spans="1:12" x14ac:dyDescent="0.25">
      <c r="A1418" t="s">
        <v>5766</v>
      </c>
      <c r="B1418" t="s">
        <v>4198</v>
      </c>
      <c r="C1418" s="1" t="s">
        <v>3540</v>
      </c>
      <c r="D1418" s="1" t="s">
        <v>9039</v>
      </c>
      <c r="E1418" t="s">
        <v>3541</v>
      </c>
      <c r="F1418" t="s">
        <v>10149</v>
      </c>
      <c r="G1418" t="s">
        <v>9040</v>
      </c>
      <c r="H1418" t="s">
        <v>10178</v>
      </c>
      <c r="I1418" t="s">
        <v>5979</v>
      </c>
      <c r="J1418" t="s">
        <v>10031</v>
      </c>
      <c r="K1418" t="s">
        <v>6403</v>
      </c>
      <c r="L1418" t="s">
        <v>6404</v>
      </c>
    </row>
    <row r="1419" spans="1:12" x14ac:dyDescent="0.25">
      <c r="A1419" t="s">
        <v>5766</v>
      </c>
      <c r="B1419" t="s">
        <v>4198</v>
      </c>
      <c r="C1419" s="1" t="s">
        <v>4313</v>
      </c>
      <c r="D1419" s="1" t="s">
        <v>10179</v>
      </c>
      <c r="E1419" t="s">
        <v>4314</v>
      </c>
      <c r="F1419" t="s">
        <v>10135</v>
      </c>
      <c r="G1419" t="s">
        <v>10180</v>
      </c>
      <c r="H1419" t="s">
        <v>10181</v>
      </c>
      <c r="I1419" t="s">
        <v>8474</v>
      </c>
      <c r="J1419" t="s">
        <v>10031</v>
      </c>
      <c r="K1419" t="s">
        <v>6403</v>
      </c>
      <c r="L1419" t="s">
        <v>6404</v>
      </c>
    </row>
    <row r="1420" spans="1:12" x14ac:dyDescent="0.25">
      <c r="A1420" t="s">
        <v>5766</v>
      </c>
      <c r="B1420" t="s">
        <v>4198</v>
      </c>
      <c r="C1420" s="1" t="s">
        <v>356</v>
      </c>
      <c r="D1420" s="1" t="s">
        <v>6193</v>
      </c>
      <c r="E1420" t="s">
        <v>357</v>
      </c>
      <c r="F1420" t="s">
        <v>10182</v>
      </c>
      <c r="G1420" t="s">
        <v>6195</v>
      </c>
      <c r="H1420" t="s">
        <v>10183</v>
      </c>
      <c r="I1420" t="s">
        <v>6798</v>
      </c>
      <c r="J1420" t="s">
        <v>10031</v>
      </c>
      <c r="K1420" t="s">
        <v>6403</v>
      </c>
      <c r="L1420" t="s">
        <v>6404</v>
      </c>
    </row>
    <row r="1421" spans="1:12" x14ac:dyDescent="0.25">
      <c r="A1421" t="s">
        <v>5766</v>
      </c>
      <c r="B1421" t="s">
        <v>4198</v>
      </c>
      <c r="C1421" s="1" t="s">
        <v>4316</v>
      </c>
      <c r="D1421" s="1" t="s">
        <v>10184</v>
      </c>
      <c r="E1421" t="s">
        <v>4317</v>
      </c>
      <c r="F1421" t="s">
        <v>9458</v>
      </c>
      <c r="G1421" t="s">
        <v>10185</v>
      </c>
      <c r="H1421" t="s">
        <v>10186</v>
      </c>
      <c r="I1421" t="s">
        <v>6075</v>
      </c>
      <c r="J1421" t="s">
        <v>10031</v>
      </c>
      <c r="K1421" t="s">
        <v>6403</v>
      </c>
      <c r="L1421" t="s">
        <v>6404</v>
      </c>
    </row>
    <row r="1422" spans="1:12" x14ac:dyDescent="0.25">
      <c r="A1422" t="s">
        <v>5766</v>
      </c>
      <c r="B1422" t="s">
        <v>4198</v>
      </c>
      <c r="C1422" s="1" t="s">
        <v>4319</v>
      </c>
      <c r="D1422" s="1" t="s">
        <v>10187</v>
      </c>
      <c r="E1422" t="s">
        <v>4320</v>
      </c>
      <c r="F1422" t="s">
        <v>10188</v>
      </c>
      <c r="G1422" t="s">
        <v>10189</v>
      </c>
      <c r="H1422" t="s">
        <v>10190</v>
      </c>
      <c r="I1422" t="s">
        <v>8925</v>
      </c>
      <c r="J1422" t="s">
        <v>10031</v>
      </c>
      <c r="K1422" t="s">
        <v>6403</v>
      </c>
      <c r="L1422" t="s">
        <v>6404</v>
      </c>
    </row>
    <row r="1423" spans="1:12" x14ac:dyDescent="0.25">
      <c r="A1423" t="s">
        <v>5766</v>
      </c>
      <c r="B1423" t="s">
        <v>4198</v>
      </c>
      <c r="C1423" s="1" t="s">
        <v>4322</v>
      </c>
      <c r="D1423" s="1" t="s">
        <v>10191</v>
      </c>
      <c r="E1423" t="s">
        <v>4323</v>
      </c>
      <c r="F1423" t="s">
        <v>10192</v>
      </c>
      <c r="G1423" t="s">
        <v>10193</v>
      </c>
      <c r="H1423" t="s">
        <v>10194</v>
      </c>
      <c r="I1423" t="s">
        <v>7332</v>
      </c>
      <c r="J1423" t="s">
        <v>10031</v>
      </c>
      <c r="K1423" t="s">
        <v>6403</v>
      </c>
      <c r="L1423" t="s">
        <v>6404</v>
      </c>
    </row>
    <row r="1424" spans="1:12" x14ac:dyDescent="0.25">
      <c r="A1424" t="s">
        <v>5766</v>
      </c>
      <c r="B1424" t="s">
        <v>4198</v>
      </c>
      <c r="C1424" s="1" t="s">
        <v>4325</v>
      </c>
      <c r="D1424" s="1" t="s">
        <v>10195</v>
      </c>
      <c r="E1424" t="s">
        <v>4326</v>
      </c>
      <c r="F1424" t="s">
        <v>10196</v>
      </c>
      <c r="G1424" t="s">
        <v>10197</v>
      </c>
      <c r="H1424" t="s">
        <v>10198</v>
      </c>
      <c r="I1424" t="s">
        <v>7478</v>
      </c>
      <c r="J1424" t="s">
        <v>10031</v>
      </c>
      <c r="K1424" t="s">
        <v>6403</v>
      </c>
      <c r="L1424" t="s">
        <v>6404</v>
      </c>
    </row>
    <row r="1425" spans="1:13" x14ac:dyDescent="0.25">
      <c r="A1425" t="s">
        <v>5766</v>
      </c>
      <c r="B1425" t="s">
        <v>4198</v>
      </c>
      <c r="C1425" s="1" t="s">
        <v>369</v>
      </c>
      <c r="D1425" s="1" t="s">
        <v>6209</v>
      </c>
      <c r="E1425" t="s">
        <v>370</v>
      </c>
      <c r="F1425" t="s">
        <v>10196</v>
      </c>
      <c r="G1425" t="s">
        <v>6210</v>
      </c>
      <c r="H1425" t="s">
        <v>10199</v>
      </c>
      <c r="I1425" t="s">
        <v>10200</v>
      </c>
      <c r="J1425" t="s">
        <v>10031</v>
      </c>
      <c r="K1425" t="s">
        <v>6403</v>
      </c>
      <c r="L1425" t="s">
        <v>6404</v>
      </c>
    </row>
    <row r="1426" spans="1:13" x14ac:dyDescent="0.25">
      <c r="A1426" t="s">
        <v>5766</v>
      </c>
      <c r="B1426" t="s">
        <v>4198</v>
      </c>
      <c r="C1426" s="1" t="s">
        <v>4328</v>
      </c>
      <c r="D1426" s="1" t="s">
        <v>10201</v>
      </c>
      <c r="E1426" t="s">
        <v>4329</v>
      </c>
      <c r="F1426" t="s">
        <v>10192</v>
      </c>
      <c r="G1426" t="s">
        <v>10202</v>
      </c>
      <c r="H1426" t="s">
        <v>10203</v>
      </c>
      <c r="I1426" t="s">
        <v>5869</v>
      </c>
      <c r="J1426" t="s">
        <v>10031</v>
      </c>
      <c r="K1426" t="s">
        <v>6403</v>
      </c>
      <c r="L1426" t="s">
        <v>6404</v>
      </c>
    </row>
    <row r="1427" spans="1:13" x14ac:dyDescent="0.25">
      <c r="A1427" t="s">
        <v>5766</v>
      </c>
      <c r="B1427" t="s">
        <v>4198</v>
      </c>
      <c r="C1427" s="1" t="s">
        <v>4331</v>
      </c>
      <c r="D1427" s="1" t="s">
        <v>10204</v>
      </c>
      <c r="E1427" t="s">
        <v>4332</v>
      </c>
      <c r="F1427" t="s">
        <v>9542</v>
      </c>
      <c r="G1427" t="s">
        <v>10205</v>
      </c>
      <c r="H1427" t="s">
        <v>10206</v>
      </c>
      <c r="I1427" t="s">
        <v>6116</v>
      </c>
      <c r="J1427" t="s">
        <v>10031</v>
      </c>
      <c r="K1427" t="s">
        <v>6403</v>
      </c>
      <c r="L1427" t="s">
        <v>6404</v>
      </c>
    </row>
    <row r="1428" spans="1:13" x14ac:dyDescent="0.25">
      <c r="A1428" t="s">
        <v>5766</v>
      </c>
      <c r="B1428" t="s">
        <v>4198</v>
      </c>
      <c r="C1428" s="1" t="s">
        <v>4334</v>
      </c>
      <c r="D1428" s="1" t="s">
        <v>10207</v>
      </c>
      <c r="E1428" t="s">
        <v>4335</v>
      </c>
      <c r="F1428" t="s">
        <v>10208</v>
      </c>
      <c r="G1428" t="s">
        <v>10209</v>
      </c>
      <c r="H1428" t="s">
        <v>10210</v>
      </c>
      <c r="I1428" t="s">
        <v>6157</v>
      </c>
      <c r="J1428" t="s">
        <v>10031</v>
      </c>
      <c r="K1428" t="s">
        <v>6403</v>
      </c>
      <c r="L1428" t="s">
        <v>6404</v>
      </c>
    </row>
    <row r="1429" spans="1:13" x14ac:dyDescent="0.25">
      <c r="A1429" t="s">
        <v>5766</v>
      </c>
      <c r="B1429" t="s">
        <v>4198</v>
      </c>
      <c r="C1429" s="1" t="s">
        <v>387</v>
      </c>
      <c r="D1429" s="1" t="s">
        <v>6230</v>
      </c>
      <c r="E1429" t="s">
        <v>388</v>
      </c>
      <c r="F1429" t="s">
        <v>10135</v>
      </c>
      <c r="G1429" t="s">
        <v>6232</v>
      </c>
      <c r="H1429" t="s">
        <v>10211</v>
      </c>
      <c r="I1429" t="s">
        <v>8833</v>
      </c>
      <c r="J1429" t="s">
        <v>10031</v>
      </c>
      <c r="K1429" t="s">
        <v>6403</v>
      </c>
      <c r="L1429" t="s">
        <v>6404</v>
      </c>
    </row>
    <row r="1430" spans="1:13" x14ac:dyDescent="0.25">
      <c r="A1430" t="s">
        <v>5766</v>
      </c>
      <c r="B1430" t="s">
        <v>4198</v>
      </c>
      <c r="C1430" s="1" t="s">
        <v>52</v>
      </c>
      <c r="D1430" s="1" t="s">
        <v>52</v>
      </c>
      <c r="E1430" t="s">
        <v>5767</v>
      </c>
      <c r="F1430" t="s">
        <v>10212</v>
      </c>
      <c r="G1430" t="s">
        <v>5769</v>
      </c>
      <c r="H1430" t="s">
        <v>10213</v>
      </c>
      <c r="I1430" t="s">
        <v>10214</v>
      </c>
      <c r="J1430" t="s">
        <v>10031</v>
      </c>
      <c r="K1430" t="s">
        <v>6403</v>
      </c>
      <c r="L1430" t="s">
        <v>6404</v>
      </c>
      <c r="M1430" t="s">
        <v>65</v>
      </c>
    </row>
    <row r="1431" spans="1:13" x14ac:dyDescent="0.25">
      <c r="A1431" t="s">
        <v>5766</v>
      </c>
      <c r="B1431" t="s">
        <v>4336</v>
      </c>
      <c r="C1431" s="1" t="s">
        <v>4338</v>
      </c>
      <c r="D1431" s="1" t="s">
        <v>4338</v>
      </c>
      <c r="E1431" t="s">
        <v>4339</v>
      </c>
      <c r="F1431" t="s">
        <v>10215</v>
      </c>
      <c r="G1431" t="s">
        <v>8861</v>
      </c>
      <c r="H1431" t="s">
        <v>4340</v>
      </c>
      <c r="I1431" t="s">
        <v>10216</v>
      </c>
      <c r="J1431" t="s">
        <v>10217</v>
      </c>
      <c r="K1431" t="s">
        <v>5778</v>
      </c>
      <c r="L1431" t="s">
        <v>5779</v>
      </c>
    </row>
    <row r="1432" spans="1:13" x14ac:dyDescent="0.25">
      <c r="A1432" t="s">
        <v>5766</v>
      </c>
      <c r="B1432" t="s">
        <v>4336</v>
      </c>
      <c r="C1432" s="1" t="s">
        <v>78</v>
      </c>
      <c r="D1432" s="1" t="s">
        <v>5780</v>
      </c>
      <c r="E1432" t="s">
        <v>5781</v>
      </c>
      <c r="F1432" t="s">
        <v>10218</v>
      </c>
      <c r="G1432" t="s">
        <v>5783</v>
      </c>
      <c r="H1432" t="s">
        <v>10219</v>
      </c>
      <c r="I1432" t="s">
        <v>10220</v>
      </c>
      <c r="J1432" t="s">
        <v>10217</v>
      </c>
      <c r="K1432" t="s">
        <v>5778</v>
      </c>
      <c r="L1432" t="s">
        <v>5779</v>
      </c>
      <c r="M1432" t="s">
        <v>65</v>
      </c>
    </row>
    <row r="1433" spans="1:13" x14ac:dyDescent="0.25">
      <c r="A1433" t="s">
        <v>5766</v>
      </c>
      <c r="B1433" t="s">
        <v>4336</v>
      </c>
      <c r="C1433" s="1" t="s">
        <v>52</v>
      </c>
      <c r="D1433" s="1" t="s">
        <v>52</v>
      </c>
      <c r="E1433" t="s">
        <v>5767</v>
      </c>
      <c r="F1433" t="s">
        <v>10221</v>
      </c>
      <c r="G1433" t="s">
        <v>5769</v>
      </c>
      <c r="H1433" t="s">
        <v>10222</v>
      </c>
      <c r="I1433" t="s">
        <v>10223</v>
      </c>
      <c r="J1433" t="s">
        <v>10217</v>
      </c>
      <c r="K1433" t="s">
        <v>5778</v>
      </c>
      <c r="L1433" t="s">
        <v>5779</v>
      </c>
      <c r="M1433" t="s">
        <v>65</v>
      </c>
    </row>
    <row r="1434" spans="1:13" x14ac:dyDescent="0.25">
      <c r="A1434" t="s">
        <v>5766</v>
      </c>
      <c r="B1434" t="s">
        <v>4344</v>
      </c>
      <c r="C1434" s="1" t="s">
        <v>230</v>
      </c>
      <c r="D1434" s="1" t="s">
        <v>6014</v>
      </c>
      <c r="E1434" t="s">
        <v>231</v>
      </c>
      <c r="F1434" t="s">
        <v>10224</v>
      </c>
      <c r="G1434" t="s">
        <v>6016</v>
      </c>
      <c r="H1434" t="s">
        <v>10225</v>
      </c>
      <c r="I1434" t="s">
        <v>10226</v>
      </c>
      <c r="J1434" t="s">
        <v>10227</v>
      </c>
      <c r="K1434" t="s">
        <v>6403</v>
      </c>
      <c r="L1434" t="s">
        <v>6404</v>
      </c>
    </row>
    <row r="1435" spans="1:13" x14ac:dyDescent="0.25">
      <c r="A1435" t="s">
        <v>5766</v>
      </c>
      <c r="B1435" t="s">
        <v>4344</v>
      </c>
      <c r="C1435" s="1" t="s">
        <v>4346</v>
      </c>
      <c r="D1435" s="1" t="s">
        <v>10228</v>
      </c>
      <c r="E1435" t="s">
        <v>4347</v>
      </c>
      <c r="F1435" t="s">
        <v>10167</v>
      </c>
      <c r="G1435" t="s">
        <v>10229</v>
      </c>
      <c r="H1435" t="s">
        <v>10230</v>
      </c>
      <c r="I1435" t="s">
        <v>6665</v>
      </c>
      <c r="J1435" t="s">
        <v>10227</v>
      </c>
      <c r="K1435" t="s">
        <v>6403</v>
      </c>
      <c r="L1435" t="s">
        <v>6404</v>
      </c>
    </row>
    <row r="1436" spans="1:13" x14ac:dyDescent="0.25">
      <c r="A1436" t="s">
        <v>5766</v>
      </c>
      <c r="B1436" t="s">
        <v>4344</v>
      </c>
      <c r="C1436" s="1" t="s">
        <v>78</v>
      </c>
      <c r="D1436" s="1" t="s">
        <v>5780</v>
      </c>
      <c r="E1436" t="s">
        <v>5781</v>
      </c>
      <c r="F1436" t="s">
        <v>10231</v>
      </c>
      <c r="G1436" t="s">
        <v>5783</v>
      </c>
      <c r="H1436" t="s">
        <v>10232</v>
      </c>
      <c r="I1436" t="s">
        <v>6192</v>
      </c>
      <c r="J1436" t="s">
        <v>10227</v>
      </c>
      <c r="K1436" t="s">
        <v>6403</v>
      </c>
      <c r="L1436" t="s">
        <v>6404</v>
      </c>
      <c r="M1436" t="s">
        <v>65</v>
      </c>
    </row>
    <row r="1437" spans="1:13" x14ac:dyDescent="0.25">
      <c r="A1437" t="s">
        <v>5766</v>
      </c>
      <c r="B1437" t="s">
        <v>4344</v>
      </c>
      <c r="C1437" s="1" t="s">
        <v>4349</v>
      </c>
      <c r="D1437" s="1" t="s">
        <v>10233</v>
      </c>
      <c r="E1437" t="s">
        <v>4350</v>
      </c>
      <c r="F1437" t="s">
        <v>10234</v>
      </c>
      <c r="G1437" t="s">
        <v>10235</v>
      </c>
      <c r="H1437" t="s">
        <v>10236</v>
      </c>
      <c r="I1437" t="s">
        <v>10237</v>
      </c>
      <c r="J1437" t="s">
        <v>10227</v>
      </c>
      <c r="K1437" t="s">
        <v>6403</v>
      </c>
      <c r="L1437" t="s">
        <v>6404</v>
      </c>
    </row>
    <row r="1438" spans="1:13" x14ac:dyDescent="0.25">
      <c r="A1438" t="s">
        <v>5766</v>
      </c>
      <c r="B1438" t="s">
        <v>4344</v>
      </c>
      <c r="C1438" s="1" t="s">
        <v>4352</v>
      </c>
      <c r="D1438" s="1" t="s">
        <v>10238</v>
      </c>
      <c r="E1438" t="s">
        <v>4353</v>
      </c>
      <c r="F1438" t="s">
        <v>10239</v>
      </c>
      <c r="G1438" t="s">
        <v>10240</v>
      </c>
      <c r="H1438" t="s">
        <v>10241</v>
      </c>
      <c r="I1438" t="s">
        <v>10242</v>
      </c>
      <c r="J1438" t="s">
        <v>10227</v>
      </c>
      <c r="K1438" t="s">
        <v>6403</v>
      </c>
      <c r="L1438" t="s">
        <v>6404</v>
      </c>
    </row>
    <row r="1439" spans="1:13" x14ac:dyDescent="0.25">
      <c r="A1439" t="s">
        <v>5766</v>
      </c>
      <c r="B1439" t="s">
        <v>4344</v>
      </c>
      <c r="C1439" s="1" t="s">
        <v>4258</v>
      </c>
      <c r="D1439" s="1" t="s">
        <v>10108</v>
      </c>
      <c r="E1439" t="s">
        <v>4259</v>
      </c>
      <c r="F1439" t="s">
        <v>5949</v>
      </c>
      <c r="G1439" t="s">
        <v>10109</v>
      </c>
      <c r="H1439" t="s">
        <v>10243</v>
      </c>
      <c r="I1439" t="s">
        <v>9648</v>
      </c>
      <c r="J1439" t="s">
        <v>10227</v>
      </c>
      <c r="K1439" t="s">
        <v>6403</v>
      </c>
      <c r="L1439" t="s">
        <v>6404</v>
      </c>
    </row>
    <row r="1440" spans="1:13" x14ac:dyDescent="0.25">
      <c r="A1440" t="s">
        <v>5766</v>
      </c>
      <c r="B1440" t="s">
        <v>4344</v>
      </c>
      <c r="C1440" s="1" t="s">
        <v>4264</v>
      </c>
      <c r="D1440" s="1" t="s">
        <v>10116</v>
      </c>
      <c r="E1440" t="s">
        <v>4265</v>
      </c>
      <c r="F1440" t="s">
        <v>8687</v>
      </c>
      <c r="G1440" t="s">
        <v>10117</v>
      </c>
      <c r="H1440" t="s">
        <v>10244</v>
      </c>
      <c r="I1440" t="s">
        <v>10245</v>
      </c>
      <c r="J1440" t="s">
        <v>10227</v>
      </c>
      <c r="K1440" t="s">
        <v>6403</v>
      </c>
      <c r="L1440" t="s">
        <v>6404</v>
      </c>
    </row>
    <row r="1441" spans="1:13" x14ac:dyDescent="0.25">
      <c r="A1441" t="s">
        <v>5766</v>
      </c>
      <c r="B1441" t="s">
        <v>4344</v>
      </c>
      <c r="C1441" s="1" t="s">
        <v>4267</v>
      </c>
      <c r="D1441" s="1" t="s">
        <v>10120</v>
      </c>
      <c r="E1441" t="s">
        <v>4268</v>
      </c>
      <c r="F1441" t="s">
        <v>10067</v>
      </c>
      <c r="G1441" t="s">
        <v>10121</v>
      </c>
      <c r="H1441" t="s">
        <v>10122</v>
      </c>
      <c r="I1441" t="s">
        <v>6525</v>
      </c>
      <c r="J1441" t="s">
        <v>10227</v>
      </c>
      <c r="K1441" t="s">
        <v>6403</v>
      </c>
      <c r="L1441" t="s">
        <v>6404</v>
      </c>
    </row>
    <row r="1442" spans="1:13" x14ac:dyDescent="0.25">
      <c r="A1442" t="s">
        <v>5766</v>
      </c>
      <c r="B1442" t="s">
        <v>4344</v>
      </c>
      <c r="C1442" s="1" t="s">
        <v>3522</v>
      </c>
      <c r="D1442" s="1" t="s">
        <v>9013</v>
      </c>
      <c r="E1442" t="s">
        <v>3523</v>
      </c>
      <c r="F1442" t="s">
        <v>10149</v>
      </c>
      <c r="G1442" t="s">
        <v>9015</v>
      </c>
      <c r="H1442" t="s">
        <v>10246</v>
      </c>
      <c r="I1442" t="s">
        <v>8390</v>
      </c>
      <c r="J1442" t="s">
        <v>10227</v>
      </c>
      <c r="K1442" t="s">
        <v>6403</v>
      </c>
      <c r="L1442" t="s">
        <v>6404</v>
      </c>
    </row>
    <row r="1443" spans="1:13" x14ac:dyDescent="0.25">
      <c r="A1443" t="s">
        <v>5766</v>
      </c>
      <c r="B1443" t="s">
        <v>4344</v>
      </c>
      <c r="C1443" s="1" t="s">
        <v>4274</v>
      </c>
      <c r="D1443" s="1" t="s">
        <v>10127</v>
      </c>
      <c r="E1443" t="s">
        <v>4275</v>
      </c>
      <c r="F1443" t="s">
        <v>10247</v>
      </c>
      <c r="G1443" t="s">
        <v>10129</v>
      </c>
      <c r="H1443" t="s">
        <v>10248</v>
      </c>
      <c r="I1443" t="s">
        <v>10249</v>
      </c>
      <c r="J1443" t="s">
        <v>10227</v>
      </c>
      <c r="K1443" t="s">
        <v>6403</v>
      </c>
      <c r="L1443" t="s">
        <v>6404</v>
      </c>
    </row>
    <row r="1444" spans="1:13" x14ac:dyDescent="0.25">
      <c r="A1444" t="s">
        <v>5766</v>
      </c>
      <c r="B1444" t="s">
        <v>4344</v>
      </c>
      <c r="C1444" s="1" t="s">
        <v>3604</v>
      </c>
      <c r="D1444" s="1" t="s">
        <v>9175</v>
      </c>
      <c r="E1444" t="s">
        <v>3605</v>
      </c>
      <c r="F1444" t="s">
        <v>10250</v>
      </c>
      <c r="G1444" t="s">
        <v>9177</v>
      </c>
      <c r="H1444" t="s">
        <v>10251</v>
      </c>
      <c r="I1444" t="s">
        <v>6300</v>
      </c>
      <c r="J1444" t="s">
        <v>10227</v>
      </c>
      <c r="K1444" t="s">
        <v>6403</v>
      </c>
      <c r="L1444" t="s">
        <v>6404</v>
      </c>
    </row>
    <row r="1445" spans="1:13" x14ac:dyDescent="0.25">
      <c r="A1445" t="s">
        <v>5766</v>
      </c>
      <c r="B1445" t="s">
        <v>4344</v>
      </c>
      <c r="C1445" s="1" t="s">
        <v>4355</v>
      </c>
      <c r="D1445" s="1" t="s">
        <v>10252</v>
      </c>
      <c r="E1445" t="s">
        <v>4356</v>
      </c>
      <c r="F1445" t="s">
        <v>8674</v>
      </c>
      <c r="G1445" t="s">
        <v>10253</v>
      </c>
      <c r="H1445" t="s">
        <v>10254</v>
      </c>
      <c r="I1445" t="s">
        <v>9552</v>
      </c>
      <c r="J1445" t="s">
        <v>10227</v>
      </c>
      <c r="K1445" t="s">
        <v>6403</v>
      </c>
      <c r="L1445" t="s">
        <v>6404</v>
      </c>
    </row>
    <row r="1446" spans="1:13" x14ac:dyDescent="0.25">
      <c r="A1446" t="s">
        <v>5766</v>
      </c>
      <c r="B1446" t="s">
        <v>4344</v>
      </c>
      <c r="C1446" s="1" t="s">
        <v>4358</v>
      </c>
      <c r="D1446" s="1" t="s">
        <v>10255</v>
      </c>
      <c r="E1446" t="s">
        <v>4359</v>
      </c>
      <c r="F1446" t="s">
        <v>10256</v>
      </c>
      <c r="G1446" t="s">
        <v>10257</v>
      </c>
      <c r="H1446" t="s">
        <v>10258</v>
      </c>
      <c r="I1446" t="s">
        <v>6173</v>
      </c>
      <c r="J1446" t="s">
        <v>10227</v>
      </c>
      <c r="K1446" t="s">
        <v>6403</v>
      </c>
      <c r="L1446" t="s">
        <v>6404</v>
      </c>
    </row>
    <row r="1447" spans="1:13" x14ac:dyDescent="0.25">
      <c r="A1447" t="s">
        <v>5766</v>
      </c>
      <c r="B1447" t="s">
        <v>4344</v>
      </c>
      <c r="C1447" s="1" t="s">
        <v>4295</v>
      </c>
      <c r="D1447" s="1" t="s">
        <v>10156</v>
      </c>
      <c r="E1447" t="s">
        <v>4296</v>
      </c>
      <c r="F1447" t="s">
        <v>10259</v>
      </c>
      <c r="G1447" t="s">
        <v>10157</v>
      </c>
      <c r="H1447" t="s">
        <v>10260</v>
      </c>
      <c r="I1447" t="s">
        <v>6066</v>
      </c>
      <c r="J1447" t="s">
        <v>10227</v>
      </c>
      <c r="K1447" t="s">
        <v>6403</v>
      </c>
      <c r="L1447" t="s">
        <v>6404</v>
      </c>
    </row>
    <row r="1448" spans="1:13" x14ac:dyDescent="0.25">
      <c r="A1448" t="s">
        <v>5766</v>
      </c>
      <c r="B1448" t="s">
        <v>4344</v>
      </c>
      <c r="C1448" s="1" t="s">
        <v>477</v>
      </c>
      <c r="D1448" s="1" t="s">
        <v>6373</v>
      </c>
      <c r="E1448" t="s">
        <v>478</v>
      </c>
      <c r="F1448" t="s">
        <v>10261</v>
      </c>
      <c r="G1448" t="s">
        <v>6374</v>
      </c>
      <c r="H1448" t="s">
        <v>10262</v>
      </c>
      <c r="I1448" t="s">
        <v>6699</v>
      </c>
      <c r="J1448" t="s">
        <v>10227</v>
      </c>
      <c r="K1448" t="s">
        <v>6403</v>
      </c>
      <c r="L1448" t="s">
        <v>6404</v>
      </c>
    </row>
    <row r="1449" spans="1:13" x14ac:dyDescent="0.25">
      <c r="A1449" t="s">
        <v>5766</v>
      </c>
      <c r="B1449" t="s">
        <v>4344</v>
      </c>
      <c r="C1449" s="1" t="s">
        <v>4313</v>
      </c>
      <c r="D1449" s="1" t="s">
        <v>10179</v>
      </c>
      <c r="E1449" t="s">
        <v>4314</v>
      </c>
      <c r="F1449" t="s">
        <v>10263</v>
      </c>
      <c r="G1449" t="s">
        <v>10180</v>
      </c>
      <c r="H1449" t="s">
        <v>10264</v>
      </c>
      <c r="I1449" t="s">
        <v>10265</v>
      </c>
      <c r="J1449" t="s">
        <v>10227</v>
      </c>
      <c r="K1449" t="s">
        <v>6403</v>
      </c>
      <c r="L1449" t="s">
        <v>6404</v>
      </c>
    </row>
    <row r="1450" spans="1:13" x14ac:dyDescent="0.25">
      <c r="A1450" t="s">
        <v>5766</v>
      </c>
      <c r="B1450" t="s">
        <v>4344</v>
      </c>
      <c r="C1450" s="1" t="s">
        <v>4361</v>
      </c>
      <c r="D1450" s="1" t="s">
        <v>10266</v>
      </c>
      <c r="E1450" t="s">
        <v>4362</v>
      </c>
      <c r="F1450" t="s">
        <v>10267</v>
      </c>
      <c r="G1450" t="s">
        <v>10268</v>
      </c>
      <c r="H1450" t="s">
        <v>10269</v>
      </c>
      <c r="I1450" t="s">
        <v>8023</v>
      </c>
      <c r="J1450" t="s">
        <v>10227</v>
      </c>
      <c r="K1450" t="s">
        <v>6403</v>
      </c>
      <c r="L1450" t="s">
        <v>6404</v>
      </c>
    </row>
    <row r="1451" spans="1:13" x14ac:dyDescent="0.25">
      <c r="A1451" t="s">
        <v>5766</v>
      </c>
      <c r="B1451" t="s">
        <v>4344</v>
      </c>
      <c r="C1451" s="1" t="s">
        <v>3616</v>
      </c>
      <c r="D1451" s="1" t="s">
        <v>9202</v>
      </c>
      <c r="E1451" t="s">
        <v>3617</v>
      </c>
      <c r="F1451" t="s">
        <v>10033</v>
      </c>
      <c r="G1451" t="s">
        <v>9204</v>
      </c>
      <c r="H1451" t="s">
        <v>10270</v>
      </c>
      <c r="I1451" t="s">
        <v>6497</v>
      </c>
      <c r="J1451" t="s">
        <v>10227</v>
      </c>
      <c r="K1451" t="s">
        <v>6403</v>
      </c>
      <c r="L1451" t="s">
        <v>6404</v>
      </c>
    </row>
    <row r="1452" spans="1:13" x14ac:dyDescent="0.25">
      <c r="A1452" t="s">
        <v>5766</v>
      </c>
      <c r="B1452" t="s">
        <v>4344</v>
      </c>
      <c r="C1452" s="1" t="s">
        <v>4364</v>
      </c>
      <c r="D1452" s="1" t="s">
        <v>10271</v>
      </c>
      <c r="E1452" t="s">
        <v>4365</v>
      </c>
      <c r="F1452" t="s">
        <v>10188</v>
      </c>
      <c r="G1452" t="s">
        <v>10272</v>
      </c>
      <c r="H1452" t="s">
        <v>10273</v>
      </c>
      <c r="I1452" t="s">
        <v>10274</v>
      </c>
      <c r="J1452" t="s">
        <v>10227</v>
      </c>
      <c r="K1452" t="s">
        <v>6403</v>
      </c>
      <c r="L1452" t="s">
        <v>6404</v>
      </c>
    </row>
    <row r="1453" spans="1:13" x14ac:dyDescent="0.25">
      <c r="A1453" t="s">
        <v>5766</v>
      </c>
      <c r="B1453" t="s">
        <v>4344</v>
      </c>
      <c r="C1453" s="1" t="s">
        <v>4325</v>
      </c>
      <c r="D1453" s="1" t="s">
        <v>10195</v>
      </c>
      <c r="E1453" t="s">
        <v>4326</v>
      </c>
      <c r="F1453" t="s">
        <v>10275</v>
      </c>
      <c r="G1453" t="s">
        <v>10197</v>
      </c>
      <c r="H1453" t="s">
        <v>10276</v>
      </c>
      <c r="I1453" t="s">
        <v>6111</v>
      </c>
      <c r="J1453" t="s">
        <v>10227</v>
      </c>
      <c r="K1453" t="s">
        <v>6403</v>
      </c>
      <c r="L1453" t="s">
        <v>6404</v>
      </c>
    </row>
    <row r="1454" spans="1:13" x14ac:dyDescent="0.25">
      <c r="A1454" t="s">
        <v>5766</v>
      </c>
      <c r="B1454" t="s">
        <v>4344</v>
      </c>
      <c r="C1454" s="1" t="s">
        <v>369</v>
      </c>
      <c r="D1454" s="1" t="s">
        <v>6209</v>
      </c>
      <c r="E1454" t="s">
        <v>370</v>
      </c>
      <c r="F1454" t="s">
        <v>10277</v>
      </c>
      <c r="G1454" t="s">
        <v>6210</v>
      </c>
      <c r="H1454" t="s">
        <v>10278</v>
      </c>
      <c r="I1454" t="s">
        <v>10279</v>
      </c>
      <c r="J1454" t="s">
        <v>10227</v>
      </c>
      <c r="K1454" t="s">
        <v>6403</v>
      </c>
      <c r="L1454" t="s">
        <v>6404</v>
      </c>
    </row>
    <row r="1455" spans="1:13" x14ac:dyDescent="0.25">
      <c r="A1455" t="s">
        <v>5766</v>
      </c>
      <c r="B1455" t="s">
        <v>4344</v>
      </c>
      <c r="C1455" s="1" t="s">
        <v>387</v>
      </c>
      <c r="D1455" s="1" t="s">
        <v>6230</v>
      </c>
      <c r="E1455" t="s">
        <v>388</v>
      </c>
      <c r="F1455" t="s">
        <v>10280</v>
      </c>
      <c r="G1455" t="s">
        <v>6232</v>
      </c>
      <c r="H1455" t="s">
        <v>10281</v>
      </c>
      <c r="I1455" t="s">
        <v>6738</v>
      </c>
      <c r="J1455" t="s">
        <v>10227</v>
      </c>
      <c r="K1455" t="s">
        <v>6403</v>
      </c>
      <c r="L1455" t="s">
        <v>6404</v>
      </c>
    </row>
    <row r="1456" spans="1:13" x14ac:dyDescent="0.25">
      <c r="A1456" t="s">
        <v>5766</v>
      </c>
      <c r="B1456" t="s">
        <v>4344</v>
      </c>
      <c r="C1456" s="1" t="s">
        <v>52</v>
      </c>
      <c r="D1456" s="1" t="s">
        <v>52</v>
      </c>
      <c r="E1456" t="s">
        <v>5767</v>
      </c>
      <c r="F1456" t="s">
        <v>10282</v>
      </c>
      <c r="G1456" t="s">
        <v>5769</v>
      </c>
      <c r="H1456" t="s">
        <v>10283</v>
      </c>
      <c r="I1456" t="s">
        <v>8160</v>
      </c>
      <c r="J1456" t="s">
        <v>10227</v>
      </c>
      <c r="K1456" t="s">
        <v>6403</v>
      </c>
      <c r="L1456" t="s">
        <v>6404</v>
      </c>
      <c r="M1456" t="s">
        <v>65</v>
      </c>
    </row>
    <row r="1457" spans="1:13" x14ac:dyDescent="0.25">
      <c r="A1457" t="s">
        <v>5766</v>
      </c>
      <c r="B1457" t="s">
        <v>4366</v>
      </c>
      <c r="C1457" s="1" t="s">
        <v>4368</v>
      </c>
      <c r="D1457" s="1" t="s">
        <v>4368</v>
      </c>
      <c r="E1457" t="s">
        <v>4369</v>
      </c>
      <c r="F1457" t="s">
        <v>10284</v>
      </c>
      <c r="G1457" t="s">
        <v>10285</v>
      </c>
      <c r="H1457" t="s">
        <v>4370</v>
      </c>
      <c r="I1457" t="s">
        <v>10286</v>
      </c>
      <c r="J1457" t="s">
        <v>10287</v>
      </c>
      <c r="K1457" t="s">
        <v>5778</v>
      </c>
      <c r="L1457" t="s">
        <v>5779</v>
      </c>
    </row>
    <row r="1458" spans="1:13" x14ac:dyDescent="0.25">
      <c r="A1458" t="s">
        <v>5766</v>
      </c>
      <c r="B1458" t="s">
        <v>4366</v>
      </c>
      <c r="C1458" s="1" t="s">
        <v>78</v>
      </c>
      <c r="D1458" s="1" t="s">
        <v>5780</v>
      </c>
      <c r="E1458" t="s">
        <v>5781</v>
      </c>
      <c r="F1458" t="s">
        <v>10288</v>
      </c>
      <c r="G1458" t="s">
        <v>5783</v>
      </c>
      <c r="H1458" t="s">
        <v>10289</v>
      </c>
      <c r="I1458" t="s">
        <v>10290</v>
      </c>
      <c r="J1458" t="s">
        <v>10287</v>
      </c>
      <c r="K1458" t="s">
        <v>5778</v>
      </c>
      <c r="L1458" t="s">
        <v>5779</v>
      </c>
      <c r="M1458" t="s">
        <v>65</v>
      </c>
    </row>
    <row r="1459" spans="1:13" x14ac:dyDescent="0.25">
      <c r="A1459" t="s">
        <v>5766</v>
      </c>
      <c r="B1459" t="s">
        <v>4366</v>
      </c>
      <c r="C1459" s="1" t="s">
        <v>52</v>
      </c>
      <c r="D1459" s="1" t="s">
        <v>52</v>
      </c>
      <c r="E1459" t="s">
        <v>5767</v>
      </c>
      <c r="F1459" t="s">
        <v>10291</v>
      </c>
      <c r="G1459" t="s">
        <v>5769</v>
      </c>
      <c r="H1459" t="s">
        <v>10292</v>
      </c>
      <c r="I1459" t="s">
        <v>10293</v>
      </c>
      <c r="J1459" t="s">
        <v>10287</v>
      </c>
      <c r="K1459" t="s">
        <v>5778</v>
      </c>
      <c r="L1459" t="s">
        <v>5779</v>
      </c>
      <c r="M1459" t="s">
        <v>65</v>
      </c>
    </row>
    <row r="1460" spans="1:13" x14ac:dyDescent="0.25">
      <c r="A1460" t="s">
        <v>5766</v>
      </c>
      <c r="B1460" t="s">
        <v>4374</v>
      </c>
      <c r="C1460" s="1" t="s">
        <v>2688</v>
      </c>
      <c r="D1460" s="1" t="s">
        <v>2688</v>
      </c>
      <c r="E1460" t="s">
        <v>2689</v>
      </c>
      <c r="F1460" t="s">
        <v>9711</v>
      </c>
      <c r="G1460" t="s">
        <v>8054</v>
      </c>
      <c r="H1460" t="s">
        <v>4375</v>
      </c>
      <c r="I1460" t="s">
        <v>10294</v>
      </c>
      <c r="J1460" t="s">
        <v>10295</v>
      </c>
      <c r="K1460" t="s">
        <v>8194</v>
      </c>
      <c r="L1460" t="s">
        <v>8195</v>
      </c>
    </row>
    <row r="1461" spans="1:13" x14ac:dyDescent="0.25">
      <c r="A1461" t="s">
        <v>5766</v>
      </c>
      <c r="B1461" t="s">
        <v>4374</v>
      </c>
      <c r="C1461" s="1" t="s">
        <v>4377</v>
      </c>
      <c r="D1461" s="1" t="s">
        <v>4377</v>
      </c>
      <c r="E1461" t="s">
        <v>4378</v>
      </c>
      <c r="F1461" t="s">
        <v>9716</v>
      </c>
      <c r="G1461" t="s">
        <v>10296</v>
      </c>
      <c r="H1461" t="s">
        <v>4381</v>
      </c>
      <c r="I1461" t="s">
        <v>10297</v>
      </c>
      <c r="J1461" t="s">
        <v>10295</v>
      </c>
      <c r="K1461" t="s">
        <v>8194</v>
      </c>
      <c r="L1461" t="s">
        <v>8195</v>
      </c>
    </row>
    <row r="1462" spans="1:13" x14ac:dyDescent="0.25">
      <c r="A1462" t="s">
        <v>5766</v>
      </c>
      <c r="B1462" t="s">
        <v>4374</v>
      </c>
      <c r="C1462" s="1" t="s">
        <v>4383</v>
      </c>
      <c r="D1462" s="1" t="s">
        <v>4383</v>
      </c>
      <c r="E1462" t="s">
        <v>4384</v>
      </c>
      <c r="F1462" t="s">
        <v>9716</v>
      </c>
      <c r="G1462" t="s">
        <v>10298</v>
      </c>
      <c r="H1462" t="s">
        <v>4387</v>
      </c>
      <c r="I1462" t="s">
        <v>10299</v>
      </c>
      <c r="J1462" t="s">
        <v>10295</v>
      </c>
      <c r="K1462" t="s">
        <v>8194</v>
      </c>
      <c r="L1462" t="s">
        <v>8195</v>
      </c>
    </row>
    <row r="1463" spans="1:13" x14ac:dyDescent="0.25">
      <c r="A1463" t="s">
        <v>5766</v>
      </c>
      <c r="B1463" t="s">
        <v>4374</v>
      </c>
      <c r="C1463" s="1" t="s">
        <v>2707</v>
      </c>
      <c r="D1463" s="1" t="s">
        <v>2707</v>
      </c>
      <c r="E1463" t="s">
        <v>2708</v>
      </c>
      <c r="F1463" t="s">
        <v>9711</v>
      </c>
      <c r="G1463" t="s">
        <v>8064</v>
      </c>
      <c r="H1463" t="s">
        <v>4389</v>
      </c>
      <c r="I1463" t="s">
        <v>8704</v>
      </c>
      <c r="J1463" t="s">
        <v>10295</v>
      </c>
      <c r="K1463" t="s">
        <v>8194</v>
      </c>
      <c r="L1463" t="s">
        <v>8195</v>
      </c>
    </row>
    <row r="1464" spans="1:13" x14ac:dyDescent="0.25">
      <c r="A1464" t="s">
        <v>5766</v>
      </c>
      <c r="B1464" t="s">
        <v>4374</v>
      </c>
      <c r="C1464" s="1" t="s">
        <v>2714</v>
      </c>
      <c r="D1464" s="1" t="s">
        <v>2714</v>
      </c>
      <c r="E1464" t="s">
        <v>2715</v>
      </c>
      <c r="F1464" t="s">
        <v>10300</v>
      </c>
      <c r="G1464" t="s">
        <v>8067</v>
      </c>
      <c r="H1464" t="s">
        <v>10301</v>
      </c>
      <c r="I1464" t="s">
        <v>10302</v>
      </c>
      <c r="J1464" t="s">
        <v>10295</v>
      </c>
      <c r="K1464" t="s">
        <v>8194</v>
      </c>
      <c r="L1464" t="s">
        <v>8195</v>
      </c>
    </row>
    <row r="1465" spans="1:13" x14ac:dyDescent="0.25">
      <c r="A1465" t="s">
        <v>5766</v>
      </c>
      <c r="B1465" t="s">
        <v>4374</v>
      </c>
      <c r="C1465" s="1" t="s">
        <v>78</v>
      </c>
      <c r="D1465" s="1" t="s">
        <v>5780</v>
      </c>
      <c r="E1465" t="s">
        <v>5781</v>
      </c>
      <c r="F1465" t="s">
        <v>10303</v>
      </c>
      <c r="G1465" t="s">
        <v>5783</v>
      </c>
      <c r="H1465" t="s">
        <v>10304</v>
      </c>
      <c r="I1465" t="s">
        <v>6157</v>
      </c>
      <c r="J1465" t="s">
        <v>10295</v>
      </c>
      <c r="K1465" t="s">
        <v>8194</v>
      </c>
      <c r="L1465" t="s">
        <v>8195</v>
      </c>
      <c r="M1465" t="s">
        <v>65</v>
      </c>
    </row>
    <row r="1466" spans="1:13" x14ac:dyDescent="0.25">
      <c r="A1466" t="s">
        <v>5766</v>
      </c>
      <c r="B1466" t="s">
        <v>4374</v>
      </c>
      <c r="C1466" s="1" t="s">
        <v>52</v>
      </c>
      <c r="D1466" s="1" t="s">
        <v>52</v>
      </c>
      <c r="E1466" t="s">
        <v>5767</v>
      </c>
      <c r="F1466" t="s">
        <v>10305</v>
      </c>
      <c r="G1466" t="s">
        <v>5769</v>
      </c>
      <c r="H1466" t="s">
        <v>10306</v>
      </c>
      <c r="I1466" t="s">
        <v>6710</v>
      </c>
      <c r="J1466" t="s">
        <v>10295</v>
      </c>
      <c r="K1466" t="s">
        <v>8194</v>
      </c>
      <c r="L1466" t="s">
        <v>8195</v>
      </c>
      <c r="M1466" t="s">
        <v>65</v>
      </c>
    </row>
    <row r="1467" spans="1:13" x14ac:dyDescent="0.25">
      <c r="A1467" t="s">
        <v>5766</v>
      </c>
      <c r="B1467" t="s">
        <v>4391</v>
      </c>
      <c r="C1467" s="1" t="s">
        <v>4393</v>
      </c>
      <c r="D1467" s="1" t="s">
        <v>4393</v>
      </c>
      <c r="E1467" t="s">
        <v>4394</v>
      </c>
      <c r="F1467" t="s">
        <v>10307</v>
      </c>
      <c r="G1467" t="s">
        <v>10308</v>
      </c>
      <c r="H1467" t="s">
        <v>4396</v>
      </c>
      <c r="I1467" t="s">
        <v>10309</v>
      </c>
      <c r="J1467" t="s">
        <v>10310</v>
      </c>
      <c r="K1467" t="s">
        <v>6485</v>
      </c>
      <c r="L1467" t="s">
        <v>6486</v>
      </c>
    </row>
    <row r="1468" spans="1:13" x14ac:dyDescent="0.25">
      <c r="A1468" t="s">
        <v>5766</v>
      </c>
      <c r="B1468" t="s">
        <v>4391</v>
      </c>
      <c r="C1468" s="1" t="s">
        <v>78</v>
      </c>
      <c r="D1468" s="1" t="s">
        <v>5780</v>
      </c>
      <c r="E1468" t="s">
        <v>5781</v>
      </c>
      <c r="F1468" t="s">
        <v>10311</v>
      </c>
      <c r="G1468" t="s">
        <v>5783</v>
      </c>
      <c r="H1468" t="s">
        <v>10312</v>
      </c>
      <c r="I1468" t="s">
        <v>10313</v>
      </c>
      <c r="J1468" t="s">
        <v>10310</v>
      </c>
      <c r="K1468" t="s">
        <v>6485</v>
      </c>
      <c r="L1468" t="s">
        <v>6486</v>
      </c>
      <c r="M1468" t="s">
        <v>65</v>
      </c>
    </row>
    <row r="1469" spans="1:13" x14ac:dyDescent="0.25">
      <c r="A1469" t="s">
        <v>5766</v>
      </c>
      <c r="B1469" t="s">
        <v>4391</v>
      </c>
      <c r="C1469" s="1" t="s">
        <v>52</v>
      </c>
      <c r="D1469" s="1" t="s">
        <v>52</v>
      </c>
      <c r="E1469" t="s">
        <v>5767</v>
      </c>
      <c r="F1469" t="s">
        <v>10314</v>
      </c>
      <c r="G1469" t="s">
        <v>5769</v>
      </c>
      <c r="H1469" t="s">
        <v>10315</v>
      </c>
      <c r="I1469" t="s">
        <v>10316</v>
      </c>
      <c r="J1469" t="s">
        <v>10310</v>
      </c>
      <c r="K1469" t="s">
        <v>6485</v>
      </c>
      <c r="L1469" t="s">
        <v>6486</v>
      </c>
      <c r="M1469" t="s">
        <v>65</v>
      </c>
    </row>
    <row r="1470" spans="1:13" x14ac:dyDescent="0.25">
      <c r="A1470" t="s">
        <v>5766</v>
      </c>
      <c r="B1470" t="s">
        <v>4400</v>
      </c>
      <c r="C1470" s="1" t="s">
        <v>4402</v>
      </c>
      <c r="D1470" s="1" t="s">
        <v>4402</v>
      </c>
      <c r="E1470" t="s">
        <v>4403</v>
      </c>
      <c r="F1470" t="s">
        <v>10317</v>
      </c>
      <c r="G1470" t="s">
        <v>6443</v>
      </c>
      <c r="H1470" t="s">
        <v>4404</v>
      </c>
      <c r="I1470" t="s">
        <v>10318</v>
      </c>
      <c r="J1470" t="s">
        <v>10319</v>
      </c>
      <c r="K1470" t="s">
        <v>5778</v>
      </c>
      <c r="L1470" t="s">
        <v>5779</v>
      </c>
    </row>
    <row r="1471" spans="1:13" x14ac:dyDescent="0.25">
      <c r="A1471" t="s">
        <v>5766</v>
      </c>
      <c r="B1471" t="s">
        <v>4400</v>
      </c>
      <c r="C1471" s="1" t="s">
        <v>78</v>
      </c>
      <c r="D1471" s="1" t="s">
        <v>5780</v>
      </c>
      <c r="E1471" t="s">
        <v>5781</v>
      </c>
      <c r="F1471" t="s">
        <v>10320</v>
      </c>
      <c r="G1471" t="s">
        <v>5783</v>
      </c>
      <c r="H1471" t="s">
        <v>10321</v>
      </c>
      <c r="I1471" t="s">
        <v>6622</v>
      </c>
      <c r="J1471" t="s">
        <v>10319</v>
      </c>
      <c r="K1471" t="s">
        <v>5778</v>
      </c>
      <c r="L1471" t="s">
        <v>5779</v>
      </c>
      <c r="M1471" t="s">
        <v>65</v>
      </c>
    </row>
    <row r="1472" spans="1:13" x14ac:dyDescent="0.25">
      <c r="A1472" t="s">
        <v>5766</v>
      </c>
      <c r="B1472" t="s">
        <v>4400</v>
      </c>
      <c r="C1472" s="1" t="s">
        <v>52</v>
      </c>
      <c r="D1472" s="1" t="s">
        <v>52</v>
      </c>
      <c r="E1472" t="s">
        <v>5767</v>
      </c>
      <c r="F1472" t="s">
        <v>10322</v>
      </c>
      <c r="G1472" t="s">
        <v>5769</v>
      </c>
      <c r="H1472" t="s">
        <v>10323</v>
      </c>
      <c r="I1472" t="s">
        <v>10324</v>
      </c>
      <c r="J1472" t="s">
        <v>10319</v>
      </c>
      <c r="K1472" t="s">
        <v>5778</v>
      </c>
      <c r="L1472" t="s">
        <v>5779</v>
      </c>
      <c r="M1472" t="s">
        <v>65</v>
      </c>
    </row>
    <row r="1473" spans="1:13" x14ac:dyDescent="0.25">
      <c r="A1473" t="s">
        <v>5766</v>
      </c>
      <c r="B1473" t="s">
        <v>4408</v>
      </c>
      <c r="C1473" s="1" t="s">
        <v>4410</v>
      </c>
      <c r="D1473" s="1" t="s">
        <v>4410</v>
      </c>
      <c r="E1473" t="s">
        <v>4411</v>
      </c>
      <c r="F1473" t="s">
        <v>10325</v>
      </c>
      <c r="G1473" t="s">
        <v>9018</v>
      </c>
      <c r="H1473" t="s">
        <v>4412</v>
      </c>
      <c r="I1473" t="s">
        <v>10326</v>
      </c>
      <c r="J1473" t="s">
        <v>10327</v>
      </c>
      <c r="K1473" t="s">
        <v>5778</v>
      </c>
      <c r="L1473" t="s">
        <v>5779</v>
      </c>
    </row>
    <row r="1474" spans="1:13" x14ac:dyDescent="0.25">
      <c r="A1474" t="s">
        <v>5766</v>
      </c>
      <c r="B1474" t="s">
        <v>4408</v>
      </c>
      <c r="C1474" s="1" t="s">
        <v>78</v>
      </c>
      <c r="D1474" s="1" t="s">
        <v>5780</v>
      </c>
      <c r="E1474" t="s">
        <v>5781</v>
      </c>
      <c r="F1474" t="s">
        <v>10328</v>
      </c>
      <c r="G1474" t="s">
        <v>5783</v>
      </c>
      <c r="H1474" t="s">
        <v>10329</v>
      </c>
      <c r="I1474" t="s">
        <v>6622</v>
      </c>
      <c r="J1474" t="s">
        <v>10327</v>
      </c>
      <c r="K1474" t="s">
        <v>5778</v>
      </c>
      <c r="L1474" t="s">
        <v>5779</v>
      </c>
      <c r="M1474" t="s">
        <v>65</v>
      </c>
    </row>
    <row r="1475" spans="1:13" x14ac:dyDescent="0.25">
      <c r="A1475" t="s">
        <v>5766</v>
      </c>
      <c r="B1475" t="s">
        <v>4408</v>
      </c>
      <c r="C1475" s="1" t="s">
        <v>52</v>
      </c>
      <c r="D1475" s="1" t="s">
        <v>52</v>
      </c>
      <c r="E1475" t="s">
        <v>5767</v>
      </c>
      <c r="F1475" t="s">
        <v>10330</v>
      </c>
      <c r="G1475" t="s">
        <v>5769</v>
      </c>
      <c r="H1475" t="s">
        <v>10331</v>
      </c>
      <c r="I1475" t="s">
        <v>10332</v>
      </c>
      <c r="J1475" t="s">
        <v>10327</v>
      </c>
      <c r="K1475" t="s">
        <v>5778</v>
      </c>
      <c r="L1475" t="s">
        <v>5779</v>
      </c>
      <c r="M1475" t="s">
        <v>65</v>
      </c>
    </row>
    <row r="1476" spans="1:13" x14ac:dyDescent="0.25">
      <c r="A1476" t="s">
        <v>5766</v>
      </c>
      <c r="B1476" t="s">
        <v>4416</v>
      </c>
      <c r="C1476" s="1" t="s">
        <v>4418</v>
      </c>
      <c r="D1476" s="1" t="s">
        <v>10333</v>
      </c>
      <c r="E1476" t="s">
        <v>4420</v>
      </c>
      <c r="F1476" t="s">
        <v>10334</v>
      </c>
      <c r="G1476" t="s">
        <v>10335</v>
      </c>
      <c r="H1476" t="s">
        <v>10336</v>
      </c>
      <c r="I1476" t="s">
        <v>5969</v>
      </c>
      <c r="J1476" t="s">
        <v>10337</v>
      </c>
      <c r="K1476" t="s">
        <v>10338</v>
      </c>
      <c r="L1476" t="s">
        <v>7342</v>
      </c>
    </row>
    <row r="1477" spans="1:13" x14ac:dyDescent="0.25">
      <c r="A1477" t="s">
        <v>5766</v>
      </c>
      <c r="B1477" t="s">
        <v>4416</v>
      </c>
      <c r="C1477" s="1" t="s">
        <v>4422</v>
      </c>
      <c r="D1477" s="1" t="s">
        <v>10339</v>
      </c>
      <c r="E1477" t="s">
        <v>4423</v>
      </c>
      <c r="F1477" t="s">
        <v>10067</v>
      </c>
      <c r="G1477" t="s">
        <v>10340</v>
      </c>
      <c r="H1477" t="s">
        <v>10341</v>
      </c>
      <c r="I1477" t="s">
        <v>5846</v>
      </c>
      <c r="J1477" t="s">
        <v>10337</v>
      </c>
      <c r="K1477" t="s">
        <v>10338</v>
      </c>
      <c r="L1477" t="s">
        <v>7342</v>
      </c>
    </row>
    <row r="1478" spans="1:13" x14ac:dyDescent="0.25">
      <c r="A1478" t="s">
        <v>5766</v>
      </c>
      <c r="B1478" t="s">
        <v>4416</v>
      </c>
      <c r="C1478" s="1" t="s">
        <v>3562</v>
      </c>
      <c r="D1478" s="1" t="s">
        <v>9087</v>
      </c>
      <c r="E1478" t="s">
        <v>3563</v>
      </c>
      <c r="F1478" t="s">
        <v>10342</v>
      </c>
      <c r="G1478" t="s">
        <v>9089</v>
      </c>
      <c r="H1478" t="s">
        <v>10343</v>
      </c>
      <c r="I1478" t="s">
        <v>8690</v>
      </c>
      <c r="J1478" t="s">
        <v>10337</v>
      </c>
      <c r="K1478" t="s">
        <v>10338</v>
      </c>
      <c r="L1478" t="s">
        <v>7342</v>
      </c>
    </row>
    <row r="1479" spans="1:13" x14ac:dyDescent="0.25">
      <c r="A1479" t="s">
        <v>5766</v>
      </c>
      <c r="B1479" t="s">
        <v>4416</v>
      </c>
      <c r="C1479" s="1" t="s">
        <v>4425</v>
      </c>
      <c r="D1479" s="1" t="s">
        <v>10344</v>
      </c>
      <c r="E1479" t="s">
        <v>4426</v>
      </c>
      <c r="F1479" t="s">
        <v>6130</v>
      </c>
      <c r="G1479" t="s">
        <v>10345</v>
      </c>
      <c r="H1479" t="s">
        <v>10346</v>
      </c>
      <c r="I1479" t="s">
        <v>6721</v>
      </c>
      <c r="J1479" t="s">
        <v>10337</v>
      </c>
      <c r="K1479" t="s">
        <v>10338</v>
      </c>
      <c r="L1479" t="s">
        <v>7342</v>
      </c>
    </row>
    <row r="1480" spans="1:13" x14ac:dyDescent="0.25">
      <c r="A1480" t="s">
        <v>5766</v>
      </c>
      <c r="B1480" t="s">
        <v>4416</v>
      </c>
      <c r="C1480" s="1" t="s">
        <v>4428</v>
      </c>
      <c r="D1480" s="1" t="s">
        <v>10347</v>
      </c>
      <c r="E1480" t="s">
        <v>4429</v>
      </c>
      <c r="F1480" t="s">
        <v>10067</v>
      </c>
      <c r="G1480" t="s">
        <v>10348</v>
      </c>
      <c r="H1480" t="s">
        <v>10349</v>
      </c>
      <c r="I1480" t="s">
        <v>8244</v>
      </c>
      <c r="J1480" t="s">
        <v>10337</v>
      </c>
      <c r="K1480" t="s">
        <v>10338</v>
      </c>
      <c r="L1480" t="s">
        <v>7342</v>
      </c>
    </row>
    <row r="1481" spans="1:13" x14ac:dyDescent="0.25">
      <c r="A1481" t="s">
        <v>5766</v>
      </c>
      <c r="B1481" t="s">
        <v>4416</v>
      </c>
      <c r="C1481" s="1" t="s">
        <v>4431</v>
      </c>
      <c r="D1481" s="1" t="s">
        <v>10350</v>
      </c>
      <c r="E1481" t="s">
        <v>4432</v>
      </c>
      <c r="F1481" t="s">
        <v>10351</v>
      </c>
      <c r="G1481" t="s">
        <v>10352</v>
      </c>
      <c r="H1481" t="s">
        <v>10353</v>
      </c>
      <c r="I1481" t="s">
        <v>7028</v>
      </c>
      <c r="J1481" t="s">
        <v>10337</v>
      </c>
      <c r="K1481" t="s">
        <v>10338</v>
      </c>
      <c r="L1481" t="s">
        <v>7342</v>
      </c>
    </row>
    <row r="1482" spans="1:13" x14ac:dyDescent="0.25">
      <c r="A1482" t="s">
        <v>5766</v>
      </c>
      <c r="B1482" t="s">
        <v>4416</v>
      </c>
      <c r="C1482" s="1" t="s">
        <v>3568</v>
      </c>
      <c r="D1482" s="1" t="s">
        <v>9103</v>
      </c>
      <c r="E1482" t="s">
        <v>3569</v>
      </c>
      <c r="F1482" t="s">
        <v>10067</v>
      </c>
      <c r="G1482" t="s">
        <v>9104</v>
      </c>
      <c r="H1482" t="s">
        <v>10354</v>
      </c>
      <c r="I1482" t="s">
        <v>6747</v>
      </c>
      <c r="J1482" t="s">
        <v>10337</v>
      </c>
      <c r="K1482" t="s">
        <v>10338</v>
      </c>
      <c r="L1482" t="s">
        <v>7342</v>
      </c>
    </row>
    <row r="1483" spans="1:13" x14ac:dyDescent="0.25">
      <c r="A1483" t="s">
        <v>5766</v>
      </c>
      <c r="B1483" t="s">
        <v>4416</v>
      </c>
      <c r="C1483" s="1" t="s">
        <v>4434</v>
      </c>
      <c r="D1483" s="1" t="s">
        <v>10355</v>
      </c>
      <c r="E1483" t="s">
        <v>4435</v>
      </c>
      <c r="F1483" t="s">
        <v>10356</v>
      </c>
      <c r="G1483" t="s">
        <v>10357</v>
      </c>
      <c r="H1483" t="s">
        <v>10358</v>
      </c>
      <c r="I1483" t="s">
        <v>10359</v>
      </c>
      <c r="J1483" t="s">
        <v>10337</v>
      </c>
      <c r="K1483" t="s">
        <v>10338</v>
      </c>
      <c r="L1483" t="s">
        <v>7342</v>
      </c>
    </row>
    <row r="1484" spans="1:13" x14ac:dyDescent="0.25">
      <c r="A1484" t="s">
        <v>5766</v>
      </c>
      <c r="B1484" t="s">
        <v>4416</v>
      </c>
      <c r="C1484" s="1" t="s">
        <v>4437</v>
      </c>
      <c r="D1484" s="1" t="s">
        <v>10360</v>
      </c>
      <c r="E1484" t="s">
        <v>4438</v>
      </c>
      <c r="F1484" t="s">
        <v>10361</v>
      </c>
      <c r="G1484" t="s">
        <v>10362</v>
      </c>
      <c r="H1484" t="s">
        <v>10363</v>
      </c>
      <c r="I1484" t="s">
        <v>10364</v>
      </c>
      <c r="J1484" t="s">
        <v>10337</v>
      </c>
      <c r="K1484" t="s">
        <v>10338</v>
      </c>
      <c r="L1484" t="s">
        <v>7342</v>
      </c>
    </row>
    <row r="1485" spans="1:13" x14ac:dyDescent="0.25">
      <c r="A1485" t="s">
        <v>5766</v>
      </c>
      <c r="B1485" t="s">
        <v>4416</v>
      </c>
      <c r="C1485" s="1" t="s">
        <v>4440</v>
      </c>
      <c r="D1485" s="1" t="s">
        <v>10365</v>
      </c>
      <c r="E1485" t="s">
        <v>4441</v>
      </c>
      <c r="F1485" t="s">
        <v>6091</v>
      </c>
      <c r="G1485" t="s">
        <v>10366</v>
      </c>
      <c r="H1485" t="s">
        <v>10367</v>
      </c>
      <c r="I1485" t="s">
        <v>6173</v>
      </c>
      <c r="J1485" t="s">
        <v>10337</v>
      </c>
      <c r="K1485" t="s">
        <v>10338</v>
      </c>
      <c r="L1485" t="s">
        <v>7342</v>
      </c>
    </row>
    <row r="1486" spans="1:13" x14ac:dyDescent="0.25">
      <c r="A1486" t="s">
        <v>5766</v>
      </c>
      <c r="B1486" t="s">
        <v>4416</v>
      </c>
      <c r="C1486" s="1" t="s">
        <v>3571</v>
      </c>
      <c r="D1486" s="1" t="s">
        <v>9106</v>
      </c>
      <c r="E1486" t="s">
        <v>3572</v>
      </c>
      <c r="F1486" t="s">
        <v>10368</v>
      </c>
      <c r="G1486" t="s">
        <v>9108</v>
      </c>
      <c r="H1486" t="s">
        <v>10369</v>
      </c>
      <c r="I1486" t="s">
        <v>10073</v>
      </c>
      <c r="J1486" t="s">
        <v>10337</v>
      </c>
      <c r="K1486" t="s">
        <v>10338</v>
      </c>
      <c r="L1486" t="s">
        <v>7342</v>
      </c>
    </row>
    <row r="1487" spans="1:13" x14ac:dyDescent="0.25">
      <c r="A1487" t="s">
        <v>5766</v>
      </c>
      <c r="B1487" t="s">
        <v>4416</v>
      </c>
      <c r="C1487" s="1" t="s">
        <v>4443</v>
      </c>
      <c r="D1487" s="1" t="s">
        <v>10370</v>
      </c>
      <c r="E1487" t="s">
        <v>4444</v>
      </c>
      <c r="F1487" t="s">
        <v>5971</v>
      </c>
      <c r="G1487" t="s">
        <v>10371</v>
      </c>
      <c r="H1487" t="s">
        <v>10372</v>
      </c>
      <c r="I1487" t="s">
        <v>8544</v>
      </c>
      <c r="J1487" t="s">
        <v>10337</v>
      </c>
      <c r="K1487" t="s">
        <v>10338</v>
      </c>
      <c r="L1487" t="s">
        <v>7342</v>
      </c>
    </row>
    <row r="1488" spans="1:13" x14ac:dyDescent="0.25">
      <c r="A1488" t="s">
        <v>5766</v>
      </c>
      <c r="B1488" t="s">
        <v>4416</v>
      </c>
      <c r="C1488" s="1" t="s">
        <v>3715</v>
      </c>
      <c r="D1488" s="1" t="s">
        <v>9369</v>
      </c>
      <c r="E1488" t="s">
        <v>3716</v>
      </c>
      <c r="F1488" t="s">
        <v>10373</v>
      </c>
      <c r="G1488" t="s">
        <v>9371</v>
      </c>
      <c r="H1488" t="s">
        <v>10374</v>
      </c>
      <c r="I1488" t="s">
        <v>10375</v>
      </c>
      <c r="J1488" t="s">
        <v>10337</v>
      </c>
      <c r="K1488" t="s">
        <v>10338</v>
      </c>
      <c r="L1488" t="s">
        <v>7342</v>
      </c>
    </row>
    <row r="1489" spans="1:13" x14ac:dyDescent="0.25">
      <c r="A1489" t="s">
        <v>5766</v>
      </c>
      <c r="B1489" t="s">
        <v>4416</v>
      </c>
      <c r="C1489" s="1" t="s">
        <v>4446</v>
      </c>
      <c r="D1489" s="1" t="s">
        <v>10376</v>
      </c>
      <c r="E1489" t="s">
        <v>4447</v>
      </c>
      <c r="F1489" t="s">
        <v>6416</v>
      </c>
      <c r="G1489" t="s">
        <v>10377</v>
      </c>
      <c r="H1489" t="s">
        <v>10367</v>
      </c>
      <c r="I1489" t="s">
        <v>6173</v>
      </c>
      <c r="J1489" t="s">
        <v>10337</v>
      </c>
      <c r="K1489" t="s">
        <v>10338</v>
      </c>
      <c r="L1489" t="s">
        <v>7342</v>
      </c>
    </row>
    <row r="1490" spans="1:13" x14ac:dyDescent="0.25">
      <c r="A1490" t="s">
        <v>5766</v>
      </c>
      <c r="B1490" t="s">
        <v>4416</v>
      </c>
      <c r="C1490" s="1" t="s">
        <v>3504</v>
      </c>
      <c r="D1490" s="1" t="s">
        <v>8980</v>
      </c>
      <c r="E1490" t="s">
        <v>3505</v>
      </c>
      <c r="F1490" t="s">
        <v>10378</v>
      </c>
      <c r="G1490" t="s">
        <v>8982</v>
      </c>
      <c r="H1490" t="s">
        <v>10379</v>
      </c>
      <c r="I1490" t="s">
        <v>6647</v>
      </c>
      <c r="J1490" t="s">
        <v>10337</v>
      </c>
      <c r="K1490" t="s">
        <v>10338</v>
      </c>
      <c r="L1490" t="s">
        <v>7342</v>
      </c>
    </row>
    <row r="1491" spans="1:13" x14ac:dyDescent="0.25">
      <c r="A1491" t="s">
        <v>5766</v>
      </c>
      <c r="B1491" t="s">
        <v>4416</v>
      </c>
      <c r="C1491" s="1" t="s">
        <v>4449</v>
      </c>
      <c r="D1491" s="1" t="s">
        <v>10380</v>
      </c>
      <c r="E1491" t="s">
        <v>4450</v>
      </c>
      <c r="F1491" t="s">
        <v>8590</v>
      </c>
      <c r="G1491" t="s">
        <v>10381</v>
      </c>
      <c r="H1491" t="s">
        <v>10382</v>
      </c>
      <c r="I1491" t="s">
        <v>6165</v>
      </c>
      <c r="J1491" t="s">
        <v>10337</v>
      </c>
      <c r="K1491" t="s">
        <v>10338</v>
      </c>
      <c r="L1491" t="s">
        <v>7342</v>
      </c>
    </row>
    <row r="1492" spans="1:13" x14ac:dyDescent="0.25">
      <c r="A1492" t="s">
        <v>5766</v>
      </c>
      <c r="B1492" t="s">
        <v>4416</v>
      </c>
      <c r="C1492" s="1" t="s">
        <v>4452</v>
      </c>
      <c r="D1492" s="1" t="s">
        <v>10383</v>
      </c>
      <c r="E1492" t="s">
        <v>4453</v>
      </c>
      <c r="F1492" t="s">
        <v>8586</v>
      </c>
      <c r="G1492" t="s">
        <v>10384</v>
      </c>
      <c r="H1492" t="s">
        <v>10385</v>
      </c>
      <c r="I1492" t="s">
        <v>6342</v>
      </c>
      <c r="J1492" t="s">
        <v>10337</v>
      </c>
      <c r="K1492" t="s">
        <v>10338</v>
      </c>
      <c r="L1492" t="s">
        <v>7342</v>
      </c>
    </row>
    <row r="1493" spans="1:13" x14ac:dyDescent="0.25">
      <c r="A1493" t="s">
        <v>5766</v>
      </c>
      <c r="B1493" t="s">
        <v>4416</v>
      </c>
      <c r="C1493" s="1" t="s">
        <v>3721</v>
      </c>
      <c r="D1493" s="1" t="s">
        <v>9378</v>
      </c>
      <c r="E1493" t="s">
        <v>3722</v>
      </c>
      <c r="F1493" t="s">
        <v>10386</v>
      </c>
      <c r="G1493" t="s">
        <v>9380</v>
      </c>
      <c r="H1493" t="s">
        <v>10387</v>
      </c>
      <c r="I1493" t="s">
        <v>7353</v>
      </c>
      <c r="J1493" t="s">
        <v>10337</v>
      </c>
      <c r="K1493" t="s">
        <v>10338</v>
      </c>
      <c r="L1493" t="s">
        <v>7342</v>
      </c>
    </row>
    <row r="1494" spans="1:13" x14ac:dyDescent="0.25">
      <c r="A1494" t="s">
        <v>5766</v>
      </c>
      <c r="B1494" t="s">
        <v>4416</v>
      </c>
      <c r="C1494" s="1" t="s">
        <v>4455</v>
      </c>
      <c r="D1494" s="1" t="s">
        <v>10388</v>
      </c>
      <c r="E1494" t="s">
        <v>4456</v>
      </c>
      <c r="F1494" t="s">
        <v>10389</v>
      </c>
      <c r="G1494" t="s">
        <v>10390</v>
      </c>
      <c r="H1494" t="s">
        <v>10391</v>
      </c>
      <c r="I1494" t="s">
        <v>6053</v>
      </c>
      <c r="J1494" t="s">
        <v>10337</v>
      </c>
      <c r="K1494" t="s">
        <v>10338</v>
      </c>
      <c r="L1494" t="s">
        <v>7342</v>
      </c>
    </row>
    <row r="1495" spans="1:13" x14ac:dyDescent="0.25">
      <c r="A1495" t="s">
        <v>5766</v>
      </c>
      <c r="B1495" t="s">
        <v>4416</v>
      </c>
      <c r="C1495" s="1" t="s">
        <v>4458</v>
      </c>
      <c r="D1495" s="1" t="s">
        <v>10392</v>
      </c>
      <c r="E1495" t="s">
        <v>4459</v>
      </c>
      <c r="F1495" t="s">
        <v>10393</v>
      </c>
      <c r="G1495" t="s">
        <v>10394</v>
      </c>
      <c r="H1495" t="s">
        <v>10395</v>
      </c>
      <c r="I1495" t="s">
        <v>5846</v>
      </c>
      <c r="J1495" t="s">
        <v>10337</v>
      </c>
      <c r="K1495" t="s">
        <v>10338</v>
      </c>
      <c r="L1495" t="s">
        <v>7342</v>
      </c>
    </row>
    <row r="1496" spans="1:13" x14ac:dyDescent="0.25">
      <c r="A1496" t="s">
        <v>5766</v>
      </c>
      <c r="B1496" t="s">
        <v>4416</v>
      </c>
      <c r="C1496" s="1" t="s">
        <v>78</v>
      </c>
      <c r="D1496" s="1" t="s">
        <v>5780</v>
      </c>
      <c r="E1496" t="s">
        <v>5781</v>
      </c>
      <c r="F1496" t="s">
        <v>10396</v>
      </c>
      <c r="G1496" t="s">
        <v>5783</v>
      </c>
      <c r="H1496" t="s">
        <v>10397</v>
      </c>
      <c r="I1496" t="s">
        <v>9648</v>
      </c>
      <c r="J1496" t="s">
        <v>10337</v>
      </c>
      <c r="K1496" t="s">
        <v>10338</v>
      </c>
      <c r="L1496" t="s">
        <v>7342</v>
      </c>
      <c r="M1496" t="s">
        <v>65</v>
      </c>
    </row>
    <row r="1497" spans="1:13" x14ac:dyDescent="0.25">
      <c r="A1497" t="s">
        <v>5766</v>
      </c>
      <c r="B1497" t="s">
        <v>4416</v>
      </c>
      <c r="C1497" s="1" t="s">
        <v>4461</v>
      </c>
      <c r="D1497" s="1" t="s">
        <v>10398</v>
      </c>
      <c r="E1497" t="s">
        <v>4462</v>
      </c>
      <c r="F1497" t="s">
        <v>10399</v>
      </c>
      <c r="G1497" t="s">
        <v>10400</v>
      </c>
      <c r="H1497" t="s">
        <v>10401</v>
      </c>
      <c r="I1497" t="s">
        <v>6789</v>
      </c>
      <c r="J1497" t="s">
        <v>10337</v>
      </c>
      <c r="K1497" t="s">
        <v>10338</v>
      </c>
      <c r="L1497" t="s">
        <v>7342</v>
      </c>
    </row>
    <row r="1498" spans="1:13" x14ac:dyDescent="0.25">
      <c r="A1498" t="s">
        <v>5766</v>
      </c>
      <c r="B1498" t="s">
        <v>4416</v>
      </c>
      <c r="C1498" s="1" t="s">
        <v>4464</v>
      </c>
      <c r="D1498" s="1" t="s">
        <v>10402</v>
      </c>
      <c r="E1498" t="s">
        <v>4465</v>
      </c>
      <c r="F1498" t="s">
        <v>10403</v>
      </c>
      <c r="G1498" t="s">
        <v>10404</v>
      </c>
      <c r="H1498" t="s">
        <v>10405</v>
      </c>
      <c r="I1498" t="s">
        <v>10406</v>
      </c>
      <c r="J1498" t="s">
        <v>10337</v>
      </c>
      <c r="K1498" t="s">
        <v>10338</v>
      </c>
      <c r="L1498" t="s">
        <v>7342</v>
      </c>
    </row>
    <row r="1499" spans="1:13" x14ac:dyDescent="0.25">
      <c r="A1499" t="s">
        <v>5766</v>
      </c>
      <c r="B1499" t="s">
        <v>4416</v>
      </c>
      <c r="C1499" s="1" t="s">
        <v>4467</v>
      </c>
      <c r="D1499" s="1" t="s">
        <v>10407</v>
      </c>
      <c r="E1499" t="s">
        <v>4468</v>
      </c>
      <c r="F1499" t="s">
        <v>10399</v>
      </c>
      <c r="G1499" t="s">
        <v>10408</v>
      </c>
      <c r="H1499" t="s">
        <v>10409</v>
      </c>
      <c r="I1499" t="s">
        <v>6219</v>
      </c>
      <c r="J1499" t="s">
        <v>10337</v>
      </c>
      <c r="K1499" t="s">
        <v>10338</v>
      </c>
      <c r="L1499" t="s">
        <v>7342</v>
      </c>
    </row>
    <row r="1500" spans="1:13" x14ac:dyDescent="0.25">
      <c r="A1500" t="s">
        <v>5766</v>
      </c>
      <c r="B1500" t="s">
        <v>4416</v>
      </c>
      <c r="C1500" s="1" t="s">
        <v>4470</v>
      </c>
      <c r="D1500" s="1" t="s">
        <v>10410</v>
      </c>
      <c r="E1500" t="s">
        <v>4471</v>
      </c>
      <c r="F1500" t="s">
        <v>9771</v>
      </c>
      <c r="G1500" t="s">
        <v>10411</v>
      </c>
      <c r="H1500" t="s">
        <v>10412</v>
      </c>
      <c r="I1500" t="s">
        <v>9218</v>
      </c>
      <c r="J1500" t="s">
        <v>10337</v>
      </c>
      <c r="K1500" t="s">
        <v>10338</v>
      </c>
      <c r="L1500" t="s">
        <v>7342</v>
      </c>
    </row>
    <row r="1501" spans="1:13" x14ac:dyDescent="0.25">
      <c r="A1501" t="s">
        <v>5766</v>
      </c>
      <c r="B1501" t="s">
        <v>4416</v>
      </c>
      <c r="C1501" s="1" t="s">
        <v>4473</v>
      </c>
      <c r="D1501" s="1" t="s">
        <v>10413</v>
      </c>
      <c r="E1501" t="s">
        <v>4474</v>
      </c>
      <c r="F1501" t="s">
        <v>10414</v>
      </c>
      <c r="G1501" t="s">
        <v>10415</v>
      </c>
      <c r="H1501" t="s">
        <v>10416</v>
      </c>
      <c r="I1501" t="s">
        <v>8920</v>
      </c>
      <c r="J1501" t="s">
        <v>10337</v>
      </c>
      <c r="K1501" t="s">
        <v>10338</v>
      </c>
      <c r="L1501" t="s">
        <v>7342</v>
      </c>
    </row>
    <row r="1502" spans="1:13" x14ac:dyDescent="0.25">
      <c r="A1502" t="s">
        <v>5766</v>
      </c>
      <c r="B1502" t="s">
        <v>4416</v>
      </c>
      <c r="C1502" s="1" t="s">
        <v>4476</v>
      </c>
      <c r="D1502" s="1" t="s">
        <v>10417</v>
      </c>
      <c r="E1502" t="s">
        <v>4477</v>
      </c>
      <c r="F1502" t="s">
        <v>8558</v>
      </c>
      <c r="G1502" t="s">
        <v>10418</v>
      </c>
      <c r="H1502" t="s">
        <v>10419</v>
      </c>
      <c r="I1502" t="s">
        <v>6003</v>
      </c>
      <c r="J1502" t="s">
        <v>10337</v>
      </c>
      <c r="K1502" t="s">
        <v>10338</v>
      </c>
      <c r="L1502" t="s">
        <v>7342</v>
      </c>
    </row>
    <row r="1503" spans="1:13" x14ac:dyDescent="0.25">
      <c r="A1503" t="s">
        <v>5766</v>
      </c>
      <c r="B1503" t="s">
        <v>4416</v>
      </c>
      <c r="C1503" s="1" t="s">
        <v>4479</v>
      </c>
      <c r="D1503" s="1" t="s">
        <v>10420</v>
      </c>
      <c r="E1503" t="s">
        <v>4480</v>
      </c>
      <c r="F1503" t="s">
        <v>8558</v>
      </c>
      <c r="G1503" t="s">
        <v>10421</v>
      </c>
      <c r="H1503" t="s">
        <v>10422</v>
      </c>
      <c r="I1503" t="s">
        <v>7853</v>
      </c>
      <c r="J1503" t="s">
        <v>10337</v>
      </c>
      <c r="K1503" t="s">
        <v>10338</v>
      </c>
      <c r="L1503" t="s">
        <v>7342</v>
      </c>
    </row>
    <row r="1504" spans="1:13" x14ac:dyDescent="0.25">
      <c r="A1504" t="s">
        <v>5766</v>
      </c>
      <c r="B1504" t="s">
        <v>4416</v>
      </c>
      <c r="C1504" s="1" t="s">
        <v>4482</v>
      </c>
      <c r="D1504" s="1" t="s">
        <v>10423</v>
      </c>
      <c r="E1504" t="s">
        <v>4483</v>
      </c>
      <c r="F1504" t="s">
        <v>8590</v>
      </c>
      <c r="G1504" t="s">
        <v>10424</v>
      </c>
      <c r="H1504" t="s">
        <v>10425</v>
      </c>
      <c r="I1504" t="s">
        <v>7188</v>
      </c>
      <c r="J1504" t="s">
        <v>10337</v>
      </c>
      <c r="K1504" t="s">
        <v>10338</v>
      </c>
      <c r="L1504" t="s">
        <v>7342</v>
      </c>
    </row>
    <row r="1505" spans="1:12" x14ac:dyDescent="0.25">
      <c r="A1505" t="s">
        <v>5766</v>
      </c>
      <c r="B1505" t="s">
        <v>4416</v>
      </c>
      <c r="C1505" s="1" t="s">
        <v>4485</v>
      </c>
      <c r="D1505" s="1" t="s">
        <v>10426</v>
      </c>
      <c r="E1505" t="s">
        <v>4486</v>
      </c>
      <c r="F1505" t="s">
        <v>10403</v>
      </c>
      <c r="G1505" t="s">
        <v>10427</v>
      </c>
      <c r="H1505" t="s">
        <v>10428</v>
      </c>
      <c r="I1505" t="s">
        <v>9627</v>
      </c>
      <c r="J1505" t="s">
        <v>10337</v>
      </c>
      <c r="K1505" t="s">
        <v>10338</v>
      </c>
      <c r="L1505" t="s">
        <v>7342</v>
      </c>
    </row>
    <row r="1506" spans="1:12" x14ac:dyDescent="0.25">
      <c r="A1506" t="s">
        <v>5766</v>
      </c>
      <c r="B1506" t="s">
        <v>4416</v>
      </c>
      <c r="C1506" s="1" t="s">
        <v>4488</v>
      </c>
      <c r="D1506" s="1" t="s">
        <v>10429</v>
      </c>
      <c r="E1506" t="s">
        <v>4489</v>
      </c>
      <c r="F1506" t="s">
        <v>10430</v>
      </c>
      <c r="G1506" t="s">
        <v>10431</v>
      </c>
      <c r="H1506" t="s">
        <v>10432</v>
      </c>
      <c r="I1506" t="s">
        <v>8334</v>
      </c>
      <c r="J1506" t="s">
        <v>10337</v>
      </c>
      <c r="K1506" t="s">
        <v>10338</v>
      </c>
      <c r="L1506" t="s">
        <v>7342</v>
      </c>
    </row>
    <row r="1507" spans="1:12" x14ac:dyDescent="0.25">
      <c r="A1507" t="s">
        <v>5766</v>
      </c>
      <c r="B1507" t="s">
        <v>4416</v>
      </c>
      <c r="C1507" s="1" t="s">
        <v>4491</v>
      </c>
      <c r="D1507" s="1" t="s">
        <v>10433</v>
      </c>
      <c r="E1507" t="s">
        <v>4492</v>
      </c>
      <c r="F1507" t="s">
        <v>10414</v>
      </c>
      <c r="G1507" t="s">
        <v>10434</v>
      </c>
      <c r="H1507" t="s">
        <v>10435</v>
      </c>
      <c r="I1507" t="s">
        <v>8690</v>
      </c>
      <c r="J1507" t="s">
        <v>10337</v>
      </c>
      <c r="K1507" t="s">
        <v>10338</v>
      </c>
      <c r="L1507" t="s">
        <v>7342</v>
      </c>
    </row>
    <row r="1508" spans="1:12" x14ac:dyDescent="0.25">
      <c r="A1508" t="s">
        <v>5766</v>
      </c>
      <c r="B1508" t="s">
        <v>4416</v>
      </c>
      <c r="C1508" s="1" t="s">
        <v>4494</v>
      </c>
      <c r="D1508" s="1" t="s">
        <v>10436</v>
      </c>
      <c r="E1508" t="s">
        <v>4495</v>
      </c>
      <c r="F1508" t="s">
        <v>10067</v>
      </c>
      <c r="G1508" t="s">
        <v>10437</v>
      </c>
      <c r="H1508" t="s">
        <v>10438</v>
      </c>
      <c r="I1508" t="s">
        <v>7641</v>
      </c>
      <c r="J1508" t="s">
        <v>10337</v>
      </c>
      <c r="K1508" t="s">
        <v>10338</v>
      </c>
      <c r="L1508" t="s">
        <v>7342</v>
      </c>
    </row>
    <row r="1509" spans="1:12" x14ac:dyDescent="0.25">
      <c r="A1509" t="s">
        <v>5766</v>
      </c>
      <c r="B1509" t="s">
        <v>4416</v>
      </c>
      <c r="C1509" s="1" t="s">
        <v>4497</v>
      </c>
      <c r="D1509" s="1" t="s">
        <v>10439</v>
      </c>
      <c r="E1509" t="s">
        <v>4498</v>
      </c>
      <c r="F1509" t="s">
        <v>10342</v>
      </c>
      <c r="G1509" t="s">
        <v>10440</v>
      </c>
      <c r="H1509" t="s">
        <v>10441</v>
      </c>
      <c r="I1509" t="s">
        <v>5934</v>
      </c>
      <c r="J1509" t="s">
        <v>10337</v>
      </c>
      <c r="K1509" t="s">
        <v>10338</v>
      </c>
      <c r="L1509" t="s">
        <v>7342</v>
      </c>
    </row>
    <row r="1510" spans="1:12" x14ac:dyDescent="0.25">
      <c r="A1510" t="s">
        <v>5766</v>
      </c>
      <c r="B1510" t="s">
        <v>4416</v>
      </c>
      <c r="C1510" s="1" t="s">
        <v>4500</v>
      </c>
      <c r="D1510" s="1" t="s">
        <v>10442</v>
      </c>
      <c r="E1510" t="s">
        <v>4501</v>
      </c>
      <c r="F1510" t="s">
        <v>6091</v>
      </c>
      <c r="G1510" t="s">
        <v>10443</v>
      </c>
      <c r="H1510" t="s">
        <v>10444</v>
      </c>
      <c r="I1510" t="s">
        <v>6678</v>
      </c>
      <c r="J1510" t="s">
        <v>10337</v>
      </c>
      <c r="K1510" t="s">
        <v>10338</v>
      </c>
      <c r="L1510" t="s">
        <v>7342</v>
      </c>
    </row>
    <row r="1511" spans="1:12" x14ac:dyDescent="0.25">
      <c r="A1511" t="s">
        <v>5766</v>
      </c>
      <c r="B1511" t="s">
        <v>4416</v>
      </c>
      <c r="C1511" s="1" t="s">
        <v>4503</v>
      </c>
      <c r="D1511" s="1" t="s">
        <v>10445</v>
      </c>
      <c r="E1511" t="s">
        <v>4504</v>
      </c>
      <c r="F1511" t="s">
        <v>10067</v>
      </c>
      <c r="G1511" t="s">
        <v>10446</v>
      </c>
      <c r="H1511" t="s">
        <v>10447</v>
      </c>
      <c r="I1511" t="s">
        <v>6385</v>
      </c>
      <c r="J1511" t="s">
        <v>10337</v>
      </c>
      <c r="K1511" t="s">
        <v>10338</v>
      </c>
      <c r="L1511" t="s">
        <v>7342</v>
      </c>
    </row>
    <row r="1512" spans="1:12" x14ac:dyDescent="0.25">
      <c r="A1512" t="s">
        <v>5766</v>
      </c>
      <c r="B1512" t="s">
        <v>4416</v>
      </c>
      <c r="C1512" s="1" t="s">
        <v>4506</v>
      </c>
      <c r="D1512" s="1" t="s">
        <v>10448</v>
      </c>
      <c r="E1512" t="s">
        <v>4508</v>
      </c>
      <c r="F1512" t="s">
        <v>7989</v>
      </c>
      <c r="G1512" t="s">
        <v>10449</v>
      </c>
      <c r="H1512" t="s">
        <v>10450</v>
      </c>
      <c r="I1512" t="s">
        <v>6977</v>
      </c>
      <c r="J1512" t="s">
        <v>10337</v>
      </c>
      <c r="K1512" t="s">
        <v>10338</v>
      </c>
      <c r="L1512" t="s">
        <v>7342</v>
      </c>
    </row>
    <row r="1513" spans="1:12" x14ac:dyDescent="0.25">
      <c r="A1513" t="s">
        <v>5766</v>
      </c>
      <c r="B1513" t="s">
        <v>4416</v>
      </c>
      <c r="C1513" s="1" t="s">
        <v>4510</v>
      </c>
      <c r="D1513" s="1" t="s">
        <v>10451</v>
      </c>
      <c r="E1513" t="s">
        <v>4511</v>
      </c>
      <c r="F1513" t="s">
        <v>10368</v>
      </c>
      <c r="G1513" t="s">
        <v>9955</v>
      </c>
      <c r="H1513" t="s">
        <v>10452</v>
      </c>
      <c r="I1513" t="s">
        <v>6259</v>
      </c>
      <c r="J1513" t="s">
        <v>10337</v>
      </c>
      <c r="K1513" t="s">
        <v>10338</v>
      </c>
      <c r="L1513" t="s">
        <v>7342</v>
      </c>
    </row>
    <row r="1514" spans="1:12" x14ac:dyDescent="0.25">
      <c r="A1514" t="s">
        <v>5766</v>
      </c>
      <c r="B1514" t="s">
        <v>4416</v>
      </c>
      <c r="C1514" s="1" t="s">
        <v>4513</v>
      </c>
      <c r="D1514" s="1" t="s">
        <v>10453</v>
      </c>
      <c r="E1514" t="s">
        <v>4514</v>
      </c>
      <c r="F1514" t="s">
        <v>10454</v>
      </c>
      <c r="G1514" t="s">
        <v>10455</v>
      </c>
      <c r="H1514" t="s">
        <v>10456</v>
      </c>
      <c r="I1514" t="s">
        <v>6165</v>
      </c>
      <c r="J1514" t="s">
        <v>10337</v>
      </c>
      <c r="K1514" t="s">
        <v>10338</v>
      </c>
      <c r="L1514" t="s">
        <v>7342</v>
      </c>
    </row>
    <row r="1515" spans="1:12" x14ac:dyDescent="0.25">
      <c r="A1515" t="s">
        <v>5766</v>
      </c>
      <c r="B1515" t="s">
        <v>4416</v>
      </c>
      <c r="C1515" s="1" t="s">
        <v>4516</v>
      </c>
      <c r="D1515" s="1" t="s">
        <v>10457</v>
      </c>
      <c r="E1515" t="s">
        <v>4517</v>
      </c>
      <c r="F1515" t="s">
        <v>10373</v>
      </c>
      <c r="G1515" t="s">
        <v>10458</v>
      </c>
      <c r="H1515" t="s">
        <v>10459</v>
      </c>
      <c r="I1515" t="s">
        <v>6018</v>
      </c>
      <c r="J1515" t="s">
        <v>10337</v>
      </c>
      <c r="K1515" t="s">
        <v>10338</v>
      </c>
      <c r="L1515" t="s">
        <v>7342</v>
      </c>
    </row>
    <row r="1516" spans="1:12" x14ac:dyDescent="0.25">
      <c r="A1516" t="s">
        <v>5766</v>
      </c>
      <c r="B1516" t="s">
        <v>4416</v>
      </c>
      <c r="C1516" s="1" t="s">
        <v>4519</v>
      </c>
      <c r="D1516" s="1" t="s">
        <v>10460</v>
      </c>
      <c r="E1516" t="s">
        <v>4520</v>
      </c>
      <c r="F1516" t="s">
        <v>10461</v>
      </c>
      <c r="G1516" t="s">
        <v>10462</v>
      </c>
      <c r="H1516" t="s">
        <v>10463</v>
      </c>
      <c r="I1516" t="s">
        <v>6106</v>
      </c>
      <c r="J1516" t="s">
        <v>10337</v>
      </c>
      <c r="K1516" t="s">
        <v>10338</v>
      </c>
      <c r="L1516" t="s">
        <v>7342</v>
      </c>
    </row>
    <row r="1517" spans="1:12" x14ac:dyDescent="0.25">
      <c r="A1517" t="s">
        <v>5766</v>
      </c>
      <c r="B1517" t="s">
        <v>4416</v>
      </c>
      <c r="C1517" s="1" t="s">
        <v>4522</v>
      </c>
      <c r="D1517" s="1" t="s">
        <v>10464</v>
      </c>
      <c r="E1517" t="s">
        <v>4523</v>
      </c>
      <c r="F1517" t="s">
        <v>9773</v>
      </c>
      <c r="G1517" t="s">
        <v>10465</v>
      </c>
      <c r="H1517" t="s">
        <v>10466</v>
      </c>
      <c r="I1517" t="s">
        <v>5910</v>
      </c>
      <c r="J1517" t="s">
        <v>10337</v>
      </c>
      <c r="K1517" t="s">
        <v>10338</v>
      </c>
      <c r="L1517" t="s">
        <v>7342</v>
      </c>
    </row>
    <row r="1518" spans="1:12" x14ac:dyDescent="0.25">
      <c r="A1518" t="s">
        <v>5766</v>
      </c>
      <c r="B1518" t="s">
        <v>4416</v>
      </c>
      <c r="C1518" s="1" t="s">
        <v>4525</v>
      </c>
      <c r="D1518" s="1" t="s">
        <v>10467</v>
      </c>
      <c r="E1518" t="s">
        <v>4526</v>
      </c>
      <c r="F1518" t="s">
        <v>10468</v>
      </c>
      <c r="G1518" t="s">
        <v>10469</v>
      </c>
      <c r="H1518" t="s">
        <v>10470</v>
      </c>
      <c r="I1518" t="s">
        <v>7003</v>
      </c>
      <c r="J1518" t="s">
        <v>10337</v>
      </c>
      <c r="K1518" t="s">
        <v>10338</v>
      </c>
      <c r="L1518" t="s">
        <v>7342</v>
      </c>
    </row>
    <row r="1519" spans="1:12" x14ac:dyDescent="0.25">
      <c r="A1519" t="s">
        <v>5766</v>
      </c>
      <c r="B1519" t="s">
        <v>4416</v>
      </c>
      <c r="C1519" s="1" t="s">
        <v>4528</v>
      </c>
      <c r="D1519" s="1" t="s">
        <v>10471</v>
      </c>
      <c r="E1519" t="s">
        <v>4529</v>
      </c>
      <c r="F1519" t="s">
        <v>10472</v>
      </c>
      <c r="G1519" t="s">
        <v>10473</v>
      </c>
      <c r="H1519" t="s">
        <v>10474</v>
      </c>
      <c r="I1519" t="s">
        <v>6785</v>
      </c>
      <c r="J1519" t="s">
        <v>10337</v>
      </c>
      <c r="K1519" t="s">
        <v>10338</v>
      </c>
      <c r="L1519" t="s">
        <v>7342</v>
      </c>
    </row>
    <row r="1520" spans="1:12" x14ac:dyDescent="0.25">
      <c r="A1520" t="s">
        <v>5766</v>
      </c>
      <c r="B1520" t="s">
        <v>4416</v>
      </c>
      <c r="C1520" s="1" t="s">
        <v>4531</v>
      </c>
      <c r="D1520" s="1" t="s">
        <v>10475</v>
      </c>
      <c r="E1520" t="s">
        <v>4532</v>
      </c>
      <c r="F1520" t="s">
        <v>10393</v>
      </c>
      <c r="G1520" t="s">
        <v>10476</v>
      </c>
      <c r="H1520" t="s">
        <v>10477</v>
      </c>
      <c r="I1520" t="s">
        <v>7641</v>
      </c>
      <c r="J1520" t="s">
        <v>10337</v>
      </c>
      <c r="K1520" t="s">
        <v>10338</v>
      </c>
      <c r="L1520" t="s">
        <v>7342</v>
      </c>
    </row>
    <row r="1521" spans="1:13" x14ac:dyDescent="0.25">
      <c r="A1521" t="s">
        <v>5766</v>
      </c>
      <c r="B1521" t="s">
        <v>4416</v>
      </c>
      <c r="C1521" s="1" t="s">
        <v>4534</v>
      </c>
      <c r="D1521" s="1" t="s">
        <v>10478</v>
      </c>
      <c r="E1521" t="s">
        <v>4535</v>
      </c>
      <c r="F1521" t="s">
        <v>8574</v>
      </c>
      <c r="G1521" t="s">
        <v>10479</v>
      </c>
      <c r="H1521" t="s">
        <v>10480</v>
      </c>
      <c r="I1521" t="s">
        <v>6053</v>
      </c>
      <c r="J1521" t="s">
        <v>10337</v>
      </c>
      <c r="K1521" t="s">
        <v>10338</v>
      </c>
      <c r="L1521" t="s">
        <v>7342</v>
      </c>
    </row>
    <row r="1522" spans="1:13" x14ac:dyDescent="0.25">
      <c r="A1522" t="s">
        <v>5766</v>
      </c>
      <c r="B1522" t="s">
        <v>4416</v>
      </c>
      <c r="C1522" s="1" t="s">
        <v>4537</v>
      </c>
      <c r="D1522" s="1" t="s">
        <v>10481</v>
      </c>
      <c r="E1522" t="s">
        <v>4538</v>
      </c>
      <c r="F1522" t="s">
        <v>10482</v>
      </c>
      <c r="G1522" t="s">
        <v>10483</v>
      </c>
      <c r="H1522" t="s">
        <v>10484</v>
      </c>
      <c r="I1522" t="s">
        <v>6934</v>
      </c>
      <c r="J1522" t="s">
        <v>10337</v>
      </c>
      <c r="K1522" t="s">
        <v>10338</v>
      </c>
      <c r="L1522" t="s">
        <v>7342</v>
      </c>
    </row>
    <row r="1523" spans="1:13" x14ac:dyDescent="0.25">
      <c r="A1523" t="s">
        <v>5766</v>
      </c>
      <c r="B1523" t="s">
        <v>4416</v>
      </c>
      <c r="C1523" s="1" t="s">
        <v>4540</v>
      </c>
      <c r="D1523" s="1" t="s">
        <v>10485</v>
      </c>
      <c r="E1523" t="s">
        <v>4541</v>
      </c>
      <c r="F1523" t="s">
        <v>10393</v>
      </c>
      <c r="G1523" t="s">
        <v>10486</v>
      </c>
      <c r="H1523" t="s">
        <v>10487</v>
      </c>
      <c r="I1523" t="s">
        <v>8955</v>
      </c>
      <c r="J1523" t="s">
        <v>10337</v>
      </c>
      <c r="K1523" t="s">
        <v>10338</v>
      </c>
      <c r="L1523" t="s">
        <v>7342</v>
      </c>
    </row>
    <row r="1524" spans="1:13" x14ac:dyDescent="0.25">
      <c r="A1524" t="s">
        <v>5766</v>
      </c>
      <c r="B1524" t="s">
        <v>4416</v>
      </c>
      <c r="C1524" s="1" t="s">
        <v>4543</v>
      </c>
      <c r="D1524" s="1" t="s">
        <v>10488</v>
      </c>
      <c r="E1524" t="s">
        <v>4544</v>
      </c>
      <c r="F1524" t="s">
        <v>10403</v>
      </c>
      <c r="G1524" t="s">
        <v>10489</v>
      </c>
      <c r="H1524" t="s">
        <v>10490</v>
      </c>
      <c r="I1524" t="s">
        <v>6903</v>
      </c>
      <c r="J1524" t="s">
        <v>10337</v>
      </c>
      <c r="K1524" t="s">
        <v>10338</v>
      </c>
      <c r="L1524" t="s">
        <v>7342</v>
      </c>
    </row>
    <row r="1525" spans="1:13" x14ac:dyDescent="0.25">
      <c r="A1525" t="s">
        <v>5766</v>
      </c>
      <c r="B1525" t="s">
        <v>4416</v>
      </c>
      <c r="C1525" s="1" t="s">
        <v>4546</v>
      </c>
      <c r="D1525" s="1" t="s">
        <v>10491</v>
      </c>
      <c r="E1525" t="s">
        <v>4547</v>
      </c>
      <c r="F1525" t="s">
        <v>10389</v>
      </c>
      <c r="G1525" t="s">
        <v>10492</v>
      </c>
      <c r="H1525" t="s">
        <v>10493</v>
      </c>
      <c r="I1525" t="s">
        <v>8597</v>
      </c>
      <c r="J1525" t="s">
        <v>10337</v>
      </c>
      <c r="K1525" t="s">
        <v>10338</v>
      </c>
      <c r="L1525" t="s">
        <v>7342</v>
      </c>
    </row>
    <row r="1526" spans="1:13" x14ac:dyDescent="0.25">
      <c r="A1526" t="s">
        <v>5766</v>
      </c>
      <c r="B1526" t="s">
        <v>4416</v>
      </c>
      <c r="C1526" s="1" t="s">
        <v>4549</v>
      </c>
      <c r="D1526" s="1" t="s">
        <v>10494</v>
      </c>
      <c r="E1526" t="s">
        <v>4550</v>
      </c>
      <c r="F1526" t="s">
        <v>8558</v>
      </c>
      <c r="G1526" t="s">
        <v>10495</v>
      </c>
      <c r="H1526" t="s">
        <v>10496</v>
      </c>
      <c r="I1526" t="s">
        <v>5947</v>
      </c>
      <c r="J1526" t="s">
        <v>10337</v>
      </c>
      <c r="K1526" t="s">
        <v>10338</v>
      </c>
      <c r="L1526" t="s">
        <v>7342</v>
      </c>
    </row>
    <row r="1527" spans="1:13" x14ac:dyDescent="0.25">
      <c r="A1527" t="s">
        <v>5766</v>
      </c>
      <c r="B1527" t="s">
        <v>4416</v>
      </c>
      <c r="C1527" s="1" t="s">
        <v>4552</v>
      </c>
      <c r="D1527" s="1" t="s">
        <v>10497</v>
      </c>
      <c r="E1527" t="s">
        <v>4553</v>
      </c>
      <c r="F1527" t="s">
        <v>10389</v>
      </c>
      <c r="G1527" t="s">
        <v>10498</v>
      </c>
      <c r="H1527" t="s">
        <v>10499</v>
      </c>
      <c r="I1527" t="s">
        <v>10500</v>
      </c>
      <c r="J1527" t="s">
        <v>10337</v>
      </c>
      <c r="K1527" t="s">
        <v>10338</v>
      </c>
      <c r="L1527" t="s">
        <v>7342</v>
      </c>
    </row>
    <row r="1528" spans="1:13" x14ac:dyDescent="0.25">
      <c r="A1528" t="s">
        <v>5766</v>
      </c>
      <c r="B1528" t="s">
        <v>4416</v>
      </c>
      <c r="C1528" s="1" t="s">
        <v>4555</v>
      </c>
      <c r="D1528" s="1" t="s">
        <v>10501</v>
      </c>
      <c r="E1528" t="s">
        <v>4556</v>
      </c>
      <c r="F1528" t="s">
        <v>10502</v>
      </c>
      <c r="G1528" t="s">
        <v>10503</v>
      </c>
      <c r="H1528" t="s">
        <v>10504</v>
      </c>
      <c r="I1528" t="s">
        <v>7848</v>
      </c>
      <c r="J1528" t="s">
        <v>10337</v>
      </c>
      <c r="K1528" t="s">
        <v>10338</v>
      </c>
      <c r="L1528" t="s">
        <v>7342</v>
      </c>
    </row>
    <row r="1529" spans="1:13" x14ac:dyDescent="0.25">
      <c r="A1529" t="s">
        <v>5766</v>
      </c>
      <c r="B1529" t="s">
        <v>4416</v>
      </c>
      <c r="C1529" s="1" t="s">
        <v>4558</v>
      </c>
      <c r="D1529" s="1" t="s">
        <v>10505</v>
      </c>
      <c r="E1529" t="s">
        <v>4559</v>
      </c>
      <c r="F1529" t="s">
        <v>10506</v>
      </c>
      <c r="G1529" t="s">
        <v>10507</v>
      </c>
      <c r="H1529" t="s">
        <v>10508</v>
      </c>
      <c r="I1529" t="s">
        <v>5831</v>
      </c>
      <c r="J1529" t="s">
        <v>10337</v>
      </c>
      <c r="K1529" t="s">
        <v>10338</v>
      </c>
      <c r="L1529" t="s">
        <v>7342</v>
      </c>
    </row>
    <row r="1530" spans="1:13" x14ac:dyDescent="0.25">
      <c r="A1530" t="s">
        <v>5766</v>
      </c>
      <c r="B1530" t="s">
        <v>4416</v>
      </c>
      <c r="C1530" s="1" t="s">
        <v>4561</v>
      </c>
      <c r="D1530" s="1" t="s">
        <v>10509</v>
      </c>
      <c r="E1530" t="s">
        <v>4562</v>
      </c>
      <c r="F1530" t="s">
        <v>10510</v>
      </c>
      <c r="G1530" t="s">
        <v>10511</v>
      </c>
      <c r="H1530" t="s">
        <v>10512</v>
      </c>
      <c r="I1530" t="s">
        <v>6116</v>
      </c>
      <c r="J1530" t="s">
        <v>10337</v>
      </c>
      <c r="K1530" t="s">
        <v>10338</v>
      </c>
      <c r="L1530" t="s">
        <v>7342</v>
      </c>
    </row>
    <row r="1531" spans="1:13" x14ac:dyDescent="0.25">
      <c r="A1531" t="s">
        <v>5766</v>
      </c>
      <c r="B1531" t="s">
        <v>4416</v>
      </c>
      <c r="C1531" s="1" t="s">
        <v>4564</v>
      </c>
      <c r="D1531" s="1" t="s">
        <v>10513</v>
      </c>
      <c r="E1531" t="s">
        <v>4565</v>
      </c>
      <c r="F1531" t="s">
        <v>10514</v>
      </c>
      <c r="G1531" t="s">
        <v>10515</v>
      </c>
      <c r="H1531" t="s">
        <v>10516</v>
      </c>
      <c r="I1531" t="s">
        <v>9566</v>
      </c>
      <c r="J1531" t="s">
        <v>10337</v>
      </c>
      <c r="K1531" t="s">
        <v>10338</v>
      </c>
      <c r="L1531" t="s">
        <v>7342</v>
      </c>
    </row>
    <row r="1532" spans="1:13" x14ac:dyDescent="0.25">
      <c r="A1532" t="s">
        <v>5766</v>
      </c>
      <c r="B1532" t="s">
        <v>4416</v>
      </c>
      <c r="C1532" s="1" t="s">
        <v>4567</v>
      </c>
      <c r="D1532" s="1" t="s">
        <v>10517</v>
      </c>
      <c r="E1532" t="s">
        <v>4568</v>
      </c>
      <c r="F1532" t="s">
        <v>10518</v>
      </c>
      <c r="G1532" t="s">
        <v>10519</v>
      </c>
      <c r="H1532" t="s">
        <v>10520</v>
      </c>
      <c r="I1532" t="s">
        <v>10077</v>
      </c>
      <c r="J1532" t="s">
        <v>10337</v>
      </c>
      <c r="K1532" t="s">
        <v>10338</v>
      </c>
      <c r="L1532" t="s">
        <v>7342</v>
      </c>
    </row>
    <row r="1533" spans="1:13" x14ac:dyDescent="0.25">
      <c r="A1533" t="s">
        <v>5766</v>
      </c>
      <c r="B1533" t="s">
        <v>4416</v>
      </c>
      <c r="C1533" s="1" t="s">
        <v>4570</v>
      </c>
      <c r="D1533" s="1" t="s">
        <v>10521</v>
      </c>
      <c r="E1533" t="s">
        <v>4571</v>
      </c>
      <c r="F1533" t="s">
        <v>10378</v>
      </c>
      <c r="G1533" t="s">
        <v>10522</v>
      </c>
      <c r="H1533" t="s">
        <v>10523</v>
      </c>
      <c r="I1533" t="s">
        <v>7485</v>
      </c>
      <c r="J1533" t="s">
        <v>10337</v>
      </c>
      <c r="K1533" t="s">
        <v>10338</v>
      </c>
      <c r="L1533" t="s">
        <v>7342</v>
      </c>
    </row>
    <row r="1534" spans="1:13" x14ac:dyDescent="0.25">
      <c r="A1534" t="s">
        <v>5766</v>
      </c>
      <c r="B1534" t="s">
        <v>4416</v>
      </c>
      <c r="C1534" s="1" t="s">
        <v>52</v>
      </c>
      <c r="D1534" s="1" t="s">
        <v>52</v>
      </c>
      <c r="E1534" t="s">
        <v>5767</v>
      </c>
      <c r="F1534" t="s">
        <v>10524</v>
      </c>
      <c r="G1534" t="s">
        <v>5769</v>
      </c>
      <c r="H1534" t="s">
        <v>10525</v>
      </c>
      <c r="I1534" t="s">
        <v>10526</v>
      </c>
      <c r="J1534" t="s">
        <v>10337</v>
      </c>
      <c r="K1534" t="s">
        <v>10338</v>
      </c>
      <c r="L1534" t="s">
        <v>7342</v>
      </c>
      <c r="M1534" t="s">
        <v>65</v>
      </c>
    </row>
    <row r="1535" spans="1:13" x14ac:dyDescent="0.25">
      <c r="A1535" t="s">
        <v>5766</v>
      </c>
      <c r="B1535" t="s">
        <v>4572</v>
      </c>
      <c r="C1535" s="1" t="s">
        <v>4574</v>
      </c>
      <c r="D1535" s="1" t="s">
        <v>10527</v>
      </c>
      <c r="E1535" t="s">
        <v>4575</v>
      </c>
      <c r="F1535" t="s">
        <v>10528</v>
      </c>
      <c r="G1535" t="s">
        <v>10529</v>
      </c>
      <c r="H1535" t="s">
        <v>10530</v>
      </c>
      <c r="I1535" t="s">
        <v>9552</v>
      </c>
      <c r="J1535" t="s">
        <v>10531</v>
      </c>
      <c r="K1535" t="s">
        <v>10338</v>
      </c>
      <c r="L1535" t="s">
        <v>7342</v>
      </c>
    </row>
    <row r="1536" spans="1:13" x14ac:dyDescent="0.25">
      <c r="A1536" t="s">
        <v>5766</v>
      </c>
      <c r="B1536" t="s">
        <v>4572</v>
      </c>
      <c r="C1536" s="1" t="s">
        <v>4577</v>
      </c>
      <c r="D1536" s="1" t="s">
        <v>10532</v>
      </c>
      <c r="E1536" t="s">
        <v>4578</v>
      </c>
      <c r="F1536" t="s">
        <v>10533</v>
      </c>
      <c r="G1536" t="s">
        <v>10534</v>
      </c>
      <c r="H1536" t="s">
        <v>10535</v>
      </c>
      <c r="I1536" t="s">
        <v>6342</v>
      </c>
      <c r="J1536" t="s">
        <v>10531</v>
      </c>
      <c r="K1536" t="s">
        <v>10338</v>
      </c>
      <c r="L1536" t="s">
        <v>7342</v>
      </c>
    </row>
    <row r="1537" spans="1:13" x14ac:dyDescent="0.25">
      <c r="A1537" t="s">
        <v>5766</v>
      </c>
      <c r="B1537" t="s">
        <v>4572</v>
      </c>
      <c r="C1537" s="1" t="s">
        <v>4580</v>
      </c>
      <c r="D1537" s="1" t="s">
        <v>10536</v>
      </c>
      <c r="E1537" t="s">
        <v>4581</v>
      </c>
      <c r="F1537" t="s">
        <v>10537</v>
      </c>
      <c r="G1537" t="s">
        <v>10185</v>
      </c>
      <c r="H1537" t="s">
        <v>10538</v>
      </c>
      <c r="I1537" t="s">
        <v>8597</v>
      </c>
      <c r="J1537" t="s">
        <v>10531</v>
      </c>
      <c r="K1537" t="s">
        <v>10338</v>
      </c>
      <c r="L1537" t="s">
        <v>7342</v>
      </c>
    </row>
    <row r="1538" spans="1:13" x14ac:dyDescent="0.25">
      <c r="A1538" t="s">
        <v>5766</v>
      </c>
      <c r="B1538" t="s">
        <v>4572</v>
      </c>
      <c r="C1538" s="1" t="s">
        <v>4583</v>
      </c>
      <c r="D1538" s="1" t="s">
        <v>10539</v>
      </c>
      <c r="E1538" t="s">
        <v>4584</v>
      </c>
      <c r="F1538" t="s">
        <v>10540</v>
      </c>
      <c r="G1538" t="s">
        <v>10541</v>
      </c>
      <c r="H1538" t="s">
        <v>10542</v>
      </c>
      <c r="I1538" t="s">
        <v>6811</v>
      </c>
      <c r="J1538" t="s">
        <v>10531</v>
      </c>
      <c r="K1538" t="s">
        <v>10338</v>
      </c>
      <c r="L1538" t="s">
        <v>7342</v>
      </c>
    </row>
    <row r="1539" spans="1:13" x14ac:dyDescent="0.25">
      <c r="A1539" t="s">
        <v>5766</v>
      </c>
      <c r="B1539" t="s">
        <v>4572</v>
      </c>
      <c r="C1539" s="1" t="s">
        <v>4586</v>
      </c>
      <c r="D1539" s="1" t="s">
        <v>10543</v>
      </c>
      <c r="E1539" t="s">
        <v>4587</v>
      </c>
      <c r="F1539" t="s">
        <v>10544</v>
      </c>
      <c r="G1539" t="s">
        <v>10545</v>
      </c>
      <c r="H1539" t="s">
        <v>10546</v>
      </c>
      <c r="I1539" t="s">
        <v>8685</v>
      </c>
      <c r="J1539" t="s">
        <v>10531</v>
      </c>
      <c r="K1539" t="s">
        <v>10338</v>
      </c>
      <c r="L1539" t="s">
        <v>7342</v>
      </c>
    </row>
    <row r="1540" spans="1:13" x14ac:dyDescent="0.25">
      <c r="A1540" t="s">
        <v>5766</v>
      </c>
      <c r="B1540" t="s">
        <v>4572</v>
      </c>
      <c r="C1540" s="1" t="s">
        <v>4589</v>
      </c>
      <c r="D1540" s="1" t="s">
        <v>10547</v>
      </c>
      <c r="E1540" t="s">
        <v>4590</v>
      </c>
      <c r="F1540" t="s">
        <v>10506</v>
      </c>
      <c r="G1540" t="s">
        <v>10548</v>
      </c>
      <c r="H1540" t="s">
        <v>10549</v>
      </c>
      <c r="I1540" t="s">
        <v>6300</v>
      </c>
      <c r="J1540" t="s">
        <v>10531</v>
      </c>
      <c r="K1540" t="s">
        <v>10338</v>
      </c>
      <c r="L1540" t="s">
        <v>7342</v>
      </c>
    </row>
    <row r="1541" spans="1:13" x14ac:dyDescent="0.25">
      <c r="A1541" t="s">
        <v>5766</v>
      </c>
      <c r="B1541" t="s">
        <v>4572</v>
      </c>
      <c r="C1541" s="1" t="s">
        <v>4592</v>
      </c>
      <c r="D1541" s="1" t="s">
        <v>10550</v>
      </c>
      <c r="E1541" t="s">
        <v>4593</v>
      </c>
      <c r="F1541" t="s">
        <v>10551</v>
      </c>
      <c r="G1541" t="s">
        <v>10552</v>
      </c>
      <c r="H1541" t="s">
        <v>10553</v>
      </c>
      <c r="I1541" t="s">
        <v>10554</v>
      </c>
      <c r="J1541" t="s">
        <v>10531</v>
      </c>
      <c r="K1541" t="s">
        <v>10338</v>
      </c>
      <c r="L1541" t="s">
        <v>7342</v>
      </c>
    </row>
    <row r="1542" spans="1:13" x14ac:dyDescent="0.25">
      <c r="A1542" t="s">
        <v>5766</v>
      </c>
      <c r="B1542" t="s">
        <v>4572</v>
      </c>
      <c r="C1542" s="1" t="s">
        <v>4595</v>
      </c>
      <c r="D1542" s="1" t="s">
        <v>10555</v>
      </c>
      <c r="E1542" t="s">
        <v>4596</v>
      </c>
      <c r="F1542" t="s">
        <v>10556</v>
      </c>
      <c r="G1542" t="s">
        <v>10557</v>
      </c>
      <c r="H1542" t="s">
        <v>10558</v>
      </c>
      <c r="I1542" t="s">
        <v>9382</v>
      </c>
      <c r="J1542" t="s">
        <v>10531</v>
      </c>
      <c r="K1542" t="s">
        <v>10338</v>
      </c>
      <c r="L1542" t="s">
        <v>7342</v>
      </c>
    </row>
    <row r="1543" spans="1:13" x14ac:dyDescent="0.25">
      <c r="A1543" t="s">
        <v>5766</v>
      </c>
      <c r="B1543" t="s">
        <v>4572</v>
      </c>
      <c r="C1543" s="1" t="s">
        <v>78</v>
      </c>
      <c r="D1543" s="1" t="s">
        <v>5780</v>
      </c>
      <c r="E1543" t="s">
        <v>5781</v>
      </c>
      <c r="F1543" t="s">
        <v>10559</v>
      </c>
      <c r="G1543" t="s">
        <v>5783</v>
      </c>
      <c r="H1543" t="s">
        <v>10560</v>
      </c>
      <c r="I1543" t="s">
        <v>10561</v>
      </c>
      <c r="J1543" t="s">
        <v>10531</v>
      </c>
      <c r="K1543" t="s">
        <v>10338</v>
      </c>
      <c r="L1543" t="s">
        <v>7342</v>
      </c>
      <c r="M1543" t="s">
        <v>65</v>
      </c>
    </row>
    <row r="1544" spans="1:13" x14ac:dyDescent="0.25">
      <c r="A1544" t="s">
        <v>5766</v>
      </c>
      <c r="B1544" t="s">
        <v>4572</v>
      </c>
      <c r="C1544" s="1" t="s">
        <v>4598</v>
      </c>
      <c r="D1544" s="1" t="s">
        <v>10562</v>
      </c>
      <c r="E1544" t="s">
        <v>4599</v>
      </c>
      <c r="F1544" t="s">
        <v>10563</v>
      </c>
      <c r="G1544" t="s">
        <v>10564</v>
      </c>
      <c r="H1544" t="s">
        <v>10565</v>
      </c>
      <c r="I1544" t="s">
        <v>9436</v>
      </c>
      <c r="J1544" t="s">
        <v>10531</v>
      </c>
      <c r="K1544" t="s">
        <v>10338</v>
      </c>
      <c r="L1544" t="s">
        <v>7342</v>
      </c>
    </row>
    <row r="1545" spans="1:13" x14ac:dyDescent="0.25">
      <c r="A1545" t="s">
        <v>5766</v>
      </c>
      <c r="B1545" t="s">
        <v>4572</v>
      </c>
      <c r="C1545" s="1" t="s">
        <v>4601</v>
      </c>
      <c r="D1545" s="1" t="s">
        <v>10566</v>
      </c>
      <c r="E1545" t="s">
        <v>4602</v>
      </c>
      <c r="F1545" t="s">
        <v>10567</v>
      </c>
      <c r="G1545" t="s">
        <v>10568</v>
      </c>
      <c r="H1545" t="s">
        <v>10569</v>
      </c>
      <c r="I1545" t="s">
        <v>10570</v>
      </c>
      <c r="J1545" t="s">
        <v>10531</v>
      </c>
      <c r="K1545" t="s">
        <v>10338</v>
      </c>
      <c r="L1545" t="s">
        <v>7342</v>
      </c>
    </row>
    <row r="1546" spans="1:13" x14ac:dyDescent="0.25">
      <c r="A1546" t="s">
        <v>5766</v>
      </c>
      <c r="B1546" t="s">
        <v>4572</v>
      </c>
      <c r="C1546" s="1" t="s">
        <v>4604</v>
      </c>
      <c r="D1546" s="1" t="s">
        <v>10571</v>
      </c>
      <c r="E1546" t="s">
        <v>4605</v>
      </c>
      <c r="F1546" t="s">
        <v>10572</v>
      </c>
      <c r="G1546" t="s">
        <v>10573</v>
      </c>
      <c r="H1546" t="s">
        <v>10574</v>
      </c>
      <c r="I1546" t="s">
        <v>6106</v>
      </c>
      <c r="J1546" t="s">
        <v>10531</v>
      </c>
      <c r="K1546" t="s">
        <v>10338</v>
      </c>
      <c r="L1546" t="s">
        <v>7342</v>
      </c>
    </row>
    <row r="1547" spans="1:13" x14ac:dyDescent="0.25">
      <c r="A1547" t="s">
        <v>5766</v>
      </c>
      <c r="B1547" t="s">
        <v>4572</v>
      </c>
      <c r="C1547" s="1" t="s">
        <v>4607</v>
      </c>
      <c r="D1547" s="1" t="s">
        <v>10575</v>
      </c>
      <c r="E1547" t="s">
        <v>4608</v>
      </c>
      <c r="F1547" t="s">
        <v>10576</v>
      </c>
      <c r="G1547" t="s">
        <v>10143</v>
      </c>
      <c r="H1547" t="s">
        <v>10577</v>
      </c>
      <c r="I1547" t="s">
        <v>5984</v>
      </c>
      <c r="J1547" t="s">
        <v>10531</v>
      </c>
      <c r="K1547" t="s">
        <v>10338</v>
      </c>
      <c r="L1547" t="s">
        <v>7342</v>
      </c>
    </row>
    <row r="1548" spans="1:13" x14ac:dyDescent="0.25">
      <c r="A1548" t="s">
        <v>5766</v>
      </c>
      <c r="B1548" t="s">
        <v>4572</v>
      </c>
      <c r="C1548" s="1" t="s">
        <v>4610</v>
      </c>
      <c r="D1548" s="1" t="s">
        <v>10578</v>
      </c>
      <c r="E1548" t="s">
        <v>4611</v>
      </c>
      <c r="F1548" t="s">
        <v>10579</v>
      </c>
      <c r="G1548" t="s">
        <v>10580</v>
      </c>
      <c r="H1548" t="s">
        <v>10581</v>
      </c>
      <c r="I1548" t="s">
        <v>8920</v>
      </c>
      <c r="J1548" t="s">
        <v>10531</v>
      </c>
      <c r="K1548" t="s">
        <v>10338</v>
      </c>
      <c r="L1548" t="s">
        <v>7342</v>
      </c>
    </row>
    <row r="1549" spans="1:13" x14ac:dyDescent="0.25">
      <c r="A1549" t="s">
        <v>5766</v>
      </c>
      <c r="B1549" t="s">
        <v>4572</v>
      </c>
      <c r="C1549" s="1" t="s">
        <v>4613</v>
      </c>
      <c r="D1549" s="1" t="s">
        <v>10582</v>
      </c>
      <c r="E1549" t="s">
        <v>4614</v>
      </c>
      <c r="F1549" t="s">
        <v>10583</v>
      </c>
      <c r="G1549" t="s">
        <v>10584</v>
      </c>
      <c r="H1549" t="s">
        <v>10585</v>
      </c>
      <c r="I1549" t="s">
        <v>10586</v>
      </c>
      <c r="J1549" t="s">
        <v>10531</v>
      </c>
      <c r="K1549" t="s">
        <v>10338</v>
      </c>
      <c r="L1549" t="s">
        <v>7342</v>
      </c>
    </row>
    <row r="1550" spans="1:13" x14ac:dyDescent="0.25">
      <c r="A1550" t="s">
        <v>5766</v>
      </c>
      <c r="B1550" t="s">
        <v>4572</v>
      </c>
      <c r="C1550" s="1" t="s">
        <v>4616</v>
      </c>
      <c r="D1550" s="1" t="s">
        <v>10587</v>
      </c>
      <c r="E1550" t="s">
        <v>4617</v>
      </c>
      <c r="F1550" t="s">
        <v>10588</v>
      </c>
      <c r="G1550" t="s">
        <v>10589</v>
      </c>
      <c r="H1550" t="s">
        <v>10590</v>
      </c>
      <c r="I1550" t="s">
        <v>8474</v>
      </c>
      <c r="J1550" t="s">
        <v>10531</v>
      </c>
      <c r="K1550" t="s">
        <v>10338</v>
      </c>
      <c r="L1550" t="s">
        <v>7342</v>
      </c>
    </row>
    <row r="1551" spans="1:13" x14ac:dyDescent="0.25">
      <c r="A1551" t="s">
        <v>5766</v>
      </c>
      <c r="B1551" t="s">
        <v>4572</v>
      </c>
      <c r="C1551" s="1" t="s">
        <v>4619</v>
      </c>
      <c r="D1551" s="1" t="s">
        <v>10591</v>
      </c>
      <c r="E1551" t="s">
        <v>4620</v>
      </c>
      <c r="F1551" t="s">
        <v>9915</v>
      </c>
      <c r="G1551" t="s">
        <v>10592</v>
      </c>
      <c r="H1551" t="s">
        <v>10593</v>
      </c>
      <c r="I1551" t="s">
        <v>10594</v>
      </c>
      <c r="J1551" t="s">
        <v>10531</v>
      </c>
      <c r="K1551" t="s">
        <v>10338</v>
      </c>
      <c r="L1551" t="s">
        <v>7342</v>
      </c>
    </row>
    <row r="1552" spans="1:13" x14ac:dyDescent="0.25">
      <c r="A1552" t="s">
        <v>5766</v>
      </c>
      <c r="B1552" t="s">
        <v>4572</v>
      </c>
      <c r="C1552" s="1" t="s">
        <v>4622</v>
      </c>
      <c r="D1552" s="1" t="s">
        <v>10595</v>
      </c>
      <c r="E1552" t="s">
        <v>4624</v>
      </c>
      <c r="F1552" t="s">
        <v>10596</v>
      </c>
      <c r="G1552" t="s">
        <v>10597</v>
      </c>
      <c r="H1552" t="s">
        <v>10598</v>
      </c>
      <c r="I1552" t="s">
        <v>8102</v>
      </c>
      <c r="J1552" t="s">
        <v>10531</v>
      </c>
      <c r="K1552" t="s">
        <v>10338</v>
      </c>
      <c r="L1552" t="s">
        <v>7342</v>
      </c>
    </row>
    <row r="1553" spans="1:13" x14ac:dyDescent="0.25">
      <c r="A1553" t="s">
        <v>5766</v>
      </c>
      <c r="B1553" t="s">
        <v>4572</v>
      </c>
      <c r="C1553" s="1" t="s">
        <v>4626</v>
      </c>
      <c r="D1553" s="1" t="s">
        <v>10599</v>
      </c>
      <c r="E1553" t="s">
        <v>4627</v>
      </c>
      <c r="F1553" t="s">
        <v>10600</v>
      </c>
      <c r="G1553" t="s">
        <v>10601</v>
      </c>
      <c r="H1553" t="s">
        <v>10602</v>
      </c>
      <c r="I1553" t="s">
        <v>10603</v>
      </c>
      <c r="J1553" t="s">
        <v>10531</v>
      </c>
      <c r="K1553" t="s">
        <v>10338</v>
      </c>
      <c r="L1553" t="s">
        <v>7342</v>
      </c>
    </row>
    <row r="1554" spans="1:13" x14ac:dyDescent="0.25">
      <c r="A1554" t="s">
        <v>5766</v>
      </c>
      <c r="B1554" t="s">
        <v>4572</v>
      </c>
      <c r="C1554" s="1" t="s">
        <v>4298</v>
      </c>
      <c r="D1554" s="1" t="s">
        <v>10159</v>
      </c>
      <c r="E1554" t="s">
        <v>4299</v>
      </c>
      <c r="F1554" t="s">
        <v>10604</v>
      </c>
      <c r="G1554" t="s">
        <v>10160</v>
      </c>
      <c r="H1554" t="s">
        <v>10605</v>
      </c>
      <c r="I1554" t="s">
        <v>8863</v>
      </c>
      <c r="J1554" t="s">
        <v>10531</v>
      </c>
      <c r="K1554" t="s">
        <v>10338</v>
      </c>
      <c r="L1554" t="s">
        <v>7342</v>
      </c>
    </row>
    <row r="1555" spans="1:13" x14ac:dyDescent="0.25">
      <c r="A1555" t="s">
        <v>5766</v>
      </c>
      <c r="B1555" t="s">
        <v>4572</v>
      </c>
      <c r="C1555" s="1" t="s">
        <v>4629</v>
      </c>
      <c r="D1555" s="1" t="s">
        <v>10606</v>
      </c>
      <c r="E1555" t="s">
        <v>4630</v>
      </c>
      <c r="F1555" t="s">
        <v>10567</v>
      </c>
      <c r="G1555" t="s">
        <v>10607</v>
      </c>
      <c r="H1555" t="s">
        <v>10608</v>
      </c>
      <c r="I1555" t="s">
        <v>10609</v>
      </c>
      <c r="J1555" t="s">
        <v>10531</v>
      </c>
      <c r="K1555" t="s">
        <v>10338</v>
      </c>
      <c r="L1555" t="s">
        <v>7342</v>
      </c>
    </row>
    <row r="1556" spans="1:13" x14ac:dyDescent="0.25">
      <c r="A1556" t="s">
        <v>5766</v>
      </c>
      <c r="B1556" t="s">
        <v>4572</v>
      </c>
      <c r="C1556" s="1" t="s">
        <v>4632</v>
      </c>
      <c r="D1556" s="1" t="s">
        <v>10610</v>
      </c>
      <c r="E1556" t="s">
        <v>4633</v>
      </c>
      <c r="F1556" t="s">
        <v>10611</v>
      </c>
      <c r="G1556" t="s">
        <v>10612</v>
      </c>
      <c r="H1556" t="s">
        <v>10613</v>
      </c>
      <c r="I1556" t="s">
        <v>10614</v>
      </c>
      <c r="J1556" t="s">
        <v>10531</v>
      </c>
      <c r="K1556" t="s">
        <v>10338</v>
      </c>
      <c r="L1556" t="s">
        <v>7342</v>
      </c>
    </row>
    <row r="1557" spans="1:13" x14ac:dyDescent="0.25">
      <c r="A1557" t="s">
        <v>5766</v>
      </c>
      <c r="B1557" t="s">
        <v>4572</v>
      </c>
      <c r="C1557" s="1" t="s">
        <v>4635</v>
      </c>
      <c r="D1557" s="1" t="s">
        <v>10615</v>
      </c>
      <c r="E1557" t="s">
        <v>4636</v>
      </c>
      <c r="F1557" t="s">
        <v>10616</v>
      </c>
      <c r="G1557" t="s">
        <v>10617</v>
      </c>
      <c r="H1557" t="s">
        <v>10618</v>
      </c>
      <c r="I1557" t="s">
        <v>10123</v>
      </c>
      <c r="J1557" t="s">
        <v>10531</v>
      </c>
      <c r="K1557" t="s">
        <v>10338</v>
      </c>
      <c r="L1557" t="s">
        <v>7342</v>
      </c>
    </row>
    <row r="1558" spans="1:13" x14ac:dyDescent="0.25">
      <c r="A1558" t="s">
        <v>5766</v>
      </c>
      <c r="B1558" t="s">
        <v>4572</v>
      </c>
      <c r="C1558" s="1" t="s">
        <v>4638</v>
      </c>
      <c r="D1558" s="1" t="s">
        <v>10619</v>
      </c>
      <c r="E1558" t="s">
        <v>4639</v>
      </c>
      <c r="F1558" t="s">
        <v>10620</v>
      </c>
      <c r="G1558" t="s">
        <v>10621</v>
      </c>
      <c r="H1558" t="s">
        <v>10622</v>
      </c>
      <c r="I1558" t="s">
        <v>10623</v>
      </c>
      <c r="J1558" t="s">
        <v>10531</v>
      </c>
      <c r="K1558" t="s">
        <v>10338</v>
      </c>
      <c r="L1558" t="s">
        <v>7342</v>
      </c>
    </row>
    <row r="1559" spans="1:13" x14ac:dyDescent="0.25">
      <c r="A1559" t="s">
        <v>5766</v>
      </c>
      <c r="B1559" t="s">
        <v>4572</v>
      </c>
      <c r="C1559" s="1" t="s">
        <v>4641</v>
      </c>
      <c r="D1559" s="1" t="s">
        <v>10624</v>
      </c>
      <c r="E1559" t="s">
        <v>4642</v>
      </c>
      <c r="F1559" t="s">
        <v>10625</v>
      </c>
      <c r="G1559" t="s">
        <v>10626</v>
      </c>
      <c r="H1559" t="s">
        <v>10627</v>
      </c>
      <c r="I1559" t="s">
        <v>10628</v>
      </c>
      <c r="J1559" t="s">
        <v>10531</v>
      </c>
      <c r="K1559" t="s">
        <v>10338</v>
      </c>
      <c r="L1559" t="s">
        <v>7342</v>
      </c>
    </row>
    <row r="1560" spans="1:13" x14ac:dyDescent="0.25">
      <c r="A1560" t="s">
        <v>5766</v>
      </c>
      <c r="B1560" t="s">
        <v>4572</v>
      </c>
      <c r="C1560" s="1" t="s">
        <v>52</v>
      </c>
      <c r="D1560" s="1" t="s">
        <v>52</v>
      </c>
      <c r="E1560" t="s">
        <v>5767</v>
      </c>
      <c r="F1560" t="s">
        <v>10629</v>
      </c>
      <c r="G1560" t="s">
        <v>5769</v>
      </c>
      <c r="H1560" t="s">
        <v>10630</v>
      </c>
      <c r="I1560" t="s">
        <v>5991</v>
      </c>
      <c r="J1560" t="s">
        <v>10531</v>
      </c>
      <c r="K1560" t="s">
        <v>10338</v>
      </c>
      <c r="L1560" t="s">
        <v>7342</v>
      </c>
      <c r="M1560" t="s">
        <v>65</v>
      </c>
    </row>
    <row r="1561" spans="1:13" x14ac:dyDescent="0.25">
      <c r="A1561" t="s">
        <v>5766</v>
      </c>
      <c r="B1561" t="s">
        <v>4643</v>
      </c>
      <c r="C1561" s="1" t="s">
        <v>4645</v>
      </c>
      <c r="D1561" s="1" t="s">
        <v>4645</v>
      </c>
      <c r="E1561" t="s">
        <v>4646</v>
      </c>
      <c r="F1561" t="s">
        <v>10631</v>
      </c>
      <c r="G1561" t="s">
        <v>8891</v>
      </c>
      <c r="H1561" t="s">
        <v>4647</v>
      </c>
      <c r="I1561" t="s">
        <v>10632</v>
      </c>
      <c r="J1561" t="s">
        <v>10633</v>
      </c>
      <c r="K1561" t="s">
        <v>5778</v>
      </c>
      <c r="L1561" t="s">
        <v>5779</v>
      </c>
    </row>
    <row r="1562" spans="1:13" x14ac:dyDescent="0.25">
      <c r="A1562" t="s">
        <v>5766</v>
      </c>
      <c r="B1562" t="s">
        <v>4643</v>
      </c>
      <c r="C1562" s="1" t="s">
        <v>78</v>
      </c>
      <c r="D1562" s="1" t="s">
        <v>5780</v>
      </c>
      <c r="E1562" t="s">
        <v>5781</v>
      </c>
      <c r="F1562" t="s">
        <v>10634</v>
      </c>
      <c r="G1562" t="s">
        <v>5783</v>
      </c>
      <c r="H1562" t="s">
        <v>10635</v>
      </c>
      <c r="I1562" t="s">
        <v>9218</v>
      </c>
      <c r="J1562" t="s">
        <v>10633</v>
      </c>
      <c r="K1562" t="s">
        <v>5778</v>
      </c>
      <c r="L1562" t="s">
        <v>5779</v>
      </c>
      <c r="M1562" t="s">
        <v>65</v>
      </c>
    </row>
    <row r="1563" spans="1:13" x14ac:dyDescent="0.25">
      <c r="A1563" t="s">
        <v>5766</v>
      </c>
      <c r="B1563" t="s">
        <v>4643</v>
      </c>
      <c r="C1563" s="1" t="s">
        <v>52</v>
      </c>
      <c r="D1563" s="1" t="s">
        <v>52</v>
      </c>
      <c r="E1563" t="s">
        <v>5767</v>
      </c>
      <c r="F1563" t="s">
        <v>10636</v>
      </c>
      <c r="G1563" t="s">
        <v>5769</v>
      </c>
      <c r="H1563" t="s">
        <v>10637</v>
      </c>
      <c r="I1563" t="s">
        <v>10638</v>
      </c>
      <c r="J1563" t="s">
        <v>10633</v>
      </c>
      <c r="K1563" t="s">
        <v>5778</v>
      </c>
      <c r="L1563" t="s">
        <v>5779</v>
      </c>
      <c r="M1563" t="s">
        <v>65</v>
      </c>
    </row>
    <row r="1564" spans="1:13" x14ac:dyDescent="0.25">
      <c r="A1564" t="s">
        <v>5766</v>
      </c>
      <c r="B1564" t="s">
        <v>4651</v>
      </c>
      <c r="C1564" s="1" t="s">
        <v>218</v>
      </c>
      <c r="D1564" s="1" t="s">
        <v>2655</v>
      </c>
      <c r="E1564" t="s">
        <v>219</v>
      </c>
      <c r="F1564" t="s">
        <v>10639</v>
      </c>
      <c r="G1564" t="s">
        <v>5993</v>
      </c>
      <c r="H1564" t="s">
        <v>10640</v>
      </c>
      <c r="I1564" t="s">
        <v>6116</v>
      </c>
      <c r="J1564" t="s">
        <v>10641</v>
      </c>
      <c r="K1564" t="s">
        <v>10642</v>
      </c>
      <c r="L1564" t="s">
        <v>5806</v>
      </c>
    </row>
    <row r="1565" spans="1:13" x14ac:dyDescent="0.25">
      <c r="A1565" t="s">
        <v>5766</v>
      </c>
      <c r="B1565" t="s">
        <v>4651</v>
      </c>
      <c r="C1565" s="1" t="s">
        <v>221</v>
      </c>
      <c r="D1565" s="1" t="s">
        <v>5999</v>
      </c>
      <c r="E1565" t="s">
        <v>222</v>
      </c>
      <c r="F1565" t="s">
        <v>10643</v>
      </c>
      <c r="G1565" t="s">
        <v>6001</v>
      </c>
      <c r="H1565" t="s">
        <v>10644</v>
      </c>
      <c r="I1565" t="s">
        <v>7430</v>
      </c>
      <c r="J1565" t="s">
        <v>10641</v>
      </c>
      <c r="K1565" t="s">
        <v>10642</v>
      </c>
      <c r="L1565" t="s">
        <v>5806</v>
      </c>
    </row>
    <row r="1566" spans="1:13" x14ac:dyDescent="0.25">
      <c r="A1566" t="s">
        <v>5766</v>
      </c>
      <c r="B1566" t="s">
        <v>4651</v>
      </c>
      <c r="C1566" s="1" t="s">
        <v>4653</v>
      </c>
      <c r="D1566" s="1" t="s">
        <v>10645</v>
      </c>
      <c r="E1566" t="s">
        <v>4654</v>
      </c>
      <c r="F1566" t="s">
        <v>10646</v>
      </c>
      <c r="G1566" t="s">
        <v>10647</v>
      </c>
      <c r="H1566" t="s">
        <v>10648</v>
      </c>
      <c r="I1566" t="s">
        <v>7609</v>
      </c>
      <c r="J1566" t="s">
        <v>10641</v>
      </c>
      <c r="K1566" t="s">
        <v>10642</v>
      </c>
      <c r="L1566" t="s">
        <v>5806</v>
      </c>
    </row>
    <row r="1567" spans="1:13" x14ac:dyDescent="0.25">
      <c r="A1567" t="s">
        <v>5766</v>
      </c>
      <c r="B1567" t="s">
        <v>4651</v>
      </c>
      <c r="C1567" s="1" t="s">
        <v>236</v>
      </c>
      <c r="D1567" s="1" t="s">
        <v>6024</v>
      </c>
      <c r="E1567" t="s">
        <v>237</v>
      </c>
      <c r="F1567" t="s">
        <v>10649</v>
      </c>
      <c r="G1567" t="s">
        <v>6026</v>
      </c>
      <c r="H1567" t="s">
        <v>10650</v>
      </c>
      <c r="I1567" t="s">
        <v>10651</v>
      </c>
      <c r="J1567" t="s">
        <v>10641</v>
      </c>
      <c r="K1567" t="s">
        <v>10642</v>
      </c>
      <c r="L1567" t="s">
        <v>5806</v>
      </c>
    </row>
    <row r="1568" spans="1:13" x14ac:dyDescent="0.25">
      <c r="A1568" t="s">
        <v>5766</v>
      </c>
      <c r="B1568" t="s">
        <v>4651</v>
      </c>
      <c r="C1568" s="1" t="s">
        <v>239</v>
      </c>
      <c r="D1568" s="1" t="s">
        <v>6029</v>
      </c>
      <c r="E1568" t="s">
        <v>240</v>
      </c>
      <c r="F1568" t="s">
        <v>10652</v>
      </c>
      <c r="G1568" t="s">
        <v>6030</v>
      </c>
      <c r="H1568" t="s">
        <v>10653</v>
      </c>
      <c r="I1568" t="s">
        <v>8244</v>
      </c>
      <c r="J1568" t="s">
        <v>10641</v>
      </c>
      <c r="K1568" t="s">
        <v>10642</v>
      </c>
      <c r="L1568" t="s">
        <v>5806</v>
      </c>
    </row>
    <row r="1569" spans="1:12" x14ac:dyDescent="0.25">
      <c r="A1569" t="s">
        <v>5766</v>
      </c>
      <c r="B1569" t="s">
        <v>4651</v>
      </c>
      <c r="C1569" s="1" t="s">
        <v>707</v>
      </c>
      <c r="D1569" s="1" t="s">
        <v>2648</v>
      </c>
      <c r="E1569" t="s">
        <v>708</v>
      </c>
      <c r="F1569" t="s">
        <v>10654</v>
      </c>
      <c r="G1569" t="s">
        <v>6723</v>
      </c>
      <c r="H1569" t="s">
        <v>10655</v>
      </c>
      <c r="I1569" t="s">
        <v>10656</v>
      </c>
      <c r="J1569" t="s">
        <v>10641</v>
      </c>
      <c r="K1569" t="s">
        <v>10642</v>
      </c>
      <c r="L1569" t="s">
        <v>5806</v>
      </c>
    </row>
    <row r="1570" spans="1:12" x14ac:dyDescent="0.25">
      <c r="A1570" t="s">
        <v>5766</v>
      </c>
      <c r="B1570" t="s">
        <v>4651</v>
      </c>
      <c r="C1570" s="1" t="s">
        <v>3559</v>
      </c>
      <c r="D1570" s="1" t="s">
        <v>9082</v>
      </c>
      <c r="E1570" t="s">
        <v>3560</v>
      </c>
      <c r="F1570" t="s">
        <v>10643</v>
      </c>
      <c r="G1570" t="s">
        <v>9084</v>
      </c>
      <c r="H1570" t="s">
        <v>10657</v>
      </c>
      <c r="I1570" t="s">
        <v>5846</v>
      </c>
      <c r="J1570" t="s">
        <v>10641</v>
      </c>
      <c r="K1570" t="s">
        <v>10642</v>
      </c>
      <c r="L1570" t="s">
        <v>5806</v>
      </c>
    </row>
    <row r="1571" spans="1:12" x14ac:dyDescent="0.25">
      <c r="A1571" t="s">
        <v>5766</v>
      </c>
      <c r="B1571" t="s">
        <v>4651</v>
      </c>
      <c r="C1571" s="1" t="s">
        <v>4656</v>
      </c>
      <c r="D1571" s="1" t="s">
        <v>10658</v>
      </c>
      <c r="E1571" t="s">
        <v>4657</v>
      </c>
      <c r="F1571" t="s">
        <v>10659</v>
      </c>
      <c r="G1571" t="s">
        <v>10660</v>
      </c>
      <c r="H1571" t="s">
        <v>10661</v>
      </c>
      <c r="I1571" t="s">
        <v>7609</v>
      </c>
      <c r="J1571" t="s">
        <v>10641</v>
      </c>
      <c r="K1571" t="s">
        <v>10642</v>
      </c>
      <c r="L1571" t="s">
        <v>5806</v>
      </c>
    </row>
    <row r="1572" spans="1:12" x14ac:dyDescent="0.25">
      <c r="A1572" t="s">
        <v>5766</v>
      </c>
      <c r="B1572" t="s">
        <v>4651</v>
      </c>
      <c r="C1572" s="1" t="s">
        <v>4659</v>
      </c>
      <c r="D1572" s="1" t="s">
        <v>10662</v>
      </c>
      <c r="E1572" t="s">
        <v>4660</v>
      </c>
      <c r="F1572" t="s">
        <v>5898</v>
      </c>
      <c r="G1572" t="s">
        <v>10663</v>
      </c>
      <c r="H1572" t="s">
        <v>10664</v>
      </c>
      <c r="I1572" t="s">
        <v>7093</v>
      </c>
      <c r="J1572" t="s">
        <v>10641</v>
      </c>
      <c r="K1572" t="s">
        <v>10642</v>
      </c>
      <c r="L1572" t="s">
        <v>5806</v>
      </c>
    </row>
    <row r="1573" spans="1:12" x14ac:dyDescent="0.25">
      <c r="A1573" t="s">
        <v>5766</v>
      </c>
      <c r="B1573" t="s">
        <v>4651</v>
      </c>
      <c r="C1573" s="1" t="s">
        <v>3562</v>
      </c>
      <c r="D1573" s="1" t="s">
        <v>9087</v>
      </c>
      <c r="E1573" t="s">
        <v>3563</v>
      </c>
      <c r="F1573" t="s">
        <v>6005</v>
      </c>
      <c r="G1573" t="s">
        <v>9089</v>
      </c>
      <c r="H1573" t="s">
        <v>10665</v>
      </c>
      <c r="I1573" t="s">
        <v>5864</v>
      </c>
      <c r="J1573" t="s">
        <v>10641</v>
      </c>
      <c r="K1573" t="s">
        <v>10642</v>
      </c>
      <c r="L1573" t="s">
        <v>5806</v>
      </c>
    </row>
    <row r="1574" spans="1:12" x14ac:dyDescent="0.25">
      <c r="A1574" t="s">
        <v>5766</v>
      </c>
      <c r="B1574" t="s">
        <v>4651</v>
      </c>
      <c r="C1574" s="1" t="s">
        <v>242</v>
      </c>
      <c r="D1574" s="1" t="s">
        <v>6033</v>
      </c>
      <c r="E1574" t="s">
        <v>243</v>
      </c>
      <c r="F1574" t="s">
        <v>10666</v>
      </c>
      <c r="G1574" t="s">
        <v>6034</v>
      </c>
      <c r="H1574" t="s">
        <v>10667</v>
      </c>
      <c r="I1574" t="s">
        <v>8515</v>
      </c>
      <c r="J1574" t="s">
        <v>10641</v>
      </c>
      <c r="K1574" t="s">
        <v>10642</v>
      </c>
      <c r="L1574" t="s">
        <v>5806</v>
      </c>
    </row>
    <row r="1575" spans="1:12" x14ac:dyDescent="0.25">
      <c r="A1575" t="s">
        <v>5766</v>
      </c>
      <c r="B1575" t="s">
        <v>4651</v>
      </c>
      <c r="C1575" s="1" t="s">
        <v>3565</v>
      </c>
      <c r="D1575" s="1" t="s">
        <v>9093</v>
      </c>
      <c r="E1575" t="s">
        <v>3566</v>
      </c>
      <c r="F1575" t="s">
        <v>10668</v>
      </c>
      <c r="G1575" t="s">
        <v>9095</v>
      </c>
      <c r="H1575" t="s">
        <v>10669</v>
      </c>
      <c r="I1575" t="s">
        <v>7188</v>
      </c>
      <c r="J1575" t="s">
        <v>10641</v>
      </c>
      <c r="K1575" t="s">
        <v>10642</v>
      </c>
      <c r="L1575" t="s">
        <v>5806</v>
      </c>
    </row>
    <row r="1576" spans="1:12" x14ac:dyDescent="0.25">
      <c r="A1576" t="s">
        <v>5766</v>
      </c>
      <c r="B1576" t="s">
        <v>4651</v>
      </c>
      <c r="C1576" s="1" t="s">
        <v>245</v>
      </c>
      <c r="D1576" s="1" t="s">
        <v>6037</v>
      </c>
      <c r="E1576" t="s">
        <v>246</v>
      </c>
      <c r="F1576" t="s">
        <v>10670</v>
      </c>
      <c r="G1576" t="s">
        <v>6039</v>
      </c>
      <c r="H1576" t="s">
        <v>10671</v>
      </c>
      <c r="I1576" t="s">
        <v>6690</v>
      </c>
      <c r="J1576" t="s">
        <v>10641</v>
      </c>
      <c r="K1576" t="s">
        <v>10642</v>
      </c>
      <c r="L1576" t="s">
        <v>5806</v>
      </c>
    </row>
    <row r="1577" spans="1:12" x14ac:dyDescent="0.25">
      <c r="A1577" t="s">
        <v>5766</v>
      </c>
      <c r="B1577" t="s">
        <v>4651</v>
      </c>
      <c r="C1577" s="1" t="s">
        <v>561</v>
      </c>
      <c r="D1577" s="1" t="s">
        <v>6515</v>
      </c>
      <c r="E1577" t="s">
        <v>562</v>
      </c>
      <c r="F1577" t="s">
        <v>10672</v>
      </c>
      <c r="G1577" t="s">
        <v>6516</v>
      </c>
      <c r="H1577" t="s">
        <v>10673</v>
      </c>
      <c r="I1577" t="s">
        <v>7256</v>
      </c>
      <c r="J1577" t="s">
        <v>10641</v>
      </c>
      <c r="K1577" t="s">
        <v>10642</v>
      </c>
      <c r="L1577" t="s">
        <v>5806</v>
      </c>
    </row>
    <row r="1578" spans="1:12" x14ac:dyDescent="0.25">
      <c r="A1578" t="s">
        <v>5766</v>
      </c>
      <c r="B1578" t="s">
        <v>4651</v>
      </c>
      <c r="C1578" s="1" t="s">
        <v>4662</v>
      </c>
      <c r="D1578" s="1" t="s">
        <v>10674</v>
      </c>
      <c r="E1578" t="s">
        <v>4663</v>
      </c>
      <c r="F1578" t="s">
        <v>10675</v>
      </c>
      <c r="G1578" t="s">
        <v>10676</v>
      </c>
      <c r="H1578" t="s">
        <v>10677</v>
      </c>
      <c r="I1578" t="s">
        <v>7256</v>
      </c>
      <c r="J1578" t="s">
        <v>10641</v>
      </c>
      <c r="K1578" t="s">
        <v>10642</v>
      </c>
      <c r="L1578" t="s">
        <v>5806</v>
      </c>
    </row>
    <row r="1579" spans="1:12" x14ac:dyDescent="0.25">
      <c r="A1579" t="s">
        <v>5766</v>
      </c>
      <c r="B1579" t="s">
        <v>4651</v>
      </c>
      <c r="C1579" s="1" t="s">
        <v>4665</v>
      </c>
      <c r="D1579" s="1" t="s">
        <v>10678</v>
      </c>
      <c r="E1579" t="s">
        <v>4666</v>
      </c>
      <c r="F1579" t="s">
        <v>10679</v>
      </c>
      <c r="G1579" t="s">
        <v>10680</v>
      </c>
      <c r="H1579" t="s">
        <v>10681</v>
      </c>
      <c r="I1579" t="s">
        <v>10651</v>
      </c>
      <c r="J1579" t="s">
        <v>10641</v>
      </c>
      <c r="K1579" t="s">
        <v>10642</v>
      </c>
      <c r="L1579" t="s">
        <v>5806</v>
      </c>
    </row>
    <row r="1580" spans="1:12" x14ac:dyDescent="0.25">
      <c r="A1580" t="s">
        <v>5766</v>
      </c>
      <c r="B1580" t="s">
        <v>4651</v>
      </c>
      <c r="C1580" s="1" t="s">
        <v>3568</v>
      </c>
      <c r="D1580" s="1" t="s">
        <v>9103</v>
      </c>
      <c r="E1580" t="s">
        <v>3569</v>
      </c>
      <c r="F1580" t="s">
        <v>10682</v>
      </c>
      <c r="G1580" t="s">
        <v>9104</v>
      </c>
      <c r="H1580" t="s">
        <v>10683</v>
      </c>
      <c r="I1580" t="s">
        <v>5864</v>
      </c>
      <c r="J1580" t="s">
        <v>10641</v>
      </c>
      <c r="K1580" t="s">
        <v>10642</v>
      </c>
      <c r="L1580" t="s">
        <v>5806</v>
      </c>
    </row>
    <row r="1581" spans="1:12" x14ac:dyDescent="0.25">
      <c r="A1581" t="s">
        <v>5766</v>
      </c>
      <c r="B1581" t="s">
        <v>4651</v>
      </c>
      <c r="C1581" s="1" t="s">
        <v>4668</v>
      </c>
      <c r="D1581" s="1" t="s">
        <v>10684</v>
      </c>
      <c r="E1581" t="s">
        <v>4669</v>
      </c>
      <c r="F1581" t="s">
        <v>10685</v>
      </c>
      <c r="G1581" t="s">
        <v>10686</v>
      </c>
      <c r="H1581" t="s">
        <v>10687</v>
      </c>
      <c r="I1581" t="s">
        <v>8134</v>
      </c>
      <c r="J1581" t="s">
        <v>10641</v>
      </c>
      <c r="K1581" t="s">
        <v>10642</v>
      </c>
      <c r="L1581" t="s">
        <v>5806</v>
      </c>
    </row>
    <row r="1582" spans="1:12" x14ac:dyDescent="0.25">
      <c r="A1582" t="s">
        <v>5766</v>
      </c>
      <c r="B1582" t="s">
        <v>4651</v>
      </c>
      <c r="C1582" s="1" t="s">
        <v>3571</v>
      </c>
      <c r="D1582" s="1" t="s">
        <v>9106</v>
      </c>
      <c r="E1582" t="s">
        <v>3572</v>
      </c>
      <c r="F1582" t="s">
        <v>10688</v>
      </c>
      <c r="G1582" t="s">
        <v>9108</v>
      </c>
      <c r="H1582" t="s">
        <v>10689</v>
      </c>
      <c r="I1582" t="s">
        <v>10690</v>
      </c>
      <c r="J1582" t="s">
        <v>10641</v>
      </c>
      <c r="K1582" t="s">
        <v>10642</v>
      </c>
      <c r="L1582" t="s">
        <v>5806</v>
      </c>
    </row>
    <row r="1583" spans="1:12" x14ac:dyDescent="0.25">
      <c r="A1583" t="s">
        <v>5766</v>
      </c>
      <c r="B1583" t="s">
        <v>4651</v>
      </c>
      <c r="C1583" s="1" t="s">
        <v>4671</v>
      </c>
      <c r="D1583" s="1" t="s">
        <v>10691</v>
      </c>
      <c r="E1583" t="s">
        <v>4672</v>
      </c>
      <c r="F1583" t="s">
        <v>10692</v>
      </c>
      <c r="G1583" t="s">
        <v>10693</v>
      </c>
      <c r="H1583" t="s">
        <v>10694</v>
      </c>
      <c r="I1583" t="s">
        <v>6977</v>
      </c>
      <c r="J1583" t="s">
        <v>10641</v>
      </c>
      <c r="K1583" t="s">
        <v>10642</v>
      </c>
      <c r="L1583" t="s">
        <v>5806</v>
      </c>
    </row>
    <row r="1584" spans="1:12" x14ac:dyDescent="0.25">
      <c r="A1584" t="s">
        <v>5766</v>
      </c>
      <c r="B1584" t="s">
        <v>4651</v>
      </c>
      <c r="C1584" s="1" t="s">
        <v>713</v>
      </c>
      <c r="D1584" s="1" t="s">
        <v>6734</v>
      </c>
      <c r="E1584" t="s">
        <v>714</v>
      </c>
      <c r="F1584" t="s">
        <v>10649</v>
      </c>
      <c r="G1584" t="s">
        <v>6736</v>
      </c>
      <c r="H1584" t="s">
        <v>10695</v>
      </c>
      <c r="I1584" t="s">
        <v>7003</v>
      </c>
      <c r="J1584" t="s">
        <v>10641</v>
      </c>
      <c r="K1584" t="s">
        <v>10642</v>
      </c>
      <c r="L1584" t="s">
        <v>5806</v>
      </c>
    </row>
    <row r="1585" spans="1:12" x14ac:dyDescent="0.25">
      <c r="A1585" t="s">
        <v>5766</v>
      </c>
      <c r="B1585" t="s">
        <v>4651</v>
      </c>
      <c r="C1585" s="1" t="s">
        <v>4674</v>
      </c>
      <c r="D1585" s="1" t="s">
        <v>10696</v>
      </c>
      <c r="E1585" t="s">
        <v>4675</v>
      </c>
      <c r="F1585" t="s">
        <v>10697</v>
      </c>
      <c r="G1585" t="s">
        <v>10698</v>
      </c>
      <c r="H1585" t="s">
        <v>10699</v>
      </c>
      <c r="I1585" t="s">
        <v>7678</v>
      </c>
      <c r="J1585" t="s">
        <v>10641</v>
      </c>
      <c r="K1585" t="s">
        <v>10642</v>
      </c>
      <c r="L1585" t="s">
        <v>5806</v>
      </c>
    </row>
    <row r="1586" spans="1:12" x14ac:dyDescent="0.25">
      <c r="A1586" t="s">
        <v>5766</v>
      </c>
      <c r="B1586" t="s">
        <v>4651</v>
      </c>
      <c r="C1586" s="1" t="s">
        <v>4677</v>
      </c>
      <c r="D1586" s="1" t="s">
        <v>10700</v>
      </c>
      <c r="E1586" t="s">
        <v>4678</v>
      </c>
      <c r="F1586" t="s">
        <v>10697</v>
      </c>
      <c r="G1586" t="s">
        <v>10701</v>
      </c>
      <c r="H1586" t="s">
        <v>10702</v>
      </c>
      <c r="I1586" t="s">
        <v>7577</v>
      </c>
      <c r="J1586" t="s">
        <v>10641</v>
      </c>
      <c r="K1586" t="s">
        <v>10642</v>
      </c>
      <c r="L1586" t="s">
        <v>5806</v>
      </c>
    </row>
    <row r="1587" spans="1:12" x14ac:dyDescent="0.25">
      <c r="A1587" t="s">
        <v>5766</v>
      </c>
      <c r="B1587" t="s">
        <v>4651</v>
      </c>
      <c r="C1587" s="1" t="s">
        <v>257</v>
      </c>
      <c r="D1587" s="1" t="s">
        <v>6054</v>
      </c>
      <c r="E1587" t="s">
        <v>258</v>
      </c>
      <c r="F1587" t="s">
        <v>10703</v>
      </c>
      <c r="G1587" t="s">
        <v>6055</v>
      </c>
      <c r="H1587" t="s">
        <v>10704</v>
      </c>
      <c r="I1587" t="s">
        <v>7256</v>
      </c>
      <c r="J1587" t="s">
        <v>10641</v>
      </c>
      <c r="K1587" t="s">
        <v>10642</v>
      </c>
      <c r="L1587" t="s">
        <v>5806</v>
      </c>
    </row>
    <row r="1588" spans="1:12" x14ac:dyDescent="0.25">
      <c r="A1588" t="s">
        <v>5766</v>
      </c>
      <c r="B1588" t="s">
        <v>4651</v>
      </c>
      <c r="C1588" s="1" t="s">
        <v>4213</v>
      </c>
      <c r="D1588" s="1" t="s">
        <v>10047</v>
      </c>
      <c r="E1588" t="s">
        <v>4214</v>
      </c>
      <c r="F1588" t="s">
        <v>10705</v>
      </c>
      <c r="G1588" t="s">
        <v>10048</v>
      </c>
      <c r="H1588" t="s">
        <v>10706</v>
      </c>
      <c r="I1588" t="s">
        <v>7661</v>
      </c>
      <c r="J1588" t="s">
        <v>10641</v>
      </c>
      <c r="K1588" t="s">
        <v>10642</v>
      </c>
      <c r="L1588" t="s">
        <v>5806</v>
      </c>
    </row>
    <row r="1589" spans="1:12" x14ac:dyDescent="0.25">
      <c r="A1589" t="s">
        <v>5766</v>
      </c>
      <c r="B1589" t="s">
        <v>4651</v>
      </c>
      <c r="C1589" s="1" t="s">
        <v>4680</v>
      </c>
      <c r="D1589" s="1" t="s">
        <v>10707</v>
      </c>
      <c r="E1589" t="s">
        <v>4681</v>
      </c>
      <c r="F1589" t="s">
        <v>6800</v>
      </c>
      <c r="G1589" t="s">
        <v>10708</v>
      </c>
      <c r="H1589" t="s">
        <v>10709</v>
      </c>
      <c r="I1589" t="s">
        <v>7861</v>
      </c>
      <c r="J1589" t="s">
        <v>10641</v>
      </c>
      <c r="K1589" t="s">
        <v>10642</v>
      </c>
      <c r="L1589" t="s">
        <v>5806</v>
      </c>
    </row>
    <row r="1590" spans="1:12" x14ac:dyDescent="0.25">
      <c r="A1590" t="s">
        <v>5766</v>
      </c>
      <c r="B1590" t="s">
        <v>4651</v>
      </c>
      <c r="C1590" s="1" t="s">
        <v>263</v>
      </c>
      <c r="D1590" s="1" t="s">
        <v>6062</v>
      </c>
      <c r="E1590" t="s">
        <v>264</v>
      </c>
      <c r="F1590" t="s">
        <v>10710</v>
      </c>
      <c r="G1590" t="s">
        <v>6064</v>
      </c>
      <c r="H1590" t="s">
        <v>10711</v>
      </c>
      <c r="I1590" t="s">
        <v>5879</v>
      </c>
      <c r="J1590" t="s">
        <v>10641</v>
      </c>
      <c r="K1590" t="s">
        <v>10642</v>
      </c>
      <c r="L1590" t="s">
        <v>5806</v>
      </c>
    </row>
    <row r="1591" spans="1:12" x14ac:dyDescent="0.25">
      <c r="A1591" t="s">
        <v>5766</v>
      </c>
      <c r="B1591" t="s">
        <v>4651</v>
      </c>
      <c r="C1591" s="1" t="s">
        <v>3580</v>
      </c>
      <c r="D1591" s="1" t="s">
        <v>9125</v>
      </c>
      <c r="E1591" t="s">
        <v>3581</v>
      </c>
      <c r="F1591" t="s">
        <v>10712</v>
      </c>
      <c r="G1591" t="s">
        <v>9127</v>
      </c>
      <c r="H1591" t="s">
        <v>10713</v>
      </c>
      <c r="I1591" t="s">
        <v>6903</v>
      </c>
      <c r="J1591" t="s">
        <v>10641</v>
      </c>
      <c r="K1591" t="s">
        <v>10642</v>
      </c>
      <c r="L1591" t="s">
        <v>5806</v>
      </c>
    </row>
    <row r="1592" spans="1:12" x14ac:dyDescent="0.25">
      <c r="A1592" t="s">
        <v>5766</v>
      </c>
      <c r="B1592" t="s">
        <v>4651</v>
      </c>
      <c r="C1592" s="1" t="s">
        <v>4683</v>
      </c>
      <c r="D1592" s="1" t="s">
        <v>10714</v>
      </c>
      <c r="E1592" t="s">
        <v>4684</v>
      </c>
      <c r="F1592" t="s">
        <v>10715</v>
      </c>
      <c r="G1592" t="s">
        <v>10716</v>
      </c>
      <c r="H1592" t="s">
        <v>10717</v>
      </c>
      <c r="I1592" t="s">
        <v>6018</v>
      </c>
      <c r="J1592" t="s">
        <v>10641</v>
      </c>
      <c r="K1592" t="s">
        <v>10642</v>
      </c>
      <c r="L1592" t="s">
        <v>5806</v>
      </c>
    </row>
    <row r="1593" spans="1:12" x14ac:dyDescent="0.25">
      <c r="A1593" t="s">
        <v>5766</v>
      </c>
      <c r="B1593" t="s">
        <v>4651</v>
      </c>
      <c r="C1593" s="1" t="s">
        <v>3586</v>
      </c>
      <c r="D1593" s="1" t="s">
        <v>9133</v>
      </c>
      <c r="E1593" t="s">
        <v>3587</v>
      </c>
      <c r="F1593" t="s">
        <v>10342</v>
      </c>
      <c r="G1593" t="s">
        <v>9135</v>
      </c>
      <c r="H1593" t="s">
        <v>10718</v>
      </c>
      <c r="I1593" t="s">
        <v>6920</v>
      </c>
      <c r="J1593" t="s">
        <v>10641</v>
      </c>
      <c r="K1593" t="s">
        <v>10642</v>
      </c>
      <c r="L1593" t="s">
        <v>5806</v>
      </c>
    </row>
    <row r="1594" spans="1:12" x14ac:dyDescent="0.25">
      <c r="A1594" t="s">
        <v>5766</v>
      </c>
      <c r="B1594" t="s">
        <v>4651</v>
      </c>
      <c r="C1594" s="1" t="s">
        <v>4686</v>
      </c>
      <c r="D1594" s="1" t="s">
        <v>10719</v>
      </c>
      <c r="E1594" t="s">
        <v>4687</v>
      </c>
      <c r="F1594" t="s">
        <v>8190</v>
      </c>
      <c r="G1594" t="s">
        <v>10720</v>
      </c>
      <c r="H1594" t="s">
        <v>10721</v>
      </c>
      <c r="I1594" t="s">
        <v>7549</v>
      </c>
      <c r="J1594" t="s">
        <v>10641</v>
      </c>
      <c r="K1594" t="s">
        <v>10642</v>
      </c>
      <c r="L1594" t="s">
        <v>5806</v>
      </c>
    </row>
    <row r="1595" spans="1:12" x14ac:dyDescent="0.25">
      <c r="A1595" t="s">
        <v>5766</v>
      </c>
      <c r="B1595" t="s">
        <v>4651</v>
      </c>
      <c r="C1595" s="1" t="s">
        <v>4689</v>
      </c>
      <c r="D1595" s="1" t="s">
        <v>10722</v>
      </c>
      <c r="E1595" t="s">
        <v>4690</v>
      </c>
      <c r="F1595" t="s">
        <v>10723</v>
      </c>
      <c r="G1595" t="s">
        <v>10724</v>
      </c>
      <c r="H1595" t="s">
        <v>10725</v>
      </c>
      <c r="I1595" t="s">
        <v>7003</v>
      </c>
      <c r="J1595" t="s">
        <v>10641</v>
      </c>
      <c r="K1595" t="s">
        <v>10642</v>
      </c>
      <c r="L1595" t="s">
        <v>5806</v>
      </c>
    </row>
    <row r="1596" spans="1:12" x14ac:dyDescent="0.25">
      <c r="A1596" t="s">
        <v>5766</v>
      </c>
      <c r="B1596" t="s">
        <v>4651</v>
      </c>
      <c r="C1596" s="1" t="s">
        <v>269</v>
      </c>
      <c r="D1596" s="1" t="s">
        <v>6072</v>
      </c>
      <c r="E1596" t="s">
        <v>270</v>
      </c>
      <c r="F1596" t="s">
        <v>10726</v>
      </c>
      <c r="G1596" t="s">
        <v>6073</v>
      </c>
      <c r="H1596" t="s">
        <v>10727</v>
      </c>
      <c r="I1596" t="s">
        <v>7856</v>
      </c>
      <c r="J1596" t="s">
        <v>10641</v>
      </c>
      <c r="K1596" t="s">
        <v>10642</v>
      </c>
      <c r="L1596" t="s">
        <v>5806</v>
      </c>
    </row>
    <row r="1597" spans="1:12" x14ac:dyDescent="0.25">
      <c r="A1597" t="s">
        <v>5766</v>
      </c>
      <c r="B1597" t="s">
        <v>4651</v>
      </c>
      <c r="C1597" s="1" t="s">
        <v>3504</v>
      </c>
      <c r="D1597" s="1" t="s">
        <v>8980</v>
      </c>
      <c r="E1597" t="s">
        <v>3505</v>
      </c>
      <c r="F1597" t="s">
        <v>10728</v>
      </c>
      <c r="G1597" t="s">
        <v>8982</v>
      </c>
      <c r="H1597" t="s">
        <v>10729</v>
      </c>
      <c r="I1597" t="s">
        <v>8244</v>
      </c>
      <c r="J1597" t="s">
        <v>10641</v>
      </c>
      <c r="K1597" t="s">
        <v>10642</v>
      </c>
      <c r="L1597" t="s">
        <v>5806</v>
      </c>
    </row>
    <row r="1598" spans="1:12" x14ac:dyDescent="0.25">
      <c r="A1598" t="s">
        <v>5766</v>
      </c>
      <c r="B1598" t="s">
        <v>4651</v>
      </c>
      <c r="C1598" s="1" t="s">
        <v>3589</v>
      </c>
      <c r="D1598" s="1" t="s">
        <v>9142</v>
      </c>
      <c r="E1598" t="s">
        <v>3590</v>
      </c>
      <c r="F1598" t="s">
        <v>10730</v>
      </c>
      <c r="G1598" t="s">
        <v>9144</v>
      </c>
      <c r="H1598" t="s">
        <v>10731</v>
      </c>
      <c r="I1598" t="s">
        <v>9446</v>
      </c>
      <c r="J1598" t="s">
        <v>10641</v>
      </c>
      <c r="K1598" t="s">
        <v>10642</v>
      </c>
      <c r="L1598" t="s">
        <v>5806</v>
      </c>
    </row>
    <row r="1599" spans="1:12" x14ac:dyDescent="0.25">
      <c r="A1599" t="s">
        <v>5766</v>
      </c>
      <c r="B1599" t="s">
        <v>4651</v>
      </c>
      <c r="C1599" s="1" t="s">
        <v>4692</v>
      </c>
      <c r="D1599" s="1" t="s">
        <v>10732</v>
      </c>
      <c r="E1599" t="s">
        <v>4693</v>
      </c>
      <c r="F1599" t="s">
        <v>10710</v>
      </c>
      <c r="G1599" t="s">
        <v>10733</v>
      </c>
      <c r="H1599" t="s">
        <v>10734</v>
      </c>
      <c r="I1599" t="s">
        <v>6337</v>
      </c>
      <c r="J1599" t="s">
        <v>10641</v>
      </c>
      <c r="K1599" t="s">
        <v>10642</v>
      </c>
      <c r="L1599" t="s">
        <v>5806</v>
      </c>
    </row>
    <row r="1600" spans="1:12" x14ac:dyDescent="0.25">
      <c r="A1600" t="s">
        <v>5766</v>
      </c>
      <c r="B1600" t="s">
        <v>4651</v>
      </c>
      <c r="C1600" s="1" t="s">
        <v>4695</v>
      </c>
      <c r="D1600" s="1" t="s">
        <v>10735</v>
      </c>
      <c r="E1600" t="s">
        <v>4696</v>
      </c>
      <c r="F1600" t="s">
        <v>10736</v>
      </c>
      <c r="G1600" t="s">
        <v>10737</v>
      </c>
      <c r="H1600" t="s">
        <v>10738</v>
      </c>
      <c r="I1600" t="s">
        <v>7609</v>
      </c>
      <c r="J1600" t="s">
        <v>10641</v>
      </c>
      <c r="K1600" t="s">
        <v>10642</v>
      </c>
      <c r="L1600" t="s">
        <v>5806</v>
      </c>
    </row>
    <row r="1601" spans="1:13" x14ac:dyDescent="0.25">
      <c r="A1601" t="s">
        <v>5766</v>
      </c>
      <c r="B1601" t="s">
        <v>4651</v>
      </c>
      <c r="C1601" s="1" t="s">
        <v>3111</v>
      </c>
      <c r="D1601" s="1" t="s">
        <v>8437</v>
      </c>
      <c r="E1601" t="s">
        <v>3112</v>
      </c>
      <c r="F1601" t="s">
        <v>10389</v>
      </c>
      <c r="G1601" t="s">
        <v>8439</v>
      </c>
      <c r="H1601" t="s">
        <v>10739</v>
      </c>
      <c r="I1601" t="s">
        <v>7861</v>
      </c>
      <c r="J1601" t="s">
        <v>10641</v>
      </c>
      <c r="K1601" t="s">
        <v>10642</v>
      </c>
      <c r="L1601" t="s">
        <v>5806</v>
      </c>
    </row>
    <row r="1602" spans="1:13" x14ac:dyDescent="0.25">
      <c r="A1602" t="s">
        <v>5766</v>
      </c>
      <c r="B1602" t="s">
        <v>4651</v>
      </c>
      <c r="C1602" s="1" t="s">
        <v>3721</v>
      </c>
      <c r="D1602" s="1" t="s">
        <v>9378</v>
      </c>
      <c r="E1602" t="s">
        <v>3722</v>
      </c>
      <c r="F1602" t="s">
        <v>6025</v>
      </c>
      <c r="G1602" t="s">
        <v>9380</v>
      </c>
      <c r="H1602" t="s">
        <v>10740</v>
      </c>
      <c r="I1602" t="s">
        <v>7641</v>
      </c>
      <c r="J1602" t="s">
        <v>10641</v>
      </c>
      <c r="K1602" t="s">
        <v>10642</v>
      </c>
      <c r="L1602" t="s">
        <v>5806</v>
      </c>
    </row>
    <row r="1603" spans="1:13" x14ac:dyDescent="0.25">
      <c r="A1603" t="s">
        <v>5766</v>
      </c>
      <c r="B1603" t="s">
        <v>4651</v>
      </c>
      <c r="C1603" s="1" t="s">
        <v>4698</v>
      </c>
      <c r="D1603" s="1" t="s">
        <v>10741</v>
      </c>
      <c r="E1603" t="s">
        <v>4699</v>
      </c>
      <c r="F1603" t="s">
        <v>10742</v>
      </c>
      <c r="G1603" t="s">
        <v>10743</v>
      </c>
      <c r="H1603" t="s">
        <v>10744</v>
      </c>
      <c r="I1603" t="s">
        <v>7641</v>
      </c>
      <c r="J1603" t="s">
        <v>10641</v>
      </c>
      <c r="K1603" t="s">
        <v>10642</v>
      </c>
      <c r="L1603" t="s">
        <v>5806</v>
      </c>
    </row>
    <row r="1604" spans="1:13" x14ac:dyDescent="0.25">
      <c r="A1604" t="s">
        <v>5766</v>
      </c>
      <c r="B1604" t="s">
        <v>4651</v>
      </c>
      <c r="C1604" s="1" t="s">
        <v>78</v>
      </c>
      <c r="D1604" s="1" t="s">
        <v>5780</v>
      </c>
      <c r="E1604" t="s">
        <v>5781</v>
      </c>
      <c r="F1604" t="s">
        <v>10745</v>
      </c>
      <c r="G1604" t="s">
        <v>5783</v>
      </c>
      <c r="H1604" t="s">
        <v>10746</v>
      </c>
      <c r="I1604" t="s">
        <v>5882</v>
      </c>
      <c r="J1604" t="s">
        <v>10641</v>
      </c>
      <c r="K1604" t="s">
        <v>10642</v>
      </c>
      <c r="L1604" t="s">
        <v>5806</v>
      </c>
      <c r="M1604" t="s">
        <v>65</v>
      </c>
    </row>
    <row r="1605" spans="1:13" x14ac:dyDescent="0.25">
      <c r="A1605" t="s">
        <v>5766</v>
      </c>
      <c r="B1605" t="s">
        <v>4651</v>
      </c>
      <c r="C1605" s="1" t="s">
        <v>4461</v>
      </c>
      <c r="D1605" s="1" t="s">
        <v>10398</v>
      </c>
      <c r="E1605" t="s">
        <v>4462</v>
      </c>
      <c r="F1605" t="s">
        <v>10747</v>
      </c>
      <c r="G1605" t="s">
        <v>10400</v>
      </c>
      <c r="H1605" t="s">
        <v>10748</v>
      </c>
      <c r="I1605" t="s">
        <v>7577</v>
      </c>
      <c r="J1605" t="s">
        <v>10641</v>
      </c>
      <c r="K1605" t="s">
        <v>10642</v>
      </c>
      <c r="L1605" t="s">
        <v>5806</v>
      </c>
    </row>
    <row r="1606" spans="1:13" x14ac:dyDescent="0.25">
      <c r="A1606" t="s">
        <v>5766</v>
      </c>
      <c r="B1606" t="s">
        <v>4651</v>
      </c>
      <c r="C1606" s="1" t="s">
        <v>278</v>
      </c>
      <c r="D1606" s="1" t="s">
        <v>6085</v>
      </c>
      <c r="E1606" t="s">
        <v>279</v>
      </c>
      <c r="F1606" t="s">
        <v>10749</v>
      </c>
      <c r="G1606" t="s">
        <v>6087</v>
      </c>
      <c r="H1606" t="s">
        <v>10750</v>
      </c>
      <c r="I1606" t="s">
        <v>7497</v>
      </c>
      <c r="J1606" t="s">
        <v>10641</v>
      </c>
      <c r="K1606" t="s">
        <v>10642</v>
      </c>
      <c r="L1606" t="s">
        <v>5806</v>
      </c>
    </row>
    <row r="1607" spans="1:13" x14ac:dyDescent="0.25">
      <c r="A1607" t="s">
        <v>5766</v>
      </c>
      <c r="B1607" t="s">
        <v>4651</v>
      </c>
      <c r="C1607" s="1" t="s">
        <v>150</v>
      </c>
      <c r="D1607" s="1" t="s">
        <v>5888</v>
      </c>
      <c r="E1607" t="s">
        <v>151</v>
      </c>
      <c r="F1607" t="s">
        <v>10712</v>
      </c>
      <c r="G1607" t="s">
        <v>5889</v>
      </c>
      <c r="H1607" t="s">
        <v>10751</v>
      </c>
      <c r="I1607" t="s">
        <v>6909</v>
      </c>
      <c r="J1607" t="s">
        <v>10641</v>
      </c>
      <c r="K1607" t="s">
        <v>10642</v>
      </c>
      <c r="L1607" t="s">
        <v>5806</v>
      </c>
    </row>
    <row r="1608" spans="1:13" x14ac:dyDescent="0.25">
      <c r="A1608" t="s">
        <v>5766</v>
      </c>
      <c r="B1608" t="s">
        <v>4651</v>
      </c>
      <c r="C1608" s="1" t="s">
        <v>284</v>
      </c>
      <c r="D1608" s="1" t="s">
        <v>2641</v>
      </c>
      <c r="E1608" t="s">
        <v>285</v>
      </c>
      <c r="F1608" t="s">
        <v>10752</v>
      </c>
      <c r="G1608" t="s">
        <v>6095</v>
      </c>
      <c r="H1608" t="s">
        <v>10753</v>
      </c>
      <c r="I1608" t="s">
        <v>10754</v>
      </c>
      <c r="J1608" t="s">
        <v>10641</v>
      </c>
      <c r="K1608" t="s">
        <v>10642</v>
      </c>
      <c r="L1608" t="s">
        <v>5806</v>
      </c>
    </row>
    <row r="1609" spans="1:13" x14ac:dyDescent="0.25">
      <c r="A1609" t="s">
        <v>5766</v>
      </c>
      <c r="B1609" t="s">
        <v>4651</v>
      </c>
      <c r="C1609" s="1" t="s">
        <v>3126</v>
      </c>
      <c r="D1609" s="1" t="s">
        <v>8461</v>
      </c>
      <c r="E1609" t="s">
        <v>3127</v>
      </c>
      <c r="F1609" t="s">
        <v>5861</v>
      </c>
      <c r="G1609" t="s">
        <v>8463</v>
      </c>
      <c r="H1609" t="s">
        <v>10755</v>
      </c>
      <c r="I1609" t="s">
        <v>7010</v>
      </c>
      <c r="J1609" t="s">
        <v>10641</v>
      </c>
      <c r="K1609" t="s">
        <v>10642</v>
      </c>
      <c r="L1609" t="s">
        <v>5806</v>
      </c>
    </row>
    <row r="1610" spans="1:13" x14ac:dyDescent="0.25">
      <c r="A1610" t="s">
        <v>5766</v>
      </c>
      <c r="B1610" t="s">
        <v>4651</v>
      </c>
      <c r="C1610" s="1" t="s">
        <v>4464</v>
      </c>
      <c r="D1610" s="1" t="s">
        <v>10402</v>
      </c>
      <c r="E1610" t="s">
        <v>4465</v>
      </c>
      <c r="F1610" t="s">
        <v>10649</v>
      </c>
      <c r="G1610" t="s">
        <v>10404</v>
      </c>
      <c r="H1610" t="s">
        <v>10756</v>
      </c>
      <c r="I1610" t="s">
        <v>5915</v>
      </c>
      <c r="J1610" t="s">
        <v>10641</v>
      </c>
      <c r="K1610" t="s">
        <v>10642</v>
      </c>
      <c r="L1610" t="s">
        <v>5806</v>
      </c>
    </row>
    <row r="1611" spans="1:13" x14ac:dyDescent="0.25">
      <c r="A1611" t="s">
        <v>5766</v>
      </c>
      <c r="B1611" t="s">
        <v>4651</v>
      </c>
      <c r="C1611" s="1" t="s">
        <v>4701</v>
      </c>
      <c r="D1611" s="1" t="s">
        <v>10757</v>
      </c>
      <c r="E1611" t="s">
        <v>4702</v>
      </c>
      <c r="F1611" t="s">
        <v>10758</v>
      </c>
      <c r="G1611" t="s">
        <v>10759</v>
      </c>
      <c r="H1611" t="s">
        <v>10760</v>
      </c>
      <c r="I1611" t="s">
        <v>6789</v>
      </c>
      <c r="J1611" t="s">
        <v>10641</v>
      </c>
      <c r="K1611" t="s">
        <v>10642</v>
      </c>
      <c r="L1611" t="s">
        <v>5806</v>
      </c>
    </row>
    <row r="1612" spans="1:13" x14ac:dyDescent="0.25">
      <c r="A1612" t="s">
        <v>5766</v>
      </c>
      <c r="B1612" t="s">
        <v>4651</v>
      </c>
      <c r="C1612" s="1" t="s">
        <v>4704</v>
      </c>
      <c r="D1612" s="1" t="s">
        <v>10761</v>
      </c>
      <c r="E1612" t="s">
        <v>4705</v>
      </c>
      <c r="F1612" t="s">
        <v>10705</v>
      </c>
      <c r="G1612" t="s">
        <v>10762</v>
      </c>
      <c r="H1612" t="s">
        <v>10763</v>
      </c>
      <c r="I1612" t="s">
        <v>7678</v>
      </c>
      <c r="J1612" t="s">
        <v>10641</v>
      </c>
      <c r="K1612" t="s">
        <v>10642</v>
      </c>
      <c r="L1612" t="s">
        <v>5806</v>
      </c>
    </row>
    <row r="1613" spans="1:13" x14ac:dyDescent="0.25">
      <c r="A1613" t="s">
        <v>5766</v>
      </c>
      <c r="B1613" t="s">
        <v>4651</v>
      </c>
      <c r="C1613" s="1" t="s">
        <v>4707</v>
      </c>
      <c r="D1613" s="1" t="s">
        <v>10764</v>
      </c>
      <c r="E1613" t="s">
        <v>4708</v>
      </c>
      <c r="F1613" t="s">
        <v>10765</v>
      </c>
      <c r="G1613" t="s">
        <v>10766</v>
      </c>
      <c r="H1613" t="s">
        <v>10767</v>
      </c>
      <c r="I1613" t="s">
        <v>7028</v>
      </c>
      <c r="J1613" t="s">
        <v>10641</v>
      </c>
      <c r="K1613" t="s">
        <v>10642</v>
      </c>
      <c r="L1613" t="s">
        <v>5806</v>
      </c>
    </row>
    <row r="1614" spans="1:13" x14ac:dyDescent="0.25">
      <c r="A1614" t="s">
        <v>5766</v>
      </c>
      <c r="B1614" t="s">
        <v>4651</v>
      </c>
      <c r="C1614" s="1" t="s">
        <v>287</v>
      </c>
      <c r="D1614" s="1" t="s">
        <v>6098</v>
      </c>
      <c r="E1614" t="s">
        <v>288</v>
      </c>
      <c r="F1614" t="s">
        <v>10768</v>
      </c>
      <c r="G1614" t="s">
        <v>6099</v>
      </c>
      <c r="H1614" t="s">
        <v>10769</v>
      </c>
      <c r="I1614" t="s">
        <v>5821</v>
      </c>
      <c r="J1614" t="s">
        <v>10641</v>
      </c>
      <c r="K1614" t="s">
        <v>10642</v>
      </c>
      <c r="L1614" t="s">
        <v>5806</v>
      </c>
    </row>
    <row r="1615" spans="1:13" x14ac:dyDescent="0.25">
      <c r="A1615" t="s">
        <v>5766</v>
      </c>
      <c r="B1615" t="s">
        <v>4651</v>
      </c>
      <c r="C1615" s="1" t="s">
        <v>4710</v>
      </c>
      <c r="D1615" s="1" t="s">
        <v>10770</v>
      </c>
      <c r="E1615" t="s">
        <v>4711</v>
      </c>
      <c r="F1615" t="s">
        <v>10771</v>
      </c>
      <c r="G1615" t="s">
        <v>10772</v>
      </c>
      <c r="H1615" t="s">
        <v>10773</v>
      </c>
      <c r="I1615" t="s">
        <v>6311</v>
      </c>
      <c r="J1615" t="s">
        <v>10641</v>
      </c>
      <c r="K1615" t="s">
        <v>10642</v>
      </c>
      <c r="L1615" t="s">
        <v>5806</v>
      </c>
    </row>
    <row r="1616" spans="1:13" x14ac:dyDescent="0.25">
      <c r="A1616" t="s">
        <v>5766</v>
      </c>
      <c r="B1616" t="s">
        <v>4651</v>
      </c>
      <c r="C1616" s="1" t="s">
        <v>3850</v>
      </c>
      <c r="D1616" s="1" t="s">
        <v>9567</v>
      </c>
      <c r="E1616" t="s">
        <v>3851</v>
      </c>
      <c r="F1616" t="s">
        <v>9711</v>
      </c>
      <c r="G1616" t="s">
        <v>9568</v>
      </c>
      <c r="H1616" t="s">
        <v>10774</v>
      </c>
      <c r="I1616" t="s">
        <v>7577</v>
      </c>
      <c r="J1616" t="s">
        <v>10641</v>
      </c>
      <c r="K1616" t="s">
        <v>10642</v>
      </c>
      <c r="L1616" t="s">
        <v>5806</v>
      </c>
    </row>
    <row r="1617" spans="1:12" x14ac:dyDescent="0.25">
      <c r="A1617" t="s">
        <v>5766</v>
      </c>
      <c r="B1617" t="s">
        <v>4651</v>
      </c>
      <c r="C1617" s="1" t="s">
        <v>4252</v>
      </c>
      <c r="D1617" s="1" t="s">
        <v>10102</v>
      </c>
      <c r="E1617" t="s">
        <v>4253</v>
      </c>
      <c r="F1617" t="s">
        <v>10775</v>
      </c>
      <c r="G1617" t="s">
        <v>10103</v>
      </c>
      <c r="H1617" t="s">
        <v>10776</v>
      </c>
      <c r="I1617" t="s">
        <v>6934</v>
      </c>
      <c r="J1617" t="s">
        <v>10641</v>
      </c>
      <c r="K1617" t="s">
        <v>10642</v>
      </c>
      <c r="L1617" t="s">
        <v>5806</v>
      </c>
    </row>
    <row r="1618" spans="1:12" x14ac:dyDescent="0.25">
      <c r="A1618" t="s">
        <v>5766</v>
      </c>
      <c r="B1618" t="s">
        <v>4651</v>
      </c>
      <c r="C1618" s="1" t="s">
        <v>4470</v>
      </c>
      <c r="D1618" s="1" t="s">
        <v>10410</v>
      </c>
      <c r="E1618" t="s">
        <v>4471</v>
      </c>
      <c r="F1618" t="s">
        <v>10052</v>
      </c>
      <c r="G1618" t="s">
        <v>10411</v>
      </c>
      <c r="H1618" t="s">
        <v>10777</v>
      </c>
      <c r="I1618" t="s">
        <v>6169</v>
      </c>
      <c r="J1618" t="s">
        <v>10641</v>
      </c>
      <c r="K1618" t="s">
        <v>10642</v>
      </c>
      <c r="L1618" t="s">
        <v>5806</v>
      </c>
    </row>
    <row r="1619" spans="1:12" x14ac:dyDescent="0.25">
      <c r="A1619" t="s">
        <v>5766</v>
      </c>
      <c r="B1619" t="s">
        <v>4651</v>
      </c>
      <c r="C1619" s="1" t="s">
        <v>4473</v>
      </c>
      <c r="D1619" s="1" t="s">
        <v>10413</v>
      </c>
      <c r="E1619" t="s">
        <v>4474</v>
      </c>
      <c r="F1619" t="s">
        <v>10778</v>
      </c>
      <c r="G1619" t="s">
        <v>10415</v>
      </c>
      <c r="H1619" t="s">
        <v>10779</v>
      </c>
      <c r="I1619" t="s">
        <v>6173</v>
      </c>
      <c r="J1619" t="s">
        <v>10641</v>
      </c>
      <c r="K1619" t="s">
        <v>10642</v>
      </c>
      <c r="L1619" t="s">
        <v>5806</v>
      </c>
    </row>
    <row r="1620" spans="1:12" x14ac:dyDescent="0.25">
      <c r="A1620" t="s">
        <v>5766</v>
      </c>
      <c r="B1620" t="s">
        <v>4651</v>
      </c>
      <c r="C1620" s="1" t="s">
        <v>3684</v>
      </c>
      <c r="D1620" s="1" t="s">
        <v>9319</v>
      </c>
      <c r="E1620" t="s">
        <v>3685</v>
      </c>
      <c r="F1620" t="s">
        <v>9424</v>
      </c>
      <c r="G1620" t="s">
        <v>9321</v>
      </c>
      <c r="H1620" t="s">
        <v>10780</v>
      </c>
      <c r="I1620" t="s">
        <v>7856</v>
      </c>
      <c r="J1620" t="s">
        <v>10641</v>
      </c>
      <c r="K1620" t="s">
        <v>10642</v>
      </c>
      <c r="L1620" t="s">
        <v>5806</v>
      </c>
    </row>
    <row r="1621" spans="1:12" x14ac:dyDescent="0.25">
      <c r="A1621" t="s">
        <v>5766</v>
      </c>
      <c r="B1621" t="s">
        <v>4651</v>
      </c>
      <c r="C1621" s="1" t="s">
        <v>512</v>
      </c>
      <c r="D1621" s="1" t="s">
        <v>6437</v>
      </c>
      <c r="E1621" t="s">
        <v>513</v>
      </c>
      <c r="F1621" t="s">
        <v>10781</v>
      </c>
      <c r="G1621" t="s">
        <v>6439</v>
      </c>
      <c r="H1621" t="s">
        <v>10782</v>
      </c>
      <c r="I1621" t="s">
        <v>6061</v>
      </c>
      <c r="J1621" t="s">
        <v>10641</v>
      </c>
      <c r="K1621" t="s">
        <v>10642</v>
      </c>
      <c r="L1621" t="s">
        <v>5806</v>
      </c>
    </row>
    <row r="1622" spans="1:12" x14ac:dyDescent="0.25">
      <c r="A1622" t="s">
        <v>5766</v>
      </c>
      <c r="B1622" t="s">
        <v>4651</v>
      </c>
      <c r="C1622" s="1" t="s">
        <v>4476</v>
      </c>
      <c r="D1622" s="1" t="s">
        <v>10417</v>
      </c>
      <c r="E1622" t="s">
        <v>4477</v>
      </c>
      <c r="F1622" t="s">
        <v>5828</v>
      </c>
      <c r="G1622" t="s">
        <v>10418</v>
      </c>
      <c r="H1622" t="s">
        <v>10783</v>
      </c>
      <c r="I1622" t="s">
        <v>7549</v>
      </c>
      <c r="J1622" t="s">
        <v>10641</v>
      </c>
      <c r="K1622" t="s">
        <v>10642</v>
      </c>
      <c r="L1622" t="s">
        <v>5806</v>
      </c>
    </row>
    <row r="1623" spans="1:12" x14ac:dyDescent="0.25">
      <c r="A1623" t="s">
        <v>5766</v>
      </c>
      <c r="B1623" t="s">
        <v>4651</v>
      </c>
      <c r="C1623" s="1" t="s">
        <v>4713</v>
      </c>
      <c r="D1623" s="1" t="s">
        <v>10784</v>
      </c>
      <c r="E1623" t="s">
        <v>4714</v>
      </c>
      <c r="F1623" t="s">
        <v>10785</v>
      </c>
      <c r="G1623" t="s">
        <v>10786</v>
      </c>
      <c r="H1623" t="s">
        <v>10787</v>
      </c>
      <c r="I1623" t="s">
        <v>7609</v>
      </c>
      <c r="J1623" t="s">
        <v>10641</v>
      </c>
      <c r="K1623" t="s">
        <v>10642</v>
      </c>
      <c r="L1623" t="s">
        <v>5806</v>
      </c>
    </row>
    <row r="1624" spans="1:12" x14ac:dyDescent="0.25">
      <c r="A1624" t="s">
        <v>5766</v>
      </c>
      <c r="B1624" t="s">
        <v>4651</v>
      </c>
      <c r="C1624" s="1" t="s">
        <v>4716</v>
      </c>
      <c r="D1624" s="1" t="s">
        <v>10788</v>
      </c>
      <c r="E1624" t="s">
        <v>4717</v>
      </c>
      <c r="F1624" t="s">
        <v>10789</v>
      </c>
      <c r="G1624" t="s">
        <v>10790</v>
      </c>
      <c r="H1624" t="s">
        <v>10791</v>
      </c>
      <c r="I1624" t="s">
        <v>6789</v>
      </c>
      <c r="J1624" t="s">
        <v>10641</v>
      </c>
      <c r="K1624" t="s">
        <v>10642</v>
      </c>
      <c r="L1624" t="s">
        <v>5806</v>
      </c>
    </row>
    <row r="1625" spans="1:12" x14ac:dyDescent="0.25">
      <c r="A1625" t="s">
        <v>5766</v>
      </c>
      <c r="B1625" t="s">
        <v>4651</v>
      </c>
      <c r="C1625" s="1" t="s">
        <v>305</v>
      </c>
      <c r="D1625" s="1" t="s">
        <v>6126</v>
      </c>
      <c r="E1625" t="s">
        <v>306</v>
      </c>
      <c r="F1625" t="s">
        <v>10792</v>
      </c>
      <c r="G1625" t="s">
        <v>6128</v>
      </c>
      <c r="H1625" t="s">
        <v>10793</v>
      </c>
      <c r="I1625" t="s">
        <v>7661</v>
      </c>
      <c r="J1625" t="s">
        <v>10641</v>
      </c>
      <c r="K1625" t="s">
        <v>10642</v>
      </c>
      <c r="L1625" t="s">
        <v>5806</v>
      </c>
    </row>
    <row r="1626" spans="1:12" x14ac:dyDescent="0.25">
      <c r="A1626" t="s">
        <v>5766</v>
      </c>
      <c r="B1626" t="s">
        <v>4651</v>
      </c>
      <c r="C1626" s="1" t="s">
        <v>4719</v>
      </c>
      <c r="D1626" s="1" t="s">
        <v>10794</v>
      </c>
      <c r="E1626" t="s">
        <v>4720</v>
      </c>
      <c r="F1626" t="s">
        <v>10775</v>
      </c>
      <c r="G1626" t="s">
        <v>10795</v>
      </c>
      <c r="H1626" t="s">
        <v>10796</v>
      </c>
      <c r="I1626" t="s">
        <v>7577</v>
      </c>
      <c r="J1626" t="s">
        <v>10641</v>
      </c>
      <c r="K1626" t="s">
        <v>10642</v>
      </c>
      <c r="L1626" t="s">
        <v>5806</v>
      </c>
    </row>
    <row r="1627" spans="1:12" x14ac:dyDescent="0.25">
      <c r="A1627" t="s">
        <v>5766</v>
      </c>
      <c r="B1627" t="s">
        <v>4651</v>
      </c>
      <c r="C1627" s="1" t="s">
        <v>4722</v>
      </c>
      <c r="D1627" s="1" t="s">
        <v>10797</v>
      </c>
      <c r="E1627" t="s">
        <v>4723</v>
      </c>
      <c r="F1627" t="s">
        <v>10798</v>
      </c>
      <c r="G1627" t="s">
        <v>10799</v>
      </c>
      <c r="H1627" t="s">
        <v>10800</v>
      </c>
      <c r="I1627" t="s">
        <v>6234</v>
      </c>
      <c r="J1627" t="s">
        <v>10641</v>
      </c>
      <c r="K1627" t="s">
        <v>10642</v>
      </c>
      <c r="L1627" t="s">
        <v>5806</v>
      </c>
    </row>
    <row r="1628" spans="1:12" x14ac:dyDescent="0.25">
      <c r="A1628" t="s">
        <v>5766</v>
      </c>
      <c r="B1628" t="s">
        <v>4651</v>
      </c>
      <c r="C1628" s="1" t="s">
        <v>308</v>
      </c>
      <c r="D1628" s="1" t="s">
        <v>2662</v>
      </c>
      <c r="E1628" t="s">
        <v>309</v>
      </c>
      <c r="F1628" t="s">
        <v>10801</v>
      </c>
      <c r="G1628" t="s">
        <v>6131</v>
      </c>
      <c r="H1628" t="s">
        <v>10802</v>
      </c>
      <c r="I1628" t="s">
        <v>10803</v>
      </c>
      <c r="J1628" t="s">
        <v>10641</v>
      </c>
      <c r="K1628" t="s">
        <v>10642</v>
      </c>
      <c r="L1628" t="s">
        <v>5806</v>
      </c>
    </row>
    <row r="1629" spans="1:12" x14ac:dyDescent="0.25">
      <c r="A1629" t="s">
        <v>5766</v>
      </c>
      <c r="B1629" t="s">
        <v>4651</v>
      </c>
      <c r="C1629" s="1" t="s">
        <v>515</v>
      </c>
      <c r="D1629" s="1" t="s">
        <v>4407</v>
      </c>
      <c r="E1629" t="s">
        <v>516</v>
      </c>
      <c r="F1629" t="s">
        <v>10804</v>
      </c>
      <c r="G1629" t="s">
        <v>6443</v>
      </c>
      <c r="H1629" t="s">
        <v>10805</v>
      </c>
      <c r="I1629" t="s">
        <v>9047</v>
      </c>
      <c r="J1629" t="s">
        <v>10641</v>
      </c>
      <c r="K1629" t="s">
        <v>10642</v>
      </c>
      <c r="L1629" t="s">
        <v>5806</v>
      </c>
    </row>
    <row r="1630" spans="1:12" x14ac:dyDescent="0.25">
      <c r="A1630" t="s">
        <v>5766</v>
      </c>
      <c r="B1630" t="s">
        <v>4651</v>
      </c>
      <c r="C1630" s="1" t="s">
        <v>3595</v>
      </c>
      <c r="D1630" s="1" t="s">
        <v>9161</v>
      </c>
      <c r="E1630" t="s">
        <v>3596</v>
      </c>
      <c r="F1630" t="s">
        <v>10649</v>
      </c>
      <c r="G1630" t="s">
        <v>9163</v>
      </c>
      <c r="H1630" t="s">
        <v>10806</v>
      </c>
      <c r="I1630" t="s">
        <v>6219</v>
      </c>
      <c r="J1630" t="s">
        <v>10641</v>
      </c>
      <c r="K1630" t="s">
        <v>10642</v>
      </c>
      <c r="L1630" t="s">
        <v>5806</v>
      </c>
    </row>
    <row r="1631" spans="1:12" x14ac:dyDescent="0.25">
      <c r="A1631" t="s">
        <v>5766</v>
      </c>
      <c r="B1631" t="s">
        <v>4651</v>
      </c>
      <c r="C1631" s="1" t="s">
        <v>4503</v>
      </c>
      <c r="D1631" s="1" t="s">
        <v>10445</v>
      </c>
      <c r="E1631" t="s">
        <v>4504</v>
      </c>
      <c r="F1631" t="s">
        <v>10807</v>
      </c>
      <c r="G1631" t="s">
        <v>10446</v>
      </c>
      <c r="H1631" t="s">
        <v>10808</v>
      </c>
      <c r="I1631" t="s">
        <v>5979</v>
      </c>
      <c r="J1631" t="s">
        <v>10641</v>
      </c>
      <c r="K1631" t="s">
        <v>10642</v>
      </c>
      <c r="L1631" t="s">
        <v>5806</v>
      </c>
    </row>
    <row r="1632" spans="1:12" x14ac:dyDescent="0.25">
      <c r="A1632" t="s">
        <v>5766</v>
      </c>
      <c r="B1632" t="s">
        <v>4651</v>
      </c>
      <c r="C1632" s="1" t="s">
        <v>4725</v>
      </c>
      <c r="D1632" s="1" t="s">
        <v>10809</v>
      </c>
      <c r="E1632" t="s">
        <v>4726</v>
      </c>
      <c r="F1632" t="s">
        <v>10758</v>
      </c>
      <c r="G1632" t="s">
        <v>10810</v>
      </c>
      <c r="H1632" t="s">
        <v>10811</v>
      </c>
      <c r="I1632" t="s">
        <v>7028</v>
      </c>
      <c r="J1632" t="s">
        <v>10641</v>
      </c>
      <c r="K1632" t="s">
        <v>10642</v>
      </c>
      <c r="L1632" t="s">
        <v>5806</v>
      </c>
    </row>
    <row r="1633" spans="1:12" x14ac:dyDescent="0.25">
      <c r="A1633" t="s">
        <v>5766</v>
      </c>
      <c r="B1633" t="s">
        <v>4651</v>
      </c>
      <c r="C1633" s="1" t="s">
        <v>317</v>
      </c>
      <c r="D1633" s="1" t="s">
        <v>6141</v>
      </c>
      <c r="E1633" t="s">
        <v>318</v>
      </c>
      <c r="F1633" t="s">
        <v>10812</v>
      </c>
      <c r="G1633" t="s">
        <v>6142</v>
      </c>
      <c r="H1633" t="s">
        <v>10813</v>
      </c>
      <c r="I1633" t="s">
        <v>6169</v>
      </c>
      <c r="J1633" t="s">
        <v>10641</v>
      </c>
      <c r="K1633" t="s">
        <v>10642</v>
      </c>
      <c r="L1633" t="s">
        <v>5806</v>
      </c>
    </row>
    <row r="1634" spans="1:12" x14ac:dyDescent="0.25">
      <c r="A1634" t="s">
        <v>5766</v>
      </c>
      <c r="B1634" t="s">
        <v>4651</v>
      </c>
      <c r="C1634" s="1" t="s">
        <v>323</v>
      </c>
      <c r="D1634" s="1" t="s">
        <v>2676</v>
      </c>
      <c r="E1634" t="s">
        <v>324</v>
      </c>
      <c r="F1634" t="s">
        <v>10814</v>
      </c>
      <c r="G1634" t="s">
        <v>6151</v>
      </c>
      <c r="H1634" t="s">
        <v>10815</v>
      </c>
      <c r="I1634" t="s">
        <v>10816</v>
      </c>
      <c r="J1634" t="s">
        <v>10641</v>
      </c>
      <c r="K1634" t="s">
        <v>10642</v>
      </c>
      <c r="L1634" t="s">
        <v>5806</v>
      </c>
    </row>
    <row r="1635" spans="1:12" x14ac:dyDescent="0.25">
      <c r="A1635" t="s">
        <v>5766</v>
      </c>
      <c r="B1635" t="s">
        <v>4651</v>
      </c>
      <c r="C1635" s="1" t="s">
        <v>3264</v>
      </c>
      <c r="D1635" s="1" t="s">
        <v>8654</v>
      </c>
      <c r="E1635" t="s">
        <v>3265</v>
      </c>
      <c r="F1635" t="s">
        <v>10403</v>
      </c>
      <c r="G1635" t="s">
        <v>8655</v>
      </c>
      <c r="H1635" t="s">
        <v>10817</v>
      </c>
      <c r="I1635" t="s">
        <v>5915</v>
      </c>
      <c r="J1635" t="s">
        <v>10641</v>
      </c>
      <c r="K1635" t="s">
        <v>10642</v>
      </c>
      <c r="L1635" t="s">
        <v>5806</v>
      </c>
    </row>
    <row r="1636" spans="1:12" x14ac:dyDescent="0.25">
      <c r="A1636" t="s">
        <v>5766</v>
      </c>
      <c r="B1636" t="s">
        <v>4651</v>
      </c>
      <c r="C1636" s="1" t="s">
        <v>3607</v>
      </c>
      <c r="D1636" s="1" t="s">
        <v>9182</v>
      </c>
      <c r="E1636" t="s">
        <v>3608</v>
      </c>
      <c r="F1636" t="s">
        <v>8687</v>
      </c>
      <c r="G1636" t="s">
        <v>9184</v>
      </c>
      <c r="H1636" t="s">
        <v>10818</v>
      </c>
      <c r="I1636" t="s">
        <v>10819</v>
      </c>
      <c r="J1636" t="s">
        <v>10641</v>
      </c>
      <c r="K1636" t="s">
        <v>10642</v>
      </c>
      <c r="L1636" t="s">
        <v>5806</v>
      </c>
    </row>
    <row r="1637" spans="1:12" x14ac:dyDescent="0.25">
      <c r="A1637" t="s">
        <v>5766</v>
      </c>
      <c r="B1637" t="s">
        <v>4651</v>
      </c>
      <c r="C1637" s="1" t="s">
        <v>329</v>
      </c>
      <c r="D1637" s="1" t="s">
        <v>6158</v>
      </c>
      <c r="E1637" t="s">
        <v>330</v>
      </c>
      <c r="F1637" t="s">
        <v>6080</v>
      </c>
      <c r="G1637" t="s">
        <v>6159</v>
      </c>
      <c r="H1637" t="s">
        <v>10820</v>
      </c>
      <c r="I1637" t="s">
        <v>7010</v>
      </c>
      <c r="J1637" t="s">
        <v>10641</v>
      </c>
      <c r="K1637" t="s">
        <v>10642</v>
      </c>
      <c r="L1637" t="s">
        <v>5806</v>
      </c>
    </row>
    <row r="1638" spans="1:12" x14ac:dyDescent="0.25">
      <c r="A1638" t="s">
        <v>5766</v>
      </c>
      <c r="B1638" t="s">
        <v>4651</v>
      </c>
      <c r="C1638" s="1" t="s">
        <v>3267</v>
      </c>
      <c r="D1638" s="1" t="s">
        <v>8658</v>
      </c>
      <c r="E1638" t="s">
        <v>3268</v>
      </c>
      <c r="F1638" t="s">
        <v>10703</v>
      </c>
      <c r="G1638" t="s">
        <v>8660</v>
      </c>
      <c r="H1638" t="s">
        <v>10821</v>
      </c>
      <c r="I1638" t="s">
        <v>7638</v>
      </c>
      <c r="J1638" t="s">
        <v>10641</v>
      </c>
      <c r="K1638" t="s">
        <v>10642</v>
      </c>
      <c r="L1638" t="s">
        <v>5806</v>
      </c>
    </row>
    <row r="1639" spans="1:12" x14ac:dyDescent="0.25">
      <c r="A1639" t="s">
        <v>5766</v>
      </c>
      <c r="B1639" t="s">
        <v>4651</v>
      </c>
      <c r="C1639" s="1" t="s">
        <v>3537</v>
      </c>
      <c r="D1639" s="1" t="s">
        <v>9034</v>
      </c>
      <c r="E1639" t="s">
        <v>3538</v>
      </c>
      <c r="F1639" t="s">
        <v>10822</v>
      </c>
      <c r="G1639" t="s">
        <v>9036</v>
      </c>
      <c r="H1639" t="s">
        <v>10823</v>
      </c>
      <c r="I1639" t="s">
        <v>8840</v>
      </c>
      <c r="J1639" t="s">
        <v>10641</v>
      </c>
      <c r="K1639" t="s">
        <v>10642</v>
      </c>
      <c r="L1639" t="s">
        <v>5806</v>
      </c>
    </row>
    <row r="1640" spans="1:12" x14ac:dyDescent="0.25">
      <c r="A1640" t="s">
        <v>5766</v>
      </c>
      <c r="B1640" t="s">
        <v>4651</v>
      </c>
      <c r="C1640" s="1" t="s">
        <v>4728</v>
      </c>
      <c r="D1640" s="1" t="s">
        <v>10824</v>
      </c>
      <c r="E1640" t="s">
        <v>4729</v>
      </c>
      <c r="F1640" t="s">
        <v>10639</v>
      </c>
      <c r="G1640" t="s">
        <v>10825</v>
      </c>
      <c r="H1640" t="s">
        <v>10826</v>
      </c>
      <c r="I1640" t="s">
        <v>5864</v>
      </c>
      <c r="J1640" t="s">
        <v>10641</v>
      </c>
      <c r="K1640" t="s">
        <v>10642</v>
      </c>
      <c r="L1640" t="s">
        <v>5806</v>
      </c>
    </row>
    <row r="1641" spans="1:12" x14ac:dyDescent="0.25">
      <c r="A1641" t="s">
        <v>5766</v>
      </c>
      <c r="B1641" t="s">
        <v>4651</v>
      </c>
      <c r="C1641" s="1" t="s">
        <v>4731</v>
      </c>
      <c r="D1641" s="1" t="s">
        <v>10827</v>
      </c>
      <c r="E1641" t="s">
        <v>4732</v>
      </c>
      <c r="F1641" t="s">
        <v>10828</v>
      </c>
      <c r="G1641" t="s">
        <v>10829</v>
      </c>
      <c r="H1641" t="s">
        <v>10830</v>
      </c>
      <c r="I1641" t="s">
        <v>7861</v>
      </c>
      <c r="J1641" t="s">
        <v>10641</v>
      </c>
      <c r="K1641" t="s">
        <v>10642</v>
      </c>
      <c r="L1641" t="s">
        <v>5806</v>
      </c>
    </row>
    <row r="1642" spans="1:12" x14ac:dyDescent="0.25">
      <c r="A1642" t="s">
        <v>5766</v>
      </c>
      <c r="B1642" t="s">
        <v>4651</v>
      </c>
      <c r="C1642" s="1" t="s">
        <v>4734</v>
      </c>
      <c r="D1642" s="1" t="s">
        <v>10831</v>
      </c>
      <c r="E1642" t="s">
        <v>4735</v>
      </c>
      <c r="F1642" t="s">
        <v>5861</v>
      </c>
      <c r="G1642" t="s">
        <v>10832</v>
      </c>
      <c r="H1642" t="s">
        <v>10833</v>
      </c>
      <c r="I1642" t="s">
        <v>6169</v>
      </c>
      <c r="J1642" t="s">
        <v>10641</v>
      </c>
      <c r="K1642" t="s">
        <v>10642</v>
      </c>
      <c r="L1642" t="s">
        <v>5806</v>
      </c>
    </row>
    <row r="1643" spans="1:12" x14ac:dyDescent="0.25">
      <c r="A1643" t="s">
        <v>5766</v>
      </c>
      <c r="B1643" t="s">
        <v>4651</v>
      </c>
      <c r="C1643" s="1" t="s">
        <v>3613</v>
      </c>
      <c r="D1643" s="1" t="s">
        <v>9196</v>
      </c>
      <c r="E1643" t="s">
        <v>3614</v>
      </c>
      <c r="F1643" t="s">
        <v>10659</v>
      </c>
      <c r="G1643" t="s">
        <v>9198</v>
      </c>
      <c r="H1643" t="s">
        <v>10834</v>
      </c>
      <c r="I1643" t="s">
        <v>6018</v>
      </c>
      <c r="J1643" t="s">
        <v>10641</v>
      </c>
      <c r="K1643" t="s">
        <v>10642</v>
      </c>
      <c r="L1643" t="s">
        <v>5806</v>
      </c>
    </row>
    <row r="1644" spans="1:12" x14ac:dyDescent="0.25">
      <c r="A1644" t="s">
        <v>5766</v>
      </c>
      <c r="B1644" t="s">
        <v>4651</v>
      </c>
      <c r="C1644" s="1" t="s">
        <v>4540</v>
      </c>
      <c r="D1644" s="1" t="s">
        <v>10485</v>
      </c>
      <c r="E1644" t="s">
        <v>4541</v>
      </c>
      <c r="F1644" t="s">
        <v>7989</v>
      </c>
      <c r="G1644" t="s">
        <v>10486</v>
      </c>
      <c r="H1644" t="s">
        <v>10835</v>
      </c>
      <c r="I1644" t="s">
        <v>6909</v>
      </c>
      <c r="J1644" t="s">
        <v>10641</v>
      </c>
      <c r="K1644" t="s">
        <v>10642</v>
      </c>
      <c r="L1644" t="s">
        <v>5806</v>
      </c>
    </row>
    <row r="1645" spans="1:12" x14ac:dyDescent="0.25">
      <c r="A1645" t="s">
        <v>5766</v>
      </c>
      <c r="B1645" t="s">
        <v>4651</v>
      </c>
      <c r="C1645" s="1" t="s">
        <v>4737</v>
      </c>
      <c r="D1645" s="1" t="s">
        <v>10836</v>
      </c>
      <c r="E1645" t="s">
        <v>4738</v>
      </c>
      <c r="F1645" t="s">
        <v>10837</v>
      </c>
      <c r="G1645" t="s">
        <v>10838</v>
      </c>
      <c r="H1645" t="s">
        <v>10839</v>
      </c>
      <c r="I1645" t="s">
        <v>7609</v>
      </c>
      <c r="J1645" t="s">
        <v>10641</v>
      </c>
      <c r="K1645" t="s">
        <v>10642</v>
      </c>
      <c r="L1645" t="s">
        <v>5806</v>
      </c>
    </row>
    <row r="1646" spans="1:12" x14ac:dyDescent="0.25">
      <c r="A1646" t="s">
        <v>5766</v>
      </c>
      <c r="B1646" t="s">
        <v>4651</v>
      </c>
      <c r="C1646" s="1" t="s">
        <v>344</v>
      </c>
      <c r="D1646" s="1" t="s">
        <v>6177</v>
      </c>
      <c r="E1646" t="s">
        <v>345</v>
      </c>
      <c r="F1646" t="s">
        <v>10840</v>
      </c>
      <c r="G1646" t="s">
        <v>6178</v>
      </c>
      <c r="H1646" t="s">
        <v>10841</v>
      </c>
      <c r="I1646" t="s">
        <v>7332</v>
      </c>
      <c r="J1646" t="s">
        <v>10641</v>
      </c>
      <c r="K1646" t="s">
        <v>10642</v>
      </c>
      <c r="L1646" t="s">
        <v>5806</v>
      </c>
    </row>
    <row r="1647" spans="1:12" x14ac:dyDescent="0.25">
      <c r="A1647" t="s">
        <v>5766</v>
      </c>
      <c r="B1647" t="s">
        <v>4651</v>
      </c>
      <c r="C1647" s="1" t="s">
        <v>4740</v>
      </c>
      <c r="D1647" s="1" t="s">
        <v>10842</v>
      </c>
      <c r="E1647" t="s">
        <v>4741</v>
      </c>
      <c r="F1647" t="s">
        <v>10843</v>
      </c>
      <c r="G1647" t="s">
        <v>10844</v>
      </c>
      <c r="H1647" t="s">
        <v>10845</v>
      </c>
      <c r="I1647" t="s">
        <v>6008</v>
      </c>
      <c r="J1647" t="s">
        <v>10641</v>
      </c>
      <c r="K1647" t="s">
        <v>10642</v>
      </c>
      <c r="L1647" t="s">
        <v>5806</v>
      </c>
    </row>
    <row r="1648" spans="1:12" x14ac:dyDescent="0.25">
      <c r="A1648" t="s">
        <v>5766</v>
      </c>
      <c r="B1648" t="s">
        <v>4651</v>
      </c>
      <c r="C1648" s="1" t="s">
        <v>347</v>
      </c>
      <c r="D1648" s="1" t="s">
        <v>6180</v>
      </c>
      <c r="E1648" t="s">
        <v>348</v>
      </c>
      <c r="F1648" t="s">
        <v>10846</v>
      </c>
      <c r="G1648" t="s">
        <v>6182</v>
      </c>
      <c r="H1648" t="s">
        <v>10847</v>
      </c>
      <c r="I1648" t="s">
        <v>6909</v>
      </c>
      <c r="J1648" t="s">
        <v>10641</v>
      </c>
      <c r="K1648" t="s">
        <v>10642</v>
      </c>
      <c r="L1648" t="s">
        <v>5806</v>
      </c>
    </row>
    <row r="1649" spans="1:12" x14ac:dyDescent="0.25">
      <c r="A1649" t="s">
        <v>5766</v>
      </c>
      <c r="B1649" t="s">
        <v>4651</v>
      </c>
      <c r="C1649" s="1" t="s">
        <v>4743</v>
      </c>
      <c r="D1649" s="1" t="s">
        <v>10848</v>
      </c>
      <c r="E1649" t="s">
        <v>4744</v>
      </c>
      <c r="F1649" t="s">
        <v>10785</v>
      </c>
      <c r="G1649" t="s">
        <v>10849</v>
      </c>
      <c r="H1649" t="s">
        <v>10850</v>
      </c>
      <c r="I1649" t="s">
        <v>6173</v>
      </c>
      <c r="J1649" t="s">
        <v>10641</v>
      </c>
      <c r="K1649" t="s">
        <v>10642</v>
      </c>
      <c r="L1649" t="s">
        <v>5806</v>
      </c>
    </row>
    <row r="1650" spans="1:12" x14ac:dyDescent="0.25">
      <c r="A1650" t="s">
        <v>5766</v>
      </c>
      <c r="B1650" t="s">
        <v>4651</v>
      </c>
      <c r="C1650" s="1" t="s">
        <v>3623</v>
      </c>
      <c r="D1650" s="1" t="s">
        <v>9212</v>
      </c>
      <c r="E1650" t="s">
        <v>3624</v>
      </c>
      <c r="F1650" t="s">
        <v>10639</v>
      </c>
      <c r="G1650" t="s">
        <v>9214</v>
      </c>
      <c r="H1650" t="s">
        <v>10851</v>
      </c>
      <c r="I1650" t="s">
        <v>7028</v>
      </c>
      <c r="J1650" t="s">
        <v>10641</v>
      </c>
      <c r="K1650" t="s">
        <v>10642</v>
      </c>
      <c r="L1650" t="s">
        <v>5806</v>
      </c>
    </row>
    <row r="1651" spans="1:12" x14ac:dyDescent="0.25">
      <c r="A1651" t="s">
        <v>5766</v>
      </c>
      <c r="B1651" t="s">
        <v>4651</v>
      </c>
      <c r="C1651" s="1" t="s">
        <v>359</v>
      </c>
      <c r="D1651" s="1" t="s">
        <v>6197</v>
      </c>
      <c r="E1651" t="s">
        <v>361</v>
      </c>
      <c r="F1651" t="s">
        <v>10758</v>
      </c>
      <c r="G1651" t="s">
        <v>6198</v>
      </c>
      <c r="H1651" t="s">
        <v>10852</v>
      </c>
      <c r="I1651" t="s">
        <v>5979</v>
      </c>
      <c r="J1651" t="s">
        <v>10641</v>
      </c>
      <c r="K1651" t="s">
        <v>10642</v>
      </c>
      <c r="L1651" t="s">
        <v>5806</v>
      </c>
    </row>
    <row r="1652" spans="1:12" x14ac:dyDescent="0.25">
      <c r="A1652" t="s">
        <v>5766</v>
      </c>
      <c r="B1652" t="s">
        <v>4651</v>
      </c>
      <c r="C1652" s="1" t="s">
        <v>4746</v>
      </c>
      <c r="D1652" s="1" t="s">
        <v>10853</v>
      </c>
      <c r="E1652" t="s">
        <v>4747</v>
      </c>
      <c r="F1652" t="s">
        <v>10798</v>
      </c>
      <c r="G1652" t="s">
        <v>10854</v>
      </c>
      <c r="H1652" t="s">
        <v>10855</v>
      </c>
      <c r="I1652" t="s">
        <v>6909</v>
      </c>
      <c r="J1652" t="s">
        <v>10641</v>
      </c>
      <c r="K1652" t="s">
        <v>10642</v>
      </c>
      <c r="L1652" t="s">
        <v>5806</v>
      </c>
    </row>
    <row r="1653" spans="1:12" x14ac:dyDescent="0.25">
      <c r="A1653" t="s">
        <v>5766</v>
      </c>
      <c r="B1653" t="s">
        <v>4651</v>
      </c>
      <c r="C1653" s="1" t="s">
        <v>748</v>
      </c>
      <c r="D1653" s="1" t="s">
        <v>6799</v>
      </c>
      <c r="E1653" t="s">
        <v>749</v>
      </c>
      <c r="F1653" t="s">
        <v>8053</v>
      </c>
      <c r="G1653" t="s">
        <v>6801</v>
      </c>
      <c r="H1653" t="s">
        <v>10856</v>
      </c>
      <c r="I1653" t="s">
        <v>7447</v>
      </c>
      <c r="J1653" t="s">
        <v>10641</v>
      </c>
      <c r="K1653" t="s">
        <v>10642</v>
      </c>
      <c r="L1653" t="s">
        <v>5806</v>
      </c>
    </row>
    <row r="1654" spans="1:12" x14ac:dyDescent="0.25">
      <c r="A1654" t="s">
        <v>5766</v>
      </c>
      <c r="B1654" t="s">
        <v>4651</v>
      </c>
      <c r="C1654" s="1" t="s">
        <v>199</v>
      </c>
      <c r="D1654" s="1" t="s">
        <v>5961</v>
      </c>
      <c r="E1654" t="s">
        <v>200</v>
      </c>
      <c r="F1654" t="s">
        <v>10789</v>
      </c>
      <c r="G1654" t="s">
        <v>5963</v>
      </c>
      <c r="H1654" t="s">
        <v>10857</v>
      </c>
      <c r="I1654" t="s">
        <v>6219</v>
      </c>
      <c r="J1654" t="s">
        <v>10641</v>
      </c>
      <c r="K1654" t="s">
        <v>10642</v>
      </c>
      <c r="L1654" t="s">
        <v>5806</v>
      </c>
    </row>
    <row r="1655" spans="1:12" x14ac:dyDescent="0.25">
      <c r="A1655" t="s">
        <v>5766</v>
      </c>
      <c r="B1655" t="s">
        <v>4651</v>
      </c>
      <c r="C1655" s="1" t="s">
        <v>4749</v>
      </c>
      <c r="D1655" s="1" t="s">
        <v>10858</v>
      </c>
      <c r="E1655" t="s">
        <v>4750</v>
      </c>
      <c r="F1655" t="s">
        <v>10798</v>
      </c>
      <c r="G1655" t="s">
        <v>10859</v>
      </c>
      <c r="H1655" t="s">
        <v>10860</v>
      </c>
      <c r="I1655" t="s">
        <v>7003</v>
      </c>
      <c r="J1655" t="s">
        <v>10641</v>
      </c>
      <c r="K1655" t="s">
        <v>10642</v>
      </c>
      <c r="L1655" t="s">
        <v>5806</v>
      </c>
    </row>
    <row r="1656" spans="1:12" x14ac:dyDescent="0.25">
      <c r="A1656" t="s">
        <v>5766</v>
      </c>
      <c r="B1656" t="s">
        <v>4651</v>
      </c>
      <c r="C1656" s="1" t="s">
        <v>4752</v>
      </c>
      <c r="D1656" s="1" t="s">
        <v>5158</v>
      </c>
      <c r="E1656" t="s">
        <v>4753</v>
      </c>
      <c r="F1656" t="s">
        <v>10792</v>
      </c>
      <c r="G1656" t="s">
        <v>10861</v>
      </c>
      <c r="H1656" t="s">
        <v>10862</v>
      </c>
      <c r="I1656" t="s">
        <v>7861</v>
      </c>
      <c r="J1656" t="s">
        <v>10641</v>
      </c>
      <c r="K1656" t="s">
        <v>10642</v>
      </c>
      <c r="L1656" t="s">
        <v>5806</v>
      </c>
    </row>
    <row r="1657" spans="1:12" x14ac:dyDescent="0.25">
      <c r="A1657" t="s">
        <v>5766</v>
      </c>
      <c r="B1657" t="s">
        <v>4651</v>
      </c>
      <c r="C1657" s="1" t="s">
        <v>754</v>
      </c>
      <c r="D1657" s="1" t="s">
        <v>2683</v>
      </c>
      <c r="E1657" t="s">
        <v>755</v>
      </c>
      <c r="F1657" t="s">
        <v>10863</v>
      </c>
      <c r="G1657" t="s">
        <v>6809</v>
      </c>
      <c r="H1657" t="s">
        <v>10864</v>
      </c>
      <c r="I1657" t="s">
        <v>10865</v>
      </c>
      <c r="J1657" t="s">
        <v>10641</v>
      </c>
      <c r="K1657" t="s">
        <v>10642</v>
      </c>
      <c r="L1657" t="s">
        <v>5806</v>
      </c>
    </row>
    <row r="1658" spans="1:12" x14ac:dyDescent="0.25">
      <c r="A1658" t="s">
        <v>5766</v>
      </c>
      <c r="B1658" t="s">
        <v>4651</v>
      </c>
      <c r="C1658" s="1" t="s">
        <v>4755</v>
      </c>
      <c r="D1658" s="1" t="s">
        <v>10866</v>
      </c>
      <c r="E1658" t="s">
        <v>4756</v>
      </c>
      <c r="F1658" t="s">
        <v>6122</v>
      </c>
      <c r="G1658" t="s">
        <v>10867</v>
      </c>
      <c r="H1658" t="s">
        <v>10868</v>
      </c>
      <c r="I1658" t="s">
        <v>7332</v>
      </c>
      <c r="J1658" t="s">
        <v>10641</v>
      </c>
      <c r="K1658" t="s">
        <v>10642</v>
      </c>
      <c r="L1658" t="s">
        <v>5806</v>
      </c>
    </row>
    <row r="1659" spans="1:12" x14ac:dyDescent="0.25">
      <c r="A1659" t="s">
        <v>5766</v>
      </c>
      <c r="B1659" t="s">
        <v>4651</v>
      </c>
      <c r="C1659" s="1" t="s">
        <v>366</v>
      </c>
      <c r="D1659" s="1" t="s">
        <v>6204</v>
      </c>
      <c r="E1659" t="s">
        <v>367</v>
      </c>
      <c r="F1659" t="s">
        <v>5866</v>
      </c>
      <c r="G1659" t="s">
        <v>6206</v>
      </c>
      <c r="H1659" t="s">
        <v>10869</v>
      </c>
      <c r="I1659" t="s">
        <v>6165</v>
      </c>
      <c r="J1659" t="s">
        <v>10641</v>
      </c>
      <c r="K1659" t="s">
        <v>10642</v>
      </c>
      <c r="L1659" t="s">
        <v>5806</v>
      </c>
    </row>
    <row r="1660" spans="1:12" x14ac:dyDescent="0.25">
      <c r="A1660" t="s">
        <v>5766</v>
      </c>
      <c r="B1660" t="s">
        <v>4651</v>
      </c>
      <c r="C1660" s="1" t="s">
        <v>372</v>
      </c>
      <c r="D1660" s="1" t="s">
        <v>6213</v>
      </c>
      <c r="E1660" t="s">
        <v>373</v>
      </c>
      <c r="F1660" t="s">
        <v>5861</v>
      </c>
      <c r="G1660" t="s">
        <v>6214</v>
      </c>
      <c r="H1660" t="s">
        <v>10870</v>
      </c>
      <c r="I1660" t="s">
        <v>7861</v>
      </c>
      <c r="J1660" t="s">
        <v>10641</v>
      </c>
      <c r="K1660" t="s">
        <v>10642</v>
      </c>
      <c r="L1660" t="s">
        <v>5806</v>
      </c>
    </row>
    <row r="1661" spans="1:12" x14ac:dyDescent="0.25">
      <c r="A1661" t="s">
        <v>5766</v>
      </c>
      <c r="B1661" t="s">
        <v>4651</v>
      </c>
      <c r="C1661" s="1" t="s">
        <v>4758</v>
      </c>
      <c r="D1661" s="1" t="s">
        <v>10871</v>
      </c>
      <c r="E1661" t="s">
        <v>4759</v>
      </c>
      <c r="F1661" t="s">
        <v>10712</v>
      </c>
      <c r="G1661" t="s">
        <v>10872</v>
      </c>
      <c r="H1661" t="s">
        <v>10873</v>
      </c>
      <c r="I1661" t="s">
        <v>7609</v>
      </c>
      <c r="J1661" t="s">
        <v>10641</v>
      </c>
      <c r="K1661" t="s">
        <v>10642</v>
      </c>
      <c r="L1661" t="s">
        <v>5806</v>
      </c>
    </row>
    <row r="1662" spans="1:12" x14ac:dyDescent="0.25">
      <c r="A1662" t="s">
        <v>5766</v>
      </c>
      <c r="B1662" t="s">
        <v>4651</v>
      </c>
      <c r="C1662" s="1" t="s">
        <v>375</v>
      </c>
      <c r="D1662" s="1" t="s">
        <v>6216</v>
      </c>
      <c r="E1662" t="s">
        <v>376</v>
      </c>
      <c r="F1662" t="s">
        <v>10389</v>
      </c>
      <c r="G1662" t="s">
        <v>6217</v>
      </c>
      <c r="H1662" t="s">
        <v>10874</v>
      </c>
      <c r="I1662" t="s">
        <v>7188</v>
      </c>
      <c r="J1662" t="s">
        <v>10641</v>
      </c>
      <c r="K1662" t="s">
        <v>10642</v>
      </c>
      <c r="L1662" t="s">
        <v>5806</v>
      </c>
    </row>
    <row r="1663" spans="1:12" x14ac:dyDescent="0.25">
      <c r="A1663" t="s">
        <v>5766</v>
      </c>
      <c r="B1663" t="s">
        <v>4651</v>
      </c>
      <c r="C1663" s="1" t="s">
        <v>4761</v>
      </c>
      <c r="D1663" s="1" t="s">
        <v>10875</v>
      </c>
      <c r="E1663" t="s">
        <v>4762</v>
      </c>
      <c r="F1663" t="s">
        <v>10876</v>
      </c>
      <c r="G1663" t="s">
        <v>10877</v>
      </c>
      <c r="H1663" t="s">
        <v>10878</v>
      </c>
      <c r="I1663" t="s">
        <v>6909</v>
      </c>
      <c r="J1663" t="s">
        <v>10641</v>
      </c>
      <c r="K1663" t="s">
        <v>10642</v>
      </c>
      <c r="L1663" t="s">
        <v>5806</v>
      </c>
    </row>
    <row r="1664" spans="1:12" x14ac:dyDescent="0.25">
      <c r="A1664" t="s">
        <v>5766</v>
      </c>
      <c r="B1664" t="s">
        <v>4651</v>
      </c>
      <c r="C1664" s="1" t="s">
        <v>387</v>
      </c>
      <c r="D1664" s="1" t="s">
        <v>6230</v>
      </c>
      <c r="E1664" t="s">
        <v>388</v>
      </c>
      <c r="F1664" t="s">
        <v>10879</v>
      </c>
      <c r="G1664" t="s">
        <v>6232</v>
      </c>
      <c r="H1664" t="s">
        <v>10880</v>
      </c>
      <c r="I1664" t="s">
        <v>7028</v>
      </c>
      <c r="J1664" t="s">
        <v>10641</v>
      </c>
      <c r="K1664" t="s">
        <v>10642</v>
      </c>
      <c r="L1664" t="s">
        <v>5806</v>
      </c>
    </row>
    <row r="1665" spans="1:13" x14ac:dyDescent="0.25">
      <c r="A1665" t="s">
        <v>5766</v>
      </c>
      <c r="B1665" t="s">
        <v>4651</v>
      </c>
      <c r="C1665" s="1" t="s">
        <v>52</v>
      </c>
      <c r="D1665" s="1" t="s">
        <v>52</v>
      </c>
      <c r="E1665" t="s">
        <v>5767</v>
      </c>
      <c r="F1665" t="s">
        <v>10881</v>
      </c>
      <c r="G1665" t="s">
        <v>5769</v>
      </c>
      <c r="H1665" t="s">
        <v>10882</v>
      </c>
      <c r="I1665" t="s">
        <v>10883</v>
      </c>
      <c r="J1665" t="s">
        <v>10641</v>
      </c>
      <c r="K1665" t="s">
        <v>10642</v>
      </c>
      <c r="L1665" t="s">
        <v>5806</v>
      </c>
      <c r="M1665" t="s">
        <v>65</v>
      </c>
    </row>
    <row r="1666" spans="1:13" x14ac:dyDescent="0.25">
      <c r="A1666" t="s">
        <v>5766</v>
      </c>
      <c r="B1666" t="s">
        <v>4763</v>
      </c>
      <c r="C1666" s="1" t="s">
        <v>4765</v>
      </c>
      <c r="D1666" s="1" t="s">
        <v>10884</v>
      </c>
      <c r="E1666" t="s">
        <v>4766</v>
      </c>
      <c r="F1666" t="s">
        <v>10885</v>
      </c>
      <c r="G1666" t="s">
        <v>10886</v>
      </c>
      <c r="H1666" t="s">
        <v>10887</v>
      </c>
      <c r="I1666" t="s">
        <v>6008</v>
      </c>
      <c r="J1666" t="s">
        <v>10888</v>
      </c>
      <c r="K1666" t="s">
        <v>7993</v>
      </c>
      <c r="L1666" t="s">
        <v>7994</v>
      </c>
    </row>
    <row r="1667" spans="1:13" x14ac:dyDescent="0.25">
      <c r="A1667" t="s">
        <v>5766</v>
      </c>
      <c r="B1667" t="s">
        <v>4763</v>
      </c>
      <c r="C1667" s="1" t="s">
        <v>4768</v>
      </c>
      <c r="D1667" s="1" t="s">
        <v>10889</v>
      </c>
      <c r="E1667" t="s">
        <v>4769</v>
      </c>
      <c r="F1667" t="s">
        <v>10890</v>
      </c>
      <c r="G1667" t="s">
        <v>10891</v>
      </c>
      <c r="H1667" t="s">
        <v>10892</v>
      </c>
      <c r="I1667" t="s">
        <v>8503</v>
      </c>
      <c r="J1667" t="s">
        <v>10888</v>
      </c>
      <c r="K1667" t="s">
        <v>7993</v>
      </c>
      <c r="L1667" t="s">
        <v>7994</v>
      </c>
    </row>
    <row r="1668" spans="1:13" x14ac:dyDescent="0.25">
      <c r="A1668" t="s">
        <v>5766</v>
      </c>
      <c r="B1668" t="s">
        <v>4763</v>
      </c>
      <c r="C1668" s="1" t="s">
        <v>4771</v>
      </c>
      <c r="D1668" s="1" t="s">
        <v>10893</v>
      </c>
      <c r="E1668" t="s">
        <v>4772</v>
      </c>
      <c r="F1668" t="s">
        <v>10894</v>
      </c>
      <c r="G1668" t="s">
        <v>10895</v>
      </c>
      <c r="H1668" t="s">
        <v>10896</v>
      </c>
      <c r="I1668" t="s">
        <v>10897</v>
      </c>
      <c r="J1668" t="s">
        <v>10888</v>
      </c>
      <c r="K1668" t="s">
        <v>7993</v>
      </c>
      <c r="L1668" t="s">
        <v>7994</v>
      </c>
    </row>
    <row r="1669" spans="1:13" x14ac:dyDescent="0.25">
      <c r="A1669" t="s">
        <v>5766</v>
      </c>
      <c r="B1669" t="s">
        <v>4763</v>
      </c>
      <c r="C1669" s="1" t="s">
        <v>4774</v>
      </c>
      <c r="D1669" s="1" t="s">
        <v>10898</v>
      </c>
      <c r="E1669" t="s">
        <v>4775</v>
      </c>
      <c r="F1669" t="s">
        <v>10899</v>
      </c>
      <c r="G1669" t="s">
        <v>10900</v>
      </c>
      <c r="H1669" t="s">
        <v>10901</v>
      </c>
      <c r="I1669" t="s">
        <v>10902</v>
      </c>
      <c r="J1669" t="s">
        <v>10888</v>
      </c>
      <c r="K1669" t="s">
        <v>7993</v>
      </c>
      <c r="L1669" t="s">
        <v>7994</v>
      </c>
    </row>
    <row r="1670" spans="1:13" x14ac:dyDescent="0.25">
      <c r="A1670" t="s">
        <v>5766</v>
      </c>
      <c r="B1670" t="s">
        <v>4763</v>
      </c>
      <c r="C1670" s="1" t="s">
        <v>4777</v>
      </c>
      <c r="D1670" s="1" t="s">
        <v>10903</v>
      </c>
      <c r="E1670" t="s">
        <v>4778</v>
      </c>
      <c r="F1670" t="s">
        <v>5949</v>
      </c>
      <c r="G1670" t="s">
        <v>10904</v>
      </c>
      <c r="H1670" t="s">
        <v>10905</v>
      </c>
      <c r="I1670" t="s">
        <v>9627</v>
      </c>
      <c r="J1670" t="s">
        <v>10888</v>
      </c>
      <c r="K1670" t="s">
        <v>7993</v>
      </c>
      <c r="L1670" t="s">
        <v>7994</v>
      </c>
    </row>
    <row r="1671" spans="1:13" x14ac:dyDescent="0.25">
      <c r="A1671" t="s">
        <v>5766</v>
      </c>
      <c r="B1671" t="s">
        <v>4763</v>
      </c>
      <c r="C1671" s="1" t="s">
        <v>4780</v>
      </c>
      <c r="D1671" s="1" t="s">
        <v>10906</v>
      </c>
      <c r="E1671" t="s">
        <v>4781</v>
      </c>
      <c r="F1671" t="s">
        <v>5949</v>
      </c>
      <c r="G1671" t="s">
        <v>10907</v>
      </c>
      <c r="H1671" t="s">
        <v>10908</v>
      </c>
      <c r="I1671" t="s">
        <v>10909</v>
      </c>
      <c r="J1671" t="s">
        <v>10888</v>
      </c>
      <c r="K1671" t="s">
        <v>7993</v>
      </c>
      <c r="L1671" t="s">
        <v>7994</v>
      </c>
    </row>
    <row r="1672" spans="1:13" x14ac:dyDescent="0.25">
      <c r="A1672" t="s">
        <v>5766</v>
      </c>
      <c r="B1672" t="s">
        <v>4763</v>
      </c>
      <c r="C1672" s="1" t="s">
        <v>4783</v>
      </c>
      <c r="D1672" s="1" t="s">
        <v>10910</v>
      </c>
      <c r="E1672" t="s">
        <v>4784</v>
      </c>
      <c r="F1672" t="s">
        <v>9482</v>
      </c>
      <c r="G1672" t="s">
        <v>10911</v>
      </c>
      <c r="H1672" t="s">
        <v>10912</v>
      </c>
      <c r="I1672" t="s">
        <v>6893</v>
      </c>
      <c r="J1672" t="s">
        <v>10888</v>
      </c>
      <c r="K1672" t="s">
        <v>7993</v>
      </c>
      <c r="L1672" t="s">
        <v>7994</v>
      </c>
    </row>
    <row r="1673" spans="1:13" x14ac:dyDescent="0.25">
      <c r="A1673" t="s">
        <v>5766</v>
      </c>
      <c r="B1673" t="s">
        <v>4763</v>
      </c>
      <c r="C1673" s="1" t="s">
        <v>4786</v>
      </c>
      <c r="D1673" s="1" t="s">
        <v>10913</v>
      </c>
      <c r="E1673" t="s">
        <v>4787</v>
      </c>
      <c r="F1673" t="s">
        <v>5940</v>
      </c>
      <c r="G1673" t="s">
        <v>10914</v>
      </c>
      <c r="H1673" t="s">
        <v>10915</v>
      </c>
      <c r="I1673" t="s">
        <v>10500</v>
      </c>
      <c r="J1673" t="s">
        <v>10888</v>
      </c>
      <c r="K1673" t="s">
        <v>7993</v>
      </c>
      <c r="L1673" t="s">
        <v>7994</v>
      </c>
    </row>
    <row r="1674" spans="1:13" x14ac:dyDescent="0.25">
      <c r="A1674" t="s">
        <v>5766</v>
      </c>
      <c r="B1674" t="s">
        <v>4763</v>
      </c>
      <c r="C1674" s="1" t="s">
        <v>78</v>
      </c>
      <c r="D1674" s="1" t="s">
        <v>5780</v>
      </c>
      <c r="E1674" t="s">
        <v>5781</v>
      </c>
      <c r="F1674" t="s">
        <v>10916</v>
      </c>
      <c r="G1674" t="s">
        <v>5783</v>
      </c>
      <c r="H1674" t="s">
        <v>10917</v>
      </c>
      <c r="I1674" t="s">
        <v>10111</v>
      </c>
      <c r="J1674" t="s">
        <v>10888</v>
      </c>
      <c r="K1674" t="s">
        <v>7993</v>
      </c>
      <c r="L1674" t="s">
        <v>7994</v>
      </c>
      <c r="M1674" t="s">
        <v>65</v>
      </c>
    </row>
    <row r="1675" spans="1:13" x14ac:dyDescent="0.25">
      <c r="A1675" t="s">
        <v>5766</v>
      </c>
      <c r="B1675" t="s">
        <v>4763</v>
      </c>
      <c r="C1675" s="1" t="s">
        <v>4789</v>
      </c>
      <c r="D1675" s="1" t="s">
        <v>10918</v>
      </c>
      <c r="E1675" t="s">
        <v>4791</v>
      </c>
      <c r="F1675" t="s">
        <v>10919</v>
      </c>
      <c r="G1675" t="s">
        <v>10920</v>
      </c>
      <c r="H1675" t="s">
        <v>10921</v>
      </c>
      <c r="I1675" t="s">
        <v>9387</v>
      </c>
      <c r="J1675" t="s">
        <v>10888</v>
      </c>
      <c r="K1675" t="s">
        <v>7993</v>
      </c>
      <c r="L1675" t="s">
        <v>7994</v>
      </c>
    </row>
    <row r="1676" spans="1:13" x14ac:dyDescent="0.25">
      <c r="A1676" t="s">
        <v>5766</v>
      </c>
      <c r="B1676" t="s">
        <v>4763</v>
      </c>
      <c r="C1676" s="1" t="s">
        <v>4793</v>
      </c>
      <c r="D1676" s="1" t="s">
        <v>10922</v>
      </c>
      <c r="E1676" t="s">
        <v>4794</v>
      </c>
      <c r="F1676" t="s">
        <v>9482</v>
      </c>
      <c r="G1676" t="s">
        <v>10923</v>
      </c>
      <c r="H1676" t="s">
        <v>10924</v>
      </c>
      <c r="I1676" t="s">
        <v>8482</v>
      </c>
      <c r="J1676" t="s">
        <v>10888</v>
      </c>
      <c r="K1676" t="s">
        <v>7993</v>
      </c>
      <c r="L1676" t="s">
        <v>7994</v>
      </c>
    </row>
    <row r="1677" spans="1:13" x14ac:dyDescent="0.25">
      <c r="A1677" t="s">
        <v>5766</v>
      </c>
      <c r="B1677" t="s">
        <v>4763</v>
      </c>
      <c r="C1677" s="1" t="s">
        <v>2733</v>
      </c>
      <c r="D1677" s="1" t="s">
        <v>8108</v>
      </c>
      <c r="E1677" t="s">
        <v>2734</v>
      </c>
      <c r="F1677" t="s">
        <v>10894</v>
      </c>
      <c r="G1677" t="s">
        <v>8109</v>
      </c>
      <c r="H1677" t="s">
        <v>10925</v>
      </c>
      <c r="I1677" t="s">
        <v>10926</v>
      </c>
      <c r="J1677" t="s">
        <v>10888</v>
      </c>
      <c r="K1677" t="s">
        <v>7993</v>
      </c>
      <c r="L1677" t="s">
        <v>7994</v>
      </c>
    </row>
    <row r="1678" spans="1:13" x14ac:dyDescent="0.25">
      <c r="A1678" t="s">
        <v>5766</v>
      </c>
      <c r="B1678" t="s">
        <v>4763</v>
      </c>
      <c r="C1678" s="1" t="s">
        <v>4796</v>
      </c>
      <c r="D1678" s="1" t="s">
        <v>10927</v>
      </c>
      <c r="E1678" t="s">
        <v>4797</v>
      </c>
      <c r="F1678" t="s">
        <v>10510</v>
      </c>
      <c r="G1678" t="s">
        <v>10928</v>
      </c>
      <c r="H1678" t="s">
        <v>10929</v>
      </c>
      <c r="I1678" t="s">
        <v>6468</v>
      </c>
      <c r="J1678" t="s">
        <v>10888</v>
      </c>
      <c r="K1678" t="s">
        <v>7993</v>
      </c>
      <c r="L1678" t="s">
        <v>7994</v>
      </c>
    </row>
    <row r="1679" spans="1:13" x14ac:dyDescent="0.25">
      <c r="A1679" t="s">
        <v>5766</v>
      </c>
      <c r="B1679" t="s">
        <v>4763</v>
      </c>
      <c r="C1679" s="1" t="s">
        <v>4799</v>
      </c>
      <c r="D1679" s="1" t="s">
        <v>10930</v>
      </c>
      <c r="E1679" t="s">
        <v>4800</v>
      </c>
      <c r="F1679" t="s">
        <v>10192</v>
      </c>
      <c r="G1679" t="s">
        <v>10931</v>
      </c>
      <c r="H1679" t="s">
        <v>10932</v>
      </c>
      <c r="I1679" t="s">
        <v>8482</v>
      </c>
      <c r="J1679" t="s">
        <v>10888</v>
      </c>
      <c r="K1679" t="s">
        <v>7993</v>
      </c>
      <c r="L1679" t="s">
        <v>7994</v>
      </c>
    </row>
    <row r="1680" spans="1:13" x14ac:dyDescent="0.25">
      <c r="A1680" t="s">
        <v>5766</v>
      </c>
      <c r="B1680" t="s">
        <v>4763</v>
      </c>
      <c r="C1680" s="1" t="s">
        <v>4802</v>
      </c>
      <c r="D1680" s="1" t="s">
        <v>10933</v>
      </c>
      <c r="E1680" t="s">
        <v>4803</v>
      </c>
      <c r="F1680" t="s">
        <v>10934</v>
      </c>
      <c r="G1680" t="s">
        <v>10935</v>
      </c>
      <c r="H1680" t="s">
        <v>10936</v>
      </c>
      <c r="I1680" t="s">
        <v>9610</v>
      </c>
      <c r="J1680" t="s">
        <v>10888</v>
      </c>
      <c r="K1680" t="s">
        <v>7993</v>
      </c>
      <c r="L1680" t="s">
        <v>7994</v>
      </c>
    </row>
    <row r="1681" spans="1:12" x14ac:dyDescent="0.25">
      <c r="A1681" t="s">
        <v>5766</v>
      </c>
      <c r="B1681" t="s">
        <v>4763</v>
      </c>
      <c r="C1681" s="1" t="s">
        <v>4805</v>
      </c>
      <c r="D1681" s="1" t="s">
        <v>10937</v>
      </c>
      <c r="E1681" t="s">
        <v>4806</v>
      </c>
      <c r="F1681" t="s">
        <v>6428</v>
      </c>
      <c r="G1681" t="s">
        <v>10938</v>
      </c>
      <c r="H1681" t="s">
        <v>10939</v>
      </c>
      <c r="I1681" t="s">
        <v>10940</v>
      </c>
      <c r="J1681" t="s">
        <v>10888</v>
      </c>
      <c r="K1681" t="s">
        <v>7993</v>
      </c>
      <c r="L1681" t="s">
        <v>7994</v>
      </c>
    </row>
    <row r="1682" spans="1:12" x14ac:dyDescent="0.25">
      <c r="A1682" t="s">
        <v>5766</v>
      </c>
      <c r="B1682" t="s">
        <v>4763</v>
      </c>
      <c r="C1682" s="1" t="s">
        <v>317</v>
      </c>
      <c r="D1682" s="1" t="s">
        <v>6141</v>
      </c>
      <c r="E1682" t="s">
        <v>318</v>
      </c>
      <c r="F1682" t="s">
        <v>10941</v>
      </c>
      <c r="G1682" t="s">
        <v>6142</v>
      </c>
      <c r="H1682" t="s">
        <v>10942</v>
      </c>
      <c r="I1682" t="s">
        <v>10242</v>
      </c>
      <c r="J1682" t="s">
        <v>10888</v>
      </c>
      <c r="K1682" t="s">
        <v>7993</v>
      </c>
      <c r="L1682" t="s">
        <v>7994</v>
      </c>
    </row>
    <row r="1683" spans="1:12" x14ac:dyDescent="0.25">
      <c r="A1683" t="s">
        <v>5766</v>
      </c>
      <c r="B1683" t="s">
        <v>4763</v>
      </c>
      <c r="C1683" s="1" t="s">
        <v>4808</v>
      </c>
      <c r="D1683" s="1" t="s">
        <v>10943</v>
      </c>
      <c r="E1683" t="s">
        <v>4809</v>
      </c>
      <c r="F1683" t="s">
        <v>10944</v>
      </c>
      <c r="G1683" t="s">
        <v>10945</v>
      </c>
      <c r="H1683" t="s">
        <v>10946</v>
      </c>
      <c r="I1683" t="s">
        <v>6326</v>
      </c>
      <c r="J1683" t="s">
        <v>10888</v>
      </c>
      <c r="K1683" t="s">
        <v>7993</v>
      </c>
      <c r="L1683" t="s">
        <v>7994</v>
      </c>
    </row>
    <row r="1684" spans="1:12" x14ac:dyDescent="0.25">
      <c r="A1684" t="s">
        <v>5766</v>
      </c>
      <c r="B1684" t="s">
        <v>4763</v>
      </c>
      <c r="C1684" s="1" t="s">
        <v>4811</v>
      </c>
      <c r="D1684" s="1" t="s">
        <v>10947</v>
      </c>
      <c r="E1684" t="s">
        <v>4812</v>
      </c>
      <c r="F1684" t="s">
        <v>10948</v>
      </c>
      <c r="G1684" t="s">
        <v>10949</v>
      </c>
      <c r="H1684" t="s">
        <v>10950</v>
      </c>
      <c r="I1684" t="s">
        <v>10951</v>
      </c>
      <c r="J1684" t="s">
        <v>10888</v>
      </c>
      <c r="K1684" t="s">
        <v>7993</v>
      </c>
      <c r="L1684" t="s">
        <v>7994</v>
      </c>
    </row>
    <row r="1685" spans="1:12" x14ac:dyDescent="0.25">
      <c r="A1685" t="s">
        <v>5766</v>
      </c>
      <c r="B1685" t="s">
        <v>4763</v>
      </c>
      <c r="C1685" s="1" t="s">
        <v>4814</v>
      </c>
      <c r="D1685" s="1" t="s">
        <v>4948</v>
      </c>
      <c r="E1685" t="s">
        <v>4815</v>
      </c>
      <c r="F1685" t="s">
        <v>10952</v>
      </c>
      <c r="G1685" t="s">
        <v>10953</v>
      </c>
      <c r="H1685" t="s">
        <v>10954</v>
      </c>
      <c r="I1685" t="s">
        <v>6226</v>
      </c>
      <c r="J1685" t="s">
        <v>10888</v>
      </c>
      <c r="K1685" t="s">
        <v>7993</v>
      </c>
      <c r="L1685" t="s">
        <v>7994</v>
      </c>
    </row>
    <row r="1686" spans="1:12" x14ac:dyDescent="0.25">
      <c r="A1686" t="s">
        <v>5766</v>
      </c>
      <c r="B1686" t="s">
        <v>4763</v>
      </c>
      <c r="C1686" s="1" t="s">
        <v>4817</v>
      </c>
      <c r="D1686" s="1" t="s">
        <v>10955</v>
      </c>
      <c r="E1686" t="s">
        <v>4818</v>
      </c>
      <c r="F1686" t="s">
        <v>10956</v>
      </c>
      <c r="G1686" t="s">
        <v>10957</v>
      </c>
      <c r="H1686" t="s">
        <v>10958</v>
      </c>
      <c r="I1686" t="s">
        <v>10959</v>
      </c>
      <c r="J1686" t="s">
        <v>10888</v>
      </c>
      <c r="K1686" t="s">
        <v>7993</v>
      </c>
      <c r="L1686" t="s">
        <v>7994</v>
      </c>
    </row>
    <row r="1687" spans="1:12" x14ac:dyDescent="0.25">
      <c r="A1687" t="s">
        <v>5766</v>
      </c>
      <c r="B1687" t="s">
        <v>4763</v>
      </c>
      <c r="C1687" s="1" t="s">
        <v>4820</v>
      </c>
      <c r="D1687" s="1" t="s">
        <v>10960</v>
      </c>
      <c r="E1687" t="s">
        <v>4821</v>
      </c>
      <c r="F1687" t="s">
        <v>10192</v>
      </c>
      <c r="G1687" t="s">
        <v>10961</v>
      </c>
      <c r="H1687" t="s">
        <v>10962</v>
      </c>
      <c r="I1687" t="s">
        <v>10963</v>
      </c>
      <c r="J1687" t="s">
        <v>10888</v>
      </c>
      <c r="K1687" t="s">
        <v>7993</v>
      </c>
      <c r="L1687" t="s">
        <v>7994</v>
      </c>
    </row>
    <row r="1688" spans="1:12" x14ac:dyDescent="0.25">
      <c r="A1688" t="s">
        <v>5766</v>
      </c>
      <c r="B1688" t="s">
        <v>4763</v>
      </c>
      <c r="C1688" s="1" t="s">
        <v>4823</v>
      </c>
      <c r="D1688" s="1" t="s">
        <v>10964</v>
      </c>
      <c r="E1688" t="s">
        <v>4824</v>
      </c>
      <c r="F1688" t="s">
        <v>10965</v>
      </c>
      <c r="G1688" t="s">
        <v>10966</v>
      </c>
      <c r="H1688" t="s">
        <v>10967</v>
      </c>
      <c r="I1688" t="s">
        <v>6101</v>
      </c>
      <c r="J1688" t="s">
        <v>10888</v>
      </c>
      <c r="K1688" t="s">
        <v>7993</v>
      </c>
      <c r="L1688" t="s">
        <v>7994</v>
      </c>
    </row>
    <row r="1689" spans="1:12" x14ac:dyDescent="0.25">
      <c r="A1689" t="s">
        <v>5766</v>
      </c>
      <c r="B1689" t="s">
        <v>4763</v>
      </c>
      <c r="C1689" s="1" t="s">
        <v>4749</v>
      </c>
      <c r="D1689" s="1" t="s">
        <v>10858</v>
      </c>
      <c r="E1689" t="s">
        <v>4750</v>
      </c>
      <c r="F1689" t="s">
        <v>9689</v>
      </c>
      <c r="G1689" t="s">
        <v>10859</v>
      </c>
      <c r="H1689" t="s">
        <v>10968</v>
      </c>
      <c r="I1689" t="s">
        <v>8041</v>
      </c>
      <c r="J1689" t="s">
        <v>10888</v>
      </c>
      <c r="K1689" t="s">
        <v>7993</v>
      </c>
      <c r="L1689" t="s">
        <v>7994</v>
      </c>
    </row>
    <row r="1690" spans="1:12" x14ac:dyDescent="0.25">
      <c r="A1690" t="s">
        <v>5766</v>
      </c>
      <c r="B1690" t="s">
        <v>4763</v>
      </c>
      <c r="C1690" s="1" t="s">
        <v>4826</v>
      </c>
      <c r="D1690" s="1" t="s">
        <v>10969</v>
      </c>
      <c r="E1690" t="s">
        <v>4828</v>
      </c>
      <c r="F1690" t="s">
        <v>10970</v>
      </c>
      <c r="G1690" t="s">
        <v>10971</v>
      </c>
      <c r="H1690" t="s">
        <v>10972</v>
      </c>
      <c r="I1690" t="s">
        <v>8863</v>
      </c>
      <c r="J1690" t="s">
        <v>10888</v>
      </c>
      <c r="K1690" t="s">
        <v>7993</v>
      </c>
      <c r="L1690" t="s">
        <v>7994</v>
      </c>
    </row>
    <row r="1691" spans="1:12" x14ac:dyDescent="0.25">
      <c r="A1691" t="s">
        <v>5766</v>
      </c>
      <c r="B1691" t="s">
        <v>4763</v>
      </c>
      <c r="C1691" s="1" t="s">
        <v>4830</v>
      </c>
      <c r="D1691" s="1" t="s">
        <v>10973</v>
      </c>
      <c r="E1691" t="s">
        <v>4831</v>
      </c>
      <c r="F1691" t="s">
        <v>10974</v>
      </c>
      <c r="G1691" t="s">
        <v>10975</v>
      </c>
      <c r="H1691" t="s">
        <v>10976</v>
      </c>
      <c r="I1691" t="s">
        <v>9057</v>
      </c>
      <c r="J1691" t="s">
        <v>10888</v>
      </c>
      <c r="K1691" t="s">
        <v>7993</v>
      </c>
      <c r="L1691" t="s">
        <v>7994</v>
      </c>
    </row>
    <row r="1692" spans="1:12" x14ac:dyDescent="0.25">
      <c r="A1692" t="s">
        <v>5766</v>
      </c>
      <c r="B1692" t="s">
        <v>4763</v>
      </c>
      <c r="C1692" s="1" t="s">
        <v>4833</v>
      </c>
      <c r="D1692" s="1" t="s">
        <v>10977</v>
      </c>
      <c r="E1692" t="s">
        <v>4834</v>
      </c>
      <c r="F1692" t="s">
        <v>6127</v>
      </c>
      <c r="G1692" t="s">
        <v>10978</v>
      </c>
      <c r="H1692" t="s">
        <v>10979</v>
      </c>
      <c r="I1692" t="s">
        <v>7335</v>
      </c>
      <c r="J1692" t="s">
        <v>10888</v>
      </c>
      <c r="K1692" t="s">
        <v>7993</v>
      </c>
      <c r="L1692" t="s">
        <v>7994</v>
      </c>
    </row>
    <row r="1693" spans="1:12" x14ac:dyDescent="0.25">
      <c r="A1693" t="s">
        <v>5766</v>
      </c>
      <c r="B1693" t="s">
        <v>4763</v>
      </c>
      <c r="C1693" s="1" t="s">
        <v>4836</v>
      </c>
      <c r="D1693" s="1" t="s">
        <v>10980</v>
      </c>
      <c r="E1693" t="s">
        <v>4837</v>
      </c>
      <c r="F1693" t="s">
        <v>9417</v>
      </c>
      <c r="G1693" t="s">
        <v>10981</v>
      </c>
      <c r="H1693" t="s">
        <v>10982</v>
      </c>
      <c r="I1693" t="s">
        <v>7377</v>
      </c>
      <c r="J1693" t="s">
        <v>10888</v>
      </c>
      <c r="K1693" t="s">
        <v>7993</v>
      </c>
      <c r="L1693" t="s">
        <v>7994</v>
      </c>
    </row>
    <row r="1694" spans="1:12" x14ac:dyDescent="0.25">
      <c r="A1694" t="s">
        <v>5766</v>
      </c>
      <c r="B1694" t="s">
        <v>4763</v>
      </c>
      <c r="C1694" s="1" t="s">
        <v>4839</v>
      </c>
      <c r="D1694" s="1" t="s">
        <v>10983</v>
      </c>
      <c r="E1694" t="s">
        <v>4840</v>
      </c>
      <c r="F1694" t="s">
        <v>10984</v>
      </c>
      <c r="G1694" t="s">
        <v>10985</v>
      </c>
      <c r="H1694" t="s">
        <v>10986</v>
      </c>
      <c r="I1694" t="s">
        <v>5938</v>
      </c>
      <c r="J1694" t="s">
        <v>10888</v>
      </c>
      <c r="K1694" t="s">
        <v>7993</v>
      </c>
      <c r="L1694" t="s">
        <v>7994</v>
      </c>
    </row>
    <row r="1695" spans="1:12" x14ac:dyDescent="0.25">
      <c r="A1695" t="s">
        <v>5766</v>
      </c>
      <c r="B1695" t="s">
        <v>4763</v>
      </c>
      <c r="C1695" s="1" t="s">
        <v>4842</v>
      </c>
      <c r="D1695" s="1" t="s">
        <v>10987</v>
      </c>
      <c r="E1695" t="s">
        <v>4843</v>
      </c>
      <c r="F1695" t="s">
        <v>9366</v>
      </c>
      <c r="G1695" t="s">
        <v>10988</v>
      </c>
      <c r="H1695" t="s">
        <v>10989</v>
      </c>
      <c r="I1695" t="s">
        <v>8632</v>
      </c>
      <c r="J1695" t="s">
        <v>10888</v>
      </c>
      <c r="K1695" t="s">
        <v>7993</v>
      </c>
      <c r="L1695" t="s">
        <v>7994</v>
      </c>
    </row>
    <row r="1696" spans="1:12" x14ac:dyDescent="0.25">
      <c r="A1696" t="s">
        <v>5766</v>
      </c>
      <c r="B1696" t="s">
        <v>4763</v>
      </c>
      <c r="C1696" s="1" t="s">
        <v>4845</v>
      </c>
      <c r="D1696" s="1" t="s">
        <v>10990</v>
      </c>
      <c r="E1696" t="s">
        <v>4846</v>
      </c>
      <c r="F1696" t="s">
        <v>10991</v>
      </c>
      <c r="G1696" t="s">
        <v>10992</v>
      </c>
      <c r="H1696" t="s">
        <v>10993</v>
      </c>
      <c r="I1696" t="s">
        <v>9364</v>
      </c>
      <c r="J1696" t="s">
        <v>10888</v>
      </c>
      <c r="K1696" t="s">
        <v>7993</v>
      </c>
      <c r="L1696" t="s">
        <v>7994</v>
      </c>
    </row>
    <row r="1697" spans="1:13" x14ac:dyDescent="0.25">
      <c r="A1697" t="s">
        <v>5766</v>
      </c>
      <c r="B1697" t="s">
        <v>4763</v>
      </c>
      <c r="C1697" s="1" t="s">
        <v>52</v>
      </c>
      <c r="D1697" s="1" t="s">
        <v>52</v>
      </c>
      <c r="E1697" t="s">
        <v>5767</v>
      </c>
      <c r="F1697" t="s">
        <v>10994</v>
      </c>
      <c r="G1697" t="s">
        <v>5769</v>
      </c>
      <c r="H1697" t="s">
        <v>10995</v>
      </c>
      <c r="I1697" t="s">
        <v>6244</v>
      </c>
      <c r="J1697" t="s">
        <v>10888</v>
      </c>
      <c r="K1697" t="s">
        <v>7993</v>
      </c>
      <c r="L1697" t="s">
        <v>7994</v>
      </c>
      <c r="M1697" t="s">
        <v>65</v>
      </c>
    </row>
    <row r="1698" spans="1:13" x14ac:dyDescent="0.25">
      <c r="A1698" t="s">
        <v>5766</v>
      </c>
      <c r="B1698" t="s">
        <v>4847</v>
      </c>
      <c r="C1698" s="1" t="s">
        <v>4848</v>
      </c>
      <c r="D1698" s="1" t="s">
        <v>4848</v>
      </c>
      <c r="E1698" t="s">
        <v>4849</v>
      </c>
      <c r="F1698" t="s">
        <v>8171</v>
      </c>
      <c r="G1698" t="s">
        <v>10996</v>
      </c>
      <c r="H1698" t="s">
        <v>4854</v>
      </c>
      <c r="I1698" t="s">
        <v>10997</v>
      </c>
      <c r="J1698" t="s">
        <v>10998</v>
      </c>
      <c r="K1698" t="s">
        <v>8174</v>
      </c>
      <c r="L1698" t="s">
        <v>8175</v>
      </c>
    </row>
    <row r="1699" spans="1:13" x14ac:dyDescent="0.25">
      <c r="A1699" t="s">
        <v>5766</v>
      </c>
      <c r="B1699" t="s">
        <v>4847</v>
      </c>
      <c r="C1699" s="1" t="s">
        <v>4856</v>
      </c>
      <c r="D1699" s="1" t="s">
        <v>4856</v>
      </c>
      <c r="E1699" t="s">
        <v>4857</v>
      </c>
      <c r="F1699" t="s">
        <v>8176</v>
      </c>
      <c r="G1699" t="s">
        <v>10999</v>
      </c>
      <c r="H1699" t="s">
        <v>4860</v>
      </c>
      <c r="I1699" t="s">
        <v>11000</v>
      </c>
      <c r="J1699" t="s">
        <v>10998</v>
      </c>
      <c r="K1699" t="s">
        <v>8174</v>
      </c>
      <c r="L1699" t="s">
        <v>8175</v>
      </c>
    </row>
    <row r="1700" spans="1:13" x14ac:dyDescent="0.25">
      <c r="A1700" t="s">
        <v>5766</v>
      </c>
      <c r="B1700" t="s">
        <v>4847</v>
      </c>
      <c r="C1700" s="1" t="s">
        <v>4862</v>
      </c>
      <c r="D1700" s="1" t="s">
        <v>4862</v>
      </c>
      <c r="E1700" t="s">
        <v>4863</v>
      </c>
      <c r="F1700" t="s">
        <v>8176</v>
      </c>
      <c r="G1700" t="s">
        <v>11001</v>
      </c>
      <c r="H1700" t="s">
        <v>4866</v>
      </c>
      <c r="I1700" t="s">
        <v>11002</v>
      </c>
      <c r="J1700" t="s">
        <v>10998</v>
      </c>
      <c r="K1700" t="s">
        <v>8174</v>
      </c>
      <c r="L1700" t="s">
        <v>8175</v>
      </c>
    </row>
    <row r="1701" spans="1:13" x14ac:dyDescent="0.25">
      <c r="A1701" t="s">
        <v>5766</v>
      </c>
      <c r="B1701" t="s">
        <v>4847</v>
      </c>
      <c r="C1701" s="1" t="s">
        <v>4868</v>
      </c>
      <c r="D1701" s="1" t="s">
        <v>4868</v>
      </c>
      <c r="E1701" t="s">
        <v>4869</v>
      </c>
      <c r="F1701" t="s">
        <v>8171</v>
      </c>
      <c r="G1701" t="s">
        <v>11003</v>
      </c>
      <c r="H1701" t="s">
        <v>4872</v>
      </c>
      <c r="I1701" t="s">
        <v>11004</v>
      </c>
      <c r="J1701" t="s">
        <v>10998</v>
      </c>
      <c r="K1701" t="s">
        <v>8174</v>
      </c>
      <c r="L1701" t="s">
        <v>8175</v>
      </c>
    </row>
    <row r="1702" spans="1:13" x14ac:dyDescent="0.25">
      <c r="A1702" t="s">
        <v>5766</v>
      </c>
      <c r="B1702" t="s">
        <v>4847</v>
      </c>
      <c r="C1702" s="1" t="s">
        <v>2631</v>
      </c>
      <c r="D1702" s="1" t="s">
        <v>2631</v>
      </c>
      <c r="E1702" t="s">
        <v>2632</v>
      </c>
      <c r="F1702" t="s">
        <v>8183</v>
      </c>
      <c r="G1702" t="s">
        <v>8003</v>
      </c>
      <c r="H1702" t="s">
        <v>8184</v>
      </c>
      <c r="I1702" t="s">
        <v>11005</v>
      </c>
      <c r="J1702" t="s">
        <v>10998</v>
      </c>
      <c r="K1702" t="s">
        <v>8174</v>
      </c>
      <c r="L1702" t="s">
        <v>8175</v>
      </c>
    </row>
    <row r="1703" spans="1:13" x14ac:dyDescent="0.25">
      <c r="A1703" t="s">
        <v>5766</v>
      </c>
      <c r="B1703" t="s">
        <v>4847</v>
      </c>
      <c r="C1703" s="1" t="s">
        <v>78</v>
      </c>
      <c r="D1703" s="1" t="s">
        <v>5780</v>
      </c>
      <c r="E1703" t="s">
        <v>5781</v>
      </c>
      <c r="F1703" t="s">
        <v>11006</v>
      </c>
      <c r="G1703" t="s">
        <v>5783</v>
      </c>
      <c r="H1703" t="s">
        <v>11007</v>
      </c>
      <c r="I1703" t="s">
        <v>11008</v>
      </c>
      <c r="J1703" t="s">
        <v>10998</v>
      </c>
      <c r="K1703" t="s">
        <v>8174</v>
      </c>
      <c r="L1703" t="s">
        <v>8175</v>
      </c>
      <c r="M1703" t="s">
        <v>65</v>
      </c>
    </row>
    <row r="1704" spans="1:13" x14ac:dyDescent="0.25">
      <c r="A1704" t="s">
        <v>5766</v>
      </c>
      <c r="B1704" t="s">
        <v>4847</v>
      </c>
      <c r="C1704" s="1" t="s">
        <v>52</v>
      </c>
      <c r="D1704" s="1" t="s">
        <v>52</v>
      </c>
      <c r="E1704" t="s">
        <v>5767</v>
      </c>
      <c r="F1704" t="s">
        <v>11009</v>
      </c>
      <c r="G1704" t="s">
        <v>5769</v>
      </c>
      <c r="H1704" t="s">
        <v>11010</v>
      </c>
      <c r="I1704" t="s">
        <v>6396</v>
      </c>
      <c r="J1704" t="s">
        <v>10998</v>
      </c>
      <c r="K1704" t="s">
        <v>8174</v>
      </c>
      <c r="L1704" t="s">
        <v>8175</v>
      </c>
      <c r="M1704" t="s">
        <v>65</v>
      </c>
    </row>
    <row r="1705" spans="1:13" x14ac:dyDescent="0.25">
      <c r="A1705" t="s">
        <v>5766</v>
      </c>
      <c r="B1705" t="s">
        <v>4874</v>
      </c>
      <c r="C1705" s="1" t="s">
        <v>4875</v>
      </c>
      <c r="D1705" s="1" t="s">
        <v>4875</v>
      </c>
      <c r="E1705" t="s">
        <v>4876</v>
      </c>
      <c r="F1705" t="s">
        <v>10771</v>
      </c>
      <c r="G1705" t="s">
        <v>11011</v>
      </c>
      <c r="H1705" t="s">
        <v>4879</v>
      </c>
      <c r="I1705" t="s">
        <v>11012</v>
      </c>
      <c r="J1705" t="s">
        <v>11013</v>
      </c>
      <c r="K1705" t="s">
        <v>8194</v>
      </c>
      <c r="L1705" t="s">
        <v>8195</v>
      </c>
    </row>
    <row r="1706" spans="1:13" x14ac:dyDescent="0.25">
      <c r="A1706" t="s">
        <v>5766</v>
      </c>
      <c r="B1706" t="s">
        <v>4874</v>
      </c>
      <c r="C1706" s="1" t="s">
        <v>4881</v>
      </c>
      <c r="D1706" s="1" t="s">
        <v>4881</v>
      </c>
      <c r="E1706" t="s">
        <v>4882</v>
      </c>
      <c r="F1706" t="s">
        <v>11014</v>
      </c>
      <c r="G1706" t="s">
        <v>11015</v>
      </c>
      <c r="H1706" t="s">
        <v>4885</v>
      </c>
      <c r="I1706" t="s">
        <v>11016</v>
      </c>
      <c r="J1706" t="s">
        <v>11013</v>
      </c>
      <c r="K1706" t="s">
        <v>8194</v>
      </c>
      <c r="L1706" t="s">
        <v>8195</v>
      </c>
    </row>
    <row r="1707" spans="1:13" x14ac:dyDescent="0.25">
      <c r="A1707" t="s">
        <v>5766</v>
      </c>
      <c r="B1707" t="s">
        <v>4874</v>
      </c>
      <c r="C1707" s="1" t="s">
        <v>4887</v>
      </c>
      <c r="D1707" s="1" t="s">
        <v>4887</v>
      </c>
      <c r="E1707" t="s">
        <v>4888</v>
      </c>
      <c r="F1707" t="s">
        <v>11014</v>
      </c>
      <c r="G1707" t="s">
        <v>11017</v>
      </c>
      <c r="H1707" t="s">
        <v>4891</v>
      </c>
      <c r="I1707" t="s">
        <v>11018</v>
      </c>
      <c r="J1707" t="s">
        <v>11013</v>
      </c>
      <c r="K1707" t="s">
        <v>8194</v>
      </c>
      <c r="L1707" t="s">
        <v>8195</v>
      </c>
    </row>
    <row r="1708" spans="1:13" x14ac:dyDescent="0.25">
      <c r="A1708" t="s">
        <v>5766</v>
      </c>
      <c r="B1708" t="s">
        <v>4874</v>
      </c>
      <c r="C1708" s="1" t="s">
        <v>4893</v>
      </c>
      <c r="D1708" s="1" t="s">
        <v>4893</v>
      </c>
      <c r="E1708" t="s">
        <v>4894</v>
      </c>
      <c r="F1708" t="s">
        <v>10771</v>
      </c>
      <c r="G1708" t="s">
        <v>11019</v>
      </c>
      <c r="H1708" t="s">
        <v>4897</v>
      </c>
      <c r="I1708" t="s">
        <v>11020</v>
      </c>
      <c r="J1708" t="s">
        <v>11013</v>
      </c>
      <c r="K1708" t="s">
        <v>8194</v>
      </c>
      <c r="L1708" t="s">
        <v>8195</v>
      </c>
    </row>
    <row r="1709" spans="1:13" x14ac:dyDescent="0.25">
      <c r="A1709" t="s">
        <v>5766</v>
      </c>
      <c r="B1709" t="s">
        <v>4874</v>
      </c>
      <c r="C1709" s="1" t="s">
        <v>2821</v>
      </c>
      <c r="D1709" s="1" t="s">
        <v>2821</v>
      </c>
      <c r="E1709" t="s">
        <v>2822</v>
      </c>
      <c r="F1709" t="s">
        <v>11021</v>
      </c>
      <c r="G1709" t="s">
        <v>8204</v>
      </c>
      <c r="H1709" t="s">
        <v>11022</v>
      </c>
      <c r="I1709" t="s">
        <v>11023</v>
      </c>
      <c r="J1709" t="s">
        <v>11013</v>
      </c>
      <c r="K1709" t="s">
        <v>8194</v>
      </c>
      <c r="L1709" t="s">
        <v>8195</v>
      </c>
    </row>
    <row r="1710" spans="1:13" x14ac:dyDescent="0.25">
      <c r="A1710" t="s">
        <v>5766</v>
      </c>
      <c r="B1710" t="s">
        <v>4874</v>
      </c>
      <c r="C1710" s="1" t="s">
        <v>78</v>
      </c>
      <c r="D1710" s="1" t="s">
        <v>5780</v>
      </c>
      <c r="E1710" t="s">
        <v>5781</v>
      </c>
      <c r="F1710" t="s">
        <v>11024</v>
      </c>
      <c r="G1710" t="s">
        <v>5783</v>
      </c>
      <c r="H1710" t="s">
        <v>11025</v>
      </c>
      <c r="I1710" t="s">
        <v>8089</v>
      </c>
      <c r="J1710" t="s">
        <v>11013</v>
      </c>
      <c r="K1710" t="s">
        <v>8194</v>
      </c>
      <c r="L1710" t="s">
        <v>8195</v>
      </c>
      <c r="M1710" t="s">
        <v>65</v>
      </c>
    </row>
    <row r="1711" spans="1:13" x14ac:dyDescent="0.25">
      <c r="A1711" t="s">
        <v>5766</v>
      </c>
      <c r="B1711" t="s">
        <v>4874</v>
      </c>
      <c r="C1711" s="1" t="s">
        <v>52</v>
      </c>
      <c r="D1711" s="1" t="s">
        <v>52</v>
      </c>
      <c r="E1711" t="s">
        <v>5767</v>
      </c>
      <c r="F1711" t="s">
        <v>11026</v>
      </c>
      <c r="G1711" t="s">
        <v>5769</v>
      </c>
      <c r="H1711" t="s">
        <v>11027</v>
      </c>
      <c r="I1711" t="s">
        <v>8211</v>
      </c>
      <c r="J1711" t="s">
        <v>11013</v>
      </c>
      <c r="K1711" t="s">
        <v>8194</v>
      </c>
      <c r="L1711" t="s">
        <v>8195</v>
      </c>
      <c r="M1711" t="s">
        <v>65</v>
      </c>
    </row>
    <row r="1712" spans="1:13" x14ac:dyDescent="0.25">
      <c r="A1712" t="s">
        <v>5766</v>
      </c>
      <c r="B1712" t="s">
        <v>4899</v>
      </c>
      <c r="C1712" s="1" t="s">
        <v>4848</v>
      </c>
      <c r="D1712" s="1" t="s">
        <v>4848</v>
      </c>
      <c r="E1712" t="s">
        <v>4849</v>
      </c>
      <c r="F1712" t="s">
        <v>9992</v>
      </c>
      <c r="G1712" t="s">
        <v>10996</v>
      </c>
      <c r="H1712" t="s">
        <v>4900</v>
      </c>
      <c r="I1712" t="s">
        <v>11028</v>
      </c>
      <c r="J1712" t="s">
        <v>11029</v>
      </c>
      <c r="K1712" t="s">
        <v>5805</v>
      </c>
      <c r="L1712" t="s">
        <v>5806</v>
      </c>
    </row>
    <row r="1713" spans="1:13" x14ac:dyDescent="0.25">
      <c r="A1713" t="s">
        <v>5766</v>
      </c>
      <c r="B1713" t="s">
        <v>4899</v>
      </c>
      <c r="C1713" s="1" t="s">
        <v>4902</v>
      </c>
      <c r="D1713" s="1" t="s">
        <v>4902</v>
      </c>
      <c r="E1713" t="s">
        <v>4903</v>
      </c>
      <c r="F1713" t="s">
        <v>9995</v>
      </c>
      <c r="G1713" t="s">
        <v>11030</v>
      </c>
      <c r="H1713" t="s">
        <v>4906</v>
      </c>
      <c r="I1713" t="s">
        <v>11031</v>
      </c>
      <c r="J1713" t="s">
        <v>11029</v>
      </c>
      <c r="K1713" t="s">
        <v>5805</v>
      </c>
      <c r="L1713" t="s">
        <v>5806</v>
      </c>
    </row>
    <row r="1714" spans="1:13" x14ac:dyDescent="0.25">
      <c r="A1714" t="s">
        <v>5766</v>
      </c>
      <c r="B1714" t="s">
        <v>4899</v>
      </c>
      <c r="C1714" s="1" t="s">
        <v>4908</v>
      </c>
      <c r="D1714" s="1" t="s">
        <v>4908</v>
      </c>
      <c r="E1714" t="s">
        <v>4909</v>
      </c>
      <c r="F1714" t="s">
        <v>9995</v>
      </c>
      <c r="G1714" t="s">
        <v>11032</v>
      </c>
      <c r="H1714" t="s">
        <v>4912</v>
      </c>
      <c r="I1714" t="s">
        <v>11033</v>
      </c>
      <c r="J1714" t="s">
        <v>11029</v>
      </c>
      <c r="K1714" t="s">
        <v>5805</v>
      </c>
      <c r="L1714" t="s">
        <v>5806</v>
      </c>
    </row>
    <row r="1715" spans="1:13" x14ac:dyDescent="0.25">
      <c r="A1715" t="s">
        <v>5766</v>
      </c>
      <c r="B1715" t="s">
        <v>4899</v>
      </c>
      <c r="C1715" s="1" t="s">
        <v>4868</v>
      </c>
      <c r="D1715" s="1" t="s">
        <v>4868</v>
      </c>
      <c r="E1715" t="s">
        <v>4869</v>
      </c>
      <c r="F1715" t="s">
        <v>9992</v>
      </c>
      <c r="G1715" t="s">
        <v>11003</v>
      </c>
      <c r="H1715" t="s">
        <v>4914</v>
      </c>
      <c r="I1715" t="s">
        <v>11034</v>
      </c>
      <c r="J1715" t="s">
        <v>11029</v>
      </c>
      <c r="K1715" t="s">
        <v>5805</v>
      </c>
      <c r="L1715" t="s">
        <v>5806</v>
      </c>
    </row>
    <row r="1716" spans="1:13" x14ac:dyDescent="0.25">
      <c r="A1716" t="s">
        <v>5766</v>
      </c>
      <c r="B1716" t="s">
        <v>4899</v>
      </c>
      <c r="C1716" s="1" t="s">
        <v>2631</v>
      </c>
      <c r="D1716" s="1" t="s">
        <v>2631</v>
      </c>
      <c r="E1716" t="s">
        <v>2632</v>
      </c>
      <c r="F1716" t="s">
        <v>11035</v>
      </c>
      <c r="G1716" t="s">
        <v>8003</v>
      </c>
      <c r="H1716" t="s">
        <v>11036</v>
      </c>
      <c r="I1716" t="s">
        <v>11037</v>
      </c>
      <c r="J1716" t="s">
        <v>11029</v>
      </c>
      <c r="K1716" t="s">
        <v>5805</v>
      </c>
      <c r="L1716" t="s">
        <v>5806</v>
      </c>
    </row>
    <row r="1717" spans="1:13" x14ac:dyDescent="0.25">
      <c r="A1717" t="s">
        <v>5766</v>
      </c>
      <c r="B1717" t="s">
        <v>4899</v>
      </c>
      <c r="C1717" s="1" t="s">
        <v>78</v>
      </c>
      <c r="D1717" s="1" t="s">
        <v>5780</v>
      </c>
      <c r="E1717" t="s">
        <v>5781</v>
      </c>
      <c r="F1717" t="s">
        <v>11038</v>
      </c>
      <c r="G1717" t="s">
        <v>5783</v>
      </c>
      <c r="H1717" t="s">
        <v>11039</v>
      </c>
      <c r="I1717" t="s">
        <v>11040</v>
      </c>
      <c r="J1717" t="s">
        <v>11029</v>
      </c>
      <c r="K1717" t="s">
        <v>5805</v>
      </c>
      <c r="L1717" t="s">
        <v>5806</v>
      </c>
      <c r="M1717" t="s">
        <v>65</v>
      </c>
    </row>
    <row r="1718" spans="1:13" x14ac:dyDescent="0.25">
      <c r="A1718" t="s">
        <v>5766</v>
      </c>
      <c r="B1718" t="s">
        <v>4899</v>
      </c>
      <c r="C1718" s="1" t="s">
        <v>52</v>
      </c>
      <c r="D1718" s="1" t="s">
        <v>52</v>
      </c>
      <c r="E1718" t="s">
        <v>5767</v>
      </c>
      <c r="F1718" t="s">
        <v>11041</v>
      </c>
      <c r="G1718" t="s">
        <v>5769</v>
      </c>
      <c r="H1718" t="s">
        <v>11042</v>
      </c>
      <c r="I1718" t="s">
        <v>6396</v>
      </c>
      <c r="J1718" t="s">
        <v>11029</v>
      </c>
      <c r="K1718" t="s">
        <v>5805</v>
      </c>
      <c r="L1718" t="s">
        <v>5806</v>
      </c>
      <c r="M1718" t="s">
        <v>65</v>
      </c>
    </row>
    <row r="1719" spans="1:13" x14ac:dyDescent="0.25">
      <c r="A1719" t="s">
        <v>5766</v>
      </c>
      <c r="B1719" t="s">
        <v>4916</v>
      </c>
      <c r="C1719" s="1" t="s">
        <v>4917</v>
      </c>
      <c r="D1719" s="1" t="s">
        <v>4917</v>
      </c>
      <c r="E1719" t="s">
        <v>4918</v>
      </c>
      <c r="F1719" t="s">
        <v>11043</v>
      </c>
      <c r="G1719" t="s">
        <v>11044</v>
      </c>
      <c r="H1719" t="s">
        <v>4921</v>
      </c>
      <c r="I1719" t="s">
        <v>11045</v>
      </c>
      <c r="J1719" t="s">
        <v>11046</v>
      </c>
      <c r="K1719" t="s">
        <v>8751</v>
      </c>
      <c r="L1719" t="s">
        <v>8752</v>
      </c>
    </row>
    <row r="1720" spans="1:13" x14ac:dyDescent="0.25">
      <c r="A1720" t="s">
        <v>5766</v>
      </c>
      <c r="B1720" t="s">
        <v>4916</v>
      </c>
      <c r="C1720" s="1" t="s">
        <v>4923</v>
      </c>
      <c r="D1720" s="1" t="s">
        <v>4923</v>
      </c>
      <c r="E1720" t="s">
        <v>4924</v>
      </c>
      <c r="F1720" t="s">
        <v>11047</v>
      </c>
      <c r="G1720" t="s">
        <v>11048</v>
      </c>
      <c r="H1720" t="s">
        <v>4927</v>
      </c>
      <c r="I1720" t="s">
        <v>11049</v>
      </c>
      <c r="J1720" t="s">
        <v>11046</v>
      </c>
      <c r="K1720" t="s">
        <v>8751</v>
      </c>
      <c r="L1720" t="s">
        <v>8752</v>
      </c>
    </row>
    <row r="1721" spans="1:13" x14ac:dyDescent="0.25">
      <c r="A1721" t="s">
        <v>5766</v>
      </c>
      <c r="B1721" t="s">
        <v>4916</v>
      </c>
      <c r="C1721" s="1" t="s">
        <v>4929</v>
      </c>
      <c r="D1721" s="1" t="s">
        <v>4929</v>
      </c>
      <c r="E1721" t="s">
        <v>4930</v>
      </c>
      <c r="F1721" t="s">
        <v>11047</v>
      </c>
      <c r="G1721" t="s">
        <v>11050</v>
      </c>
      <c r="H1721" t="s">
        <v>4933</v>
      </c>
      <c r="I1721" t="s">
        <v>11051</v>
      </c>
      <c r="J1721" t="s">
        <v>11046</v>
      </c>
      <c r="K1721" t="s">
        <v>8751</v>
      </c>
      <c r="L1721" t="s">
        <v>8752</v>
      </c>
    </row>
    <row r="1722" spans="1:13" x14ac:dyDescent="0.25">
      <c r="A1722" t="s">
        <v>5766</v>
      </c>
      <c r="B1722" t="s">
        <v>4916</v>
      </c>
      <c r="C1722" s="1" t="s">
        <v>4935</v>
      </c>
      <c r="D1722" s="1" t="s">
        <v>4935</v>
      </c>
      <c r="E1722" t="s">
        <v>4936</v>
      </c>
      <c r="F1722" t="s">
        <v>11043</v>
      </c>
      <c r="G1722" t="s">
        <v>11052</v>
      </c>
      <c r="H1722" t="s">
        <v>4939</v>
      </c>
      <c r="I1722" t="s">
        <v>11053</v>
      </c>
      <c r="J1722" t="s">
        <v>11046</v>
      </c>
      <c r="K1722" t="s">
        <v>8751</v>
      </c>
      <c r="L1722" t="s">
        <v>8752</v>
      </c>
    </row>
    <row r="1723" spans="1:13" x14ac:dyDescent="0.25">
      <c r="A1723" t="s">
        <v>5766</v>
      </c>
      <c r="B1723" t="s">
        <v>4916</v>
      </c>
      <c r="C1723" s="1" t="s">
        <v>2714</v>
      </c>
      <c r="D1723" s="1" t="s">
        <v>2714</v>
      </c>
      <c r="E1723" t="s">
        <v>2715</v>
      </c>
      <c r="F1723" t="s">
        <v>11054</v>
      </c>
      <c r="G1723" t="s">
        <v>8067</v>
      </c>
      <c r="H1723" t="s">
        <v>11055</v>
      </c>
      <c r="I1723" t="s">
        <v>11056</v>
      </c>
      <c r="J1723" t="s">
        <v>11046</v>
      </c>
      <c r="K1723" t="s">
        <v>8751</v>
      </c>
      <c r="L1723" t="s">
        <v>8752</v>
      </c>
    </row>
    <row r="1724" spans="1:13" x14ac:dyDescent="0.25">
      <c r="A1724" t="s">
        <v>5766</v>
      </c>
      <c r="B1724" t="s">
        <v>4916</v>
      </c>
      <c r="C1724" s="1" t="s">
        <v>78</v>
      </c>
      <c r="D1724" s="1" t="s">
        <v>5780</v>
      </c>
      <c r="E1724" t="s">
        <v>5781</v>
      </c>
      <c r="F1724" t="s">
        <v>11057</v>
      </c>
      <c r="G1724" t="s">
        <v>5783</v>
      </c>
      <c r="H1724" t="s">
        <v>11058</v>
      </c>
      <c r="I1724" t="s">
        <v>11059</v>
      </c>
      <c r="J1724" t="s">
        <v>11046</v>
      </c>
      <c r="K1724" t="s">
        <v>8751</v>
      </c>
      <c r="L1724" t="s">
        <v>8752</v>
      </c>
      <c r="M1724" t="s">
        <v>65</v>
      </c>
    </row>
    <row r="1725" spans="1:13" x14ac:dyDescent="0.25">
      <c r="A1725" t="s">
        <v>5766</v>
      </c>
      <c r="B1725" t="s">
        <v>4916</v>
      </c>
      <c r="C1725" s="1" t="s">
        <v>52</v>
      </c>
      <c r="D1725" s="1" t="s">
        <v>52</v>
      </c>
      <c r="E1725" t="s">
        <v>5767</v>
      </c>
      <c r="F1725" t="s">
        <v>11060</v>
      </c>
      <c r="G1725" t="s">
        <v>5769</v>
      </c>
      <c r="H1725" t="s">
        <v>11061</v>
      </c>
      <c r="I1725" t="s">
        <v>6710</v>
      </c>
      <c r="J1725" t="s">
        <v>11046</v>
      </c>
      <c r="K1725" t="s">
        <v>8751</v>
      </c>
      <c r="L1725" t="s">
        <v>8752</v>
      </c>
      <c r="M1725" t="s">
        <v>65</v>
      </c>
    </row>
    <row r="1726" spans="1:13" x14ac:dyDescent="0.25">
      <c r="A1726" t="s">
        <v>5766</v>
      </c>
      <c r="B1726" t="s">
        <v>4941</v>
      </c>
      <c r="C1726" s="1" t="s">
        <v>4943</v>
      </c>
      <c r="D1726" s="1" t="s">
        <v>4943</v>
      </c>
      <c r="E1726" t="s">
        <v>4944</v>
      </c>
      <c r="F1726" t="s">
        <v>11062</v>
      </c>
      <c r="G1726" t="s">
        <v>10953</v>
      </c>
      <c r="H1726" t="s">
        <v>4945</v>
      </c>
      <c r="I1726" t="s">
        <v>11063</v>
      </c>
      <c r="J1726" t="s">
        <v>11064</v>
      </c>
      <c r="K1726" t="s">
        <v>5778</v>
      </c>
      <c r="L1726" t="s">
        <v>5779</v>
      </c>
    </row>
    <row r="1727" spans="1:13" x14ac:dyDescent="0.25">
      <c r="A1727" t="s">
        <v>5766</v>
      </c>
      <c r="B1727" t="s">
        <v>4941</v>
      </c>
      <c r="C1727" s="1" t="s">
        <v>78</v>
      </c>
      <c r="D1727" s="1" t="s">
        <v>5780</v>
      </c>
      <c r="E1727" t="s">
        <v>5781</v>
      </c>
      <c r="F1727" t="s">
        <v>11065</v>
      </c>
      <c r="G1727" t="s">
        <v>5783</v>
      </c>
      <c r="H1727" t="s">
        <v>11066</v>
      </c>
      <c r="I1727" t="s">
        <v>11067</v>
      </c>
      <c r="J1727" t="s">
        <v>11064</v>
      </c>
      <c r="K1727" t="s">
        <v>5778</v>
      </c>
      <c r="L1727" t="s">
        <v>5779</v>
      </c>
      <c r="M1727" t="s">
        <v>65</v>
      </c>
    </row>
    <row r="1728" spans="1:13" x14ac:dyDescent="0.25">
      <c r="A1728" t="s">
        <v>5766</v>
      </c>
      <c r="B1728" t="s">
        <v>4941</v>
      </c>
      <c r="C1728" s="1" t="s">
        <v>52</v>
      </c>
      <c r="D1728" s="1" t="s">
        <v>52</v>
      </c>
      <c r="E1728" t="s">
        <v>5767</v>
      </c>
      <c r="F1728" t="s">
        <v>11068</v>
      </c>
      <c r="G1728" t="s">
        <v>5769</v>
      </c>
      <c r="H1728" t="s">
        <v>11069</v>
      </c>
      <c r="I1728" t="s">
        <v>10332</v>
      </c>
      <c r="J1728" t="s">
        <v>11064</v>
      </c>
      <c r="K1728" t="s">
        <v>5778</v>
      </c>
      <c r="L1728" t="s">
        <v>5779</v>
      </c>
      <c r="M1728" t="s">
        <v>65</v>
      </c>
    </row>
    <row r="1729" spans="1:13" x14ac:dyDescent="0.25">
      <c r="A1729" t="s">
        <v>5766</v>
      </c>
      <c r="B1729" t="s">
        <v>4949</v>
      </c>
      <c r="C1729" s="1" t="s">
        <v>4950</v>
      </c>
      <c r="D1729" s="1" t="s">
        <v>4950</v>
      </c>
      <c r="E1729" t="s">
        <v>4951</v>
      </c>
      <c r="F1729" t="s">
        <v>11070</v>
      </c>
      <c r="G1729" t="s">
        <v>11071</v>
      </c>
      <c r="H1729" t="s">
        <v>4956</v>
      </c>
      <c r="I1729" t="s">
        <v>11072</v>
      </c>
      <c r="J1729" t="s">
        <v>11073</v>
      </c>
      <c r="K1729" t="s">
        <v>8174</v>
      </c>
      <c r="L1729" t="s">
        <v>8175</v>
      </c>
    </row>
    <row r="1730" spans="1:13" x14ac:dyDescent="0.25">
      <c r="A1730" t="s">
        <v>5766</v>
      </c>
      <c r="B1730" t="s">
        <v>4949</v>
      </c>
      <c r="C1730" s="1" t="s">
        <v>4958</v>
      </c>
      <c r="D1730" s="1" t="s">
        <v>4958</v>
      </c>
      <c r="E1730" t="s">
        <v>4959</v>
      </c>
      <c r="F1730" t="s">
        <v>11074</v>
      </c>
      <c r="G1730" t="s">
        <v>11075</v>
      </c>
      <c r="H1730" t="s">
        <v>4962</v>
      </c>
      <c r="I1730" t="s">
        <v>11076</v>
      </c>
      <c r="J1730" t="s">
        <v>11073</v>
      </c>
      <c r="K1730" t="s">
        <v>8174</v>
      </c>
      <c r="L1730" t="s">
        <v>8175</v>
      </c>
    </row>
    <row r="1731" spans="1:13" x14ac:dyDescent="0.25">
      <c r="A1731" t="s">
        <v>5766</v>
      </c>
      <c r="B1731" t="s">
        <v>4949</v>
      </c>
      <c r="C1731" s="1" t="s">
        <v>4964</v>
      </c>
      <c r="D1731" s="1" t="s">
        <v>4964</v>
      </c>
      <c r="E1731" t="s">
        <v>4965</v>
      </c>
      <c r="F1731" t="s">
        <v>11074</v>
      </c>
      <c r="G1731" t="s">
        <v>11077</v>
      </c>
      <c r="H1731" t="s">
        <v>4968</v>
      </c>
      <c r="I1731" t="s">
        <v>11078</v>
      </c>
      <c r="J1731" t="s">
        <v>11073</v>
      </c>
      <c r="K1731" t="s">
        <v>8174</v>
      </c>
      <c r="L1731" t="s">
        <v>8175</v>
      </c>
    </row>
    <row r="1732" spans="1:13" x14ac:dyDescent="0.25">
      <c r="A1732" t="s">
        <v>5766</v>
      </c>
      <c r="B1732" t="s">
        <v>4949</v>
      </c>
      <c r="C1732" s="1" t="s">
        <v>4970</v>
      </c>
      <c r="D1732" s="1" t="s">
        <v>4970</v>
      </c>
      <c r="E1732" t="s">
        <v>4971</v>
      </c>
      <c r="F1732" t="s">
        <v>11070</v>
      </c>
      <c r="G1732" t="s">
        <v>11079</v>
      </c>
      <c r="H1732" t="s">
        <v>4974</v>
      </c>
      <c r="I1732" t="s">
        <v>11080</v>
      </c>
      <c r="J1732" t="s">
        <v>11073</v>
      </c>
      <c r="K1732" t="s">
        <v>8174</v>
      </c>
      <c r="L1732" t="s">
        <v>8175</v>
      </c>
    </row>
    <row r="1733" spans="1:13" x14ac:dyDescent="0.25">
      <c r="A1733" t="s">
        <v>5766</v>
      </c>
      <c r="B1733" t="s">
        <v>4949</v>
      </c>
      <c r="C1733" s="1" t="s">
        <v>2631</v>
      </c>
      <c r="D1733" s="1" t="s">
        <v>2631</v>
      </c>
      <c r="E1733" t="s">
        <v>2632</v>
      </c>
      <c r="F1733" t="s">
        <v>11081</v>
      </c>
      <c r="G1733" t="s">
        <v>8003</v>
      </c>
      <c r="H1733" t="s">
        <v>11082</v>
      </c>
      <c r="I1733" t="s">
        <v>11083</v>
      </c>
      <c r="J1733" t="s">
        <v>11073</v>
      </c>
      <c r="K1733" t="s">
        <v>8174</v>
      </c>
      <c r="L1733" t="s">
        <v>8175</v>
      </c>
    </row>
    <row r="1734" spans="1:13" x14ac:dyDescent="0.25">
      <c r="A1734" t="s">
        <v>5766</v>
      </c>
      <c r="B1734" t="s">
        <v>4949</v>
      </c>
      <c r="C1734" s="1" t="s">
        <v>78</v>
      </c>
      <c r="D1734" s="1" t="s">
        <v>5780</v>
      </c>
      <c r="E1734" t="s">
        <v>5781</v>
      </c>
      <c r="F1734" t="s">
        <v>11084</v>
      </c>
      <c r="G1734" t="s">
        <v>5783</v>
      </c>
      <c r="H1734" t="s">
        <v>11085</v>
      </c>
      <c r="I1734" t="s">
        <v>11086</v>
      </c>
      <c r="J1734" t="s">
        <v>11073</v>
      </c>
      <c r="K1734" t="s">
        <v>8174</v>
      </c>
      <c r="L1734" t="s">
        <v>8175</v>
      </c>
      <c r="M1734" t="s">
        <v>65</v>
      </c>
    </row>
    <row r="1735" spans="1:13" x14ac:dyDescent="0.25">
      <c r="A1735" t="s">
        <v>5766</v>
      </c>
      <c r="B1735" t="s">
        <v>4949</v>
      </c>
      <c r="C1735" s="1" t="s">
        <v>52</v>
      </c>
      <c r="D1735" s="1" t="s">
        <v>52</v>
      </c>
      <c r="E1735" t="s">
        <v>5767</v>
      </c>
      <c r="F1735" t="s">
        <v>11087</v>
      </c>
      <c r="G1735" t="s">
        <v>5769</v>
      </c>
      <c r="H1735" t="s">
        <v>11088</v>
      </c>
      <c r="I1735" t="s">
        <v>6396</v>
      </c>
      <c r="J1735" t="s">
        <v>11073</v>
      </c>
      <c r="K1735" t="s">
        <v>8174</v>
      </c>
      <c r="L1735" t="s">
        <v>8175</v>
      </c>
      <c r="M1735" t="s">
        <v>65</v>
      </c>
    </row>
    <row r="1736" spans="1:13" x14ac:dyDescent="0.25">
      <c r="A1736" t="s">
        <v>5766</v>
      </c>
      <c r="B1736" t="s">
        <v>4976</v>
      </c>
      <c r="C1736" s="1" t="s">
        <v>4977</v>
      </c>
      <c r="D1736" s="1" t="s">
        <v>4977</v>
      </c>
      <c r="E1736" t="s">
        <v>4978</v>
      </c>
      <c r="F1736" t="s">
        <v>11089</v>
      </c>
      <c r="G1736" t="s">
        <v>11090</v>
      </c>
      <c r="H1736" t="s">
        <v>4981</v>
      </c>
      <c r="I1736" t="s">
        <v>11091</v>
      </c>
      <c r="J1736" t="s">
        <v>11092</v>
      </c>
      <c r="K1736" t="s">
        <v>8194</v>
      </c>
      <c r="L1736" t="s">
        <v>8195</v>
      </c>
    </row>
    <row r="1737" spans="1:13" x14ac:dyDescent="0.25">
      <c r="A1737" t="s">
        <v>5766</v>
      </c>
      <c r="B1737" t="s">
        <v>4976</v>
      </c>
      <c r="C1737" s="1" t="s">
        <v>4983</v>
      </c>
      <c r="D1737" s="1" t="s">
        <v>4983</v>
      </c>
      <c r="E1737" t="s">
        <v>4984</v>
      </c>
      <c r="F1737" t="s">
        <v>11093</v>
      </c>
      <c r="G1737" t="s">
        <v>11094</v>
      </c>
      <c r="H1737" t="s">
        <v>4987</v>
      </c>
      <c r="I1737" t="s">
        <v>11095</v>
      </c>
      <c r="J1737" t="s">
        <v>11092</v>
      </c>
      <c r="K1737" t="s">
        <v>8194</v>
      </c>
      <c r="L1737" t="s">
        <v>8195</v>
      </c>
    </row>
    <row r="1738" spans="1:13" x14ac:dyDescent="0.25">
      <c r="A1738" t="s">
        <v>5766</v>
      </c>
      <c r="B1738" t="s">
        <v>4976</v>
      </c>
      <c r="C1738" s="1" t="s">
        <v>4989</v>
      </c>
      <c r="D1738" s="1" t="s">
        <v>4989</v>
      </c>
      <c r="E1738" t="s">
        <v>4990</v>
      </c>
      <c r="F1738" t="s">
        <v>11093</v>
      </c>
      <c r="G1738" t="s">
        <v>11096</v>
      </c>
      <c r="H1738" t="s">
        <v>4993</v>
      </c>
      <c r="I1738" t="s">
        <v>11097</v>
      </c>
      <c r="J1738" t="s">
        <v>11092</v>
      </c>
      <c r="K1738" t="s">
        <v>8194</v>
      </c>
      <c r="L1738" t="s">
        <v>8195</v>
      </c>
    </row>
    <row r="1739" spans="1:13" x14ac:dyDescent="0.25">
      <c r="A1739" t="s">
        <v>5766</v>
      </c>
      <c r="B1739" t="s">
        <v>4976</v>
      </c>
      <c r="C1739" s="1" t="s">
        <v>4995</v>
      </c>
      <c r="D1739" s="1" t="s">
        <v>4995</v>
      </c>
      <c r="E1739" t="s">
        <v>4996</v>
      </c>
      <c r="F1739" t="s">
        <v>11089</v>
      </c>
      <c r="G1739" t="s">
        <v>11098</v>
      </c>
      <c r="H1739" t="s">
        <v>4999</v>
      </c>
      <c r="I1739" t="s">
        <v>11099</v>
      </c>
      <c r="J1739" t="s">
        <v>11092</v>
      </c>
      <c r="K1739" t="s">
        <v>8194</v>
      </c>
      <c r="L1739" t="s">
        <v>8195</v>
      </c>
    </row>
    <row r="1740" spans="1:13" x14ac:dyDescent="0.25">
      <c r="A1740" t="s">
        <v>5766</v>
      </c>
      <c r="B1740" t="s">
        <v>4976</v>
      </c>
      <c r="C1740" s="1" t="s">
        <v>2821</v>
      </c>
      <c r="D1740" s="1" t="s">
        <v>2821</v>
      </c>
      <c r="E1740" t="s">
        <v>2822</v>
      </c>
      <c r="F1740" t="s">
        <v>11100</v>
      </c>
      <c r="G1740" t="s">
        <v>8204</v>
      </c>
      <c r="H1740" t="s">
        <v>11101</v>
      </c>
      <c r="I1740" t="s">
        <v>11102</v>
      </c>
      <c r="J1740" t="s">
        <v>11092</v>
      </c>
      <c r="K1740" t="s">
        <v>8194</v>
      </c>
      <c r="L1740" t="s">
        <v>8195</v>
      </c>
    </row>
    <row r="1741" spans="1:13" x14ac:dyDescent="0.25">
      <c r="A1741" t="s">
        <v>5766</v>
      </c>
      <c r="B1741" t="s">
        <v>4976</v>
      </c>
      <c r="C1741" s="1" t="s">
        <v>78</v>
      </c>
      <c r="D1741" s="1" t="s">
        <v>5780</v>
      </c>
      <c r="E1741" t="s">
        <v>5781</v>
      </c>
      <c r="F1741" t="s">
        <v>11103</v>
      </c>
      <c r="G1741" t="s">
        <v>5783</v>
      </c>
      <c r="H1741" t="s">
        <v>11104</v>
      </c>
      <c r="I1741" t="s">
        <v>10690</v>
      </c>
      <c r="J1741" t="s">
        <v>11092</v>
      </c>
      <c r="K1741" t="s">
        <v>8194</v>
      </c>
      <c r="L1741" t="s">
        <v>8195</v>
      </c>
      <c r="M1741" t="s">
        <v>65</v>
      </c>
    </row>
    <row r="1742" spans="1:13" x14ac:dyDescent="0.25">
      <c r="A1742" t="s">
        <v>5766</v>
      </c>
      <c r="B1742" t="s">
        <v>4976</v>
      </c>
      <c r="C1742" s="1" t="s">
        <v>52</v>
      </c>
      <c r="D1742" s="1" t="s">
        <v>52</v>
      </c>
      <c r="E1742" t="s">
        <v>5767</v>
      </c>
      <c r="F1742" t="s">
        <v>11105</v>
      </c>
      <c r="G1742" t="s">
        <v>5769</v>
      </c>
      <c r="H1742" t="s">
        <v>11106</v>
      </c>
      <c r="I1742" t="s">
        <v>8211</v>
      </c>
      <c r="J1742" t="s">
        <v>11092</v>
      </c>
      <c r="K1742" t="s">
        <v>8194</v>
      </c>
      <c r="L1742" t="s">
        <v>8195</v>
      </c>
      <c r="M1742" t="s">
        <v>65</v>
      </c>
    </row>
    <row r="1743" spans="1:13" x14ac:dyDescent="0.25">
      <c r="A1743" t="s">
        <v>5766</v>
      </c>
      <c r="B1743" t="s">
        <v>5001</v>
      </c>
      <c r="C1743" s="1" t="s">
        <v>5003</v>
      </c>
      <c r="D1743" s="1" t="s">
        <v>5003</v>
      </c>
      <c r="E1743" t="s">
        <v>5004</v>
      </c>
      <c r="F1743" t="s">
        <v>11107</v>
      </c>
      <c r="G1743" t="s">
        <v>11108</v>
      </c>
      <c r="H1743" t="s">
        <v>5005</v>
      </c>
      <c r="I1743" t="s">
        <v>11109</v>
      </c>
      <c r="J1743" t="s">
        <v>11110</v>
      </c>
      <c r="K1743" t="s">
        <v>5778</v>
      </c>
      <c r="L1743" t="s">
        <v>5779</v>
      </c>
    </row>
    <row r="1744" spans="1:13" x14ac:dyDescent="0.25">
      <c r="A1744" t="s">
        <v>5766</v>
      </c>
      <c r="B1744" t="s">
        <v>5001</v>
      </c>
      <c r="C1744" s="1" t="s">
        <v>78</v>
      </c>
      <c r="D1744" s="1" t="s">
        <v>5780</v>
      </c>
      <c r="E1744" t="s">
        <v>5781</v>
      </c>
      <c r="F1744" t="s">
        <v>11111</v>
      </c>
      <c r="G1744" t="s">
        <v>5783</v>
      </c>
      <c r="H1744" t="s">
        <v>11112</v>
      </c>
      <c r="I1744" t="s">
        <v>11113</v>
      </c>
      <c r="J1744" t="s">
        <v>11110</v>
      </c>
      <c r="K1744" t="s">
        <v>5778</v>
      </c>
      <c r="L1744" t="s">
        <v>5779</v>
      </c>
      <c r="M1744" t="s">
        <v>65</v>
      </c>
    </row>
    <row r="1745" spans="1:13" x14ac:dyDescent="0.25">
      <c r="A1745" t="s">
        <v>5766</v>
      </c>
      <c r="B1745" t="s">
        <v>5001</v>
      </c>
      <c r="C1745" s="1" t="s">
        <v>52</v>
      </c>
      <c r="D1745" s="1" t="s">
        <v>52</v>
      </c>
      <c r="E1745" t="s">
        <v>5767</v>
      </c>
      <c r="F1745" t="s">
        <v>11114</v>
      </c>
      <c r="G1745" t="s">
        <v>5769</v>
      </c>
      <c r="H1745" t="s">
        <v>11115</v>
      </c>
      <c r="I1745" t="s">
        <v>11116</v>
      </c>
      <c r="J1745" t="s">
        <v>11110</v>
      </c>
      <c r="K1745" t="s">
        <v>5778</v>
      </c>
      <c r="L1745" t="s">
        <v>5779</v>
      </c>
      <c r="M1745" t="s">
        <v>65</v>
      </c>
    </row>
    <row r="1746" spans="1:13" x14ac:dyDescent="0.25">
      <c r="A1746" t="s">
        <v>5766</v>
      </c>
      <c r="B1746" t="s">
        <v>5009</v>
      </c>
      <c r="C1746" s="1" t="s">
        <v>5011</v>
      </c>
      <c r="D1746" s="1" t="s">
        <v>11117</v>
      </c>
      <c r="E1746" t="s">
        <v>5012</v>
      </c>
      <c r="F1746" t="s">
        <v>11118</v>
      </c>
      <c r="G1746" t="s">
        <v>11119</v>
      </c>
      <c r="H1746" t="s">
        <v>11120</v>
      </c>
      <c r="I1746" t="s">
        <v>10073</v>
      </c>
      <c r="J1746" t="s">
        <v>11121</v>
      </c>
      <c r="K1746" t="s">
        <v>10338</v>
      </c>
      <c r="L1746" t="s">
        <v>7342</v>
      </c>
    </row>
    <row r="1747" spans="1:13" x14ac:dyDescent="0.25">
      <c r="A1747" t="s">
        <v>5766</v>
      </c>
      <c r="B1747" t="s">
        <v>5009</v>
      </c>
      <c r="C1747" s="1" t="s">
        <v>5014</v>
      </c>
      <c r="D1747" s="1" t="s">
        <v>11122</v>
      </c>
      <c r="E1747" t="s">
        <v>5015</v>
      </c>
      <c r="F1747" t="s">
        <v>11123</v>
      </c>
      <c r="G1747" t="s">
        <v>11124</v>
      </c>
      <c r="H1747" t="s">
        <v>11125</v>
      </c>
      <c r="I1747" t="s">
        <v>11126</v>
      </c>
      <c r="J1747" t="s">
        <v>11121</v>
      </c>
      <c r="K1747" t="s">
        <v>10338</v>
      </c>
      <c r="L1747" t="s">
        <v>7342</v>
      </c>
    </row>
    <row r="1748" spans="1:13" x14ac:dyDescent="0.25">
      <c r="A1748" t="s">
        <v>5766</v>
      </c>
      <c r="B1748" t="s">
        <v>5009</v>
      </c>
      <c r="C1748" s="1" t="s">
        <v>5017</v>
      </c>
      <c r="D1748" s="1" t="s">
        <v>11127</v>
      </c>
      <c r="E1748" t="s">
        <v>5018</v>
      </c>
      <c r="F1748" t="s">
        <v>9008</v>
      </c>
      <c r="G1748" t="s">
        <v>11128</v>
      </c>
      <c r="H1748" t="s">
        <v>11129</v>
      </c>
      <c r="I1748" t="s">
        <v>11130</v>
      </c>
      <c r="J1748" t="s">
        <v>11121</v>
      </c>
      <c r="K1748" t="s">
        <v>10338</v>
      </c>
      <c r="L1748" t="s">
        <v>7342</v>
      </c>
    </row>
    <row r="1749" spans="1:13" x14ac:dyDescent="0.25">
      <c r="A1749" t="s">
        <v>5766</v>
      </c>
      <c r="B1749" t="s">
        <v>5009</v>
      </c>
      <c r="C1749" s="1" t="s">
        <v>5020</v>
      </c>
      <c r="D1749" s="1" t="s">
        <v>11131</v>
      </c>
      <c r="E1749" t="s">
        <v>5021</v>
      </c>
      <c r="F1749" t="s">
        <v>9069</v>
      </c>
      <c r="G1749" t="s">
        <v>11132</v>
      </c>
      <c r="H1749" t="s">
        <v>11133</v>
      </c>
      <c r="I1749" t="s">
        <v>9446</v>
      </c>
      <c r="J1749" t="s">
        <v>11121</v>
      </c>
      <c r="K1749" t="s">
        <v>10338</v>
      </c>
      <c r="L1749" t="s">
        <v>7342</v>
      </c>
    </row>
    <row r="1750" spans="1:13" x14ac:dyDescent="0.25">
      <c r="A1750" t="s">
        <v>5766</v>
      </c>
      <c r="B1750" t="s">
        <v>5009</v>
      </c>
      <c r="C1750" s="1" t="s">
        <v>5023</v>
      </c>
      <c r="D1750" s="1" t="s">
        <v>11134</v>
      </c>
      <c r="E1750" t="s">
        <v>5024</v>
      </c>
      <c r="F1750" t="s">
        <v>11135</v>
      </c>
      <c r="G1750" t="s">
        <v>11136</v>
      </c>
      <c r="H1750" t="s">
        <v>11137</v>
      </c>
      <c r="I1750" t="s">
        <v>6337</v>
      </c>
      <c r="J1750" t="s">
        <v>11121</v>
      </c>
      <c r="K1750" t="s">
        <v>10338</v>
      </c>
      <c r="L1750" t="s">
        <v>7342</v>
      </c>
    </row>
    <row r="1751" spans="1:13" x14ac:dyDescent="0.25">
      <c r="A1751" t="s">
        <v>5766</v>
      </c>
      <c r="B1751" t="s">
        <v>5009</v>
      </c>
      <c r="C1751" s="1" t="s">
        <v>5026</v>
      </c>
      <c r="D1751" s="1" t="s">
        <v>11138</v>
      </c>
      <c r="E1751" t="s">
        <v>5027</v>
      </c>
      <c r="F1751" t="s">
        <v>10342</v>
      </c>
      <c r="G1751" t="s">
        <v>11139</v>
      </c>
      <c r="H1751" t="s">
        <v>11140</v>
      </c>
      <c r="I1751" t="s">
        <v>11141</v>
      </c>
      <c r="J1751" t="s">
        <v>11121</v>
      </c>
      <c r="K1751" t="s">
        <v>10338</v>
      </c>
      <c r="L1751" t="s">
        <v>7342</v>
      </c>
    </row>
    <row r="1752" spans="1:13" x14ac:dyDescent="0.25">
      <c r="A1752" t="s">
        <v>5766</v>
      </c>
      <c r="B1752" t="s">
        <v>5009</v>
      </c>
      <c r="C1752" s="1" t="s">
        <v>5029</v>
      </c>
      <c r="D1752" s="1" t="s">
        <v>11142</v>
      </c>
      <c r="E1752" t="s">
        <v>5030</v>
      </c>
      <c r="F1752" t="s">
        <v>11143</v>
      </c>
      <c r="G1752" t="s">
        <v>11144</v>
      </c>
      <c r="H1752" t="s">
        <v>11145</v>
      </c>
      <c r="I1752" t="s">
        <v>6789</v>
      </c>
      <c r="J1752" t="s">
        <v>11121</v>
      </c>
      <c r="K1752" t="s">
        <v>10338</v>
      </c>
      <c r="L1752" t="s">
        <v>7342</v>
      </c>
    </row>
    <row r="1753" spans="1:13" x14ac:dyDescent="0.25">
      <c r="A1753" t="s">
        <v>5766</v>
      </c>
      <c r="B1753" t="s">
        <v>5009</v>
      </c>
      <c r="C1753" s="1" t="s">
        <v>5032</v>
      </c>
      <c r="D1753" s="1" t="s">
        <v>11146</v>
      </c>
      <c r="E1753" t="s">
        <v>5033</v>
      </c>
      <c r="F1753" t="s">
        <v>10368</v>
      </c>
      <c r="G1753" t="s">
        <v>11147</v>
      </c>
      <c r="H1753" t="s">
        <v>11148</v>
      </c>
      <c r="I1753" t="s">
        <v>11149</v>
      </c>
      <c r="J1753" t="s">
        <v>11121</v>
      </c>
      <c r="K1753" t="s">
        <v>10338</v>
      </c>
      <c r="L1753" t="s">
        <v>7342</v>
      </c>
    </row>
    <row r="1754" spans="1:13" x14ac:dyDescent="0.25">
      <c r="A1754" t="s">
        <v>5766</v>
      </c>
      <c r="B1754" t="s">
        <v>5009</v>
      </c>
      <c r="C1754" s="1" t="s">
        <v>5035</v>
      </c>
      <c r="D1754" s="1" t="s">
        <v>11150</v>
      </c>
      <c r="E1754" t="s">
        <v>5036</v>
      </c>
      <c r="F1754" t="s">
        <v>10263</v>
      </c>
      <c r="G1754" t="s">
        <v>8480</v>
      </c>
      <c r="H1754" t="s">
        <v>11151</v>
      </c>
      <c r="I1754" t="s">
        <v>6049</v>
      </c>
      <c r="J1754" t="s">
        <v>11121</v>
      </c>
      <c r="K1754" t="s">
        <v>10338</v>
      </c>
      <c r="L1754" t="s">
        <v>7342</v>
      </c>
    </row>
    <row r="1755" spans="1:13" x14ac:dyDescent="0.25">
      <c r="A1755" t="s">
        <v>5766</v>
      </c>
      <c r="B1755" t="s">
        <v>5009</v>
      </c>
      <c r="C1755" s="1" t="s">
        <v>5038</v>
      </c>
      <c r="D1755" s="1" t="s">
        <v>11152</v>
      </c>
      <c r="E1755" t="s">
        <v>5039</v>
      </c>
      <c r="F1755" t="s">
        <v>11153</v>
      </c>
      <c r="G1755" t="s">
        <v>11154</v>
      </c>
      <c r="H1755" t="s">
        <v>11155</v>
      </c>
      <c r="I1755" t="s">
        <v>8610</v>
      </c>
      <c r="J1755" t="s">
        <v>11121</v>
      </c>
      <c r="K1755" t="s">
        <v>10338</v>
      </c>
      <c r="L1755" t="s">
        <v>7342</v>
      </c>
    </row>
    <row r="1756" spans="1:13" x14ac:dyDescent="0.25">
      <c r="A1756" t="s">
        <v>5766</v>
      </c>
      <c r="B1756" t="s">
        <v>5009</v>
      </c>
      <c r="C1756" s="1" t="s">
        <v>5041</v>
      </c>
      <c r="D1756" s="1" t="s">
        <v>11156</v>
      </c>
      <c r="E1756" t="s">
        <v>5042</v>
      </c>
      <c r="F1756" t="s">
        <v>6091</v>
      </c>
      <c r="G1756" t="s">
        <v>11157</v>
      </c>
      <c r="H1756" t="s">
        <v>11158</v>
      </c>
      <c r="I1756" t="s">
        <v>11159</v>
      </c>
      <c r="J1756" t="s">
        <v>11121</v>
      </c>
      <c r="K1756" t="s">
        <v>10338</v>
      </c>
      <c r="L1756" t="s">
        <v>7342</v>
      </c>
    </row>
    <row r="1757" spans="1:13" x14ac:dyDescent="0.25">
      <c r="A1757" t="s">
        <v>5766</v>
      </c>
      <c r="B1757" t="s">
        <v>5009</v>
      </c>
      <c r="C1757" s="1" t="s">
        <v>5044</v>
      </c>
      <c r="D1757" s="1" t="s">
        <v>11160</v>
      </c>
      <c r="E1757" t="s">
        <v>5045</v>
      </c>
      <c r="F1757" t="s">
        <v>11161</v>
      </c>
      <c r="G1757" t="s">
        <v>11162</v>
      </c>
      <c r="H1757" t="s">
        <v>11163</v>
      </c>
      <c r="I1757" t="s">
        <v>5879</v>
      </c>
      <c r="J1757" t="s">
        <v>11121</v>
      </c>
      <c r="K1757" t="s">
        <v>10338</v>
      </c>
      <c r="L1757" t="s">
        <v>7342</v>
      </c>
    </row>
    <row r="1758" spans="1:13" x14ac:dyDescent="0.25">
      <c r="A1758" t="s">
        <v>5766</v>
      </c>
      <c r="B1758" t="s">
        <v>5009</v>
      </c>
      <c r="C1758" s="1" t="s">
        <v>5047</v>
      </c>
      <c r="D1758" s="1" t="s">
        <v>11164</v>
      </c>
      <c r="E1758" t="s">
        <v>5048</v>
      </c>
      <c r="F1758" t="s">
        <v>8570</v>
      </c>
      <c r="G1758" t="s">
        <v>11165</v>
      </c>
      <c r="H1758" t="s">
        <v>11166</v>
      </c>
      <c r="I1758" t="s">
        <v>6855</v>
      </c>
      <c r="J1758" t="s">
        <v>11121</v>
      </c>
      <c r="K1758" t="s">
        <v>10338</v>
      </c>
      <c r="L1758" t="s">
        <v>7342</v>
      </c>
    </row>
    <row r="1759" spans="1:13" x14ac:dyDescent="0.25">
      <c r="A1759" t="s">
        <v>5766</v>
      </c>
      <c r="B1759" t="s">
        <v>5009</v>
      </c>
      <c r="C1759" s="1" t="s">
        <v>78</v>
      </c>
      <c r="D1759" s="1" t="s">
        <v>5780</v>
      </c>
      <c r="E1759" t="s">
        <v>5781</v>
      </c>
      <c r="F1759" t="s">
        <v>11167</v>
      </c>
      <c r="G1759" t="s">
        <v>5783</v>
      </c>
      <c r="H1759" t="s">
        <v>11168</v>
      </c>
      <c r="I1759" t="s">
        <v>6855</v>
      </c>
      <c r="J1759" t="s">
        <v>11121</v>
      </c>
      <c r="K1759" t="s">
        <v>10338</v>
      </c>
      <c r="L1759" t="s">
        <v>7342</v>
      </c>
      <c r="M1759" t="s">
        <v>65</v>
      </c>
    </row>
    <row r="1760" spans="1:13" x14ac:dyDescent="0.25">
      <c r="A1760" t="s">
        <v>5766</v>
      </c>
      <c r="B1760" t="s">
        <v>5009</v>
      </c>
      <c r="C1760" s="1" t="s">
        <v>5050</v>
      </c>
      <c r="D1760" s="1" t="s">
        <v>11169</v>
      </c>
      <c r="E1760" t="s">
        <v>5051</v>
      </c>
      <c r="F1760" t="s">
        <v>9754</v>
      </c>
      <c r="G1760" t="s">
        <v>11170</v>
      </c>
      <c r="H1760" t="s">
        <v>11171</v>
      </c>
      <c r="I1760" t="s">
        <v>5879</v>
      </c>
      <c r="J1760" t="s">
        <v>11121</v>
      </c>
      <c r="K1760" t="s">
        <v>10338</v>
      </c>
      <c r="L1760" t="s">
        <v>7342</v>
      </c>
    </row>
    <row r="1761" spans="1:12" x14ac:dyDescent="0.25">
      <c r="A1761" t="s">
        <v>5766</v>
      </c>
      <c r="B1761" t="s">
        <v>5009</v>
      </c>
      <c r="C1761" s="1" t="s">
        <v>5053</v>
      </c>
      <c r="D1761" s="1" t="s">
        <v>11172</v>
      </c>
      <c r="E1761" t="s">
        <v>5054</v>
      </c>
      <c r="F1761" t="s">
        <v>11173</v>
      </c>
      <c r="G1761" t="s">
        <v>11174</v>
      </c>
      <c r="H1761" t="s">
        <v>11175</v>
      </c>
      <c r="I1761" t="s">
        <v>7188</v>
      </c>
      <c r="J1761" t="s">
        <v>11121</v>
      </c>
      <c r="K1761" t="s">
        <v>10338</v>
      </c>
      <c r="L1761" t="s">
        <v>7342</v>
      </c>
    </row>
    <row r="1762" spans="1:12" x14ac:dyDescent="0.25">
      <c r="A1762" t="s">
        <v>5766</v>
      </c>
      <c r="B1762" t="s">
        <v>5009</v>
      </c>
      <c r="C1762" s="1" t="s">
        <v>5056</v>
      </c>
      <c r="D1762" s="1" t="s">
        <v>11176</v>
      </c>
      <c r="E1762" t="s">
        <v>5057</v>
      </c>
      <c r="F1762" t="s">
        <v>11177</v>
      </c>
      <c r="G1762" t="s">
        <v>11178</v>
      </c>
      <c r="H1762" t="s">
        <v>11179</v>
      </c>
      <c r="I1762" t="s">
        <v>11180</v>
      </c>
      <c r="J1762" t="s">
        <v>11121</v>
      </c>
      <c r="K1762" t="s">
        <v>10338</v>
      </c>
      <c r="L1762" t="s">
        <v>7342</v>
      </c>
    </row>
    <row r="1763" spans="1:12" x14ac:dyDescent="0.25">
      <c r="A1763" t="s">
        <v>5766</v>
      </c>
      <c r="B1763" t="s">
        <v>5009</v>
      </c>
      <c r="C1763" s="1" t="s">
        <v>5059</v>
      </c>
      <c r="D1763" s="1" t="s">
        <v>11181</v>
      </c>
      <c r="E1763" t="s">
        <v>5060</v>
      </c>
      <c r="F1763" t="s">
        <v>8586</v>
      </c>
      <c r="G1763" t="s">
        <v>8697</v>
      </c>
      <c r="H1763" t="s">
        <v>11182</v>
      </c>
      <c r="I1763" t="s">
        <v>6116</v>
      </c>
      <c r="J1763" t="s">
        <v>11121</v>
      </c>
      <c r="K1763" t="s">
        <v>10338</v>
      </c>
      <c r="L1763" t="s">
        <v>7342</v>
      </c>
    </row>
    <row r="1764" spans="1:12" x14ac:dyDescent="0.25">
      <c r="A1764" t="s">
        <v>5766</v>
      </c>
      <c r="B1764" t="s">
        <v>5009</v>
      </c>
      <c r="C1764" s="1" t="s">
        <v>5062</v>
      </c>
      <c r="D1764" s="1" t="s">
        <v>11183</v>
      </c>
      <c r="E1764" t="s">
        <v>5063</v>
      </c>
      <c r="F1764" t="s">
        <v>11184</v>
      </c>
      <c r="G1764" t="s">
        <v>11185</v>
      </c>
      <c r="H1764" t="s">
        <v>11186</v>
      </c>
      <c r="I1764" t="s">
        <v>6008</v>
      </c>
      <c r="J1764" t="s">
        <v>11121</v>
      </c>
      <c r="K1764" t="s">
        <v>10338</v>
      </c>
      <c r="L1764" t="s">
        <v>7342</v>
      </c>
    </row>
    <row r="1765" spans="1:12" x14ac:dyDescent="0.25">
      <c r="A1765" t="s">
        <v>5766</v>
      </c>
      <c r="B1765" t="s">
        <v>5009</v>
      </c>
      <c r="C1765" s="1" t="s">
        <v>5065</v>
      </c>
      <c r="D1765" s="1" t="s">
        <v>11187</v>
      </c>
      <c r="E1765" t="s">
        <v>5066</v>
      </c>
      <c r="F1765" t="s">
        <v>11188</v>
      </c>
      <c r="G1765" t="s">
        <v>11189</v>
      </c>
      <c r="H1765" t="s">
        <v>11190</v>
      </c>
      <c r="I1765" t="s">
        <v>11191</v>
      </c>
      <c r="J1765" t="s">
        <v>11121</v>
      </c>
      <c r="K1765" t="s">
        <v>10338</v>
      </c>
      <c r="L1765" t="s">
        <v>7342</v>
      </c>
    </row>
    <row r="1766" spans="1:12" x14ac:dyDescent="0.25">
      <c r="A1766" t="s">
        <v>5766</v>
      </c>
      <c r="B1766" t="s">
        <v>5009</v>
      </c>
      <c r="C1766" s="1" t="s">
        <v>5068</v>
      </c>
      <c r="D1766" s="1" t="s">
        <v>11192</v>
      </c>
      <c r="E1766" t="s">
        <v>5069</v>
      </c>
      <c r="F1766" t="s">
        <v>11193</v>
      </c>
      <c r="G1766" t="s">
        <v>11194</v>
      </c>
      <c r="H1766" t="s">
        <v>11195</v>
      </c>
      <c r="I1766" t="s">
        <v>6977</v>
      </c>
      <c r="J1766" t="s">
        <v>11121</v>
      </c>
      <c r="K1766" t="s">
        <v>10338</v>
      </c>
      <c r="L1766" t="s">
        <v>7342</v>
      </c>
    </row>
    <row r="1767" spans="1:12" x14ac:dyDescent="0.25">
      <c r="A1767" t="s">
        <v>5766</v>
      </c>
      <c r="B1767" t="s">
        <v>5009</v>
      </c>
      <c r="C1767" s="1" t="s">
        <v>5071</v>
      </c>
      <c r="D1767" s="1" t="s">
        <v>11196</v>
      </c>
      <c r="E1767" t="s">
        <v>5072</v>
      </c>
      <c r="F1767" t="s">
        <v>8558</v>
      </c>
      <c r="G1767" t="s">
        <v>11197</v>
      </c>
      <c r="H1767" t="s">
        <v>11198</v>
      </c>
      <c r="I1767" t="s">
        <v>5979</v>
      </c>
      <c r="J1767" t="s">
        <v>11121</v>
      </c>
      <c r="K1767" t="s">
        <v>10338</v>
      </c>
      <c r="L1767" t="s">
        <v>7342</v>
      </c>
    </row>
    <row r="1768" spans="1:12" x14ac:dyDescent="0.25">
      <c r="A1768" t="s">
        <v>5766</v>
      </c>
      <c r="B1768" t="s">
        <v>5009</v>
      </c>
      <c r="C1768" s="1" t="s">
        <v>5074</v>
      </c>
      <c r="D1768" s="1" t="s">
        <v>11199</v>
      </c>
      <c r="E1768" t="s">
        <v>5075</v>
      </c>
      <c r="F1768" t="s">
        <v>9771</v>
      </c>
      <c r="G1768" t="s">
        <v>11200</v>
      </c>
      <c r="H1768" t="s">
        <v>11201</v>
      </c>
      <c r="I1768" t="s">
        <v>9485</v>
      </c>
      <c r="J1768" t="s">
        <v>11121</v>
      </c>
      <c r="K1768" t="s">
        <v>10338</v>
      </c>
      <c r="L1768" t="s">
        <v>7342</v>
      </c>
    </row>
    <row r="1769" spans="1:12" x14ac:dyDescent="0.25">
      <c r="A1769" t="s">
        <v>5766</v>
      </c>
      <c r="B1769" t="s">
        <v>5009</v>
      </c>
      <c r="C1769" s="1" t="s">
        <v>5077</v>
      </c>
      <c r="D1769" s="1" t="s">
        <v>11202</v>
      </c>
      <c r="E1769" t="s">
        <v>5078</v>
      </c>
      <c r="F1769" t="s">
        <v>11203</v>
      </c>
      <c r="G1769" t="s">
        <v>11204</v>
      </c>
      <c r="H1769" t="s">
        <v>11205</v>
      </c>
      <c r="I1769" t="s">
        <v>9157</v>
      </c>
      <c r="J1769" t="s">
        <v>11121</v>
      </c>
      <c r="K1769" t="s">
        <v>10338</v>
      </c>
      <c r="L1769" t="s">
        <v>7342</v>
      </c>
    </row>
    <row r="1770" spans="1:12" x14ac:dyDescent="0.25">
      <c r="A1770" t="s">
        <v>5766</v>
      </c>
      <c r="B1770" t="s">
        <v>5009</v>
      </c>
      <c r="C1770" s="1" t="s">
        <v>5080</v>
      </c>
      <c r="D1770" s="1" t="s">
        <v>11206</v>
      </c>
      <c r="E1770" t="s">
        <v>5081</v>
      </c>
      <c r="F1770" t="s">
        <v>6181</v>
      </c>
      <c r="G1770" t="s">
        <v>11207</v>
      </c>
      <c r="H1770" t="s">
        <v>11208</v>
      </c>
      <c r="I1770" t="s">
        <v>8202</v>
      </c>
      <c r="J1770" t="s">
        <v>11121</v>
      </c>
      <c r="K1770" t="s">
        <v>10338</v>
      </c>
      <c r="L1770" t="s">
        <v>7342</v>
      </c>
    </row>
    <row r="1771" spans="1:12" x14ac:dyDescent="0.25">
      <c r="A1771" t="s">
        <v>5766</v>
      </c>
      <c r="B1771" t="s">
        <v>5009</v>
      </c>
      <c r="C1771" s="1" t="s">
        <v>5083</v>
      </c>
      <c r="D1771" s="1" t="s">
        <v>11209</v>
      </c>
      <c r="E1771" t="s">
        <v>5084</v>
      </c>
      <c r="F1771" t="s">
        <v>11210</v>
      </c>
      <c r="G1771" t="s">
        <v>11211</v>
      </c>
      <c r="H1771" t="s">
        <v>11212</v>
      </c>
      <c r="I1771" t="s">
        <v>11213</v>
      </c>
      <c r="J1771" t="s">
        <v>11121</v>
      </c>
      <c r="K1771" t="s">
        <v>10338</v>
      </c>
      <c r="L1771" t="s">
        <v>7342</v>
      </c>
    </row>
    <row r="1772" spans="1:12" x14ac:dyDescent="0.25">
      <c r="A1772" t="s">
        <v>5766</v>
      </c>
      <c r="B1772" t="s">
        <v>5009</v>
      </c>
      <c r="C1772" s="1" t="s">
        <v>5086</v>
      </c>
      <c r="D1772" s="1" t="s">
        <v>11214</v>
      </c>
      <c r="E1772" t="s">
        <v>5087</v>
      </c>
      <c r="F1772" t="s">
        <v>11215</v>
      </c>
      <c r="G1772" t="s">
        <v>11216</v>
      </c>
      <c r="H1772" t="s">
        <v>11217</v>
      </c>
      <c r="I1772" t="s">
        <v>6713</v>
      </c>
      <c r="J1772" t="s">
        <v>11121</v>
      </c>
      <c r="K1772" t="s">
        <v>10338</v>
      </c>
      <c r="L1772" t="s">
        <v>7342</v>
      </c>
    </row>
    <row r="1773" spans="1:12" x14ac:dyDescent="0.25">
      <c r="A1773" t="s">
        <v>5766</v>
      </c>
      <c r="B1773" t="s">
        <v>5009</v>
      </c>
      <c r="C1773" s="1" t="s">
        <v>5089</v>
      </c>
      <c r="D1773" s="1" t="s">
        <v>11218</v>
      </c>
      <c r="E1773" t="s">
        <v>5090</v>
      </c>
      <c r="F1773" t="s">
        <v>10899</v>
      </c>
      <c r="G1773" t="s">
        <v>11219</v>
      </c>
      <c r="H1773" t="s">
        <v>11220</v>
      </c>
      <c r="I1773" t="s">
        <v>5821</v>
      </c>
      <c r="J1773" t="s">
        <v>11121</v>
      </c>
      <c r="K1773" t="s">
        <v>10338</v>
      </c>
      <c r="L1773" t="s">
        <v>7342</v>
      </c>
    </row>
    <row r="1774" spans="1:12" x14ac:dyDescent="0.25">
      <c r="A1774" t="s">
        <v>5766</v>
      </c>
      <c r="B1774" t="s">
        <v>5009</v>
      </c>
      <c r="C1774" s="1" t="s">
        <v>5092</v>
      </c>
      <c r="D1774" s="1" t="s">
        <v>11221</v>
      </c>
      <c r="E1774" t="s">
        <v>5093</v>
      </c>
      <c r="F1774" t="s">
        <v>10334</v>
      </c>
      <c r="G1774" t="s">
        <v>11222</v>
      </c>
      <c r="H1774" t="s">
        <v>11223</v>
      </c>
      <c r="I1774" t="s">
        <v>9152</v>
      </c>
      <c r="J1774" t="s">
        <v>11121</v>
      </c>
      <c r="K1774" t="s">
        <v>10338</v>
      </c>
      <c r="L1774" t="s">
        <v>7342</v>
      </c>
    </row>
    <row r="1775" spans="1:12" x14ac:dyDescent="0.25">
      <c r="A1775" t="s">
        <v>5766</v>
      </c>
      <c r="B1775" t="s">
        <v>5009</v>
      </c>
      <c r="C1775" s="1" t="s">
        <v>5095</v>
      </c>
      <c r="D1775" s="1" t="s">
        <v>11224</v>
      </c>
      <c r="E1775" t="s">
        <v>5096</v>
      </c>
      <c r="F1775" t="s">
        <v>10414</v>
      </c>
      <c r="G1775" t="s">
        <v>11225</v>
      </c>
      <c r="H1775" t="s">
        <v>11226</v>
      </c>
      <c r="I1775" t="s">
        <v>11227</v>
      </c>
      <c r="J1775" t="s">
        <v>11121</v>
      </c>
      <c r="K1775" t="s">
        <v>10338</v>
      </c>
      <c r="L1775" t="s">
        <v>7342</v>
      </c>
    </row>
    <row r="1776" spans="1:12" x14ac:dyDescent="0.25">
      <c r="A1776" t="s">
        <v>5766</v>
      </c>
      <c r="B1776" t="s">
        <v>5009</v>
      </c>
      <c r="C1776" s="1" t="s">
        <v>5098</v>
      </c>
      <c r="D1776" s="1" t="s">
        <v>11228</v>
      </c>
      <c r="E1776" t="s">
        <v>5099</v>
      </c>
      <c r="F1776" t="s">
        <v>10378</v>
      </c>
      <c r="G1776" t="s">
        <v>11229</v>
      </c>
      <c r="H1776" t="s">
        <v>11230</v>
      </c>
      <c r="I1776" t="s">
        <v>6045</v>
      </c>
      <c r="J1776" t="s">
        <v>11121</v>
      </c>
      <c r="K1776" t="s">
        <v>10338</v>
      </c>
      <c r="L1776" t="s">
        <v>7342</v>
      </c>
    </row>
    <row r="1777" spans="1:12" x14ac:dyDescent="0.25">
      <c r="A1777" t="s">
        <v>5766</v>
      </c>
      <c r="B1777" t="s">
        <v>5009</v>
      </c>
      <c r="C1777" s="1" t="s">
        <v>5101</v>
      </c>
      <c r="D1777" s="1" t="s">
        <v>11231</v>
      </c>
      <c r="E1777" t="s">
        <v>5102</v>
      </c>
      <c r="F1777" t="s">
        <v>11232</v>
      </c>
      <c r="G1777" t="s">
        <v>11233</v>
      </c>
      <c r="H1777" t="s">
        <v>11234</v>
      </c>
      <c r="I1777" t="s">
        <v>7988</v>
      </c>
      <c r="J1777" t="s">
        <v>11121</v>
      </c>
      <c r="K1777" t="s">
        <v>10338</v>
      </c>
      <c r="L1777" t="s">
        <v>7342</v>
      </c>
    </row>
    <row r="1778" spans="1:12" x14ac:dyDescent="0.25">
      <c r="A1778" t="s">
        <v>5766</v>
      </c>
      <c r="B1778" t="s">
        <v>5009</v>
      </c>
      <c r="C1778" s="1" t="s">
        <v>5104</v>
      </c>
      <c r="D1778" s="1" t="s">
        <v>11235</v>
      </c>
      <c r="E1778" t="s">
        <v>5104</v>
      </c>
      <c r="F1778" t="s">
        <v>10399</v>
      </c>
      <c r="G1778" t="s">
        <v>11236</v>
      </c>
      <c r="H1778" t="s">
        <v>11237</v>
      </c>
      <c r="I1778" t="s">
        <v>9461</v>
      </c>
      <c r="J1778" t="s">
        <v>11121</v>
      </c>
      <c r="K1778" t="s">
        <v>10338</v>
      </c>
      <c r="L1778" t="s">
        <v>7342</v>
      </c>
    </row>
    <row r="1779" spans="1:12" x14ac:dyDescent="0.25">
      <c r="A1779" t="s">
        <v>5766</v>
      </c>
      <c r="B1779" t="s">
        <v>5009</v>
      </c>
      <c r="C1779" s="1" t="s">
        <v>4540</v>
      </c>
      <c r="D1779" s="1" t="s">
        <v>10485</v>
      </c>
      <c r="E1779" t="s">
        <v>4541</v>
      </c>
      <c r="F1779" t="s">
        <v>6130</v>
      </c>
      <c r="G1779" t="s">
        <v>10486</v>
      </c>
      <c r="H1779" t="s">
        <v>11238</v>
      </c>
      <c r="I1779" t="s">
        <v>11239</v>
      </c>
      <c r="J1779" t="s">
        <v>11121</v>
      </c>
      <c r="K1779" t="s">
        <v>10338</v>
      </c>
      <c r="L1779" t="s">
        <v>7342</v>
      </c>
    </row>
    <row r="1780" spans="1:12" x14ac:dyDescent="0.25">
      <c r="A1780" t="s">
        <v>5766</v>
      </c>
      <c r="B1780" t="s">
        <v>5009</v>
      </c>
      <c r="C1780" s="1" t="s">
        <v>5106</v>
      </c>
      <c r="D1780" s="1" t="s">
        <v>11240</v>
      </c>
      <c r="E1780" t="s">
        <v>5107</v>
      </c>
      <c r="F1780" t="s">
        <v>11241</v>
      </c>
      <c r="G1780" t="s">
        <v>11242</v>
      </c>
      <c r="H1780" t="s">
        <v>11243</v>
      </c>
      <c r="I1780" t="s">
        <v>5879</v>
      </c>
      <c r="J1780" t="s">
        <v>11121</v>
      </c>
      <c r="K1780" t="s">
        <v>10338</v>
      </c>
      <c r="L1780" t="s">
        <v>7342</v>
      </c>
    </row>
    <row r="1781" spans="1:12" x14ac:dyDescent="0.25">
      <c r="A1781" t="s">
        <v>5766</v>
      </c>
      <c r="B1781" t="s">
        <v>5009</v>
      </c>
      <c r="C1781" s="1" t="s">
        <v>5109</v>
      </c>
      <c r="D1781" s="1" t="s">
        <v>11244</v>
      </c>
      <c r="E1781" t="s">
        <v>5110</v>
      </c>
      <c r="F1781" t="s">
        <v>11245</v>
      </c>
      <c r="G1781" t="s">
        <v>11246</v>
      </c>
      <c r="H1781" t="s">
        <v>11247</v>
      </c>
      <c r="I1781" t="s">
        <v>6913</v>
      </c>
      <c r="J1781" t="s">
        <v>11121</v>
      </c>
      <c r="K1781" t="s">
        <v>10338</v>
      </c>
      <c r="L1781" t="s">
        <v>7342</v>
      </c>
    </row>
    <row r="1782" spans="1:12" x14ac:dyDescent="0.25">
      <c r="A1782" t="s">
        <v>5766</v>
      </c>
      <c r="B1782" t="s">
        <v>5009</v>
      </c>
      <c r="C1782" s="1" t="s">
        <v>5112</v>
      </c>
      <c r="D1782" s="1" t="s">
        <v>11248</v>
      </c>
      <c r="E1782" t="s">
        <v>5113</v>
      </c>
      <c r="F1782" t="s">
        <v>8434</v>
      </c>
      <c r="G1782" t="s">
        <v>11249</v>
      </c>
      <c r="H1782" t="s">
        <v>11250</v>
      </c>
      <c r="I1782" t="s">
        <v>8925</v>
      </c>
      <c r="J1782" t="s">
        <v>11121</v>
      </c>
      <c r="K1782" t="s">
        <v>10338</v>
      </c>
      <c r="L1782" t="s">
        <v>7342</v>
      </c>
    </row>
    <row r="1783" spans="1:12" x14ac:dyDescent="0.25">
      <c r="A1783" t="s">
        <v>5766</v>
      </c>
      <c r="B1783" t="s">
        <v>5009</v>
      </c>
      <c r="C1783" s="1" t="s">
        <v>5115</v>
      </c>
      <c r="D1783" s="1" t="s">
        <v>11251</v>
      </c>
      <c r="E1783" t="s">
        <v>5116</v>
      </c>
      <c r="F1783" t="s">
        <v>9934</v>
      </c>
      <c r="G1783" t="s">
        <v>11252</v>
      </c>
      <c r="H1783" t="s">
        <v>11253</v>
      </c>
      <c r="I1783" t="s">
        <v>7485</v>
      </c>
      <c r="J1783" t="s">
        <v>11121</v>
      </c>
      <c r="K1783" t="s">
        <v>10338</v>
      </c>
      <c r="L1783" t="s">
        <v>7342</v>
      </c>
    </row>
    <row r="1784" spans="1:12" x14ac:dyDescent="0.25">
      <c r="A1784" t="s">
        <v>5766</v>
      </c>
      <c r="B1784" t="s">
        <v>5009</v>
      </c>
      <c r="C1784" s="1" t="s">
        <v>4549</v>
      </c>
      <c r="D1784" s="1" t="s">
        <v>10494</v>
      </c>
      <c r="E1784" t="s">
        <v>4550</v>
      </c>
      <c r="F1784" t="s">
        <v>6181</v>
      </c>
      <c r="G1784" t="s">
        <v>10495</v>
      </c>
      <c r="H1784" t="s">
        <v>11254</v>
      </c>
      <c r="I1784" t="s">
        <v>6840</v>
      </c>
      <c r="J1784" t="s">
        <v>11121</v>
      </c>
      <c r="K1784" t="s">
        <v>10338</v>
      </c>
      <c r="L1784" t="s">
        <v>7342</v>
      </c>
    </row>
    <row r="1785" spans="1:12" x14ac:dyDescent="0.25">
      <c r="A1785" t="s">
        <v>5766</v>
      </c>
      <c r="B1785" t="s">
        <v>5009</v>
      </c>
      <c r="C1785" s="1" t="s">
        <v>5118</v>
      </c>
      <c r="D1785" s="1" t="s">
        <v>11255</v>
      </c>
      <c r="E1785" t="s">
        <v>5119</v>
      </c>
      <c r="F1785" t="s">
        <v>11256</v>
      </c>
      <c r="G1785" t="s">
        <v>11257</v>
      </c>
      <c r="H1785" t="s">
        <v>11258</v>
      </c>
      <c r="I1785" t="s">
        <v>7988</v>
      </c>
      <c r="J1785" t="s">
        <v>11121</v>
      </c>
      <c r="K1785" t="s">
        <v>10338</v>
      </c>
      <c r="L1785" t="s">
        <v>7342</v>
      </c>
    </row>
    <row r="1786" spans="1:12" x14ac:dyDescent="0.25">
      <c r="A1786" t="s">
        <v>5766</v>
      </c>
      <c r="B1786" t="s">
        <v>5009</v>
      </c>
      <c r="C1786" s="1" t="s">
        <v>5121</v>
      </c>
      <c r="D1786" s="1" t="s">
        <v>11259</v>
      </c>
      <c r="E1786" t="s">
        <v>5122</v>
      </c>
      <c r="F1786" t="s">
        <v>10822</v>
      </c>
      <c r="G1786" t="s">
        <v>11260</v>
      </c>
      <c r="H1786" t="s">
        <v>11261</v>
      </c>
      <c r="I1786" t="s">
        <v>9752</v>
      </c>
      <c r="J1786" t="s">
        <v>11121</v>
      </c>
      <c r="K1786" t="s">
        <v>10338</v>
      </c>
      <c r="L1786" t="s">
        <v>7342</v>
      </c>
    </row>
    <row r="1787" spans="1:12" x14ac:dyDescent="0.25">
      <c r="A1787" t="s">
        <v>5766</v>
      </c>
      <c r="B1787" t="s">
        <v>5009</v>
      </c>
      <c r="C1787" s="1" t="s">
        <v>5124</v>
      </c>
      <c r="D1787" s="1" t="s">
        <v>11262</v>
      </c>
      <c r="E1787" t="s">
        <v>5125</v>
      </c>
      <c r="F1787" t="s">
        <v>11263</v>
      </c>
      <c r="G1787" t="s">
        <v>11264</v>
      </c>
      <c r="H1787" t="s">
        <v>11265</v>
      </c>
      <c r="I1787" t="s">
        <v>9813</v>
      </c>
      <c r="J1787" t="s">
        <v>11121</v>
      </c>
      <c r="K1787" t="s">
        <v>10338</v>
      </c>
      <c r="L1787" t="s">
        <v>7342</v>
      </c>
    </row>
    <row r="1788" spans="1:12" x14ac:dyDescent="0.25">
      <c r="A1788" t="s">
        <v>5766</v>
      </c>
      <c r="B1788" t="s">
        <v>5009</v>
      </c>
      <c r="C1788" s="1" t="s">
        <v>5127</v>
      </c>
      <c r="D1788" s="1" t="s">
        <v>11266</v>
      </c>
      <c r="E1788" t="s">
        <v>5128</v>
      </c>
      <c r="F1788" t="s">
        <v>8570</v>
      </c>
      <c r="G1788" t="s">
        <v>11267</v>
      </c>
      <c r="H1788" t="s">
        <v>11268</v>
      </c>
      <c r="I1788" t="s">
        <v>11269</v>
      </c>
      <c r="J1788" t="s">
        <v>11121</v>
      </c>
      <c r="K1788" t="s">
        <v>10338</v>
      </c>
      <c r="L1788" t="s">
        <v>7342</v>
      </c>
    </row>
    <row r="1789" spans="1:12" x14ac:dyDescent="0.25">
      <c r="A1789" t="s">
        <v>5766</v>
      </c>
      <c r="B1789" t="s">
        <v>5009</v>
      </c>
      <c r="C1789" s="1" t="s">
        <v>5130</v>
      </c>
      <c r="D1789" s="1" t="s">
        <v>11270</v>
      </c>
      <c r="E1789" t="s">
        <v>5131</v>
      </c>
      <c r="F1789" t="s">
        <v>11271</v>
      </c>
      <c r="G1789" t="s">
        <v>11272</v>
      </c>
      <c r="H1789" t="s">
        <v>11273</v>
      </c>
      <c r="I1789" t="s">
        <v>9441</v>
      </c>
      <c r="J1789" t="s">
        <v>11121</v>
      </c>
      <c r="K1789" t="s">
        <v>10338</v>
      </c>
      <c r="L1789" t="s">
        <v>7342</v>
      </c>
    </row>
    <row r="1790" spans="1:12" x14ac:dyDescent="0.25">
      <c r="A1790" t="s">
        <v>5766</v>
      </c>
      <c r="B1790" t="s">
        <v>5009</v>
      </c>
      <c r="C1790" s="1" t="s">
        <v>5133</v>
      </c>
      <c r="D1790" s="1" t="s">
        <v>11274</v>
      </c>
      <c r="E1790" t="s">
        <v>5134</v>
      </c>
      <c r="F1790" t="s">
        <v>9384</v>
      </c>
      <c r="G1790" t="s">
        <v>11275</v>
      </c>
      <c r="H1790" t="s">
        <v>11276</v>
      </c>
      <c r="I1790" t="s">
        <v>8227</v>
      </c>
      <c r="J1790" t="s">
        <v>11121</v>
      </c>
      <c r="K1790" t="s">
        <v>10338</v>
      </c>
      <c r="L1790" t="s">
        <v>7342</v>
      </c>
    </row>
    <row r="1791" spans="1:12" x14ac:dyDescent="0.25">
      <c r="A1791" t="s">
        <v>5766</v>
      </c>
      <c r="B1791" t="s">
        <v>5009</v>
      </c>
      <c r="C1791" s="1" t="s">
        <v>5136</v>
      </c>
      <c r="D1791" s="1" t="s">
        <v>11277</v>
      </c>
      <c r="E1791" t="s">
        <v>5137</v>
      </c>
      <c r="F1791" t="s">
        <v>11271</v>
      </c>
      <c r="G1791" t="s">
        <v>11278</v>
      </c>
      <c r="H1791" t="s">
        <v>11279</v>
      </c>
      <c r="I1791" t="s">
        <v>11280</v>
      </c>
      <c r="J1791" t="s">
        <v>11121</v>
      </c>
      <c r="K1791" t="s">
        <v>10338</v>
      </c>
      <c r="L1791" t="s">
        <v>7342</v>
      </c>
    </row>
    <row r="1792" spans="1:12" x14ac:dyDescent="0.25">
      <c r="A1792" t="s">
        <v>5766</v>
      </c>
      <c r="B1792" t="s">
        <v>5009</v>
      </c>
      <c r="C1792" s="1" t="s">
        <v>5139</v>
      </c>
      <c r="D1792" s="1" t="s">
        <v>11281</v>
      </c>
      <c r="E1792" t="s">
        <v>5140</v>
      </c>
      <c r="F1792" t="s">
        <v>11282</v>
      </c>
      <c r="G1792" t="s">
        <v>11283</v>
      </c>
      <c r="H1792" t="s">
        <v>11284</v>
      </c>
      <c r="I1792" t="s">
        <v>10690</v>
      </c>
      <c r="J1792" t="s">
        <v>11121</v>
      </c>
      <c r="K1792" t="s">
        <v>10338</v>
      </c>
      <c r="L1792" t="s">
        <v>7342</v>
      </c>
    </row>
    <row r="1793" spans="1:13" x14ac:dyDescent="0.25">
      <c r="A1793" t="s">
        <v>5766</v>
      </c>
      <c r="B1793" t="s">
        <v>5009</v>
      </c>
      <c r="C1793" s="1" t="s">
        <v>5142</v>
      </c>
      <c r="D1793" s="1" t="s">
        <v>11285</v>
      </c>
      <c r="E1793" t="s">
        <v>5143</v>
      </c>
      <c r="F1793" t="s">
        <v>6800</v>
      </c>
      <c r="G1793" t="s">
        <v>11286</v>
      </c>
      <c r="H1793" t="s">
        <v>11287</v>
      </c>
      <c r="I1793" t="s">
        <v>5979</v>
      </c>
      <c r="J1793" t="s">
        <v>11121</v>
      </c>
      <c r="K1793" t="s">
        <v>10338</v>
      </c>
      <c r="L1793" t="s">
        <v>7342</v>
      </c>
    </row>
    <row r="1794" spans="1:13" x14ac:dyDescent="0.25">
      <c r="A1794" t="s">
        <v>5766</v>
      </c>
      <c r="B1794" t="s">
        <v>5009</v>
      </c>
      <c r="C1794" s="1" t="s">
        <v>52</v>
      </c>
      <c r="D1794" s="1" t="s">
        <v>52</v>
      </c>
      <c r="E1794" t="s">
        <v>5767</v>
      </c>
      <c r="F1794" t="s">
        <v>11288</v>
      </c>
      <c r="G1794" t="s">
        <v>5769</v>
      </c>
      <c r="H1794" t="s">
        <v>11289</v>
      </c>
      <c r="I1794" t="s">
        <v>11290</v>
      </c>
      <c r="J1794" t="s">
        <v>11121</v>
      </c>
      <c r="K1794" t="s">
        <v>10338</v>
      </c>
      <c r="L1794" t="s">
        <v>7342</v>
      </c>
      <c r="M1794" t="s">
        <v>65</v>
      </c>
    </row>
    <row r="1795" spans="1:13" x14ac:dyDescent="0.25">
      <c r="A1795" t="s">
        <v>5766</v>
      </c>
      <c r="B1795" t="s">
        <v>5144</v>
      </c>
      <c r="C1795" s="1" t="s">
        <v>5146</v>
      </c>
      <c r="D1795" s="1" t="s">
        <v>5146</v>
      </c>
      <c r="E1795" t="s">
        <v>5147</v>
      </c>
      <c r="F1795" t="s">
        <v>11291</v>
      </c>
      <c r="G1795" t="s">
        <v>11292</v>
      </c>
      <c r="H1795" t="s">
        <v>5148</v>
      </c>
      <c r="I1795" t="s">
        <v>10318</v>
      </c>
      <c r="J1795" t="s">
        <v>11293</v>
      </c>
      <c r="K1795" t="s">
        <v>11294</v>
      </c>
      <c r="L1795" t="s">
        <v>11295</v>
      </c>
    </row>
    <row r="1796" spans="1:13" x14ac:dyDescent="0.25">
      <c r="A1796" t="s">
        <v>5766</v>
      </c>
      <c r="B1796" t="s">
        <v>5144</v>
      </c>
      <c r="C1796" s="1" t="s">
        <v>78</v>
      </c>
      <c r="D1796" s="1" t="s">
        <v>5780</v>
      </c>
      <c r="E1796" t="s">
        <v>5781</v>
      </c>
      <c r="F1796" t="s">
        <v>11296</v>
      </c>
      <c r="G1796" t="s">
        <v>5783</v>
      </c>
      <c r="H1796" t="s">
        <v>11297</v>
      </c>
      <c r="I1796" t="s">
        <v>11298</v>
      </c>
      <c r="J1796" t="s">
        <v>11293</v>
      </c>
      <c r="K1796" t="s">
        <v>11294</v>
      </c>
      <c r="L1796" t="s">
        <v>11295</v>
      </c>
      <c r="M1796" t="s">
        <v>65</v>
      </c>
    </row>
    <row r="1797" spans="1:13" x14ac:dyDescent="0.25">
      <c r="A1797" t="s">
        <v>5766</v>
      </c>
      <c r="B1797" t="s">
        <v>5144</v>
      </c>
      <c r="C1797" s="1" t="s">
        <v>52</v>
      </c>
      <c r="D1797" s="1" t="s">
        <v>52</v>
      </c>
      <c r="E1797" t="s">
        <v>5767</v>
      </c>
      <c r="F1797" t="s">
        <v>11299</v>
      </c>
      <c r="G1797" t="s">
        <v>5769</v>
      </c>
      <c r="H1797" t="s">
        <v>11300</v>
      </c>
      <c r="I1797" t="s">
        <v>11301</v>
      </c>
      <c r="J1797" t="s">
        <v>11293</v>
      </c>
      <c r="K1797" t="s">
        <v>11294</v>
      </c>
      <c r="L1797" t="s">
        <v>11295</v>
      </c>
      <c r="M1797" t="s">
        <v>65</v>
      </c>
    </row>
    <row r="1798" spans="1:13" x14ac:dyDescent="0.25">
      <c r="A1798" t="s">
        <v>5766</v>
      </c>
      <c r="B1798" t="s">
        <v>5151</v>
      </c>
      <c r="C1798" s="1" t="s">
        <v>5153</v>
      </c>
      <c r="D1798" s="1" t="s">
        <v>5153</v>
      </c>
      <c r="E1798" t="s">
        <v>5154</v>
      </c>
      <c r="F1798" t="s">
        <v>11302</v>
      </c>
      <c r="G1798" t="s">
        <v>10861</v>
      </c>
      <c r="H1798" t="s">
        <v>5155</v>
      </c>
      <c r="I1798" t="s">
        <v>11303</v>
      </c>
      <c r="J1798" t="s">
        <v>11304</v>
      </c>
      <c r="K1798" t="s">
        <v>5778</v>
      </c>
      <c r="L1798" t="s">
        <v>5779</v>
      </c>
    </row>
    <row r="1799" spans="1:13" x14ac:dyDescent="0.25">
      <c r="A1799" t="s">
        <v>5766</v>
      </c>
      <c r="B1799" t="s">
        <v>5151</v>
      </c>
      <c r="C1799" s="1" t="s">
        <v>78</v>
      </c>
      <c r="D1799" s="1" t="s">
        <v>5780</v>
      </c>
      <c r="E1799" t="s">
        <v>5781</v>
      </c>
      <c r="F1799" t="s">
        <v>11305</v>
      </c>
      <c r="G1799" t="s">
        <v>5783</v>
      </c>
      <c r="H1799" t="s">
        <v>11306</v>
      </c>
      <c r="I1799" t="s">
        <v>11307</v>
      </c>
      <c r="J1799" t="s">
        <v>11304</v>
      </c>
      <c r="K1799" t="s">
        <v>5778</v>
      </c>
      <c r="L1799" t="s">
        <v>5779</v>
      </c>
      <c r="M1799" t="s">
        <v>65</v>
      </c>
    </row>
    <row r="1800" spans="1:13" x14ac:dyDescent="0.25">
      <c r="A1800" t="s">
        <v>5766</v>
      </c>
      <c r="B1800" t="s">
        <v>5151</v>
      </c>
      <c r="C1800" s="1" t="s">
        <v>52</v>
      </c>
      <c r="D1800" s="1" t="s">
        <v>52</v>
      </c>
      <c r="E1800" t="s">
        <v>5767</v>
      </c>
      <c r="F1800" t="s">
        <v>11308</v>
      </c>
      <c r="G1800" t="s">
        <v>5769</v>
      </c>
      <c r="H1800" t="s">
        <v>11309</v>
      </c>
      <c r="I1800" t="s">
        <v>11310</v>
      </c>
      <c r="J1800" t="s">
        <v>11304</v>
      </c>
      <c r="K1800" t="s">
        <v>5778</v>
      </c>
      <c r="L1800" t="s">
        <v>5779</v>
      </c>
      <c r="M1800" t="s">
        <v>65</v>
      </c>
    </row>
    <row r="1801" spans="1:13" x14ac:dyDescent="0.25">
      <c r="A1801" t="s">
        <v>5766</v>
      </c>
      <c r="B1801" t="s">
        <v>5159</v>
      </c>
      <c r="C1801" s="1" t="s">
        <v>5161</v>
      </c>
      <c r="D1801" s="1" t="s">
        <v>5161</v>
      </c>
      <c r="E1801" t="s">
        <v>5162</v>
      </c>
      <c r="F1801" t="s">
        <v>11311</v>
      </c>
      <c r="G1801" t="s">
        <v>11312</v>
      </c>
      <c r="H1801" t="s">
        <v>5163</v>
      </c>
      <c r="I1801" t="s">
        <v>11313</v>
      </c>
      <c r="J1801" t="s">
        <v>11314</v>
      </c>
      <c r="K1801" t="s">
        <v>5778</v>
      </c>
      <c r="L1801" t="s">
        <v>5779</v>
      </c>
    </row>
    <row r="1802" spans="1:13" x14ac:dyDescent="0.25">
      <c r="A1802" t="s">
        <v>5766</v>
      </c>
      <c r="B1802" t="s">
        <v>5159</v>
      </c>
      <c r="C1802" s="1" t="s">
        <v>78</v>
      </c>
      <c r="D1802" s="1" t="s">
        <v>5780</v>
      </c>
      <c r="E1802" t="s">
        <v>5781</v>
      </c>
      <c r="F1802" t="s">
        <v>11315</v>
      </c>
      <c r="G1802" t="s">
        <v>5783</v>
      </c>
      <c r="H1802" t="s">
        <v>11316</v>
      </c>
      <c r="I1802" t="s">
        <v>11317</v>
      </c>
      <c r="J1802" t="s">
        <v>11314</v>
      </c>
      <c r="K1802" t="s">
        <v>5778</v>
      </c>
      <c r="L1802" t="s">
        <v>5779</v>
      </c>
      <c r="M1802" t="s">
        <v>65</v>
      </c>
    </row>
    <row r="1803" spans="1:13" x14ac:dyDescent="0.25">
      <c r="A1803" t="s">
        <v>5766</v>
      </c>
      <c r="B1803" t="s">
        <v>5159</v>
      </c>
      <c r="C1803" s="1" t="s">
        <v>52</v>
      </c>
      <c r="D1803" s="1" t="s">
        <v>52</v>
      </c>
      <c r="E1803" t="s">
        <v>5767</v>
      </c>
      <c r="F1803" t="s">
        <v>11318</v>
      </c>
      <c r="G1803" t="s">
        <v>5769</v>
      </c>
      <c r="H1803" t="s">
        <v>11319</v>
      </c>
      <c r="I1803" t="s">
        <v>11320</v>
      </c>
      <c r="J1803" t="s">
        <v>11314</v>
      </c>
      <c r="K1803" t="s">
        <v>5778</v>
      </c>
      <c r="L1803" t="s">
        <v>5779</v>
      </c>
      <c r="M1803" t="s">
        <v>65</v>
      </c>
    </row>
    <row r="1804" spans="1:13" x14ac:dyDescent="0.25">
      <c r="A1804" t="s">
        <v>5766</v>
      </c>
      <c r="B1804" t="s">
        <v>5167</v>
      </c>
      <c r="C1804" s="1" t="s">
        <v>5169</v>
      </c>
      <c r="D1804" s="1" t="s">
        <v>5169</v>
      </c>
      <c r="E1804" t="s">
        <v>5170</v>
      </c>
      <c r="F1804" t="s">
        <v>9530</v>
      </c>
      <c r="G1804" t="s">
        <v>11321</v>
      </c>
      <c r="H1804" t="s">
        <v>5171</v>
      </c>
      <c r="I1804" t="s">
        <v>10286</v>
      </c>
      <c r="J1804" t="s">
        <v>11322</v>
      </c>
      <c r="K1804" t="s">
        <v>8772</v>
      </c>
      <c r="L1804" t="s">
        <v>8773</v>
      </c>
    </row>
    <row r="1805" spans="1:13" x14ac:dyDescent="0.25">
      <c r="A1805" t="s">
        <v>5766</v>
      </c>
      <c r="B1805" t="s">
        <v>5167</v>
      </c>
      <c r="C1805" s="1" t="s">
        <v>78</v>
      </c>
      <c r="D1805" s="1" t="s">
        <v>5780</v>
      </c>
      <c r="E1805" t="s">
        <v>5781</v>
      </c>
      <c r="F1805" t="s">
        <v>11323</v>
      </c>
      <c r="G1805" t="s">
        <v>5783</v>
      </c>
      <c r="H1805" t="s">
        <v>11324</v>
      </c>
      <c r="I1805" t="s">
        <v>11325</v>
      </c>
      <c r="J1805" t="s">
        <v>11322</v>
      </c>
      <c r="K1805" t="s">
        <v>8772</v>
      </c>
      <c r="L1805" t="s">
        <v>8773</v>
      </c>
      <c r="M1805" t="s">
        <v>65</v>
      </c>
    </row>
    <row r="1806" spans="1:13" x14ac:dyDescent="0.25">
      <c r="A1806" t="s">
        <v>5766</v>
      </c>
      <c r="B1806" t="s">
        <v>5167</v>
      </c>
      <c r="C1806" s="1" t="s">
        <v>52</v>
      </c>
      <c r="D1806" s="1" t="s">
        <v>52</v>
      </c>
      <c r="E1806" t="s">
        <v>5767</v>
      </c>
      <c r="F1806" t="s">
        <v>11326</v>
      </c>
      <c r="G1806" t="s">
        <v>5769</v>
      </c>
      <c r="H1806" t="s">
        <v>11327</v>
      </c>
      <c r="I1806" t="s">
        <v>11328</v>
      </c>
      <c r="J1806" t="s">
        <v>11322</v>
      </c>
      <c r="K1806" t="s">
        <v>8772</v>
      </c>
      <c r="L1806" t="s">
        <v>8773</v>
      </c>
      <c r="M1806" t="s">
        <v>65</v>
      </c>
    </row>
    <row r="1807" spans="1:13" x14ac:dyDescent="0.25">
      <c r="A1807" t="s">
        <v>5766</v>
      </c>
      <c r="B1807" t="s">
        <v>5174</v>
      </c>
      <c r="C1807" s="1" t="s">
        <v>5176</v>
      </c>
      <c r="D1807" s="1" t="s">
        <v>5176</v>
      </c>
      <c r="E1807" t="s">
        <v>5177</v>
      </c>
      <c r="F1807" t="s">
        <v>11329</v>
      </c>
      <c r="G1807" t="s">
        <v>11330</v>
      </c>
      <c r="H1807" t="s">
        <v>5178</v>
      </c>
      <c r="I1807" t="s">
        <v>11331</v>
      </c>
      <c r="J1807" t="s">
        <v>11332</v>
      </c>
      <c r="K1807" t="s">
        <v>11333</v>
      </c>
      <c r="L1807" t="s">
        <v>11334</v>
      </c>
    </row>
    <row r="1808" spans="1:13" x14ac:dyDescent="0.25">
      <c r="A1808" t="s">
        <v>5766</v>
      </c>
      <c r="B1808" t="s">
        <v>5174</v>
      </c>
      <c r="C1808" s="1" t="s">
        <v>78</v>
      </c>
      <c r="D1808" s="1" t="s">
        <v>5780</v>
      </c>
      <c r="E1808" t="s">
        <v>5781</v>
      </c>
      <c r="F1808" t="s">
        <v>11335</v>
      </c>
      <c r="G1808" t="s">
        <v>5783</v>
      </c>
      <c r="H1808" t="s">
        <v>11336</v>
      </c>
      <c r="I1808" t="s">
        <v>11337</v>
      </c>
      <c r="J1808" t="s">
        <v>11332</v>
      </c>
      <c r="K1808" t="s">
        <v>11333</v>
      </c>
      <c r="L1808" t="s">
        <v>11334</v>
      </c>
      <c r="M1808" t="s">
        <v>65</v>
      </c>
    </row>
    <row r="1809" spans="1:13" x14ac:dyDescent="0.25">
      <c r="A1809" t="s">
        <v>5766</v>
      </c>
      <c r="B1809" t="s">
        <v>5174</v>
      </c>
      <c r="C1809" s="1" t="s">
        <v>52</v>
      </c>
      <c r="D1809" s="1" t="s">
        <v>52</v>
      </c>
      <c r="E1809" t="s">
        <v>5767</v>
      </c>
      <c r="F1809" t="s">
        <v>11338</v>
      </c>
      <c r="G1809" t="s">
        <v>5769</v>
      </c>
      <c r="H1809" t="s">
        <v>11339</v>
      </c>
      <c r="I1809" t="s">
        <v>11340</v>
      </c>
      <c r="J1809" t="s">
        <v>11332</v>
      </c>
      <c r="K1809" t="s">
        <v>11333</v>
      </c>
      <c r="L1809" t="s">
        <v>11334</v>
      </c>
      <c r="M1809" t="s">
        <v>65</v>
      </c>
    </row>
    <row r="1810" spans="1:13" x14ac:dyDescent="0.25">
      <c r="A1810" t="s">
        <v>5766</v>
      </c>
      <c r="B1810" t="s">
        <v>5182</v>
      </c>
      <c r="C1810" s="1" t="s">
        <v>5184</v>
      </c>
      <c r="D1810" s="1" t="s">
        <v>5184</v>
      </c>
      <c r="E1810" t="s">
        <v>5185</v>
      </c>
      <c r="F1810" t="s">
        <v>11341</v>
      </c>
      <c r="G1810" t="s">
        <v>11342</v>
      </c>
      <c r="H1810" t="s">
        <v>5186</v>
      </c>
      <c r="I1810" t="s">
        <v>10309</v>
      </c>
      <c r="J1810" t="s">
        <v>11343</v>
      </c>
      <c r="K1810" t="s">
        <v>11344</v>
      </c>
      <c r="L1810" t="s">
        <v>11345</v>
      </c>
    </row>
    <row r="1811" spans="1:13" x14ac:dyDescent="0.25">
      <c r="A1811" t="s">
        <v>5766</v>
      </c>
      <c r="B1811" t="s">
        <v>5182</v>
      </c>
      <c r="C1811" s="1" t="s">
        <v>78</v>
      </c>
      <c r="D1811" s="1" t="s">
        <v>5780</v>
      </c>
      <c r="E1811" t="s">
        <v>5781</v>
      </c>
      <c r="F1811" t="s">
        <v>11346</v>
      </c>
      <c r="G1811" t="s">
        <v>5783</v>
      </c>
      <c r="H1811" t="s">
        <v>11347</v>
      </c>
      <c r="I1811" t="s">
        <v>11348</v>
      </c>
      <c r="J1811" t="s">
        <v>11343</v>
      </c>
      <c r="K1811" t="s">
        <v>11344</v>
      </c>
      <c r="L1811" t="s">
        <v>11345</v>
      </c>
      <c r="M1811" t="s">
        <v>65</v>
      </c>
    </row>
    <row r="1812" spans="1:13" x14ac:dyDescent="0.25">
      <c r="A1812" t="s">
        <v>5766</v>
      </c>
      <c r="B1812" t="s">
        <v>5182</v>
      </c>
      <c r="C1812" s="1" t="s">
        <v>52</v>
      </c>
      <c r="D1812" s="1" t="s">
        <v>52</v>
      </c>
      <c r="E1812" t="s">
        <v>5767</v>
      </c>
      <c r="F1812" t="s">
        <v>11349</v>
      </c>
      <c r="G1812" t="s">
        <v>5769</v>
      </c>
      <c r="H1812" t="s">
        <v>11350</v>
      </c>
      <c r="I1812" t="s">
        <v>11351</v>
      </c>
      <c r="J1812" t="s">
        <v>11343</v>
      </c>
      <c r="K1812" t="s">
        <v>11344</v>
      </c>
      <c r="L1812" t="s">
        <v>11345</v>
      </c>
      <c r="M1812" t="s">
        <v>65</v>
      </c>
    </row>
    <row r="1813" spans="1:13" x14ac:dyDescent="0.25">
      <c r="A1813" t="s">
        <v>5766</v>
      </c>
      <c r="B1813" t="s">
        <v>5189</v>
      </c>
      <c r="C1813" s="1" t="s">
        <v>5191</v>
      </c>
      <c r="D1813" s="1" t="s">
        <v>11352</v>
      </c>
      <c r="E1813" t="s">
        <v>5192</v>
      </c>
      <c r="F1813" t="s">
        <v>11353</v>
      </c>
      <c r="G1813" t="s">
        <v>11354</v>
      </c>
      <c r="H1813" t="s">
        <v>11355</v>
      </c>
      <c r="I1813" t="s">
        <v>10819</v>
      </c>
      <c r="J1813" t="s">
        <v>11356</v>
      </c>
      <c r="K1813" t="s">
        <v>11357</v>
      </c>
      <c r="L1813" t="s">
        <v>11358</v>
      </c>
    </row>
    <row r="1814" spans="1:13" x14ac:dyDescent="0.25">
      <c r="A1814" t="s">
        <v>5766</v>
      </c>
      <c r="B1814" t="s">
        <v>5189</v>
      </c>
      <c r="C1814" s="1" t="s">
        <v>5194</v>
      </c>
      <c r="D1814" s="1" t="s">
        <v>11359</v>
      </c>
      <c r="E1814" t="s">
        <v>5195</v>
      </c>
      <c r="F1814" t="s">
        <v>11360</v>
      </c>
      <c r="G1814" t="s">
        <v>9848</v>
      </c>
      <c r="H1814" t="s">
        <v>11361</v>
      </c>
      <c r="I1814" t="s">
        <v>6540</v>
      </c>
      <c r="J1814" t="s">
        <v>11356</v>
      </c>
      <c r="K1814" t="s">
        <v>11357</v>
      </c>
      <c r="L1814" t="s">
        <v>11358</v>
      </c>
    </row>
    <row r="1815" spans="1:13" x14ac:dyDescent="0.25">
      <c r="A1815" t="s">
        <v>5766</v>
      </c>
      <c r="B1815" t="s">
        <v>5189</v>
      </c>
      <c r="C1815" s="1" t="s">
        <v>5197</v>
      </c>
      <c r="D1815" s="1" t="s">
        <v>11362</v>
      </c>
      <c r="E1815" t="s">
        <v>5198</v>
      </c>
      <c r="F1815" t="s">
        <v>11363</v>
      </c>
      <c r="G1815" t="s">
        <v>11364</v>
      </c>
      <c r="H1815" t="s">
        <v>11365</v>
      </c>
      <c r="I1815" t="s">
        <v>6111</v>
      </c>
      <c r="J1815" t="s">
        <v>11356</v>
      </c>
      <c r="K1815" t="s">
        <v>11357</v>
      </c>
      <c r="L1815" t="s">
        <v>11358</v>
      </c>
    </row>
    <row r="1816" spans="1:13" x14ac:dyDescent="0.25">
      <c r="A1816" t="s">
        <v>5766</v>
      </c>
      <c r="B1816" t="s">
        <v>5189</v>
      </c>
      <c r="C1816" s="1" t="s">
        <v>555</v>
      </c>
      <c r="D1816" s="1" t="s">
        <v>6505</v>
      </c>
      <c r="E1816" t="s">
        <v>556</v>
      </c>
      <c r="F1816" t="s">
        <v>11366</v>
      </c>
      <c r="G1816" t="s">
        <v>6507</v>
      </c>
      <c r="H1816" t="s">
        <v>11367</v>
      </c>
      <c r="I1816" t="s">
        <v>11368</v>
      </c>
      <c r="J1816" t="s">
        <v>11356</v>
      </c>
      <c r="K1816" t="s">
        <v>11357</v>
      </c>
      <c r="L1816" t="s">
        <v>11358</v>
      </c>
    </row>
    <row r="1817" spans="1:13" x14ac:dyDescent="0.25">
      <c r="A1817" t="s">
        <v>5766</v>
      </c>
      <c r="B1817" t="s">
        <v>5189</v>
      </c>
      <c r="C1817" s="1" t="s">
        <v>4117</v>
      </c>
      <c r="D1817" s="1" t="s">
        <v>9919</v>
      </c>
      <c r="E1817" t="s">
        <v>4118</v>
      </c>
      <c r="F1817" t="s">
        <v>10482</v>
      </c>
      <c r="G1817" t="s">
        <v>9921</v>
      </c>
      <c r="H1817" t="s">
        <v>11369</v>
      </c>
      <c r="I1817" t="s">
        <v>6023</v>
      </c>
      <c r="J1817" t="s">
        <v>11356</v>
      </c>
      <c r="K1817" t="s">
        <v>11357</v>
      </c>
      <c r="L1817" t="s">
        <v>11358</v>
      </c>
    </row>
    <row r="1818" spans="1:13" x14ac:dyDescent="0.25">
      <c r="A1818" t="s">
        <v>5766</v>
      </c>
      <c r="B1818" t="s">
        <v>5189</v>
      </c>
      <c r="C1818" s="1" t="s">
        <v>4120</v>
      </c>
      <c r="D1818" s="1" t="s">
        <v>9923</v>
      </c>
      <c r="E1818" t="s">
        <v>4121</v>
      </c>
      <c r="F1818" t="s">
        <v>11370</v>
      </c>
      <c r="G1818" t="s">
        <v>9925</v>
      </c>
      <c r="H1818" t="s">
        <v>11371</v>
      </c>
      <c r="I1818" t="s">
        <v>6208</v>
      </c>
      <c r="J1818" t="s">
        <v>11356</v>
      </c>
      <c r="K1818" t="s">
        <v>11357</v>
      </c>
      <c r="L1818" t="s">
        <v>11358</v>
      </c>
    </row>
    <row r="1819" spans="1:13" x14ac:dyDescent="0.25">
      <c r="A1819" t="s">
        <v>5766</v>
      </c>
      <c r="B1819" t="s">
        <v>5189</v>
      </c>
      <c r="C1819" s="1" t="s">
        <v>251</v>
      </c>
      <c r="D1819" s="1" t="s">
        <v>6046</v>
      </c>
      <c r="E1819" t="s">
        <v>252</v>
      </c>
      <c r="F1819" t="s">
        <v>9495</v>
      </c>
      <c r="G1819" t="s">
        <v>6047</v>
      </c>
      <c r="H1819" t="s">
        <v>11372</v>
      </c>
      <c r="I1819" t="s">
        <v>11373</v>
      </c>
      <c r="J1819" t="s">
        <v>11356</v>
      </c>
      <c r="K1819" t="s">
        <v>11357</v>
      </c>
      <c r="L1819" t="s">
        <v>11358</v>
      </c>
    </row>
    <row r="1820" spans="1:13" x14ac:dyDescent="0.25">
      <c r="A1820" t="s">
        <v>5766</v>
      </c>
      <c r="B1820" t="s">
        <v>5189</v>
      </c>
      <c r="C1820" s="1" t="s">
        <v>5200</v>
      </c>
      <c r="D1820" s="1" t="s">
        <v>11374</v>
      </c>
      <c r="E1820" t="s">
        <v>5201</v>
      </c>
      <c r="F1820" t="s">
        <v>11375</v>
      </c>
      <c r="G1820" t="s">
        <v>11376</v>
      </c>
      <c r="H1820" t="s">
        <v>11377</v>
      </c>
      <c r="I1820" t="s">
        <v>11378</v>
      </c>
      <c r="J1820" t="s">
        <v>11356</v>
      </c>
      <c r="K1820" t="s">
        <v>11357</v>
      </c>
      <c r="L1820" t="s">
        <v>11358</v>
      </c>
    </row>
    <row r="1821" spans="1:13" x14ac:dyDescent="0.25">
      <c r="A1821" t="s">
        <v>5766</v>
      </c>
      <c r="B1821" t="s">
        <v>5189</v>
      </c>
      <c r="C1821" s="1" t="s">
        <v>5203</v>
      </c>
      <c r="D1821" s="1" t="s">
        <v>11379</v>
      </c>
      <c r="E1821" t="s">
        <v>5204</v>
      </c>
      <c r="F1821" t="s">
        <v>11363</v>
      </c>
      <c r="G1821" t="s">
        <v>11380</v>
      </c>
      <c r="H1821" t="s">
        <v>11381</v>
      </c>
      <c r="I1821" t="s">
        <v>10926</v>
      </c>
      <c r="J1821" t="s">
        <v>11356</v>
      </c>
      <c r="K1821" t="s">
        <v>11357</v>
      </c>
      <c r="L1821" t="s">
        <v>11358</v>
      </c>
    </row>
    <row r="1822" spans="1:13" x14ac:dyDescent="0.25">
      <c r="A1822" t="s">
        <v>5766</v>
      </c>
      <c r="B1822" t="s">
        <v>5189</v>
      </c>
      <c r="C1822" s="1" t="s">
        <v>5206</v>
      </c>
      <c r="D1822" s="1" t="s">
        <v>11382</v>
      </c>
      <c r="E1822" t="s">
        <v>5207</v>
      </c>
      <c r="F1822" t="s">
        <v>11383</v>
      </c>
      <c r="G1822" t="s">
        <v>11384</v>
      </c>
      <c r="H1822" t="s">
        <v>11385</v>
      </c>
      <c r="I1822" t="s">
        <v>11386</v>
      </c>
      <c r="J1822" t="s">
        <v>11356</v>
      </c>
      <c r="K1822" t="s">
        <v>11357</v>
      </c>
      <c r="L1822" t="s">
        <v>11358</v>
      </c>
    </row>
    <row r="1823" spans="1:13" x14ac:dyDescent="0.25">
      <c r="A1823" t="s">
        <v>5766</v>
      </c>
      <c r="B1823" t="s">
        <v>5189</v>
      </c>
      <c r="C1823" s="1" t="s">
        <v>5209</v>
      </c>
      <c r="D1823" s="1" t="s">
        <v>11387</v>
      </c>
      <c r="E1823" t="s">
        <v>5210</v>
      </c>
      <c r="F1823" t="s">
        <v>11388</v>
      </c>
      <c r="G1823" t="s">
        <v>11257</v>
      </c>
      <c r="H1823" t="s">
        <v>11389</v>
      </c>
      <c r="I1823" t="s">
        <v>11390</v>
      </c>
      <c r="J1823" t="s">
        <v>11356</v>
      </c>
      <c r="K1823" t="s">
        <v>11357</v>
      </c>
      <c r="L1823" t="s">
        <v>11358</v>
      </c>
    </row>
    <row r="1824" spans="1:13" x14ac:dyDescent="0.25">
      <c r="A1824" t="s">
        <v>5766</v>
      </c>
      <c r="B1824" t="s">
        <v>5189</v>
      </c>
      <c r="C1824" s="1" t="s">
        <v>78</v>
      </c>
      <c r="D1824" s="1" t="s">
        <v>5780</v>
      </c>
      <c r="E1824" t="s">
        <v>5781</v>
      </c>
      <c r="F1824" t="s">
        <v>11391</v>
      </c>
      <c r="G1824" t="s">
        <v>5783</v>
      </c>
      <c r="H1824" t="s">
        <v>11392</v>
      </c>
      <c r="I1824" t="s">
        <v>8685</v>
      </c>
      <c r="J1824" t="s">
        <v>11356</v>
      </c>
      <c r="K1824" t="s">
        <v>11357</v>
      </c>
      <c r="L1824" t="s">
        <v>11358</v>
      </c>
      <c r="M1824" t="s">
        <v>65</v>
      </c>
    </row>
    <row r="1825" spans="1:13" x14ac:dyDescent="0.25">
      <c r="A1825" t="s">
        <v>5766</v>
      </c>
      <c r="B1825" t="s">
        <v>5189</v>
      </c>
      <c r="C1825" s="1" t="s">
        <v>5212</v>
      </c>
      <c r="D1825" s="1" t="s">
        <v>11393</v>
      </c>
      <c r="E1825" t="s">
        <v>5213</v>
      </c>
      <c r="F1825" t="s">
        <v>11394</v>
      </c>
      <c r="G1825" t="s">
        <v>11395</v>
      </c>
      <c r="H1825" t="s">
        <v>11396</v>
      </c>
      <c r="I1825" t="s">
        <v>11397</v>
      </c>
      <c r="J1825" t="s">
        <v>11356</v>
      </c>
      <c r="K1825" t="s">
        <v>11357</v>
      </c>
      <c r="L1825" t="s">
        <v>11358</v>
      </c>
    </row>
    <row r="1826" spans="1:13" x14ac:dyDescent="0.25">
      <c r="A1826" t="s">
        <v>5766</v>
      </c>
      <c r="B1826" t="s">
        <v>5189</v>
      </c>
      <c r="C1826" s="1" t="s">
        <v>3675</v>
      </c>
      <c r="D1826" s="1" t="s">
        <v>9307</v>
      </c>
      <c r="E1826" t="s">
        <v>3676</v>
      </c>
      <c r="F1826" t="s">
        <v>9745</v>
      </c>
      <c r="G1826" t="s">
        <v>9309</v>
      </c>
      <c r="H1826" t="s">
        <v>11398</v>
      </c>
      <c r="I1826" t="s">
        <v>11008</v>
      </c>
      <c r="J1826" t="s">
        <v>11356</v>
      </c>
      <c r="K1826" t="s">
        <v>11357</v>
      </c>
      <c r="L1826" t="s">
        <v>11358</v>
      </c>
    </row>
    <row r="1827" spans="1:13" x14ac:dyDescent="0.25">
      <c r="A1827" t="s">
        <v>5766</v>
      </c>
      <c r="B1827" t="s">
        <v>5189</v>
      </c>
      <c r="C1827" s="1" t="s">
        <v>5215</v>
      </c>
      <c r="D1827" s="1" t="s">
        <v>11399</v>
      </c>
      <c r="E1827" t="s">
        <v>5216</v>
      </c>
      <c r="F1827" t="s">
        <v>11400</v>
      </c>
      <c r="G1827" t="s">
        <v>11401</v>
      </c>
      <c r="H1827" t="s">
        <v>11402</v>
      </c>
      <c r="I1827" t="s">
        <v>6144</v>
      </c>
      <c r="J1827" t="s">
        <v>11356</v>
      </c>
      <c r="K1827" t="s">
        <v>11357</v>
      </c>
      <c r="L1827" t="s">
        <v>11358</v>
      </c>
    </row>
    <row r="1828" spans="1:13" x14ac:dyDescent="0.25">
      <c r="A1828" t="s">
        <v>5766</v>
      </c>
      <c r="B1828" t="s">
        <v>5189</v>
      </c>
      <c r="C1828" s="1" t="s">
        <v>5218</v>
      </c>
      <c r="D1828" s="1" t="s">
        <v>11403</v>
      </c>
      <c r="E1828" t="s">
        <v>5219</v>
      </c>
      <c r="F1828" t="s">
        <v>11404</v>
      </c>
      <c r="G1828" t="s">
        <v>11405</v>
      </c>
      <c r="H1828" t="s">
        <v>11406</v>
      </c>
      <c r="I1828" t="s">
        <v>6785</v>
      </c>
      <c r="J1828" t="s">
        <v>11356</v>
      </c>
      <c r="K1828" t="s">
        <v>11357</v>
      </c>
      <c r="L1828" t="s">
        <v>11358</v>
      </c>
    </row>
    <row r="1829" spans="1:13" x14ac:dyDescent="0.25">
      <c r="A1829" t="s">
        <v>5766</v>
      </c>
      <c r="B1829" t="s">
        <v>5189</v>
      </c>
      <c r="C1829" s="1" t="s">
        <v>5221</v>
      </c>
      <c r="D1829" s="1" t="s">
        <v>11407</v>
      </c>
      <c r="E1829" t="s">
        <v>5222</v>
      </c>
      <c r="F1829" t="s">
        <v>11408</v>
      </c>
      <c r="G1829" t="s">
        <v>11409</v>
      </c>
      <c r="H1829" t="s">
        <v>11410</v>
      </c>
      <c r="I1829" t="s">
        <v>11411</v>
      </c>
      <c r="J1829" t="s">
        <v>11356</v>
      </c>
      <c r="K1829" t="s">
        <v>11357</v>
      </c>
      <c r="L1829" t="s">
        <v>11358</v>
      </c>
    </row>
    <row r="1830" spans="1:13" x14ac:dyDescent="0.25">
      <c r="A1830" t="s">
        <v>5766</v>
      </c>
      <c r="B1830" t="s">
        <v>5189</v>
      </c>
      <c r="C1830" s="1" t="s">
        <v>5224</v>
      </c>
      <c r="D1830" s="1" t="s">
        <v>11412</v>
      </c>
      <c r="E1830" t="s">
        <v>5225</v>
      </c>
      <c r="F1830" t="s">
        <v>11413</v>
      </c>
      <c r="G1830" t="s">
        <v>11414</v>
      </c>
      <c r="H1830" t="s">
        <v>11415</v>
      </c>
      <c r="I1830" t="s">
        <v>11416</v>
      </c>
      <c r="J1830" t="s">
        <v>11356</v>
      </c>
      <c r="K1830" t="s">
        <v>11357</v>
      </c>
      <c r="L1830" t="s">
        <v>11358</v>
      </c>
    </row>
    <row r="1831" spans="1:13" x14ac:dyDescent="0.25">
      <c r="A1831" t="s">
        <v>5766</v>
      </c>
      <c r="B1831" t="s">
        <v>5189</v>
      </c>
      <c r="C1831" s="1" t="s">
        <v>5227</v>
      </c>
      <c r="D1831" s="1" t="s">
        <v>11417</v>
      </c>
      <c r="E1831" t="s">
        <v>5228</v>
      </c>
      <c r="F1831" t="s">
        <v>11418</v>
      </c>
      <c r="G1831" t="s">
        <v>11419</v>
      </c>
      <c r="H1831" t="s">
        <v>11420</v>
      </c>
      <c r="I1831" t="s">
        <v>11421</v>
      </c>
      <c r="J1831" t="s">
        <v>11356</v>
      </c>
      <c r="K1831" t="s">
        <v>11357</v>
      </c>
      <c r="L1831" t="s">
        <v>11358</v>
      </c>
    </row>
    <row r="1832" spans="1:13" x14ac:dyDescent="0.25">
      <c r="A1832" t="s">
        <v>5766</v>
      </c>
      <c r="B1832" t="s">
        <v>5189</v>
      </c>
      <c r="C1832" s="1" t="s">
        <v>5230</v>
      </c>
      <c r="D1832" s="1" t="s">
        <v>11422</v>
      </c>
      <c r="E1832" t="s">
        <v>5231</v>
      </c>
      <c r="F1832" t="s">
        <v>11423</v>
      </c>
      <c r="G1832" t="s">
        <v>11424</v>
      </c>
      <c r="H1832" t="s">
        <v>11425</v>
      </c>
      <c r="I1832" t="s">
        <v>11426</v>
      </c>
      <c r="J1832" t="s">
        <v>11356</v>
      </c>
      <c r="K1832" t="s">
        <v>11357</v>
      </c>
      <c r="L1832" t="s">
        <v>11358</v>
      </c>
    </row>
    <row r="1833" spans="1:13" x14ac:dyDescent="0.25">
      <c r="A1833" t="s">
        <v>5766</v>
      </c>
      <c r="B1833" t="s">
        <v>5189</v>
      </c>
      <c r="C1833" s="1" t="s">
        <v>5233</v>
      </c>
      <c r="D1833" s="1" t="s">
        <v>11427</v>
      </c>
      <c r="E1833" t="s">
        <v>5235</v>
      </c>
      <c r="F1833" t="s">
        <v>11428</v>
      </c>
      <c r="G1833" t="s">
        <v>11429</v>
      </c>
      <c r="H1833" t="s">
        <v>11430</v>
      </c>
      <c r="I1833" t="s">
        <v>6133</v>
      </c>
      <c r="J1833" t="s">
        <v>11356</v>
      </c>
      <c r="K1833" t="s">
        <v>11357</v>
      </c>
      <c r="L1833" t="s">
        <v>11358</v>
      </c>
    </row>
    <row r="1834" spans="1:13" x14ac:dyDescent="0.25">
      <c r="A1834" t="s">
        <v>5766</v>
      </c>
      <c r="B1834" t="s">
        <v>5189</v>
      </c>
      <c r="C1834" s="1" t="s">
        <v>5237</v>
      </c>
      <c r="D1834" s="1" t="s">
        <v>11431</v>
      </c>
      <c r="E1834" t="s">
        <v>5238</v>
      </c>
      <c r="F1834" t="s">
        <v>11432</v>
      </c>
      <c r="G1834" t="s">
        <v>11433</v>
      </c>
      <c r="H1834" t="s">
        <v>11434</v>
      </c>
      <c r="I1834" t="s">
        <v>7335</v>
      </c>
      <c r="J1834" t="s">
        <v>11356</v>
      </c>
      <c r="K1834" t="s">
        <v>11357</v>
      </c>
      <c r="L1834" t="s">
        <v>11358</v>
      </c>
    </row>
    <row r="1835" spans="1:13" x14ac:dyDescent="0.25">
      <c r="A1835" t="s">
        <v>5766</v>
      </c>
      <c r="B1835" t="s">
        <v>5189</v>
      </c>
      <c r="C1835" s="1" t="s">
        <v>5240</v>
      </c>
      <c r="D1835" s="1" t="s">
        <v>11435</v>
      </c>
      <c r="E1835" t="s">
        <v>5241</v>
      </c>
      <c r="F1835" t="s">
        <v>11436</v>
      </c>
      <c r="G1835" t="s">
        <v>11437</v>
      </c>
      <c r="H1835" t="s">
        <v>11438</v>
      </c>
      <c r="I1835" t="s">
        <v>5803</v>
      </c>
      <c r="J1835" t="s">
        <v>11356</v>
      </c>
      <c r="K1835" t="s">
        <v>11357</v>
      </c>
      <c r="L1835" t="s">
        <v>11358</v>
      </c>
    </row>
    <row r="1836" spans="1:13" x14ac:dyDescent="0.25">
      <c r="A1836" t="s">
        <v>5766</v>
      </c>
      <c r="B1836" t="s">
        <v>5189</v>
      </c>
      <c r="C1836" s="1" t="s">
        <v>754</v>
      </c>
      <c r="D1836" s="1" t="s">
        <v>2683</v>
      </c>
      <c r="E1836" t="s">
        <v>755</v>
      </c>
      <c r="F1836" t="s">
        <v>9503</v>
      </c>
      <c r="G1836" t="s">
        <v>6809</v>
      </c>
      <c r="H1836" t="s">
        <v>11439</v>
      </c>
      <c r="I1836" t="s">
        <v>11440</v>
      </c>
      <c r="J1836" t="s">
        <v>11356</v>
      </c>
      <c r="K1836" t="s">
        <v>11357</v>
      </c>
      <c r="L1836" t="s">
        <v>11358</v>
      </c>
    </row>
    <row r="1837" spans="1:13" x14ac:dyDescent="0.25">
      <c r="A1837" t="s">
        <v>5766</v>
      </c>
      <c r="B1837" t="s">
        <v>5189</v>
      </c>
      <c r="C1837" s="1" t="s">
        <v>52</v>
      </c>
      <c r="D1837" s="1" t="s">
        <v>52</v>
      </c>
      <c r="E1837" t="s">
        <v>5767</v>
      </c>
      <c r="F1837" t="s">
        <v>11441</v>
      </c>
      <c r="G1837" t="s">
        <v>5769</v>
      </c>
      <c r="H1837" t="s">
        <v>11442</v>
      </c>
      <c r="I1837" t="s">
        <v>8160</v>
      </c>
      <c r="J1837" t="s">
        <v>11356</v>
      </c>
      <c r="K1837" t="s">
        <v>11357</v>
      </c>
      <c r="L1837" t="s">
        <v>11358</v>
      </c>
      <c r="M1837" t="s">
        <v>65</v>
      </c>
    </row>
    <row r="1838" spans="1:13" x14ac:dyDescent="0.25">
      <c r="A1838" t="s">
        <v>5766</v>
      </c>
      <c r="B1838" t="s">
        <v>5242</v>
      </c>
      <c r="C1838" s="1" t="s">
        <v>5244</v>
      </c>
      <c r="D1838" s="1" t="s">
        <v>5244</v>
      </c>
      <c r="E1838" t="s">
        <v>5245</v>
      </c>
      <c r="F1838" t="s">
        <v>11443</v>
      </c>
      <c r="G1838" t="s">
        <v>11444</v>
      </c>
      <c r="H1838" t="s">
        <v>5246</v>
      </c>
      <c r="I1838" t="s">
        <v>11445</v>
      </c>
      <c r="J1838" t="s">
        <v>11446</v>
      </c>
      <c r="K1838" t="s">
        <v>11294</v>
      </c>
      <c r="L1838" t="s">
        <v>11295</v>
      </c>
    </row>
    <row r="1839" spans="1:13" x14ac:dyDescent="0.25">
      <c r="A1839" t="s">
        <v>5766</v>
      </c>
      <c r="B1839" t="s">
        <v>5242</v>
      </c>
      <c r="C1839" s="1" t="s">
        <v>78</v>
      </c>
      <c r="D1839" s="1" t="s">
        <v>5780</v>
      </c>
      <c r="E1839" t="s">
        <v>5781</v>
      </c>
      <c r="F1839" t="s">
        <v>11447</v>
      </c>
      <c r="G1839" t="s">
        <v>5783</v>
      </c>
      <c r="H1839" t="s">
        <v>11448</v>
      </c>
      <c r="I1839" t="s">
        <v>11449</v>
      </c>
      <c r="J1839" t="s">
        <v>11446</v>
      </c>
      <c r="K1839" t="s">
        <v>11294</v>
      </c>
      <c r="L1839" t="s">
        <v>11295</v>
      </c>
      <c r="M1839" t="s">
        <v>65</v>
      </c>
    </row>
    <row r="1840" spans="1:13" x14ac:dyDescent="0.25">
      <c r="A1840" t="s">
        <v>5766</v>
      </c>
      <c r="B1840" t="s">
        <v>5242</v>
      </c>
      <c r="C1840" s="1" t="s">
        <v>52</v>
      </c>
      <c r="D1840" s="1" t="s">
        <v>52</v>
      </c>
      <c r="E1840" t="s">
        <v>5767</v>
      </c>
      <c r="F1840" t="s">
        <v>11450</v>
      </c>
      <c r="G1840" t="s">
        <v>5769</v>
      </c>
      <c r="H1840" t="s">
        <v>11451</v>
      </c>
      <c r="I1840" t="s">
        <v>11452</v>
      </c>
      <c r="J1840" t="s">
        <v>11446</v>
      </c>
      <c r="K1840" t="s">
        <v>11294</v>
      </c>
      <c r="L1840" t="s">
        <v>11295</v>
      </c>
      <c r="M1840" t="s">
        <v>65</v>
      </c>
    </row>
    <row r="1841" spans="1:12" x14ac:dyDescent="0.25">
      <c r="A1841" t="s">
        <v>5766</v>
      </c>
      <c r="B1841" t="s">
        <v>5250</v>
      </c>
      <c r="C1841" s="1" t="s">
        <v>96</v>
      </c>
      <c r="D1841" s="1" t="s">
        <v>5799</v>
      </c>
      <c r="E1841" t="s">
        <v>97</v>
      </c>
      <c r="F1841" t="s">
        <v>11453</v>
      </c>
      <c r="G1841" t="s">
        <v>5801</v>
      </c>
      <c r="H1841" t="s">
        <v>11454</v>
      </c>
      <c r="I1841" t="s">
        <v>8555</v>
      </c>
      <c r="J1841" t="s">
        <v>11455</v>
      </c>
      <c r="K1841" t="s">
        <v>7993</v>
      </c>
      <c r="L1841" t="s">
        <v>7994</v>
      </c>
    </row>
    <row r="1842" spans="1:12" x14ac:dyDescent="0.25">
      <c r="A1842" t="s">
        <v>5766</v>
      </c>
      <c r="B1842" t="s">
        <v>5250</v>
      </c>
      <c r="C1842" s="1" t="s">
        <v>221</v>
      </c>
      <c r="D1842" s="1" t="s">
        <v>5999</v>
      </c>
      <c r="E1842" t="s">
        <v>222</v>
      </c>
      <c r="F1842" t="s">
        <v>9554</v>
      </c>
      <c r="G1842" t="s">
        <v>6001</v>
      </c>
      <c r="H1842" t="s">
        <v>11456</v>
      </c>
      <c r="I1842" t="s">
        <v>6264</v>
      </c>
      <c r="J1842" t="s">
        <v>11455</v>
      </c>
      <c r="K1842" t="s">
        <v>7993</v>
      </c>
      <c r="L1842" t="s">
        <v>7994</v>
      </c>
    </row>
    <row r="1843" spans="1:12" x14ac:dyDescent="0.25">
      <c r="A1843" t="s">
        <v>5766</v>
      </c>
      <c r="B1843" t="s">
        <v>5250</v>
      </c>
      <c r="C1843" s="1" t="s">
        <v>107</v>
      </c>
      <c r="D1843" s="1" t="s">
        <v>5817</v>
      </c>
      <c r="E1843" t="s">
        <v>108</v>
      </c>
      <c r="F1843" t="s">
        <v>10510</v>
      </c>
      <c r="G1843" t="s">
        <v>5819</v>
      </c>
      <c r="H1843" t="s">
        <v>11457</v>
      </c>
      <c r="I1843" t="s">
        <v>6169</v>
      </c>
      <c r="J1843" t="s">
        <v>11455</v>
      </c>
      <c r="K1843" t="s">
        <v>7993</v>
      </c>
      <c r="L1843" t="s">
        <v>7994</v>
      </c>
    </row>
    <row r="1844" spans="1:12" x14ac:dyDescent="0.25">
      <c r="A1844" t="s">
        <v>5766</v>
      </c>
      <c r="B1844" t="s">
        <v>5250</v>
      </c>
      <c r="C1844" s="1" t="s">
        <v>110</v>
      </c>
      <c r="D1844" s="1" t="s">
        <v>5822</v>
      </c>
      <c r="E1844" t="s">
        <v>111</v>
      </c>
      <c r="F1844" t="s">
        <v>11458</v>
      </c>
      <c r="G1844" t="s">
        <v>5824</v>
      </c>
      <c r="H1844" t="s">
        <v>11459</v>
      </c>
      <c r="I1844" t="s">
        <v>7988</v>
      </c>
      <c r="J1844" t="s">
        <v>11455</v>
      </c>
      <c r="K1844" t="s">
        <v>7993</v>
      </c>
      <c r="L1844" t="s">
        <v>7994</v>
      </c>
    </row>
    <row r="1845" spans="1:12" x14ac:dyDescent="0.25">
      <c r="A1845" t="s">
        <v>5766</v>
      </c>
      <c r="B1845" t="s">
        <v>5250</v>
      </c>
      <c r="C1845" s="1" t="s">
        <v>113</v>
      </c>
      <c r="D1845" s="1" t="s">
        <v>5827</v>
      </c>
      <c r="E1845" t="s">
        <v>115</v>
      </c>
      <c r="F1845" t="s">
        <v>10666</v>
      </c>
      <c r="G1845" t="s">
        <v>5829</v>
      </c>
      <c r="H1845" t="s">
        <v>11460</v>
      </c>
      <c r="I1845" t="s">
        <v>7760</v>
      </c>
      <c r="J1845" t="s">
        <v>11455</v>
      </c>
      <c r="K1845" t="s">
        <v>7993</v>
      </c>
      <c r="L1845" t="s">
        <v>7994</v>
      </c>
    </row>
    <row r="1846" spans="1:12" x14ac:dyDescent="0.25">
      <c r="A1846" t="s">
        <v>5766</v>
      </c>
      <c r="B1846" t="s">
        <v>5250</v>
      </c>
      <c r="C1846" s="1" t="s">
        <v>4425</v>
      </c>
      <c r="D1846" s="1" t="s">
        <v>10344</v>
      </c>
      <c r="E1846" t="s">
        <v>4426</v>
      </c>
      <c r="F1846" t="s">
        <v>8612</v>
      </c>
      <c r="G1846" t="s">
        <v>10345</v>
      </c>
      <c r="H1846" t="s">
        <v>11461</v>
      </c>
      <c r="I1846" t="s">
        <v>11462</v>
      </c>
      <c r="J1846" t="s">
        <v>11455</v>
      </c>
      <c r="K1846" t="s">
        <v>7993</v>
      </c>
      <c r="L1846" t="s">
        <v>7994</v>
      </c>
    </row>
    <row r="1847" spans="1:12" x14ac:dyDescent="0.25">
      <c r="A1847" t="s">
        <v>5766</v>
      </c>
      <c r="B1847" t="s">
        <v>5250</v>
      </c>
      <c r="C1847" s="1" t="s">
        <v>5252</v>
      </c>
      <c r="D1847" s="1" t="s">
        <v>11463</v>
      </c>
      <c r="E1847" t="s">
        <v>5253</v>
      </c>
      <c r="F1847" t="s">
        <v>9356</v>
      </c>
      <c r="G1847" t="s">
        <v>11464</v>
      </c>
      <c r="H1847" t="s">
        <v>11465</v>
      </c>
      <c r="I1847" t="s">
        <v>6760</v>
      </c>
      <c r="J1847" t="s">
        <v>11455</v>
      </c>
      <c r="K1847" t="s">
        <v>7993</v>
      </c>
      <c r="L1847" t="s">
        <v>7994</v>
      </c>
    </row>
    <row r="1848" spans="1:12" x14ac:dyDescent="0.25">
      <c r="A1848" t="s">
        <v>5766</v>
      </c>
      <c r="B1848" t="s">
        <v>5250</v>
      </c>
      <c r="C1848" s="1" t="s">
        <v>5255</v>
      </c>
      <c r="D1848" s="1" t="s">
        <v>11466</v>
      </c>
      <c r="E1848" t="s">
        <v>5256</v>
      </c>
      <c r="F1848" t="s">
        <v>11467</v>
      </c>
      <c r="G1848" t="s">
        <v>11468</v>
      </c>
      <c r="H1848" t="s">
        <v>11469</v>
      </c>
      <c r="I1848" t="s">
        <v>5915</v>
      </c>
      <c r="J1848" t="s">
        <v>11455</v>
      </c>
      <c r="K1848" t="s">
        <v>7993</v>
      </c>
      <c r="L1848" t="s">
        <v>7994</v>
      </c>
    </row>
    <row r="1849" spans="1:12" x14ac:dyDescent="0.25">
      <c r="A1849" t="s">
        <v>5766</v>
      </c>
      <c r="B1849" t="s">
        <v>5250</v>
      </c>
      <c r="C1849" s="1" t="s">
        <v>4674</v>
      </c>
      <c r="D1849" s="1" t="s">
        <v>10696</v>
      </c>
      <c r="E1849" t="s">
        <v>4675</v>
      </c>
      <c r="F1849" t="s">
        <v>11470</v>
      </c>
      <c r="G1849" t="s">
        <v>10698</v>
      </c>
      <c r="H1849" t="s">
        <v>11471</v>
      </c>
      <c r="I1849" t="s">
        <v>11472</v>
      </c>
      <c r="J1849" t="s">
        <v>11455</v>
      </c>
      <c r="K1849" t="s">
        <v>7993</v>
      </c>
      <c r="L1849" t="s">
        <v>7994</v>
      </c>
    </row>
    <row r="1850" spans="1:12" x14ac:dyDescent="0.25">
      <c r="A1850" t="s">
        <v>5766</v>
      </c>
      <c r="B1850" t="s">
        <v>5250</v>
      </c>
      <c r="C1850" s="1" t="s">
        <v>5258</v>
      </c>
      <c r="D1850" s="1" t="s">
        <v>11473</v>
      </c>
      <c r="E1850" t="s">
        <v>5260</v>
      </c>
      <c r="F1850" t="s">
        <v>11474</v>
      </c>
      <c r="G1850" t="s">
        <v>11475</v>
      </c>
      <c r="H1850" t="s">
        <v>11476</v>
      </c>
      <c r="I1850" t="s">
        <v>6903</v>
      </c>
      <c r="J1850" t="s">
        <v>11455</v>
      </c>
      <c r="K1850" t="s">
        <v>7993</v>
      </c>
      <c r="L1850" t="s">
        <v>7994</v>
      </c>
    </row>
    <row r="1851" spans="1:12" x14ac:dyDescent="0.25">
      <c r="A1851" t="s">
        <v>5766</v>
      </c>
      <c r="B1851" t="s">
        <v>5250</v>
      </c>
      <c r="C1851" s="1" t="s">
        <v>126</v>
      </c>
      <c r="D1851" s="1" t="s">
        <v>5847</v>
      </c>
      <c r="E1851" t="s">
        <v>127</v>
      </c>
      <c r="F1851" t="s">
        <v>10510</v>
      </c>
      <c r="G1851" t="s">
        <v>5848</v>
      </c>
      <c r="H1851" t="s">
        <v>11477</v>
      </c>
      <c r="I1851" t="s">
        <v>8726</v>
      </c>
      <c r="J1851" t="s">
        <v>11455</v>
      </c>
      <c r="K1851" t="s">
        <v>7993</v>
      </c>
      <c r="L1851" t="s">
        <v>7994</v>
      </c>
    </row>
    <row r="1852" spans="1:12" x14ac:dyDescent="0.25">
      <c r="A1852" t="s">
        <v>5766</v>
      </c>
      <c r="B1852" t="s">
        <v>5250</v>
      </c>
      <c r="C1852" s="1" t="s">
        <v>4592</v>
      </c>
      <c r="D1852" s="1" t="s">
        <v>10550</v>
      </c>
      <c r="E1852" t="s">
        <v>4593</v>
      </c>
      <c r="F1852" t="s">
        <v>9571</v>
      </c>
      <c r="G1852" t="s">
        <v>10552</v>
      </c>
      <c r="H1852" t="s">
        <v>11478</v>
      </c>
      <c r="I1852" t="s">
        <v>6075</v>
      </c>
      <c r="J1852" t="s">
        <v>11455</v>
      </c>
      <c r="K1852" t="s">
        <v>7993</v>
      </c>
      <c r="L1852" t="s">
        <v>7994</v>
      </c>
    </row>
    <row r="1853" spans="1:12" x14ac:dyDescent="0.25">
      <c r="A1853" t="s">
        <v>5766</v>
      </c>
      <c r="B1853" t="s">
        <v>5250</v>
      </c>
      <c r="C1853" s="1" t="s">
        <v>132</v>
      </c>
      <c r="D1853" s="1" t="s">
        <v>5855</v>
      </c>
      <c r="E1853" t="s">
        <v>133</v>
      </c>
      <c r="F1853" t="s">
        <v>11479</v>
      </c>
      <c r="G1853" t="s">
        <v>5857</v>
      </c>
      <c r="H1853" t="s">
        <v>11480</v>
      </c>
      <c r="I1853" t="s">
        <v>6414</v>
      </c>
      <c r="J1853" t="s">
        <v>11455</v>
      </c>
      <c r="K1853" t="s">
        <v>7993</v>
      </c>
      <c r="L1853" t="s">
        <v>7994</v>
      </c>
    </row>
    <row r="1854" spans="1:12" x14ac:dyDescent="0.25">
      <c r="A1854" t="s">
        <v>5766</v>
      </c>
      <c r="B1854" t="s">
        <v>5250</v>
      </c>
      <c r="C1854" s="1" t="s">
        <v>4780</v>
      </c>
      <c r="D1854" s="1" t="s">
        <v>10906</v>
      </c>
      <c r="E1854" t="s">
        <v>4781</v>
      </c>
      <c r="F1854" t="s">
        <v>9503</v>
      </c>
      <c r="G1854" t="s">
        <v>10907</v>
      </c>
      <c r="H1854" t="s">
        <v>11481</v>
      </c>
      <c r="I1854" t="s">
        <v>11397</v>
      </c>
      <c r="J1854" t="s">
        <v>11455</v>
      </c>
      <c r="K1854" t="s">
        <v>7993</v>
      </c>
      <c r="L1854" t="s">
        <v>7994</v>
      </c>
    </row>
    <row r="1855" spans="1:12" x14ac:dyDescent="0.25">
      <c r="A1855" t="s">
        <v>5766</v>
      </c>
      <c r="B1855" t="s">
        <v>5250</v>
      </c>
      <c r="C1855" s="1" t="s">
        <v>5262</v>
      </c>
      <c r="D1855" s="1" t="s">
        <v>11482</v>
      </c>
      <c r="E1855" t="s">
        <v>5263</v>
      </c>
      <c r="F1855" t="s">
        <v>9681</v>
      </c>
      <c r="G1855" t="s">
        <v>11483</v>
      </c>
      <c r="H1855" t="s">
        <v>11484</v>
      </c>
      <c r="I1855" t="s">
        <v>7396</v>
      </c>
      <c r="J1855" t="s">
        <v>11455</v>
      </c>
      <c r="K1855" t="s">
        <v>7993</v>
      </c>
      <c r="L1855" t="s">
        <v>7994</v>
      </c>
    </row>
    <row r="1856" spans="1:12" x14ac:dyDescent="0.25">
      <c r="A1856" t="s">
        <v>5766</v>
      </c>
      <c r="B1856" t="s">
        <v>5250</v>
      </c>
      <c r="C1856" s="1" t="s">
        <v>4698</v>
      </c>
      <c r="D1856" s="1" t="s">
        <v>10741</v>
      </c>
      <c r="E1856" t="s">
        <v>4699</v>
      </c>
      <c r="F1856" t="s">
        <v>10192</v>
      </c>
      <c r="G1856" t="s">
        <v>10743</v>
      </c>
      <c r="H1856" t="s">
        <v>11485</v>
      </c>
      <c r="I1856" t="s">
        <v>11421</v>
      </c>
      <c r="J1856" t="s">
        <v>11455</v>
      </c>
      <c r="K1856" t="s">
        <v>7993</v>
      </c>
      <c r="L1856" t="s">
        <v>7994</v>
      </c>
    </row>
    <row r="1857" spans="1:13" x14ac:dyDescent="0.25">
      <c r="A1857" t="s">
        <v>5766</v>
      </c>
      <c r="B1857" t="s">
        <v>5250</v>
      </c>
      <c r="C1857" s="1" t="s">
        <v>78</v>
      </c>
      <c r="D1857" s="1" t="s">
        <v>5780</v>
      </c>
      <c r="E1857" t="s">
        <v>5781</v>
      </c>
      <c r="F1857" t="s">
        <v>11486</v>
      </c>
      <c r="G1857" t="s">
        <v>5783</v>
      </c>
      <c r="H1857" t="s">
        <v>11487</v>
      </c>
      <c r="I1857" t="s">
        <v>8115</v>
      </c>
      <c r="J1857" t="s">
        <v>11455</v>
      </c>
      <c r="K1857" t="s">
        <v>7993</v>
      </c>
      <c r="L1857" t="s">
        <v>7994</v>
      </c>
      <c r="M1857" t="s">
        <v>65</v>
      </c>
    </row>
    <row r="1858" spans="1:13" x14ac:dyDescent="0.25">
      <c r="A1858" t="s">
        <v>5766</v>
      </c>
      <c r="B1858" t="s">
        <v>5250</v>
      </c>
      <c r="C1858" s="1" t="s">
        <v>4234</v>
      </c>
      <c r="D1858" s="1" t="s">
        <v>10078</v>
      </c>
      <c r="E1858" t="s">
        <v>4235</v>
      </c>
      <c r="F1858" t="s">
        <v>10919</v>
      </c>
      <c r="G1858" t="s">
        <v>10079</v>
      </c>
      <c r="H1858" t="s">
        <v>11488</v>
      </c>
      <c r="I1858" t="s">
        <v>6061</v>
      </c>
      <c r="J1858" t="s">
        <v>11455</v>
      </c>
      <c r="K1858" t="s">
        <v>7993</v>
      </c>
      <c r="L1858" t="s">
        <v>7994</v>
      </c>
    </row>
    <row r="1859" spans="1:13" x14ac:dyDescent="0.25">
      <c r="A1859" t="s">
        <v>5766</v>
      </c>
      <c r="B1859" t="s">
        <v>5250</v>
      </c>
      <c r="C1859" s="1" t="s">
        <v>4237</v>
      </c>
      <c r="D1859" s="1" t="s">
        <v>10081</v>
      </c>
      <c r="E1859" t="s">
        <v>4238</v>
      </c>
      <c r="F1859" t="s">
        <v>9689</v>
      </c>
      <c r="G1859" t="s">
        <v>10083</v>
      </c>
      <c r="H1859" t="s">
        <v>11489</v>
      </c>
      <c r="I1859" t="s">
        <v>6018</v>
      </c>
      <c r="J1859" t="s">
        <v>11455</v>
      </c>
      <c r="K1859" t="s">
        <v>7993</v>
      </c>
      <c r="L1859" t="s">
        <v>7994</v>
      </c>
    </row>
    <row r="1860" spans="1:13" x14ac:dyDescent="0.25">
      <c r="A1860" t="s">
        <v>5766</v>
      </c>
      <c r="B1860" t="s">
        <v>5250</v>
      </c>
      <c r="C1860" s="1" t="s">
        <v>5265</v>
      </c>
      <c r="D1860" s="1" t="s">
        <v>11490</v>
      </c>
      <c r="E1860" t="s">
        <v>5266</v>
      </c>
      <c r="F1860" t="s">
        <v>9491</v>
      </c>
      <c r="G1860" t="s">
        <v>11491</v>
      </c>
      <c r="H1860" t="s">
        <v>11492</v>
      </c>
      <c r="I1860" t="s">
        <v>6169</v>
      </c>
      <c r="J1860" t="s">
        <v>11455</v>
      </c>
      <c r="K1860" t="s">
        <v>7993</v>
      </c>
      <c r="L1860" t="s">
        <v>7994</v>
      </c>
    </row>
    <row r="1861" spans="1:13" x14ac:dyDescent="0.25">
      <c r="A1861" t="s">
        <v>5766</v>
      </c>
      <c r="B1861" t="s">
        <v>5250</v>
      </c>
      <c r="C1861" s="1" t="s">
        <v>5268</v>
      </c>
      <c r="D1861" s="1" t="s">
        <v>11493</v>
      </c>
      <c r="E1861" t="s">
        <v>5269</v>
      </c>
      <c r="F1861" t="s">
        <v>11494</v>
      </c>
      <c r="G1861" t="s">
        <v>11495</v>
      </c>
      <c r="H1861" t="s">
        <v>11496</v>
      </c>
      <c r="I1861" t="s">
        <v>6169</v>
      </c>
      <c r="J1861" t="s">
        <v>11455</v>
      </c>
      <c r="K1861" t="s">
        <v>7993</v>
      </c>
      <c r="L1861" t="s">
        <v>7994</v>
      </c>
    </row>
    <row r="1862" spans="1:13" x14ac:dyDescent="0.25">
      <c r="A1862" t="s">
        <v>5766</v>
      </c>
      <c r="B1862" t="s">
        <v>5250</v>
      </c>
      <c r="C1862" s="1" t="s">
        <v>5271</v>
      </c>
      <c r="D1862" s="1" t="s">
        <v>11497</v>
      </c>
      <c r="E1862" t="s">
        <v>5272</v>
      </c>
      <c r="F1862" t="s">
        <v>10510</v>
      </c>
      <c r="G1862" t="s">
        <v>11498</v>
      </c>
      <c r="H1862" t="s">
        <v>11499</v>
      </c>
      <c r="I1862" t="s">
        <v>5869</v>
      </c>
      <c r="J1862" t="s">
        <v>11455</v>
      </c>
      <c r="K1862" t="s">
        <v>7993</v>
      </c>
      <c r="L1862" t="s">
        <v>7994</v>
      </c>
    </row>
    <row r="1863" spans="1:13" x14ac:dyDescent="0.25">
      <c r="A1863" t="s">
        <v>5766</v>
      </c>
      <c r="B1863" t="s">
        <v>5250</v>
      </c>
      <c r="C1863" s="1" t="s">
        <v>5274</v>
      </c>
      <c r="D1863" s="1" t="s">
        <v>11500</v>
      </c>
      <c r="E1863" t="s">
        <v>5275</v>
      </c>
      <c r="F1863" t="s">
        <v>6297</v>
      </c>
      <c r="G1863" t="s">
        <v>11501</v>
      </c>
      <c r="H1863" t="s">
        <v>11502</v>
      </c>
      <c r="I1863" t="s">
        <v>6518</v>
      </c>
      <c r="J1863" t="s">
        <v>11455</v>
      </c>
      <c r="K1863" t="s">
        <v>7993</v>
      </c>
      <c r="L1863" t="s">
        <v>7994</v>
      </c>
    </row>
    <row r="1864" spans="1:13" x14ac:dyDescent="0.25">
      <c r="A1864" t="s">
        <v>5766</v>
      </c>
      <c r="B1864" t="s">
        <v>5250</v>
      </c>
      <c r="C1864" s="1" t="s">
        <v>4707</v>
      </c>
      <c r="D1864" s="1" t="s">
        <v>10764</v>
      </c>
      <c r="E1864" t="s">
        <v>4708</v>
      </c>
      <c r="F1864" t="s">
        <v>11503</v>
      </c>
      <c r="G1864" t="s">
        <v>10766</v>
      </c>
      <c r="H1864" t="s">
        <v>11504</v>
      </c>
      <c r="I1864" t="s">
        <v>9816</v>
      </c>
      <c r="J1864" t="s">
        <v>11455</v>
      </c>
      <c r="K1864" t="s">
        <v>7993</v>
      </c>
      <c r="L1864" t="s">
        <v>7994</v>
      </c>
    </row>
    <row r="1865" spans="1:13" x14ac:dyDescent="0.25">
      <c r="A1865" t="s">
        <v>5766</v>
      </c>
      <c r="B1865" t="s">
        <v>5250</v>
      </c>
      <c r="C1865" s="1" t="s">
        <v>5277</v>
      </c>
      <c r="D1865" s="1" t="s">
        <v>11505</v>
      </c>
      <c r="E1865" t="s">
        <v>5278</v>
      </c>
      <c r="F1865" t="s">
        <v>11506</v>
      </c>
      <c r="G1865" t="s">
        <v>11507</v>
      </c>
      <c r="H1865" t="s">
        <v>11508</v>
      </c>
      <c r="I1865" t="s">
        <v>9441</v>
      </c>
      <c r="J1865" t="s">
        <v>11455</v>
      </c>
      <c r="K1865" t="s">
        <v>7993</v>
      </c>
      <c r="L1865" t="s">
        <v>7994</v>
      </c>
    </row>
    <row r="1866" spans="1:13" x14ac:dyDescent="0.25">
      <c r="A1866" t="s">
        <v>5766</v>
      </c>
      <c r="B1866" t="s">
        <v>5250</v>
      </c>
      <c r="C1866" s="1" t="s">
        <v>5280</v>
      </c>
      <c r="D1866" s="1" t="s">
        <v>11509</v>
      </c>
      <c r="E1866" t="s">
        <v>5281</v>
      </c>
      <c r="F1866" t="s">
        <v>11510</v>
      </c>
      <c r="G1866" t="s">
        <v>11511</v>
      </c>
      <c r="H1866" t="s">
        <v>11512</v>
      </c>
      <c r="I1866" t="s">
        <v>8390</v>
      </c>
      <c r="J1866" t="s">
        <v>11455</v>
      </c>
      <c r="K1866" t="s">
        <v>7993</v>
      </c>
      <c r="L1866" t="s">
        <v>7994</v>
      </c>
    </row>
    <row r="1867" spans="1:13" x14ac:dyDescent="0.25">
      <c r="A1867" t="s">
        <v>5766</v>
      </c>
      <c r="B1867" t="s">
        <v>5250</v>
      </c>
      <c r="C1867" s="1" t="s">
        <v>5283</v>
      </c>
      <c r="D1867" s="1" t="s">
        <v>11513</v>
      </c>
      <c r="E1867" t="s">
        <v>5284</v>
      </c>
      <c r="F1867" t="s">
        <v>9346</v>
      </c>
      <c r="G1867" t="s">
        <v>11514</v>
      </c>
      <c r="H1867" t="s">
        <v>11515</v>
      </c>
      <c r="I1867" t="s">
        <v>6592</v>
      </c>
      <c r="J1867" t="s">
        <v>11455</v>
      </c>
      <c r="K1867" t="s">
        <v>7993</v>
      </c>
      <c r="L1867" t="s">
        <v>7994</v>
      </c>
    </row>
    <row r="1868" spans="1:13" x14ac:dyDescent="0.25">
      <c r="A1868" t="s">
        <v>5766</v>
      </c>
      <c r="B1868" t="s">
        <v>5250</v>
      </c>
      <c r="C1868" s="1" t="s">
        <v>5286</v>
      </c>
      <c r="D1868" s="1" t="s">
        <v>11516</v>
      </c>
      <c r="E1868" t="s">
        <v>5288</v>
      </c>
      <c r="F1868" t="s">
        <v>11517</v>
      </c>
      <c r="G1868" t="s">
        <v>11518</v>
      </c>
      <c r="H1868" t="s">
        <v>11519</v>
      </c>
      <c r="I1868" t="s">
        <v>9408</v>
      </c>
      <c r="J1868" t="s">
        <v>11455</v>
      </c>
      <c r="K1868" t="s">
        <v>7993</v>
      </c>
      <c r="L1868" t="s">
        <v>7994</v>
      </c>
    </row>
    <row r="1869" spans="1:13" x14ac:dyDescent="0.25">
      <c r="A1869" t="s">
        <v>5766</v>
      </c>
      <c r="B1869" t="s">
        <v>5250</v>
      </c>
      <c r="C1869" s="1" t="s">
        <v>165</v>
      </c>
      <c r="D1869" s="1" t="s">
        <v>5911</v>
      </c>
      <c r="E1869" t="s">
        <v>166</v>
      </c>
      <c r="F1869" t="s">
        <v>10259</v>
      </c>
      <c r="G1869" t="s">
        <v>5913</v>
      </c>
      <c r="H1869" t="s">
        <v>11520</v>
      </c>
      <c r="I1869" t="s">
        <v>6053</v>
      </c>
      <c r="J1869" t="s">
        <v>11455</v>
      </c>
      <c r="K1869" t="s">
        <v>7993</v>
      </c>
      <c r="L1869" t="s">
        <v>7994</v>
      </c>
    </row>
    <row r="1870" spans="1:13" x14ac:dyDescent="0.25">
      <c r="A1870" t="s">
        <v>5766</v>
      </c>
      <c r="B1870" t="s">
        <v>5250</v>
      </c>
      <c r="C1870" s="1" t="s">
        <v>5290</v>
      </c>
      <c r="D1870" s="1" t="s">
        <v>11521</v>
      </c>
      <c r="E1870" t="s">
        <v>5292</v>
      </c>
      <c r="F1870" t="s">
        <v>9554</v>
      </c>
      <c r="G1870" t="s">
        <v>11522</v>
      </c>
      <c r="H1870" t="s">
        <v>11523</v>
      </c>
      <c r="I1870" t="s">
        <v>6789</v>
      </c>
      <c r="J1870" t="s">
        <v>11455</v>
      </c>
      <c r="K1870" t="s">
        <v>7993</v>
      </c>
      <c r="L1870" t="s">
        <v>7994</v>
      </c>
    </row>
    <row r="1871" spans="1:13" x14ac:dyDescent="0.25">
      <c r="A1871" t="s">
        <v>5766</v>
      </c>
      <c r="B1871" t="s">
        <v>5250</v>
      </c>
      <c r="C1871" s="1" t="s">
        <v>177</v>
      </c>
      <c r="D1871" s="1" t="s">
        <v>5930</v>
      </c>
      <c r="E1871" t="s">
        <v>178</v>
      </c>
      <c r="F1871" t="s">
        <v>11524</v>
      </c>
      <c r="G1871" t="s">
        <v>5932</v>
      </c>
      <c r="H1871" t="s">
        <v>11525</v>
      </c>
      <c r="I1871" t="s">
        <v>9581</v>
      </c>
      <c r="J1871" t="s">
        <v>11455</v>
      </c>
      <c r="K1871" t="s">
        <v>7993</v>
      </c>
      <c r="L1871" t="s">
        <v>7994</v>
      </c>
    </row>
    <row r="1872" spans="1:13" x14ac:dyDescent="0.25">
      <c r="A1872" t="s">
        <v>5766</v>
      </c>
      <c r="B1872" t="s">
        <v>5250</v>
      </c>
      <c r="C1872" s="1" t="s">
        <v>4613</v>
      </c>
      <c r="D1872" s="1" t="s">
        <v>10582</v>
      </c>
      <c r="E1872" t="s">
        <v>4614</v>
      </c>
      <c r="F1872" t="s">
        <v>11510</v>
      </c>
      <c r="G1872" t="s">
        <v>10584</v>
      </c>
      <c r="H1872" t="s">
        <v>11526</v>
      </c>
      <c r="I1872" t="s">
        <v>8898</v>
      </c>
      <c r="J1872" t="s">
        <v>11455</v>
      </c>
      <c r="K1872" t="s">
        <v>7993</v>
      </c>
      <c r="L1872" t="s">
        <v>7994</v>
      </c>
    </row>
    <row r="1873" spans="1:12" x14ac:dyDescent="0.25">
      <c r="A1873" t="s">
        <v>5766</v>
      </c>
      <c r="B1873" t="s">
        <v>5250</v>
      </c>
      <c r="C1873" s="1" t="s">
        <v>5294</v>
      </c>
      <c r="D1873" s="1" t="s">
        <v>11527</v>
      </c>
      <c r="E1873" t="s">
        <v>5295</v>
      </c>
      <c r="F1873" t="s">
        <v>9534</v>
      </c>
      <c r="G1873" t="s">
        <v>11528</v>
      </c>
      <c r="H1873" t="s">
        <v>11529</v>
      </c>
      <c r="I1873" t="s">
        <v>10690</v>
      </c>
      <c r="J1873" t="s">
        <v>11455</v>
      </c>
      <c r="K1873" t="s">
        <v>7993</v>
      </c>
      <c r="L1873" t="s">
        <v>7994</v>
      </c>
    </row>
    <row r="1874" spans="1:12" x14ac:dyDescent="0.25">
      <c r="A1874" t="s">
        <v>5766</v>
      </c>
      <c r="B1874" t="s">
        <v>5250</v>
      </c>
      <c r="C1874" s="1" t="s">
        <v>4719</v>
      </c>
      <c r="D1874" s="1" t="s">
        <v>10794</v>
      </c>
      <c r="E1874" t="s">
        <v>4720</v>
      </c>
      <c r="F1874" t="s">
        <v>11517</v>
      </c>
      <c r="G1874" t="s">
        <v>10795</v>
      </c>
      <c r="H1874" t="s">
        <v>11530</v>
      </c>
      <c r="I1874" t="s">
        <v>10046</v>
      </c>
      <c r="J1874" t="s">
        <v>11455</v>
      </c>
      <c r="K1874" t="s">
        <v>7993</v>
      </c>
      <c r="L1874" t="s">
        <v>7994</v>
      </c>
    </row>
    <row r="1875" spans="1:12" x14ac:dyDescent="0.25">
      <c r="A1875" t="s">
        <v>5766</v>
      </c>
      <c r="B1875" t="s">
        <v>5250</v>
      </c>
      <c r="C1875" s="1" t="s">
        <v>4722</v>
      </c>
      <c r="D1875" s="1" t="s">
        <v>10797</v>
      </c>
      <c r="E1875" t="s">
        <v>4723</v>
      </c>
      <c r="F1875" t="s">
        <v>6127</v>
      </c>
      <c r="G1875" t="s">
        <v>10799</v>
      </c>
      <c r="H1875" t="s">
        <v>11531</v>
      </c>
      <c r="I1875" t="s">
        <v>11532</v>
      </c>
      <c r="J1875" t="s">
        <v>11455</v>
      </c>
      <c r="K1875" t="s">
        <v>7993</v>
      </c>
      <c r="L1875" t="s">
        <v>7994</v>
      </c>
    </row>
    <row r="1876" spans="1:12" x14ac:dyDescent="0.25">
      <c r="A1876" t="s">
        <v>5766</v>
      </c>
      <c r="B1876" t="s">
        <v>5250</v>
      </c>
      <c r="C1876" s="1" t="s">
        <v>4619</v>
      </c>
      <c r="D1876" s="1" t="s">
        <v>10591</v>
      </c>
      <c r="E1876" t="s">
        <v>4620</v>
      </c>
      <c r="F1876" t="s">
        <v>9545</v>
      </c>
      <c r="G1876" t="s">
        <v>10592</v>
      </c>
      <c r="H1876" t="s">
        <v>11533</v>
      </c>
      <c r="I1876" t="s">
        <v>8515</v>
      </c>
      <c r="J1876" t="s">
        <v>11455</v>
      </c>
      <c r="K1876" t="s">
        <v>7993</v>
      </c>
      <c r="L1876" t="s">
        <v>7994</v>
      </c>
    </row>
    <row r="1877" spans="1:12" x14ac:dyDescent="0.25">
      <c r="A1877" t="s">
        <v>5766</v>
      </c>
      <c r="B1877" t="s">
        <v>5250</v>
      </c>
      <c r="C1877" s="1" t="s">
        <v>5297</v>
      </c>
      <c r="D1877" s="1" t="s">
        <v>11534</v>
      </c>
      <c r="E1877" t="s">
        <v>5298</v>
      </c>
      <c r="F1877" t="s">
        <v>10952</v>
      </c>
      <c r="G1877" t="s">
        <v>11535</v>
      </c>
      <c r="H1877" t="s">
        <v>11536</v>
      </c>
      <c r="I1877" t="s">
        <v>6192</v>
      </c>
      <c r="J1877" t="s">
        <v>11455</v>
      </c>
      <c r="K1877" t="s">
        <v>7993</v>
      </c>
      <c r="L1877" t="s">
        <v>7994</v>
      </c>
    </row>
    <row r="1878" spans="1:12" x14ac:dyDescent="0.25">
      <c r="A1878" t="s">
        <v>5766</v>
      </c>
      <c r="B1878" t="s">
        <v>5250</v>
      </c>
      <c r="C1878" s="1" t="s">
        <v>5300</v>
      </c>
      <c r="D1878" s="1" t="s">
        <v>11537</v>
      </c>
      <c r="E1878" t="s">
        <v>5301</v>
      </c>
      <c r="F1878" t="s">
        <v>11538</v>
      </c>
      <c r="G1878" t="s">
        <v>11539</v>
      </c>
      <c r="H1878" t="s">
        <v>11540</v>
      </c>
      <c r="I1878" t="s">
        <v>9622</v>
      </c>
      <c r="J1878" t="s">
        <v>11455</v>
      </c>
      <c r="K1878" t="s">
        <v>7993</v>
      </c>
      <c r="L1878" t="s">
        <v>7994</v>
      </c>
    </row>
    <row r="1879" spans="1:12" x14ac:dyDescent="0.25">
      <c r="A1879" t="s">
        <v>5766</v>
      </c>
      <c r="B1879" t="s">
        <v>5250</v>
      </c>
      <c r="C1879" s="1" t="s">
        <v>5303</v>
      </c>
      <c r="D1879" s="1" t="s">
        <v>11541</v>
      </c>
      <c r="E1879" t="s">
        <v>5304</v>
      </c>
      <c r="F1879" t="s">
        <v>11542</v>
      </c>
      <c r="G1879" t="s">
        <v>11543</v>
      </c>
      <c r="H1879" t="s">
        <v>11544</v>
      </c>
      <c r="I1879" t="s">
        <v>6954</v>
      </c>
      <c r="J1879" t="s">
        <v>11455</v>
      </c>
      <c r="K1879" t="s">
        <v>7993</v>
      </c>
      <c r="L1879" t="s">
        <v>7994</v>
      </c>
    </row>
    <row r="1880" spans="1:12" x14ac:dyDescent="0.25">
      <c r="A1880" t="s">
        <v>5766</v>
      </c>
      <c r="B1880" t="s">
        <v>5250</v>
      </c>
      <c r="C1880" s="1" t="s">
        <v>5306</v>
      </c>
      <c r="D1880" s="1" t="s">
        <v>11545</v>
      </c>
      <c r="E1880" t="s">
        <v>5308</v>
      </c>
      <c r="F1880" t="s">
        <v>9534</v>
      </c>
      <c r="G1880" t="s">
        <v>11546</v>
      </c>
      <c r="H1880" t="s">
        <v>11547</v>
      </c>
      <c r="I1880" t="s">
        <v>6066</v>
      </c>
      <c r="J1880" t="s">
        <v>11455</v>
      </c>
      <c r="K1880" t="s">
        <v>7993</v>
      </c>
      <c r="L1880" t="s">
        <v>7994</v>
      </c>
    </row>
    <row r="1881" spans="1:12" x14ac:dyDescent="0.25">
      <c r="A1881" t="s">
        <v>5766</v>
      </c>
      <c r="B1881" t="s">
        <v>5250</v>
      </c>
      <c r="C1881" s="1" t="s">
        <v>186</v>
      </c>
      <c r="D1881" s="1" t="s">
        <v>5944</v>
      </c>
      <c r="E1881" t="s">
        <v>188</v>
      </c>
      <c r="F1881" t="s">
        <v>11474</v>
      </c>
      <c r="G1881" t="s">
        <v>5945</v>
      </c>
      <c r="H1881" t="s">
        <v>11548</v>
      </c>
      <c r="I1881" t="s">
        <v>6049</v>
      </c>
      <c r="J1881" t="s">
        <v>11455</v>
      </c>
      <c r="K1881" t="s">
        <v>7993</v>
      </c>
      <c r="L1881" t="s">
        <v>7994</v>
      </c>
    </row>
    <row r="1882" spans="1:12" x14ac:dyDescent="0.25">
      <c r="A1882" t="s">
        <v>5766</v>
      </c>
      <c r="B1882" t="s">
        <v>5250</v>
      </c>
      <c r="C1882" s="1" t="s">
        <v>5310</v>
      </c>
      <c r="D1882" s="1" t="s">
        <v>11549</v>
      </c>
      <c r="E1882" t="s">
        <v>5311</v>
      </c>
      <c r="F1882" t="s">
        <v>11550</v>
      </c>
      <c r="G1882" t="s">
        <v>11551</v>
      </c>
      <c r="H1882" t="s">
        <v>11552</v>
      </c>
      <c r="I1882" t="s">
        <v>6219</v>
      </c>
      <c r="J1882" t="s">
        <v>11455</v>
      </c>
      <c r="K1882" t="s">
        <v>7993</v>
      </c>
      <c r="L1882" t="s">
        <v>7994</v>
      </c>
    </row>
    <row r="1883" spans="1:12" x14ac:dyDescent="0.25">
      <c r="A1883" t="s">
        <v>5766</v>
      </c>
      <c r="B1883" t="s">
        <v>5250</v>
      </c>
      <c r="C1883" s="1" t="s">
        <v>5313</v>
      </c>
      <c r="D1883" s="1" t="s">
        <v>11553</v>
      </c>
      <c r="E1883" t="s">
        <v>5314</v>
      </c>
      <c r="F1883" t="s">
        <v>9526</v>
      </c>
      <c r="G1883" t="s">
        <v>11554</v>
      </c>
      <c r="H1883" t="s">
        <v>11555</v>
      </c>
      <c r="I1883" t="s">
        <v>9047</v>
      </c>
      <c r="J1883" t="s">
        <v>11455</v>
      </c>
      <c r="K1883" t="s">
        <v>7993</v>
      </c>
      <c r="L1883" t="s">
        <v>7994</v>
      </c>
    </row>
    <row r="1884" spans="1:12" x14ac:dyDescent="0.25">
      <c r="A1884" t="s">
        <v>5766</v>
      </c>
      <c r="B1884" t="s">
        <v>5250</v>
      </c>
      <c r="C1884" s="1" t="s">
        <v>5316</v>
      </c>
      <c r="D1884" s="1" t="s">
        <v>11556</v>
      </c>
      <c r="E1884" t="s">
        <v>5317</v>
      </c>
      <c r="F1884" t="s">
        <v>6127</v>
      </c>
      <c r="G1884" t="s">
        <v>11557</v>
      </c>
      <c r="H1884" t="s">
        <v>11558</v>
      </c>
      <c r="I1884" t="s">
        <v>7003</v>
      </c>
      <c r="J1884" t="s">
        <v>11455</v>
      </c>
      <c r="K1884" t="s">
        <v>7993</v>
      </c>
      <c r="L1884" t="s">
        <v>7994</v>
      </c>
    </row>
    <row r="1885" spans="1:12" x14ac:dyDescent="0.25">
      <c r="A1885" t="s">
        <v>5766</v>
      </c>
      <c r="B1885" t="s">
        <v>5250</v>
      </c>
      <c r="C1885" s="1" t="s">
        <v>4734</v>
      </c>
      <c r="D1885" s="1" t="s">
        <v>10831</v>
      </c>
      <c r="E1885" t="s">
        <v>4735</v>
      </c>
      <c r="F1885" t="s">
        <v>11517</v>
      </c>
      <c r="G1885" t="s">
        <v>10832</v>
      </c>
      <c r="H1885" t="s">
        <v>11559</v>
      </c>
      <c r="I1885" t="s">
        <v>11560</v>
      </c>
      <c r="J1885" t="s">
        <v>11455</v>
      </c>
      <c r="K1885" t="s">
        <v>7993</v>
      </c>
      <c r="L1885" t="s">
        <v>7994</v>
      </c>
    </row>
    <row r="1886" spans="1:12" x14ac:dyDescent="0.25">
      <c r="A1886" t="s">
        <v>5766</v>
      </c>
      <c r="B1886" t="s">
        <v>5250</v>
      </c>
      <c r="C1886" s="1" t="s">
        <v>5319</v>
      </c>
      <c r="D1886" s="1" t="s">
        <v>11561</v>
      </c>
      <c r="E1886" t="s">
        <v>5321</v>
      </c>
      <c r="F1886" t="s">
        <v>6127</v>
      </c>
      <c r="G1886" t="s">
        <v>11562</v>
      </c>
      <c r="H1886" t="s">
        <v>11563</v>
      </c>
      <c r="I1886" t="s">
        <v>9598</v>
      </c>
      <c r="J1886" t="s">
        <v>11455</v>
      </c>
      <c r="K1886" t="s">
        <v>7993</v>
      </c>
      <c r="L1886" t="s">
        <v>7994</v>
      </c>
    </row>
    <row r="1887" spans="1:12" x14ac:dyDescent="0.25">
      <c r="A1887" t="s">
        <v>5766</v>
      </c>
      <c r="B1887" t="s">
        <v>5250</v>
      </c>
      <c r="C1887" s="1" t="s">
        <v>5323</v>
      </c>
      <c r="D1887" s="1" t="s">
        <v>11564</v>
      </c>
      <c r="E1887" t="s">
        <v>5324</v>
      </c>
      <c r="F1887" t="s">
        <v>11565</v>
      </c>
      <c r="G1887" t="s">
        <v>11566</v>
      </c>
      <c r="H1887" t="s">
        <v>11567</v>
      </c>
      <c r="I1887" t="s">
        <v>6238</v>
      </c>
      <c r="J1887" t="s">
        <v>11455</v>
      </c>
      <c r="K1887" t="s">
        <v>7993</v>
      </c>
      <c r="L1887" t="s">
        <v>7994</v>
      </c>
    </row>
    <row r="1888" spans="1:12" x14ac:dyDescent="0.25">
      <c r="A1888" t="s">
        <v>5766</v>
      </c>
      <c r="B1888" t="s">
        <v>5250</v>
      </c>
      <c r="C1888" s="1" t="s">
        <v>193</v>
      </c>
      <c r="D1888" s="1" t="s">
        <v>5953</v>
      </c>
      <c r="E1888" t="s">
        <v>194</v>
      </c>
      <c r="F1888" t="s">
        <v>5949</v>
      </c>
      <c r="G1888" t="s">
        <v>5955</v>
      </c>
      <c r="H1888" t="s">
        <v>11568</v>
      </c>
      <c r="I1888" t="s">
        <v>6661</v>
      </c>
      <c r="J1888" t="s">
        <v>11455</v>
      </c>
      <c r="K1888" t="s">
        <v>7993</v>
      </c>
      <c r="L1888" t="s">
        <v>7994</v>
      </c>
    </row>
    <row r="1889" spans="1:13" x14ac:dyDescent="0.25">
      <c r="A1889" t="s">
        <v>5766</v>
      </c>
      <c r="B1889" t="s">
        <v>5250</v>
      </c>
      <c r="C1889" s="1" t="s">
        <v>196</v>
      </c>
      <c r="D1889" s="1" t="s">
        <v>5958</v>
      </c>
      <c r="E1889" t="s">
        <v>197</v>
      </c>
      <c r="F1889" t="s">
        <v>10747</v>
      </c>
      <c r="G1889" t="s">
        <v>5959</v>
      </c>
      <c r="H1889" t="s">
        <v>11569</v>
      </c>
      <c r="I1889" t="s">
        <v>7485</v>
      </c>
      <c r="J1889" t="s">
        <v>11455</v>
      </c>
      <c r="K1889" t="s">
        <v>7993</v>
      </c>
      <c r="L1889" t="s">
        <v>7994</v>
      </c>
    </row>
    <row r="1890" spans="1:13" x14ac:dyDescent="0.25">
      <c r="A1890" t="s">
        <v>5766</v>
      </c>
      <c r="B1890" t="s">
        <v>5250</v>
      </c>
      <c r="C1890" s="1" t="s">
        <v>5326</v>
      </c>
      <c r="D1890" s="1" t="s">
        <v>11570</v>
      </c>
      <c r="E1890" t="s">
        <v>5327</v>
      </c>
      <c r="F1890" t="s">
        <v>11524</v>
      </c>
      <c r="G1890" t="s">
        <v>11571</v>
      </c>
      <c r="H1890" t="s">
        <v>11572</v>
      </c>
      <c r="I1890" t="s">
        <v>6137</v>
      </c>
      <c r="J1890" t="s">
        <v>11455</v>
      </c>
      <c r="K1890" t="s">
        <v>7993</v>
      </c>
      <c r="L1890" t="s">
        <v>7994</v>
      </c>
    </row>
    <row r="1891" spans="1:13" x14ac:dyDescent="0.25">
      <c r="A1891" t="s">
        <v>5766</v>
      </c>
      <c r="B1891" t="s">
        <v>5250</v>
      </c>
      <c r="C1891" s="1" t="s">
        <v>5329</v>
      </c>
      <c r="D1891" s="1" t="s">
        <v>11573</v>
      </c>
      <c r="E1891" t="s">
        <v>5330</v>
      </c>
      <c r="F1891" t="s">
        <v>10899</v>
      </c>
      <c r="G1891" t="s">
        <v>11574</v>
      </c>
      <c r="H1891" t="s">
        <v>11575</v>
      </c>
      <c r="I1891" t="s">
        <v>5826</v>
      </c>
      <c r="J1891" t="s">
        <v>11455</v>
      </c>
      <c r="K1891" t="s">
        <v>7993</v>
      </c>
      <c r="L1891" t="s">
        <v>7994</v>
      </c>
    </row>
    <row r="1892" spans="1:13" x14ac:dyDescent="0.25">
      <c r="A1892" t="s">
        <v>5766</v>
      </c>
      <c r="B1892" t="s">
        <v>5250</v>
      </c>
      <c r="C1892" s="1" t="s">
        <v>5332</v>
      </c>
      <c r="D1892" s="1" t="s">
        <v>11576</v>
      </c>
      <c r="E1892" t="s">
        <v>5333</v>
      </c>
      <c r="F1892" t="s">
        <v>11479</v>
      </c>
      <c r="G1892" t="s">
        <v>11577</v>
      </c>
      <c r="H1892" t="s">
        <v>11578</v>
      </c>
      <c r="I1892" t="s">
        <v>6053</v>
      </c>
      <c r="J1892" t="s">
        <v>11455</v>
      </c>
      <c r="K1892" t="s">
        <v>7993</v>
      </c>
      <c r="L1892" t="s">
        <v>7994</v>
      </c>
    </row>
    <row r="1893" spans="1:13" x14ac:dyDescent="0.25">
      <c r="A1893" t="s">
        <v>5766</v>
      </c>
      <c r="B1893" t="s">
        <v>5250</v>
      </c>
      <c r="C1893" s="1" t="s">
        <v>205</v>
      </c>
      <c r="D1893" s="1" t="s">
        <v>5970</v>
      </c>
      <c r="E1893" t="s">
        <v>206</v>
      </c>
      <c r="F1893" t="s">
        <v>6428</v>
      </c>
      <c r="G1893" t="s">
        <v>5972</v>
      </c>
      <c r="H1893" t="s">
        <v>11579</v>
      </c>
      <c r="I1893" t="s">
        <v>6733</v>
      </c>
      <c r="J1893" t="s">
        <v>11455</v>
      </c>
      <c r="K1893" t="s">
        <v>7993</v>
      </c>
      <c r="L1893" t="s">
        <v>7994</v>
      </c>
    </row>
    <row r="1894" spans="1:13" x14ac:dyDescent="0.25">
      <c r="A1894" t="s">
        <v>5766</v>
      </c>
      <c r="B1894" t="s">
        <v>5250</v>
      </c>
      <c r="C1894" s="1" t="s">
        <v>366</v>
      </c>
      <c r="D1894" s="1" t="s">
        <v>6204</v>
      </c>
      <c r="E1894" t="s">
        <v>367</v>
      </c>
      <c r="F1894" t="s">
        <v>11580</v>
      </c>
      <c r="G1894" t="s">
        <v>6206</v>
      </c>
      <c r="H1894" t="s">
        <v>11581</v>
      </c>
      <c r="I1894" t="s">
        <v>6497</v>
      </c>
      <c r="J1894" t="s">
        <v>11455</v>
      </c>
      <c r="K1894" t="s">
        <v>7993</v>
      </c>
      <c r="L1894" t="s">
        <v>7994</v>
      </c>
    </row>
    <row r="1895" spans="1:13" x14ac:dyDescent="0.25">
      <c r="A1895" t="s">
        <v>5766</v>
      </c>
      <c r="B1895" t="s">
        <v>5250</v>
      </c>
      <c r="C1895" s="1" t="s">
        <v>5335</v>
      </c>
      <c r="D1895" s="1" t="s">
        <v>11582</v>
      </c>
      <c r="E1895" t="s">
        <v>5337</v>
      </c>
      <c r="F1895" t="s">
        <v>10192</v>
      </c>
      <c r="G1895" t="s">
        <v>11583</v>
      </c>
      <c r="H1895" t="s">
        <v>11584</v>
      </c>
      <c r="I1895" t="s">
        <v>6157</v>
      </c>
      <c r="J1895" t="s">
        <v>11455</v>
      </c>
      <c r="K1895" t="s">
        <v>7993</v>
      </c>
      <c r="L1895" t="s">
        <v>7994</v>
      </c>
    </row>
    <row r="1896" spans="1:13" x14ac:dyDescent="0.25">
      <c r="A1896" t="s">
        <v>5766</v>
      </c>
      <c r="B1896" t="s">
        <v>5250</v>
      </c>
      <c r="C1896" s="1" t="s">
        <v>5339</v>
      </c>
      <c r="D1896" s="1" t="s">
        <v>11585</v>
      </c>
      <c r="E1896" t="s">
        <v>5340</v>
      </c>
      <c r="F1896" t="s">
        <v>11586</v>
      </c>
      <c r="G1896" t="s">
        <v>11587</v>
      </c>
      <c r="H1896" t="s">
        <v>11588</v>
      </c>
      <c r="I1896" t="s">
        <v>11589</v>
      </c>
      <c r="J1896" t="s">
        <v>11455</v>
      </c>
      <c r="K1896" t="s">
        <v>7993</v>
      </c>
      <c r="L1896" t="s">
        <v>7994</v>
      </c>
    </row>
    <row r="1897" spans="1:13" x14ac:dyDescent="0.25">
      <c r="A1897" t="s">
        <v>5766</v>
      </c>
      <c r="B1897" t="s">
        <v>5250</v>
      </c>
      <c r="C1897" s="1" t="s">
        <v>5342</v>
      </c>
      <c r="D1897" s="1" t="s">
        <v>11590</v>
      </c>
      <c r="E1897" t="s">
        <v>5344</v>
      </c>
      <c r="F1897" t="s">
        <v>11591</v>
      </c>
      <c r="G1897" t="s">
        <v>11592</v>
      </c>
      <c r="H1897" t="s">
        <v>11593</v>
      </c>
      <c r="I1897" t="s">
        <v>7093</v>
      </c>
      <c r="J1897" t="s">
        <v>11455</v>
      </c>
      <c r="K1897" t="s">
        <v>7993</v>
      </c>
      <c r="L1897" t="s">
        <v>7994</v>
      </c>
    </row>
    <row r="1898" spans="1:13" x14ac:dyDescent="0.25">
      <c r="A1898" t="s">
        <v>5766</v>
      </c>
      <c r="B1898" t="s">
        <v>5250</v>
      </c>
      <c r="C1898" s="1" t="s">
        <v>5346</v>
      </c>
      <c r="D1898" s="1" t="s">
        <v>11594</v>
      </c>
      <c r="E1898" t="s">
        <v>5347</v>
      </c>
      <c r="F1898" t="s">
        <v>10974</v>
      </c>
      <c r="G1898" t="s">
        <v>11595</v>
      </c>
      <c r="H1898" t="s">
        <v>11596</v>
      </c>
      <c r="I1898" t="s">
        <v>6003</v>
      </c>
      <c r="J1898" t="s">
        <v>11455</v>
      </c>
      <c r="K1898" t="s">
        <v>7993</v>
      </c>
      <c r="L1898" t="s">
        <v>7994</v>
      </c>
    </row>
    <row r="1899" spans="1:13" x14ac:dyDescent="0.25">
      <c r="A1899" t="s">
        <v>5766</v>
      </c>
      <c r="B1899" t="s">
        <v>5250</v>
      </c>
      <c r="C1899" s="1" t="s">
        <v>52</v>
      </c>
      <c r="D1899" s="1" t="s">
        <v>52</v>
      </c>
      <c r="E1899" t="s">
        <v>5767</v>
      </c>
      <c r="F1899" t="s">
        <v>11597</v>
      </c>
      <c r="G1899" t="s">
        <v>5769</v>
      </c>
      <c r="H1899" t="s">
        <v>11598</v>
      </c>
      <c r="I1899" t="s">
        <v>10214</v>
      </c>
      <c r="J1899" t="s">
        <v>11455</v>
      </c>
      <c r="K1899" t="s">
        <v>7993</v>
      </c>
      <c r="L1899" t="s">
        <v>7994</v>
      </c>
      <c r="M1899" t="s">
        <v>65</v>
      </c>
    </row>
    <row r="1900" spans="1:13" x14ac:dyDescent="0.25">
      <c r="A1900" t="s">
        <v>5766</v>
      </c>
      <c r="B1900" t="s">
        <v>5348</v>
      </c>
      <c r="C1900" s="1" t="s">
        <v>5350</v>
      </c>
      <c r="D1900" s="1" t="s">
        <v>11599</v>
      </c>
      <c r="E1900" t="s">
        <v>5351</v>
      </c>
      <c r="F1900" t="s">
        <v>11600</v>
      </c>
      <c r="G1900" t="s">
        <v>10601</v>
      </c>
      <c r="H1900" t="s">
        <v>11601</v>
      </c>
      <c r="I1900" t="s">
        <v>7003</v>
      </c>
      <c r="J1900" t="s">
        <v>11602</v>
      </c>
      <c r="K1900" t="s">
        <v>11603</v>
      </c>
      <c r="L1900" t="s">
        <v>11604</v>
      </c>
    </row>
    <row r="1901" spans="1:13" x14ac:dyDescent="0.25">
      <c r="A1901" t="s">
        <v>5766</v>
      </c>
      <c r="B1901" t="s">
        <v>5348</v>
      </c>
      <c r="C1901" s="1" t="s">
        <v>117</v>
      </c>
      <c r="D1901" s="1" t="s">
        <v>5832</v>
      </c>
      <c r="E1901" t="s">
        <v>118</v>
      </c>
      <c r="F1901" t="s">
        <v>5823</v>
      </c>
      <c r="G1901" t="s">
        <v>5834</v>
      </c>
      <c r="H1901" t="s">
        <v>11605</v>
      </c>
      <c r="I1901" t="s">
        <v>6893</v>
      </c>
      <c r="J1901" t="s">
        <v>11602</v>
      </c>
      <c r="K1901" t="s">
        <v>11603</v>
      </c>
      <c r="L1901" t="s">
        <v>11604</v>
      </c>
    </row>
    <row r="1902" spans="1:13" x14ac:dyDescent="0.25">
      <c r="A1902" t="s">
        <v>5766</v>
      </c>
      <c r="B1902" t="s">
        <v>5348</v>
      </c>
      <c r="C1902" s="1" t="s">
        <v>558</v>
      </c>
      <c r="D1902" s="1" t="s">
        <v>6510</v>
      </c>
      <c r="E1902" t="s">
        <v>559</v>
      </c>
      <c r="F1902" t="s">
        <v>10399</v>
      </c>
      <c r="G1902" t="s">
        <v>6512</v>
      </c>
      <c r="H1902" t="s">
        <v>11606</v>
      </c>
      <c r="I1902" t="s">
        <v>5821</v>
      </c>
      <c r="J1902" t="s">
        <v>11602</v>
      </c>
      <c r="K1902" t="s">
        <v>11603</v>
      </c>
      <c r="L1902" t="s">
        <v>11604</v>
      </c>
    </row>
    <row r="1903" spans="1:13" x14ac:dyDescent="0.25">
      <c r="A1903" t="s">
        <v>5766</v>
      </c>
      <c r="B1903" t="s">
        <v>5348</v>
      </c>
      <c r="C1903" s="1" t="s">
        <v>3488</v>
      </c>
      <c r="D1903" s="1" t="s">
        <v>8959</v>
      </c>
      <c r="E1903" t="s">
        <v>3490</v>
      </c>
      <c r="F1903" t="s">
        <v>6181</v>
      </c>
      <c r="G1903" t="s">
        <v>8960</v>
      </c>
      <c r="H1903" t="s">
        <v>11607</v>
      </c>
      <c r="I1903" t="s">
        <v>7848</v>
      </c>
      <c r="J1903" t="s">
        <v>11602</v>
      </c>
      <c r="K1903" t="s">
        <v>11603</v>
      </c>
      <c r="L1903" t="s">
        <v>11604</v>
      </c>
    </row>
    <row r="1904" spans="1:13" x14ac:dyDescent="0.25">
      <c r="A1904" t="s">
        <v>5766</v>
      </c>
      <c r="B1904" t="s">
        <v>5348</v>
      </c>
      <c r="C1904" s="1" t="s">
        <v>3648</v>
      </c>
      <c r="D1904" s="1" t="s">
        <v>9260</v>
      </c>
      <c r="E1904" t="s">
        <v>3649</v>
      </c>
      <c r="F1904" t="s">
        <v>11608</v>
      </c>
      <c r="G1904" t="s">
        <v>9262</v>
      </c>
      <c r="H1904" t="s">
        <v>11609</v>
      </c>
      <c r="I1904" t="s">
        <v>8838</v>
      </c>
      <c r="J1904" t="s">
        <v>11602</v>
      </c>
      <c r="K1904" t="s">
        <v>11603</v>
      </c>
      <c r="L1904" t="s">
        <v>11604</v>
      </c>
    </row>
    <row r="1905" spans="1:13" x14ac:dyDescent="0.25">
      <c r="A1905" t="s">
        <v>5766</v>
      </c>
      <c r="B1905" t="s">
        <v>5348</v>
      </c>
      <c r="C1905" s="1" t="s">
        <v>3108</v>
      </c>
      <c r="D1905" s="1" t="s">
        <v>8433</v>
      </c>
      <c r="E1905" t="s">
        <v>3109</v>
      </c>
      <c r="F1905" t="s">
        <v>10670</v>
      </c>
      <c r="G1905" t="s">
        <v>8435</v>
      </c>
      <c r="H1905" t="s">
        <v>11610</v>
      </c>
      <c r="I1905" t="s">
        <v>11611</v>
      </c>
      <c r="J1905" t="s">
        <v>11602</v>
      </c>
      <c r="K1905" t="s">
        <v>11603</v>
      </c>
      <c r="L1905" t="s">
        <v>11604</v>
      </c>
    </row>
    <row r="1906" spans="1:13" x14ac:dyDescent="0.25">
      <c r="A1906" t="s">
        <v>5766</v>
      </c>
      <c r="B1906" t="s">
        <v>5348</v>
      </c>
      <c r="C1906" s="1" t="s">
        <v>3495</v>
      </c>
      <c r="D1906" s="1" t="s">
        <v>8968</v>
      </c>
      <c r="E1906" t="s">
        <v>3496</v>
      </c>
      <c r="F1906" t="s">
        <v>10403</v>
      </c>
      <c r="G1906" t="s">
        <v>8969</v>
      </c>
      <c r="H1906" t="s">
        <v>11612</v>
      </c>
      <c r="I1906" t="s">
        <v>6518</v>
      </c>
      <c r="J1906" t="s">
        <v>11602</v>
      </c>
      <c r="K1906" t="s">
        <v>11603</v>
      </c>
      <c r="L1906" t="s">
        <v>11604</v>
      </c>
    </row>
    <row r="1907" spans="1:13" x14ac:dyDescent="0.25">
      <c r="A1907" t="s">
        <v>5766</v>
      </c>
      <c r="B1907" t="s">
        <v>5348</v>
      </c>
      <c r="C1907" s="1" t="s">
        <v>5353</v>
      </c>
      <c r="D1907" s="1" t="s">
        <v>11613</v>
      </c>
      <c r="E1907" t="s">
        <v>5354</v>
      </c>
      <c r="F1907" t="s">
        <v>11586</v>
      </c>
      <c r="G1907" t="s">
        <v>11614</v>
      </c>
      <c r="H1907" t="s">
        <v>11615</v>
      </c>
      <c r="I1907" t="s">
        <v>10651</v>
      </c>
      <c r="J1907" t="s">
        <v>11602</v>
      </c>
      <c r="K1907" t="s">
        <v>11603</v>
      </c>
      <c r="L1907" t="s">
        <v>11604</v>
      </c>
    </row>
    <row r="1908" spans="1:13" x14ac:dyDescent="0.25">
      <c r="A1908" t="s">
        <v>5766</v>
      </c>
      <c r="B1908" t="s">
        <v>5348</v>
      </c>
      <c r="C1908" s="1" t="s">
        <v>5356</v>
      </c>
      <c r="D1908" s="1" t="s">
        <v>11616</v>
      </c>
      <c r="E1908" t="s">
        <v>5357</v>
      </c>
      <c r="F1908" t="s">
        <v>9987</v>
      </c>
      <c r="G1908" t="s">
        <v>11617</v>
      </c>
      <c r="H1908" t="s">
        <v>11618</v>
      </c>
      <c r="I1908" t="s">
        <v>6863</v>
      </c>
      <c r="J1908" t="s">
        <v>11602</v>
      </c>
      <c r="K1908" t="s">
        <v>11603</v>
      </c>
      <c r="L1908" t="s">
        <v>11604</v>
      </c>
    </row>
    <row r="1909" spans="1:13" x14ac:dyDescent="0.25">
      <c r="A1909" t="s">
        <v>5766</v>
      </c>
      <c r="B1909" t="s">
        <v>5348</v>
      </c>
      <c r="C1909" s="1" t="s">
        <v>4689</v>
      </c>
      <c r="D1909" s="1" t="s">
        <v>10722</v>
      </c>
      <c r="E1909" t="s">
        <v>4690</v>
      </c>
      <c r="F1909" t="s">
        <v>11619</v>
      </c>
      <c r="G1909" t="s">
        <v>10724</v>
      </c>
      <c r="H1909" t="s">
        <v>11620</v>
      </c>
      <c r="I1909" t="s">
        <v>11621</v>
      </c>
      <c r="J1909" t="s">
        <v>11602</v>
      </c>
      <c r="K1909" t="s">
        <v>11603</v>
      </c>
      <c r="L1909" t="s">
        <v>11604</v>
      </c>
    </row>
    <row r="1910" spans="1:13" x14ac:dyDescent="0.25">
      <c r="A1910" t="s">
        <v>5766</v>
      </c>
      <c r="B1910" t="s">
        <v>5348</v>
      </c>
      <c r="C1910" s="1" t="s">
        <v>5359</v>
      </c>
      <c r="D1910" s="1" t="s">
        <v>11622</v>
      </c>
      <c r="E1910" t="s">
        <v>5360</v>
      </c>
      <c r="F1910" t="s">
        <v>10029</v>
      </c>
      <c r="G1910" t="s">
        <v>11623</v>
      </c>
      <c r="H1910" t="s">
        <v>11624</v>
      </c>
      <c r="I1910" t="s">
        <v>5821</v>
      </c>
      <c r="J1910" t="s">
        <v>11602</v>
      </c>
      <c r="K1910" t="s">
        <v>11603</v>
      </c>
      <c r="L1910" t="s">
        <v>11604</v>
      </c>
    </row>
    <row r="1911" spans="1:13" x14ac:dyDescent="0.25">
      <c r="A1911" t="s">
        <v>5766</v>
      </c>
      <c r="B1911" t="s">
        <v>5348</v>
      </c>
      <c r="C1911" s="1" t="s">
        <v>5362</v>
      </c>
      <c r="D1911" s="1" t="s">
        <v>11625</v>
      </c>
      <c r="E1911" t="s">
        <v>5363</v>
      </c>
      <c r="F1911" t="s">
        <v>11608</v>
      </c>
      <c r="G1911" t="s">
        <v>11626</v>
      </c>
      <c r="H1911" t="s">
        <v>11627</v>
      </c>
      <c r="I1911" t="s">
        <v>8157</v>
      </c>
      <c r="J1911" t="s">
        <v>11602</v>
      </c>
      <c r="K1911" t="s">
        <v>11603</v>
      </c>
      <c r="L1911" t="s">
        <v>11604</v>
      </c>
    </row>
    <row r="1912" spans="1:13" x14ac:dyDescent="0.25">
      <c r="A1912" t="s">
        <v>5766</v>
      </c>
      <c r="B1912" t="s">
        <v>5348</v>
      </c>
      <c r="C1912" s="1" t="s">
        <v>5365</v>
      </c>
      <c r="D1912" s="1" t="s">
        <v>11628</v>
      </c>
      <c r="E1912" t="s">
        <v>5366</v>
      </c>
      <c r="F1912" t="s">
        <v>10540</v>
      </c>
      <c r="G1912" t="s">
        <v>11629</v>
      </c>
      <c r="H1912" t="s">
        <v>11630</v>
      </c>
      <c r="I1912" t="s">
        <v>11631</v>
      </c>
      <c r="J1912" t="s">
        <v>11602</v>
      </c>
      <c r="K1912" t="s">
        <v>11603</v>
      </c>
      <c r="L1912" t="s">
        <v>11604</v>
      </c>
    </row>
    <row r="1913" spans="1:13" x14ac:dyDescent="0.25">
      <c r="A1913" t="s">
        <v>5766</v>
      </c>
      <c r="B1913" t="s">
        <v>5348</v>
      </c>
      <c r="C1913" s="1" t="s">
        <v>5368</v>
      </c>
      <c r="D1913" s="1" t="s">
        <v>11632</v>
      </c>
      <c r="E1913" t="s">
        <v>5369</v>
      </c>
      <c r="F1913" t="s">
        <v>11633</v>
      </c>
      <c r="G1913" t="s">
        <v>11634</v>
      </c>
      <c r="H1913" t="s">
        <v>11635</v>
      </c>
      <c r="I1913" t="s">
        <v>8840</v>
      </c>
      <c r="J1913" t="s">
        <v>11602</v>
      </c>
      <c r="K1913" t="s">
        <v>11603</v>
      </c>
      <c r="L1913" t="s">
        <v>11604</v>
      </c>
    </row>
    <row r="1914" spans="1:13" x14ac:dyDescent="0.25">
      <c r="A1914" t="s">
        <v>5766</v>
      </c>
      <c r="B1914" t="s">
        <v>5348</v>
      </c>
      <c r="C1914" s="1" t="s">
        <v>5371</v>
      </c>
      <c r="D1914" s="1" t="s">
        <v>11636</v>
      </c>
      <c r="E1914" t="s">
        <v>5372</v>
      </c>
      <c r="F1914" t="s">
        <v>10062</v>
      </c>
      <c r="G1914" t="s">
        <v>11637</v>
      </c>
      <c r="H1914" t="s">
        <v>11638</v>
      </c>
      <c r="I1914" t="s">
        <v>6305</v>
      </c>
      <c r="J1914" t="s">
        <v>11602</v>
      </c>
      <c r="K1914" t="s">
        <v>11603</v>
      </c>
      <c r="L1914" t="s">
        <v>11604</v>
      </c>
    </row>
    <row r="1915" spans="1:13" x14ac:dyDescent="0.25">
      <c r="A1915" t="s">
        <v>5766</v>
      </c>
      <c r="B1915" t="s">
        <v>5348</v>
      </c>
      <c r="C1915" s="1" t="s">
        <v>78</v>
      </c>
      <c r="D1915" s="1" t="s">
        <v>5780</v>
      </c>
      <c r="E1915" t="s">
        <v>5781</v>
      </c>
      <c r="F1915" t="s">
        <v>11639</v>
      </c>
      <c r="G1915" t="s">
        <v>5783</v>
      </c>
      <c r="H1915" t="s">
        <v>11640</v>
      </c>
      <c r="I1915" t="s">
        <v>7359</v>
      </c>
      <c r="J1915" t="s">
        <v>11602</v>
      </c>
      <c r="K1915" t="s">
        <v>11603</v>
      </c>
      <c r="L1915" t="s">
        <v>11604</v>
      </c>
      <c r="M1915" t="s">
        <v>65</v>
      </c>
    </row>
    <row r="1916" spans="1:13" x14ac:dyDescent="0.25">
      <c r="A1916" t="s">
        <v>5766</v>
      </c>
      <c r="B1916" t="s">
        <v>5348</v>
      </c>
      <c r="C1916" s="1" t="s">
        <v>150</v>
      </c>
      <c r="D1916" s="1" t="s">
        <v>5888</v>
      </c>
      <c r="E1916" t="s">
        <v>151</v>
      </c>
      <c r="F1916" t="s">
        <v>11586</v>
      </c>
      <c r="G1916" t="s">
        <v>5889</v>
      </c>
      <c r="H1916" t="s">
        <v>11641</v>
      </c>
      <c r="I1916" t="s">
        <v>6785</v>
      </c>
      <c r="J1916" t="s">
        <v>11602</v>
      </c>
      <c r="K1916" t="s">
        <v>11603</v>
      </c>
      <c r="L1916" t="s">
        <v>11604</v>
      </c>
    </row>
    <row r="1917" spans="1:13" x14ac:dyDescent="0.25">
      <c r="A1917" t="s">
        <v>5766</v>
      </c>
      <c r="B1917" t="s">
        <v>5348</v>
      </c>
      <c r="C1917" s="1" t="s">
        <v>5374</v>
      </c>
      <c r="D1917" s="1" t="s">
        <v>11642</v>
      </c>
      <c r="E1917" t="s">
        <v>5375</v>
      </c>
      <c r="F1917" t="s">
        <v>11643</v>
      </c>
      <c r="G1917" t="s">
        <v>9496</v>
      </c>
      <c r="H1917" t="s">
        <v>11644</v>
      </c>
      <c r="I1917" t="s">
        <v>6049</v>
      </c>
      <c r="J1917" t="s">
        <v>11602</v>
      </c>
      <c r="K1917" t="s">
        <v>11603</v>
      </c>
      <c r="L1917" t="s">
        <v>11604</v>
      </c>
    </row>
    <row r="1918" spans="1:13" x14ac:dyDescent="0.25">
      <c r="A1918" t="s">
        <v>5766</v>
      </c>
      <c r="B1918" t="s">
        <v>5348</v>
      </c>
      <c r="C1918" s="1" t="s">
        <v>5377</v>
      </c>
      <c r="D1918" s="1" t="s">
        <v>11645</v>
      </c>
      <c r="E1918" t="s">
        <v>5379</v>
      </c>
      <c r="F1918" t="s">
        <v>8558</v>
      </c>
      <c r="G1918" t="s">
        <v>11646</v>
      </c>
      <c r="H1918" t="s">
        <v>11647</v>
      </c>
      <c r="I1918" t="s">
        <v>7478</v>
      </c>
      <c r="J1918" t="s">
        <v>11602</v>
      </c>
      <c r="K1918" t="s">
        <v>11603</v>
      </c>
      <c r="L1918" t="s">
        <v>11604</v>
      </c>
    </row>
    <row r="1919" spans="1:13" x14ac:dyDescent="0.25">
      <c r="A1919" t="s">
        <v>5766</v>
      </c>
      <c r="B1919" t="s">
        <v>5348</v>
      </c>
      <c r="C1919" s="1" t="s">
        <v>5381</v>
      </c>
      <c r="D1919" s="1" t="s">
        <v>11648</v>
      </c>
      <c r="E1919" t="s">
        <v>5382</v>
      </c>
      <c r="F1919" t="s">
        <v>10029</v>
      </c>
      <c r="G1919" t="s">
        <v>11649</v>
      </c>
      <c r="H1919" t="s">
        <v>11650</v>
      </c>
      <c r="I1919" t="s">
        <v>7028</v>
      </c>
      <c r="J1919" t="s">
        <v>11602</v>
      </c>
      <c r="K1919" t="s">
        <v>11603</v>
      </c>
      <c r="L1919" t="s">
        <v>11604</v>
      </c>
    </row>
    <row r="1920" spans="1:13" x14ac:dyDescent="0.25">
      <c r="A1920" t="s">
        <v>5766</v>
      </c>
      <c r="B1920" t="s">
        <v>5348</v>
      </c>
      <c r="C1920" s="1" t="s">
        <v>159</v>
      </c>
      <c r="D1920" s="1" t="s">
        <v>5902</v>
      </c>
      <c r="E1920" t="s">
        <v>160</v>
      </c>
      <c r="F1920" t="s">
        <v>10351</v>
      </c>
      <c r="G1920" t="s">
        <v>5903</v>
      </c>
      <c r="H1920" t="s">
        <v>11651</v>
      </c>
      <c r="I1920" t="s">
        <v>11652</v>
      </c>
      <c r="J1920" t="s">
        <v>11602</v>
      </c>
      <c r="K1920" t="s">
        <v>11603</v>
      </c>
      <c r="L1920" t="s">
        <v>11604</v>
      </c>
    </row>
    <row r="1921" spans="1:12" x14ac:dyDescent="0.25">
      <c r="A1921" t="s">
        <v>5766</v>
      </c>
      <c r="B1921" t="s">
        <v>5348</v>
      </c>
      <c r="C1921" s="1" t="s">
        <v>162</v>
      </c>
      <c r="D1921" s="1" t="s">
        <v>5906</v>
      </c>
      <c r="E1921" t="s">
        <v>163</v>
      </c>
      <c r="F1921" t="s">
        <v>5823</v>
      </c>
      <c r="G1921" t="s">
        <v>5908</v>
      </c>
      <c r="H1921" t="s">
        <v>11653</v>
      </c>
      <c r="I1921" t="s">
        <v>6192</v>
      </c>
      <c r="J1921" t="s">
        <v>11602</v>
      </c>
      <c r="K1921" t="s">
        <v>11603</v>
      </c>
      <c r="L1921" t="s">
        <v>11604</v>
      </c>
    </row>
    <row r="1922" spans="1:12" x14ac:dyDescent="0.25">
      <c r="A1922" t="s">
        <v>5766</v>
      </c>
      <c r="B1922" t="s">
        <v>5348</v>
      </c>
      <c r="C1922" s="1" t="s">
        <v>3684</v>
      </c>
      <c r="D1922" s="1" t="s">
        <v>9319</v>
      </c>
      <c r="E1922" t="s">
        <v>3685</v>
      </c>
      <c r="F1922" t="s">
        <v>11654</v>
      </c>
      <c r="G1922" t="s">
        <v>9321</v>
      </c>
      <c r="H1922" t="s">
        <v>11655</v>
      </c>
      <c r="I1922" t="s">
        <v>11159</v>
      </c>
      <c r="J1922" t="s">
        <v>11602</v>
      </c>
      <c r="K1922" t="s">
        <v>11603</v>
      </c>
      <c r="L1922" t="s">
        <v>11604</v>
      </c>
    </row>
    <row r="1923" spans="1:12" x14ac:dyDescent="0.25">
      <c r="A1923" t="s">
        <v>5766</v>
      </c>
      <c r="B1923" t="s">
        <v>5348</v>
      </c>
      <c r="C1923" s="1" t="s">
        <v>5384</v>
      </c>
      <c r="D1923" s="1" t="s">
        <v>11656</v>
      </c>
      <c r="E1923" t="s">
        <v>5385</v>
      </c>
      <c r="F1923" t="s">
        <v>10351</v>
      </c>
      <c r="G1923" t="s">
        <v>11657</v>
      </c>
      <c r="H1923" t="s">
        <v>11658</v>
      </c>
      <c r="I1923" t="s">
        <v>6977</v>
      </c>
      <c r="J1923" t="s">
        <v>11602</v>
      </c>
      <c r="K1923" t="s">
        <v>11603</v>
      </c>
      <c r="L1923" t="s">
        <v>11604</v>
      </c>
    </row>
    <row r="1924" spans="1:12" x14ac:dyDescent="0.25">
      <c r="A1924" t="s">
        <v>5766</v>
      </c>
      <c r="B1924" t="s">
        <v>5348</v>
      </c>
      <c r="C1924" s="1" t="s">
        <v>576</v>
      </c>
      <c r="D1924" s="1" t="s">
        <v>6549</v>
      </c>
      <c r="E1924" t="s">
        <v>578</v>
      </c>
      <c r="F1924" t="s">
        <v>11659</v>
      </c>
      <c r="G1924" t="s">
        <v>6551</v>
      </c>
      <c r="H1924" t="s">
        <v>11660</v>
      </c>
      <c r="I1924" t="s">
        <v>6157</v>
      </c>
      <c r="J1924" t="s">
        <v>11602</v>
      </c>
      <c r="K1924" t="s">
        <v>11603</v>
      </c>
      <c r="L1924" t="s">
        <v>11604</v>
      </c>
    </row>
    <row r="1925" spans="1:12" x14ac:dyDescent="0.25">
      <c r="A1925" t="s">
        <v>5766</v>
      </c>
      <c r="B1925" t="s">
        <v>5348</v>
      </c>
      <c r="C1925" s="1" t="s">
        <v>5387</v>
      </c>
      <c r="D1925" s="1" t="s">
        <v>11661</v>
      </c>
      <c r="E1925" t="s">
        <v>5388</v>
      </c>
      <c r="F1925" t="s">
        <v>11662</v>
      </c>
      <c r="G1925" t="s">
        <v>11663</v>
      </c>
      <c r="H1925" t="s">
        <v>11664</v>
      </c>
      <c r="I1925" t="s">
        <v>7010</v>
      </c>
      <c r="J1925" t="s">
        <v>11602</v>
      </c>
      <c r="K1925" t="s">
        <v>11603</v>
      </c>
      <c r="L1925" t="s">
        <v>11604</v>
      </c>
    </row>
    <row r="1926" spans="1:12" x14ac:dyDescent="0.25">
      <c r="A1926" t="s">
        <v>5766</v>
      </c>
      <c r="B1926" t="s">
        <v>5348</v>
      </c>
      <c r="C1926" s="1" t="s">
        <v>3519</v>
      </c>
      <c r="D1926" s="1" t="s">
        <v>9007</v>
      </c>
      <c r="E1926" t="s">
        <v>3520</v>
      </c>
      <c r="F1926" t="s">
        <v>11586</v>
      </c>
      <c r="G1926" t="s">
        <v>9009</v>
      </c>
      <c r="H1926" t="s">
        <v>11665</v>
      </c>
      <c r="I1926" t="s">
        <v>5920</v>
      </c>
      <c r="J1926" t="s">
        <v>11602</v>
      </c>
      <c r="K1926" t="s">
        <v>11603</v>
      </c>
      <c r="L1926" t="s">
        <v>11604</v>
      </c>
    </row>
    <row r="1927" spans="1:12" x14ac:dyDescent="0.25">
      <c r="A1927" t="s">
        <v>5766</v>
      </c>
      <c r="B1927" t="s">
        <v>5348</v>
      </c>
      <c r="C1927" s="1" t="s">
        <v>171</v>
      </c>
      <c r="D1927" s="1" t="s">
        <v>5921</v>
      </c>
      <c r="E1927" t="s">
        <v>172</v>
      </c>
      <c r="F1927" t="s">
        <v>10334</v>
      </c>
      <c r="G1927" t="s">
        <v>5923</v>
      </c>
      <c r="H1927" t="s">
        <v>11666</v>
      </c>
      <c r="I1927" t="s">
        <v>10959</v>
      </c>
      <c r="J1927" t="s">
        <v>11602</v>
      </c>
      <c r="K1927" t="s">
        <v>11603</v>
      </c>
      <c r="L1927" t="s">
        <v>11604</v>
      </c>
    </row>
    <row r="1928" spans="1:12" x14ac:dyDescent="0.25">
      <c r="A1928" t="s">
        <v>5766</v>
      </c>
      <c r="B1928" t="s">
        <v>5348</v>
      </c>
      <c r="C1928" s="1" t="s">
        <v>3687</v>
      </c>
      <c r="D1928" s="1" t="s">
        <v>9324</v>
      </c>
      <c r="E1928" t="s">
        <v>3688</v>
      </c>
      <c r="F1928" t="s">
        <v>11586</v>
      </c>
      <c r="G1928" t="s">
        <v>9325</v>
      </c>
      <c r="H1928" t="s">
        <v>11667</v>
      </c>
      <c r="I1928" t="s">
        <v>10077</v>
      </c>
      <c r="J1928" t="s">
        <v>11602</v>
      </c>
      <c r="K1928" t="s">
        <v>11603</v>
      </c>
      <c r="L1928" t="s">
        <v>11604</v>
      </c>
    </row>
    <row r="1929" spans="1:12" x14ac:dyDescent="0.25">
      <c r="A1929" t="s">
        <v>5766</v>
      </c>
      <c r="B1929" t="s">
        <v>5348</v>
      </c>
      <c r="C1929" s="1" t="s">
        <v>174</v>
      </c>
      <c r="D1929" s="1" t="s">
        <v>5926</v>
      </c>
      <c r="E1929" t="s">
        <v>175</v>
      </c>
      <c r="F1929" t="s">
        <v>5823</v>
      </c>
      <c r="G1929" t="s">
        <v>5927</v>
      </c>
      <c r="H1929" t="s">
        <v>11668</v>
      </c>
      <c r="I1929" t="s">
        <v>6184</v>
      </c>
      <c r="J1929" t="s">
        <v>11602</v>
      </c>
      <c r="K1929" t="s">
        <v>11603</v>
      </c>
      <c r="L1929" t="s">
        <v>11604</v>
      </c>
    </row>
    <row r="1930" spans="1:12" x14ac:dyDescent="0.25">
      <c r="A1930" t="s">
        <v>5766</v>
      </c>
      <c r="B1930" t="s">
        <v>5348</v>
      </c>
      <c r="C1930" s="1" t="s">
        <v>180</v>
      </c>
      <c r="D1930" s="1" t="s">
        <v>5935</v>
      </c>
      <c r="E1930" t="s">
        <v>181</v>
      </c>
      <c r="F1930" t="s">
        <v>10389</v>
      </c>
      <c r="G1930" t="s">
        <v>5936</v>
      </c>
      <c r="H1930" t="s">
        <v>11669</v>
      </c>
      <c r="I1930" t="s">
        <v>8853</v>
      </c>
      <c r="J1930" t="s">
        <v>11602</v>
      </c>
      <c r="K1930" t="s">
        <v>11603</v>
      </c>
      <c r="L1930" t="s">
        <v>11604</v>
      </c>
    </row>
    <row r="1931" spans="1:12" x14ac:dyDescent="0.25">
      <c r="A1931" t="s">
        <v>5766</v>
      </c>
      <c r="B1931" t="s">
        <v>5348</v>
      </c>
      <c r="C1931" s="1" t="s">
        <v>5390</v>
      </c>
      <c r="D1931" s="1" t="s">
        <v>11670</v>
      </c>
      <c r="E1931" t="s">
        <v>5391</v>
      </c>
      <c r="F1931" t="s">
        <v>6181</v>
      </c>
      <c r="G1931" t="s">
        <v>11671</v>
      </c>
      <c r="H1931" t="s">
        <v>11672</v>
      </c>
      <c r="I1931" t="s">
        <v>6071</v>
      </c>
      <c r="J1931" t="s">
        <v>11602</v>
      </c>
      <c r="K1931" t="s">
        <v>11603</v>
      </c>
      <c r="L1931" t="s">
        <v>11604</v>
      </c>
    </row>
    <row r="1932" spans="1:12" x14ac:dyDescent="0.25">
      <c r="A1932" t="s">
        <v>5766</v>
      </c>
      <c r="B1932" t="s">
        <v>5348</v>
      </c>
      <c r="C1932" s="1" t="s">
        <v>3141</v>
      </c>
      <c r="D1932" s="1" t="s">
        <v>8487</v>
      </c>
      <c r="E1932" t="s">
        <v>3142</v>
      </c>
      <c r="F1932" t="s">
        <v>10334</v>
      </c>
      <c r="G1932" t="s">
        <v>8489</v>
      </c>
      <c r="H1932" t="s">
        <v>11673</v>
      </c>
      <c r="I1932" t="s">
        <v>7439</v>
      </c>
      <c r="J1932" t="s">
        <v>11602</v>
      </c>
      <c r="K1932" t="s">
        <v>11603</v>
      </c>
      <c r="L1932" t="s">
        <v>11604</v>
      </c>
    </row>
    <row r="1933" spans="1:12" x14ac:dyDescent="0.25">
      <c r="A1933" t="s">
        <v>5766</v>
      </c>
      <c r="B1933" t="s">
        <v>5348</v>
      </c>
      <c r="C1933" s="1" t="s">
        <v>5393</v>
      </c>
      <c r="D1933" s="1" t="s">
        <v>11674</v>
      </c>
      <c r="E1933" t="s">
        <v>5394</v>
      </c>
      <c r="F1933" t="s">
        <v>10029</v>
      </c>
      <c r="G1933" t="s">
        <v>11675</v>
      </c>
      <c r="H1933" t="s">
        <v>11676</v>
      </c>
      <c r="I1933" t="s">
        <v>6219</v>
      </c>
      <c r="J1933" t="s">
        <v>11602</v>
      </c>
      <c r="K1933" t="s">
        <v>11603</v>
      </c>
      <c r="L1933" t="s">
        <v>11604</v>
      </c>
    </row>
    <row r="1934" spans="1:12" x14ac:dyDescent="0.25">
      <c r="A1934" t="s">
        <v>5766</v>
      </c>
      <c r="B1934" t="s">
        <v>5348</v>
      </c>
      <c r="C1934" s="1" t="s">
        <v>5396</v>
      </c>
      <c r="D1934" s="1" t="s">
        <v>11677</v>
      </c>
      <c r="E1934" t="s">
        <v>5397</v>
      </c>
      <c r="F1934" t="s">
        <v>10403</v>
      </c>
      <c r="G1934" t="s">
        <v>11678</v>
      </c>
      <c r="H1934" t="s">
        <v>11679</v>
      </c>
      <c r="I1934" t="s">
        <v>6754</v>
      </c>
      <c r="J1934" t="s">
        <v>11602</v>
      </c>
      <c r="K1934" t="s">
        <v>11603</v>
      </c>
      <c r="L1934" t="s">
        <v>11604</v>
      </c>
    </row>
    <row r="1935" spans="1:12" x14ac:dyDescent="0.25">
      <c r="A1935" t="s">
        <v>5766</v>
      </c>
      <c r="B1935" t="s">
        <v>5348</v>
      </c>
      <c r="C1935" s="1" t="s">
        <v>3696</v>
      </c>
      <c r="D1935" s="1" t="s">
        <v>9336</v>
      </c>
      <c r="E1935" t="s">
        <v>3697</v>
      </c>
      <c r="F1935" t="s">
        <v>10263</v>
      </c>
      <c r="G1935" t="s">
        <v>9338</v>
      </c>
      <c r="H1935" t="s">
        <v>11680</v>
      </c>
      <c r="I1935" t="s">
        <v>8094</v>
      </c>
      <c r="J1935" t="s">
        <v>11602</v>
      </c>
      <c r="K1935" t="s">
        <v>11603</v>
      </c>
      <c r="L1935" t="s">
        <v>11604</v>
      </c>
    </row>
    <row r="1936" spans="1:12" x14ac:dyDescent="0.25">
      <c r="A1936" t="s">
        <v>5766</v>
      </c>
      <c r="B1936" t="s">
        <v>5348</v>
      </c>
      <c r="C1936" s="1" t="s">
        <v>5399</v>
      </c>
      <c r="D1936" s="1" t="s">
        <v>11681</v>
      </c>
      <c r="E1936" t="s">
        <v>5400</v>
      </c>
      <c r="F1936" t="s">
        <v>8574</v>
      </c>
      <c r="G1936" t="s">
        <v>11682</v>
      </c>
      <c r="H1936" t="s">
        <v>11683</v>
      </c>
      <c r="I1936" t="s">
        <v>5979</v>
      </c>
      <c r="J1936" t="s">
        <v>11602</v>
      </c>
      <c r="K1936" t="s">
        <v>11603</v>
      </c>
      <c r="L1936" t="s">
        <v>11604</v>
      </c>
    </row>
    <row r="1937" spans="1:12" x14ac:dyDescent="0.25">
      <c r="A1937" t="s">
        <v>5766</v>
      </c>
      <c r="B1937" t="s">
        <v>5348</v>
      </c>
      <c r="C1937" s="1" t="s">
        <v>583</v>
      </c>
      <c r="D1937" s="1" t="s">
        <v>6562</v>
      </c>
      <c r="E1937" t="s">
        <v>584</v>
      </c>
      <c r="F1937" t="s">
        <v>11684</v>
      </c>
      <c r="G1937" t="s">
        <v>6564</v>
      </c>
      <c r="H1937" t="s">
        <v>11685</v>
      </c>
      <c r="I1937" t="s">
        <v>7028</v>
      </c>
      <c r="J1937" t="s">
        <v>11602</v>
      </c>
      <c r="K1937" t="s">
        <v>11603</v>
      </c>
      <c r="L1937" t="s">
        <v>11604</v>
      </c>
    </row>
    <row r="1938" spans="1:12" x14ac:dyDescent="0.25">
      <c r="A1938" t="s">
        <v>5766</v>
      </c>
      <c r="B1938" t="s">
        <v>5348</v>
      </c>
      <c r="C1938" s="1" t="s">
        <v>5402</v>
      </c>
      <c r="D1938" s="1" t="s">
        <v>11686</v>
      </c>
      <c r="E1938" t="s">
        <v>5403</v>
      </c>
      <c r="F1938" t="s">
        <v>11173</v>
      </c>
      <c r="G1938" t="s">
        <v>11687</v>
      </c>
      <c r="H1938" t="s">
        <v>11688</v>
      </c>
      <c r="I1938" t="s">
        <v>7377</v>
      </c>
      <c r="J1938" t="s">
        <v>11602</v>
      </c>
      <c r="K1938" t="s">
        <v>11603</v>
      </c>
      <c r="L1938" t="s">
        <v>11604</v>
      </c>
    </row>
    <row r="1939" spans="1:12" x14ac:dyDescent="0.25">
      <c r="A1939" t="s">
        <v>5766</v>
      </c>
      <c r="B1939" t="s">
        <v>5348</v>
      </c>
      <c r="C1939" s="1" t="s">
        <v>3537</v>
      </c>
      <c r="D1939" s="1" t="s">
        <v>9034</v>
      </c>
      <c r="E1939" t="s">
        <v>3538</v>
      </c>
      <c r="F1939" t="s">
        <v>11689</v>
      </c>
      <c r="G1939" t="s">
        <v>9036</v>
      </c>
      <c r="H1939" t="s">
        <v>11690</v>
      </c>
      <c r="I1939" t="s">
        <v>6360</v>
      </c>
      <c r="J1939" t="s">
        <v>11602</v>
      </c>
      <c r="K1939" t="s">
        <v>11603</v>
      </c>
      <c r="L1939" t="s">
        <v>11604</v>
      </c>
    </row>
    <row r="1940" spans="1:12" x14ac:dyDescent="0.25">
      <c r="A1940" t="s">
        <v>5766</v>
      </c>
      <c r="B1940" t="s">
        <v>5348</v>
      </c>
      <c r="C1940" s="1" t="s">
        <v>5405</v>
      </c>
      <c r="D1940" s="1" t="s">
        <v>11691</v>
      </c>
      <c r="E1940" t="s">
        <v>5406</v>
      </c>
      <c r="F1940" t="s">
        <v>11692</v>
      </c>
      <c r="G1940" t="s">
        <v>11693</v>
      </c>
      <c r="H1940" t="s">
        <v>11694</v>
      </c>
      <c r="I1940" t="s">
        <v>8269</v>
      </c>
      <c r="J1940" t="s">
        <v>11602</v>
      </c>
      <c r="K1940" t="s">
        <v>11603</v>
      </c>
      <c r="L1940" t="s">
        <v>11604</v>
      </c>
    </row>
    <row r="1941" spans="1:12" x14ac:dyDescent="0.25">
      <c r="A1941" t="s">
        <v>5766</v>
      </c>
      <c r="B1941" t="s">
        <v>5348</v>
      </c>
      <c r="C1941" s="1" t="s">
        <v>5408</v>
      </c>
      <c r="D1941" s="1" t="s">
        <v>11695</v>
      </c>
      <c r="E1941" t="s">
        <v>5409</v>
      </c>
      <c r="F1941" t="s">
        <v>10625</v>
      </c>
      <c r="G1941" t="s">
        <v>11696</v>
      </c>
      <c r="H1941" t="s">
        <v>11697</v>
      </c>
      <c r="I1941" t="s">
        <v>8722</v>
      </c>
      <c r="J1941" t="s">
        <v>11602</v>
      </c>
      <c r="K1941" t="s">
        <v>11603</v>
      </c>
      <c r="L1941" t="s">
        <v>11604</v>
      </c>
    </row>
    <row r="1942" spans="1:12" x14ac:dyDescent="0.25">
      <c r="A1942" t="s">
        <v>5766</v>
      </c>
      <c r="B1942" t="s">
        <v>5348</v>
      </c>
      <c r="C1942" s="1" t="s">
        <v>5411</v>
      </c>
      <c r="D1942" s="1" t="s">
        <v>11698</v>
      </c>
      <c r="E1942" t="s">
        <v>5412</v>
      </c>
      <c r="F1942" t="s">
        <v>11699</v>
      </c>
      <c r="G1942" t="s">
        <v>11700</v>
      </c>
      <c r="H1942" t="s">
        <v>11701</v>
      </c>
      <c r="I1942" t="s">
        <v>6045</v>
      </c>
      <c r="J1942" t="s">
        <v>11602</v>
      </c>
      <c r="K1942" t="s">
        <v>11603</v>
      </c>
      <c r="L1942" t="s">
        <v>11604</v>
      </c>
    </row>
    <row r="1943" spans="1:12" x14ac:dyDescent="0.25">
      <c r="A1943" t="s">
        <v>5766</v>
      </c>
      <c r="B1943" t="s">
        <v>5348</v>
      </c>
      <c r="C1943" s="1" t="s">
        <v>589</v>
      </c>
      <c r="D1943" s="1" t="s">
        <v>6572</v>
      </c>
      <c r="E1943" t="s">
        <v>590</v>
      </c>
      <c r="F1943" t="s">
        <v>10518</v>
      </c>
      <c r="G1943" t="s">
        <v>6574</v>
      </c>
      <c r="H1943" t="s">
        <v>11702</v>
      </c>
      <c r="I1943" t="s">
        <v>10651</v>
      </c>
      <c r="J1943" t="s">
        <v>11602</v>
      </c>
      <c r="K1943" t="s">
        <v>11603</v>
      </c>
      <c r="L1943" t="s">
        <v>11604</v>
      </c>
    </row>
    <row r="1944" spans="1:12" x14ac:dyDescent="0.25">
      <c r="A1944" t="s">
        <v>5766</v>
      </c>
      <c r="B1944" t="s">
        <v>5348</v>
      </c>
      <c r="C1944" s="1" t="s">
        <v>3154</v>
      </c>
      <c r="D1944" s="1" t="s">
        <v>8504</v>
      </c>
      <c r="E1944" t="s">
        <v>3155</v>
      </c>
      <c r="F1944" t="s">
        <v>6416</v>
      </c>
      <c r="G1944" t="s">
        <v>8506</v>
      </c>
      <c r="H1944" t="s">
        <v>11703</v>
      </c>
      <c r="I1944" t="s">
        <v>9032</v>
      </c>
      <c r="J1944" t="s">
        <v>11602</v>
      </c>
      <c r="K1944" t="s">
        <v>11603</v>
      </c>
      <c r="L1944" t="s">
        <v>11604</v>
      </c>
    </row>
    <row r="1945" spans="1:12" x14ac:dyDescent="0.25">
      <c r="A1945" t="s">
        <v>5766</v>
      </c>
      <c r="B1945" t="s">
        <v>5348</v>
      </c>
      <c r="C1945" s="1" t="s">
        <v>190</v>
      </c>
      <c r="D1945" s="1" t="s">
        <v>5948</v>
      </c>
      <c r="E1945" t="s">
        <v>191</v>
      </c>
      <c r="F1945" t="s">
        <v>11704</v>
      </c>
      <c r="G1945" t="s">
        <v>5950</v>
      </c>
      <c r="H1945" t="s">
        <v>11705</v>
      </c>
      <c r="I1945" t="s">
        <v>11706</v>
      </c>
      <c r="J1945" t="s">
        <v>11602</v>
      </c>
      <c r="K1945" t="s">
        <v>11603</v>
      </c>
      <c r="L1945" t="s">
        <v>11604</v>
      </c>
    </row>
    <row r="1946" spans="1:12" x14ac:dyDescent="0.25">
      <c r="A1946" t="s">
        <v>5766</v>
      </c>
      <c r="B1946" t="s">
        <v>5348</v>
      </c>
      <c r="C1946" s="1" t="s">
        <v>5414</v>
      </c>
      <c r="D1946" s="1" t="s">
        <v>11707</v>
      </c>
      <c r="E1946" t="s">
        <v>5415</v>
      </c>
      <c r="F1946" t="s">
        <v>8552</v>
      </c>
      <c r="G1946" t="s">
        <v>11708</v>
      </c>
      <c r="H1946" t="s">
        <v>11709</v>
      </c>
      <c r="I1946" t="s">
        <v>8244</v>
      </c>
      <c r="J1946" t="s">
        <v>11602</v>
      </c>
      <c r="K1946" t="s">
        <v>11603</v>
      </c>
      <c r="L1946" t="s">
        <v>11604</v>
      </c>
    </row>
    <row r="1947" spans="1:12" x14ac:dyDescent="0.25">
      <c r="A1947" t="s">
        <v>5766</v>
      </c>
      <c r="B1947" t="s">
        <v>5348</v>
      </c>
      <c r="C1947" s="1" t="s">
        <v>5417</v>
      </c>
      <c r="D1947" s="1" t="s">
        <v>11710</v>
      </c>
      <c r="E1947" t="s">
        <v>5418</v>
      </c>
      <c r="F1947" t="s">
        <v>11711</v>
      </c>
      <c r="G1947" t="s">
        <v>11712</v>
      </c>
      <c r="H1947" t="s">
        <v>11713</v>
      </c>
      <c r="I1947" t="s">
        <v>9801</v>
      </c>
      <c r="J1947" t="s">
        <v>11602</v>
      </c>
      <c r="K1947" t="s">
        <v>11603</v>
      </c>
      <c r="L1947" t="s">
        <v>11604</v>
      </c>
    </row>
    <row r="1948" spans="1:12" x14ac:dyDescent="0.25">
      <c r="A1948" t="s">
        <v>5766</v>
      </c>
      <c r="B1948" t="s">
        <v>5348</v>
      </c>
      <c r="C1948" s="1" t="s">
        <v>5420</v>
      </c>
      <c r="D1948" s="1" t="s">
        <v>11714</v>
      </c>
      <c r="E1948" t="s">
        <v>5421</v>
      </c>
      <c r="F1948" t="s">
        <v>11715</v>
      </c>
      <c r="G1948" t="s">
        <v>11716</v>
      </c>
      <c r="H1948" t="s">
        <v>11717</v>
      </c>
      <c r="I1948" t="s">
        <v>8669</v>
      </c>
      <c r="J1948" t="s">
        <v>11602</v>
      </c>
      <c r="K1948" t="s">
        <v>11603</v>
      </c>
      <c r="L1948" t="s">
        <v>11604</v>
      </c>
    </row>
    <row r="1949" spans="1:12" x14ac:dyDescent="0.25">
      <c r="A1949" t="s">
        <v>5766</v>
      </c>
      <c r="B1949" t="s">
        <v>5348</v>
      </c>
      <c r="C1949" s="1" t="s">
        <v>199</v>
      </c>
      <c r="D1949" s="1" t="s">
        <v>5961</v>
      </c>
      <c r="E1949" t="s">
        <v>200</v>
      </c>
      <c r="F1949" t="s">
        <v>10403</v>
      </c>
      <c r="G1949" t="s">
        <v>5963</v>
      </c>
      <c r="H1949" t="s">
        <v>11718</v>
      </c>
      <c r="I1949" t="s">
        <v>6798</v>
      </c>
      <c r="J1949" t="s">
        <v>11602</v>
      </c>
      <c r="K1949" t="s">
        <v>11603</v>
      </c>
      <c r="L1949" t="s">
        <v>11604</v>
      </c>
    </row>
    <row r="1950" spans="1:12" x14ac:dyDescent="0.25">
      <c r="A1950" t="s">
        <v>5766</v>
      </c>
      <c r="B1950" t="s">
        <v>5348</v>
      </c>
      <c r="C1950" s="1" t="s">
        <v>5423</v>
      </c>
      <c r="D1950" s="1" t="s">
        <v>11719</v>
      </c>
      <c r="E1950" t="s">
        <v>5424</v>
      </c>
      <c r="F1950" t="s">
        <v>11586</v>
      </c>
      <c r="G1950" t="s">
        <v>11720</v>
      </c>
      <c r="H1950" t="s">
        <v>11721</v>
      </c>
      <c r="I1950" t="s">
        <v>9124</v>
      </c>
      <c r="J1950" t="s">
        <v>11602</v>
      </c>
      <c r="K1950" t="s">
        <v>11603</v>
      </c>
      <c r="L1950" t="s">
        <v>11604</v>
      </c>
    </row>
    <row r="1951" spans="1:12" x14ac:dyDescent="0.25">
      <c r="A1951" t="s">
        <v>5766</v>
      </c>
      <c r="B1951" t="s">
        <v>5348</v>
      </c>
      <c r="C1951" s="1" t="s">
        <v>5426</v>
      </c>
      <c r="D1951" s="1" t="s">
        <v>11722</v>
      </c>
      <c r="E1951" t="s">
        <v>5427</v>
      </c>
      <c r="F1951" t="s">
        <v>11608</v>
      </c>
      <c r="G1951" t="s">
        <v>11723</v>
      </c>
      <c r="H1951" t="s">
        <v>11724</v>
      </c>
      <c r="I1951" t="s">
        <v>7853</v>
      </c>
      <c r="J1951" t="s">
        <v>11602</v>
      </c>
      <c r="K1951" t="s">
        <v>11603</v>
      </c>
      <c r="L1951" t="s">
        <v>11604</v>
      </c>
    </row>
    <row r="1952" spans="1:12" x14ac:dyDescent="0.25">
      <c r="A1952" t="s">
        <v>5766</v>
      </c>
      <c r="B1952" t="s">
        <v>5348</v>
      </c>
      <c r="C1952" s="1" t="s">
        <v>5429</v>
      </c>
      <c r="D1952" s="1" t="s">
        <v>11725</v>
      </c>
      <c r="E1952" t="s">
        <v>5430</v>
      </c>
      <c r="F1952" t="s">
        <v>6181</v>
      </c>
      <c r="G1952" t="s">
        <v>11726</v>
      </c>
      <c r="H1952" t="s">
        <v>11727</v>
      </c>
      <c r="I1952" t="s">
        <v>6326</v>
      </c>
      <c r="J1952" t="s">
        <v>11602</v>
      </c>
      <c r="K1952" t="s">
        <v>11603</v>
      </c>
      <c r="L1952" t="s">
        <v>11604</v>
      </c>
    </row>
    <row r="1953" spans="1:13" x14ac:dyDescent="0.25">
      <c r="A1953" t="s">
        <v>5766</v>
      </c>
      <c r="B1953" t="s">
        <v>5348</v>
      </c>
      <c r="C1953" s="1" t="s">
        <v>5432</v>
      </c>
      <c r="D1953" s="1" t="s">
        <v>11728</v>
      </c>
      <c r="E1953" t="s">
        <v>5433</v>
      </c>
      <c r="F1953" t="s">
        <v>8552</v>
      </c>
      <c r="G1953" t="s">
        <v>11729</v>
      </c>
      <c r="H1953" t="s">
        <v>11730</v>
      </c>
      <c r="I1953" t="s">
        <v>7010</v>
      </c>
      <c r="J1953" t="s">
        <v>11602</v>
      </c>
      <c r="K1953" t="s">
        <v>11603</v>
      </c>
      <c r="L1953" t="s">
        <v>11604</v>
      </c>
    </row>
    <row r="1954" spans="1:13" x14ac:dyDescent="0.25">
      <c r="A1954" t="s">
        <v>5766</v>
      </c>
      <c r="B1954" t="s">
        <v>5348</v>
      </c>
      <c r="C1954" s="1" t="s">
        <v>5435</v>
      </c>
      <c r="D1954" s="1" t="s">
        <v>11731</v>
      </c>
      <c r="E1954" t="s">
        <v>5436</v>
      </c>
      <c r="F1954" t="s">
        <v>8552</v>
      </c>
      <c r="G1954" t="s">
        <v>11732</v>
      </c>
      <c r="H1954" t="s">
        <v>11733</v>
      </c>
      <c r="I1954" t="s">
        <v>6789</v>
      </c>
      <c r="J1954" t="s">
        <v>11602</v>
      </c>
      <c r="K1954" t="s">
        <v>11603</v>
      </c>
      <c r="L1954" t="s">
        <v>11604</v>
      </c>
    </row>
    <row r="1955" spans="1:13" x14ac:dyDescent="0.25">
      <c r="A1955" t="s">
        <v>5766</v>
      </c>
      <c r="B1955" t="s">
        <v>5348</v>
      </c>
      <c r="C1955" s="1" t="s">
        <v>5438</v>
      </c>
      <c r="D1955" s="1" t="s">
        <v>11734</v>
      </c>
      <c r="E1955" t="s">
        <v>5439</v>
      </c>
      <c r="F1955" t="s">
        <v>11643</v>
      </c>
      <c r="G1955" t="s">
        <v>11735</v>
      </c>
      <c r="H1955" t="s">
        <v>11736</v>
      </c>
      <c r="I1955" t="s">
        <v>8884</v>
      </c>
      <c r="J1955" t="s">
        <v>11602</v>
      </c>
      <c r="K1955" t="s">
        <v>11603</v>
      </c>
      <c r="L1955" t="s">
        <v>11604</v>
      </c>
    </row>
    <row r="1956" spans="1:13" x14ac:dyDescent="0.25">
      <c r="A1956" t="s">
        <v>5766</v>
      </c>
      <c r="B1956" t="s">
        <v>5348</v>
      </c>
      <c r="C1956" s="1" t="s">
        <v>5441</v>
      </c>
      <c r="D1956" s="1" t="s">
        <v>11737</v>
      </c>
      <c r="E1956" t="s">
        <v>5442</v>
      </c>
      <c r="F1956" t="s">
        <v>11738</v>
      </c>
      <c r="G1956" t="s">
        <v>11739</v>
      </c>
      <c r="H1956" t="s">
        <v>11740</v>
      </c>
      <c r="I1956" t="s">
        <v>10656</v>
      </c>
      <c r="J1956" t="s">
        <v>11602</v>
      </c>
      <c r="K1956" t="s">
        <v>11603</v>
      </c>
      <c r="L1956" t="s">
        <v>11604</v>
      </c>
    </row>
    <row r="1957" spans="1:13" x14ac:dyDescent="0.25">
      <c r="A1957" t="s">
        <v>5766</v>
      </c>
      <c r="B1957" t="s">
        <v>5348</v>
      </c>
      <c r="C1957" s="1" t="s">
        <v>52</v>
      </c>
      <c r="D1957" s="1" t="s">
        <v>52</v>
      </c>
      <c r="E1957" t="s">
        <v>5767</v>
      </c>
      <c r="F1957" t="s">
        <v>11741</v>
      </c>
      <c r="G1957" t="s">
        <v>5769</v>
      </c>
      <c r="H1957" t="s">
        <v>11742</v>
      </c>
      <c r="I1957" t="s">
        <v>11743</v>
      </c>
      <c r="J1957" t="s">
        <v>11602</v>
      </c>
      <c r="K1957" t="s">
        <v>11603</v>
      </c>
      <c r="L1957" t="s">
        <v>11604</v>
      </c>
      <c r="M1957" t="s">
        <v>65</v>
      </c>
    </row>
    <row r="1958" spans="1:13" x14ac:dyDescent="0.25">
      <c r="A1958" t="s">
        <v>5766</v>
      </c>
      <c r="B1958" t="s">
        <v>5443</v>
      </c>
      <c r="C1958" s="1" t="s">
        <v>5445</v>
      </c>
      <c r="D1958" s="1" t="s">
        <v>5445</v>
      </c>
      <c r="E1958" t="s">
        <v>5446</v>
      </c>
      <c r="F1958" t="s">
        <v>11744</v>
      </c>
      <c r="G1958" t="s">
        <v>11745</v>
      </c>
      <c r="H1958" t="s">
        <v>5447</v>
      </c>
      <c r="I1958" t="s">
        <v>11746</v>
      </c>
      <c r="J1958" t="s">
        <v>11747</v>
      </c>
      <c r="K1958" t="s">
        <v>6485</v>
      </c>
      <c r="L1958" t="s">
        <v>6486</v>
      </c>
    </row>
    <row r="1959" spans="1:13" x14ac:dyDescent="0.25">
      <c r="A1959" t="s">
        <v>5766</v>
      </c>
      <c r="B1959" t="s">
        <v>5443</v>
      </c>
      <c r="C1959" s="1" t="s">
        <v>78</v>
      </c>
      <c r="D1959" s="1" t="s">
        <v>5780</v>
      </c>
      <c r="E1959" t="s">
        <v>5781</v>
      </c>
      <c r="F1959" t="s">
        <v>11748</v>
      </c>
      <c r="G1959" t="s">
        <v>5783</v>
      </c>
      <c r="H1959" t="s">
        <v>11749</v>
      </c>
      <c r="I1959" t="s">
        <v>11750</v>
      </c>
      <c r="J1959" t="s">
        <v>11747</v>
      </c>
      <c r="K1959" t="s">
        <v>6485</v>
      </c>
      <c r="L1959" t="s">
        <v>6486</v>
      </c>
      <c r="M1959" t="s">
        <v>65</v>
      </c>
    </row>
    <row r="1960" spans="1:13" x14ac:dyDescent="0.25">
      <c r="A1960" t="s">
        <v>5766</v>
      </c>
      <c r="B1960" t="s">
        <v>5443</v>
      </c>
      <c r="C1960" s="1" t="s">
        <v>52</v>
      </c>
      <c r="D1960" s="1" t="s">
        <v>52</v>
      </c>
      <c r="E1960" t="s">
        <v>5767</v>
      </c>
      <c r="F1960" t="s">
        <v>11751</v>
      </c>
      <c r="G1960" t="s">
        <v>5769</v>
      </c>
      <c r="H1960" t="s">
        <v>11752</v>
      </c>
      <c r="I1960" t="s">
        <v>11753</v>
      </c>
      <c r="J1960" t="s">
        <v>11747</v>
      </c>
      <c r="K1960" t="s">
        <v>6485</v>
      </c>
      <c r="L1960" t="s">
        <v>6486</v>
      </c>
      <c r="M1960" t="s">
        <v>65</v>
      </c>
    </row>
    <row r="1961" spans="1:13" x14ac:dyDescent="0.25">
      <c r="A1961" t="s">
        <v>5766</v>
      </c>
      <c r="B1961" t="s">
        <v>5451</v>
      </c>
      <c r="C1961" s="1" t="s">
        <v>5453</v>
      </c>
      <c r="D1961" s="1" t="s">
        <v>11754</v>
      </c>
      <c r="E1961" t="s">
        <v>5454</v>
      </c>
      <c r="F1961" t="s">
        <v>10567</v>
      </c>
      <c r="G1961" t="s">
        <v>11755</v>
      </c>
      <c r="H1961" t="s">
        <v>11756</v>
      </c>
      <c r="I1961" t="s">
        <v>6876</v>
      </c>
      <c r="J1961" t="s">
        <v>11757</v>
      </c>
      <c r="K1961" t="s">
        <v>11357</v>
      </c>
      <c r="L1961" t="s">
        <v>11358</v>
      </c>
    </row>
    <row r="1962" spans="1:13" x14ac:dyDescent="0.25">
      <c r="A1962" t="s">
        <v>5766</v>
      </c>
      <c r="B1962" t="s">
        <v>5451</v>
      </c>
      <c r="C1962" s="1" t="s">
        <v>2718</v>
      </c>
      <c r="D1962" s="1" t="s">
        <v>8075</v>
      </c>
      <c r="E1962" t="s">
        <v>2719</v>
      </c>
      <c r="F1962" t="s">
        <v>11758</v>
      </c>
      <c r="G1962" t="s">
        <v>8077</v>
      </c>
      <c r="H1962" t="s">
        <v>11759</v>
      </c>
      <c r="I1962" t="s">
        <v>7391</v>
      </c>
      <c r="J1962" t="s">
        <v>11757</v>
      </c>
      <c r="K1962" t="s">
        <v>11357</v>
      </c>
      <c r="L1962" t="s">
        <v>11358</v>
      </c>
    </row>
    <row r="1963" spans="1:13" x14ac:dyDescent="0.25">
      <c r="A1963" t="s">
        <v>5766</v>
      </c>
      <c r="B1963" t="s">
        <v>5451</v>
      </c>
      <c r="C1963" s="1" t="s">
        <v>5456</v>
      </c>
      <c r="D1963" s="1" t="s">
        <v>11760</v>
      </c>
      <c r="E1963" t="s">
        <v>5457</v>
      </c>
      <c r="F1963" t="s">
        <v>10171</v>
      </c>
      <c r="G1963" t="s">
        <v>11761</v>
      </c>
      <c r="H1963" t="s">
        <v>11762</v>
      </c>
      <c r="I1963" t="s">
        <v>11763</v>
      </c>
      <c r="J1963" t="s">
        <v>11757</v>
      </c>
      <c r="K1963" t="s">
        <v>11357</v>
      </c>
      <c r="L1963" t="s">
        <v>11358</v>
      </c>
    </row>
    <row r="1964" spans="1:13" x14ac:dyDescent="0.25">
      <c r="A1964" t="s">
        <v>5766</v>
      </c>
      <c r="B1964" t="s">
        <v>5451</v>
      </c>
      <c r="C1964" s="1" t="s">
        <v>3495</v>
      </c>
      <c r="D1964" s="1" t="s">
        <v>8968</v>
      </c>
      <c r="E1964" t="s">
        <v>3496</v>
      </c>
      <c r="F1964" t="s">
        <v>8692</v>
      </c>
      <c r="G1964" t="s">
        <v>8969</v>
      </c>
      <c r="H1964" t="s">
        <v>11764</v>
      </c>
      <c r="I1964" t="s">
        <v>11765</v>
      </c>
      <c r="J1964" t="s">
        <v>11757</v>
      </c>
      <c r="K1964" t="s">
        <v>11357</v>
      </c>
      <c r="L1964" t="s">
        <v>11358</v>
      </c>
    </row>
    <row r="1965" spans="1:13" x14ac:dyDescent="0.25">
      <c r="A1965" t="s">
        <v>5766</v>
      </c>
      <c r="B1965" t="s">
        <v>5451</v>
      </c>
      <c r="C1965" s="1" t="s">
        <v>5459</v>
      </c>
      <c r="D1965" s="1" t="s">
        <v>11766</v>
      </c>
      <c r="E1965" t="s">
        <v>5461</v>
      </c>
      <c r="F1965" t="s">
        <v>10277</v>
      </c>
      <c r="G1965" t="s">
        <v>11767</v>
      </c>
      <c r="H1965" t="s">
        <v>11768</v>
      </c>
      <c r="I1965" t="s">
        <v>8825</v>
      </c>
      <c r="J1965" t="s">
        <v>11757</v>
      </c>
      <c r="K1965" t="s">
        <v>11357</v>
      </c>
      <c r="L1965" t="s">
        <v>11358</v>
      </c>
    </row>
    <row r="1966" spans="1:13" x14ac:dyDescent="0.25">
      <c r="A1966" t="s">
        <v>5766</v>
      </c>
      <c r="B1966" t="s">
        <v>5451</v>
      </c>
      <c r="C1966" s="1" t="s">
        <v>3580</v>
      </c>
      <c r="D1966" s="1" t="s">
        <v>9125</v>
      </c>
      <c r="E1966" t="s">
        <v>3581</v>
      </c>
      <c r="F1966" t="s">
        <v>11370</v>
      </c>
      <c r="G1966" t="s">
        <v>9127</v>
      </c>
      <c r="H1966" t="s">
        <v>11769</v>
      </c>
      <c r="I1966" t="s">
        <v>11770</v>
      </c>
      <c r="J1966" t="s">
        <v>11757</v>
      </c>
      <c r="K1966" t="s">
        <v>11357</v>
      </c>
      <c r="L1966" t="s">
        <v>11358</v>
      </c>
    </row>
    <row r="1967" spans="1:13" x14ac:dyDescent="0.25">
      <c r="A1967" t="s">
        <v>5766</v>
      </c>
      <c r="B1967" t="s">
        <v>5451</v>
      </c>
      <c r="C1967" s="1" t="s">
        <v>3504</v>
      </c>
      <c r="D1967" s="1" t="s">
        <v>8980</v>
      </c>
      <c r="E1967" t="s">
        <v>3505</v>
      </c>
      <c r="F1967" t="s">
        <v>6461</v>
      </c>
      <c r="G1967" t="s">
        <v>8982</v>
      </c>
      <c r="H1967" t="s">
        <v>11771</v>
      </c>
      <c r="I1967" t="s">
        <v>11772</v>
      </c>
      <c r="J1967" t="s">
        <v>11757</v>
      </c>
      <c r="K1967" t="s">
        <v>11357</v>
      </c>
      <c r="L1967" t="s">
        <v>11358</v>
      </c>
    </row>
    <row r="1968" spans="1:13" x14ac:dyDescent="0.25">
      <c r="A1968" t="s">
        <v>5766</v>
      </c>
      <c r="B1968" t="s">
        <v>5451</v>
      </c>
      <c r="C1968" s="1" t="s">
        <v>3513</v>
      </c>
      <c r="D1968" s="1" t="s">
        <v>8993</v>
      </c>
      <c r="E1968" t="s">
        <v>3514</v>
      </c>
      <c r="F1968" t="s">
        <v>11773</v>
      </c>
      <c r="G1968" t="s">
        <v>8995</v>
      </c>
      <c r="H1968" t="s">
        <v>11774</v>
      </c>
      <c r="I1968" t="s">
        <v>9086</v>
      </c>
      <c r="J1968" t="s">
        <v>11757</v>
      </c>
      <c r="K1968" t="s">
        <v>11357</v>
      </c>
      <c r="L1968" t="s">
        <v>11358</v>
      </c>
    </row>
    <row r="1969" spans="1:13" x14ac:dyDescent="0.25">
      <c r="A1969" t="s">
        <v>5766</v>
      </c>
      <c r="B1969" t="s">
        <v>5451</v>
      </c>
      <c r="C1969" s="1" t="s">
        <v>5463</v>
      </c>
      <c r="D1969" s="1" t="s">
        <v>11775</v>
      </c>
      <c r="E1969" t="s">
        <v>5464</v>
      </c>
      <c r="F1969" t="s">
        <v>11776</v>
      </c>
      <c r="G1969" t="s">
        <v>11777</v>
      </c>
      <c r="H1969" t="s">
        <v>11778</v>
      </c>
      <c r="I1969" t="s">
        <v>11779</v>
      </c>
      <c r="J1969" t="s">
        <v>11757</v>
      </c>
      <c r="K1969" t="s">
        <v>11357</v>
      </c>
      <c r="L1969" t="s">
        <v>11358</v>
      </c>
    </row>
    <row r="1970" spans="1:13" x14ac:dyDescent="0.25">
      <c r="A1970" t="s">
        <v>5766</v>
      </c>
      <c r="B1970" t="s">
        <v>5451</v>
      </c>
      <c r="C1970" s="1" t="s">
        <v>78</v>
      </c>
      <c r="D1970" s="1" t="s">
        <v>5780</v>
      </c>
      <c r="E1970" t="s">
        <v>5781</v>
      </c>
      <c r="F1970" t="s">
        <v>11780</v>
      </c>
      <c r="G1970" t="s">
        <v>5783</v>
      </c>
      <c r="H1970" t="s">
        <v>11781</v>
      </c>
      <c r="I1970" t="s">
        <v>11611</v>
      </c>
      <c r="J1970" t="s">
        <v>11757</v>
      </c>
      <c r="K1970" t="s">
        <v>11357</v>
      </c>
      <c r="L1970" t="s">
        <v>11358</v>
      </c>
      <c r="M1970" t="s">
        <v>65</v>
      </c>
    </row>
    <row r="1971" spans="1:13" x14ac:dyDescent="0.25">
      <c r="A1971" t="s">
        <v>5766</v>
      </c>
      <c r="B1971" t="s">
        <v>5451</v>
      </c>
      <c r="C1971" s="1" t="s">
        <v>278</v>
      </c>
      <c r="D1971" s="1" t="s">
        <v>6085</v>
      </c>
      <c r="E1971" t="s">
        <v>279</v>
      </c>
      <c r="F1971" t="s">
        <v>10224</v>
      </c>
      <c r="G1971" t="s">
        <v>6087</v>
      </c>
      <c r="H1971" t="s">
        <v>11782</v>
      </c>
      <c r="I1971" t="s">
        <v>11783</v>
      </c>
      <c r="J1971" t="s">
        <v>11757</v>
      </c>
      <c r="K1971" t="s">
        <v>11357</v>
      </c>
      <c r="L1971" t="s">
        <v>11358</v>
      </c>
    </row>
    <row r="1972" spans="1:13" x14ac:dyDescent="0.25">
      <c r="A1972" t="s">
        <v>5766</v>
      </c>
      <c r="B1972" t="s">
        <v>5451</v>
      </c>
      <c r="C1972" s="1" t="s">
        <v>5466</v>
      </c>
      <c r="D1972" s="1" t="s">
        <v>11784</v>
      </c>
      <c r="E1972" t="s">
        <v>5467</v>
      </c>
      <c r="F1972" t="s">
        <v>11785</v>
      </c>
      <c r="G1972" t="s">
        <v>11204</v>
      </c>
      <c r="H1972" t="s">
        <v>11786</v>
      </c>
      <c r="I1972" t="s">
        <v>11787</v>
      </c>
      <c r="J1972" t="s">
        <v>11757</v>
      </c>
      <c r="K1972" t="s">
        <v>11357</v>
      </c>
      <c r="L1972" t="s">
        <v>11358</v>
      </c>
    </row>
    <row r="1973" spans="1:13" x14ac:dyDescent="0.25">
      <c r="A1973" t="s">
        <v>5766</v>
      </c>
      <c r="B1973" t="s">
        <v>5451</v>
      </c>
      <c r="C1973" s="1" t="s">
        <v>314</v>
      </c>
      <c r="D1973" s="1" t="s">
        <v>6138</v>
      </c>
      <c r="E1973" t="s">
        <v>315</v>
      </c>
      <c r="F1973" t="s">
        <v>6446</v>
      </c>
      <c r="G1973" t="s">
        <v>6139</v>
      </c>
      <c r="H1973" t="s">
        <v>11788</v>
      </c>
      <c r="I1973" t="s">
        <v>11787</v>
      </c>
      <c r="J1973" t="s">
        <v>11757</v>
      </c>
      <c r="K1973" t="s">
        <v>11357</v>
      </c>
      <c r="L1973" t="s">
        <v>11358</v>
      </c>
    </row>
    <row r="1974" spans="1:13" x14ac:dyDescent="0.25">
      <c r="A1974" t="s">
        <v>5766</v>
      </c>
      <c r="B1974" t="s">
        <v>5451</v>
      </c>
      <c r="C1974" s="1" t="s">
        <v>5469</v>
      </c>
      <c r="D1974" s="1" t="s">
        <v>11789</v>
      </c>
      <c r="E1974" t="s">
        <v>5470</v>
      </c>
      <c r="F1974" t="s">
        <v>11790</v>
      </c>
      <c r="G1974" t="s">
        <v>11791</v>
      </c>
      <c r="H1974" t="s">
        <v>11792</v>
      </c>
      <c r="I1974" t="s">
        <v>6013</v>
      </c>
      <c r="J1974" t="s">
        <v>11757</v>
      </c>
      <c r="K1974" t="s">
        <v>11357</v>
      </c>
      <c r="L1974" t="s">
        <v>11358</v>
      </c>
    </row>
    <row r="1975" spans="1:13" x14ac:dyDescent="0.25">
      <c r="A1975" t="s">
        <v>5766</v>
      </c>
      <c r="B1975" t="s">
        <v>5451</v>
      </c>
      <c r="C1975" s="1" t="s">
        <v>326</v>
      </c>
      <c r="D1975" s="1" t="s">
        <v>6154</v>
      </c>
      <c r="E1975" t="s">
        <v>327</v>
      </c>
      <c r="F1975" t="s">
        <v>11793</v>
      </c>
      <c r="G1975" t="s">
        <v>6155</v>
      </c>
      <c r="H1975" t="s">
        <v>11794</v>
      </c>
      <c r="I1975" t="s">
        <v>11795</v>
      </c>
      <c r="J1975" t="s">
        <v>11757</v>
      </c>
      <c r="K1975" t="s">
        <v>11357</v>
      </c>
      <c r="L1975" t="s">
        <v>11358</v>
      </c>
    </row>
    <row r="1976" spans="1:13" x14ac:dyDescent="0.25">
      <c r="A1976" t="s">
        <v>5766</v>
      </c>
      <c r="B1976" t="s">
        <v>5451</v>
      </c>
      <c r="C1976" s="1" t="s">
        <v>4286</v>
      </c>
      <c r="D1976" s="1" t="s">
        <v>10145</v>
      </c>
      <c r="E1976" t="s">
        <v>4287</v>
      </c>
      <c r="F1976" t="s">
        <v>9080</v>
      </c>
      <c r="G1976" t="s">
        <v>10146</v>
      </c>
      <c r="H1976" t="s">
        <v>11796</v>
      </c>
      <c r="I1976" t="s">
        <v>9152</v>
      </c>
      <c r="J1976" t="s">
        <v>11757</v>
      </c>
      <c r="K1976" t="s">
        <v>11357</v>
      </c>
      <c r="L1976" t="s">
        <v>11358</v>
      </c>
    </row>
    <row r="1977" spans="1:13" x14ac:dyDescent="0.25">
      <c r="A1977" t="s">
        <v>5766</v>
      </c>
      <c r="B1977" t="s">
        <v>5451</v>
      </c>
      <c r="C1977" s="1" t="s">
        <v>329</v>
      </c>
      <c r="D1977" s="1" t="s">
        <v>6158</v>
      </c>
      <c r="E1977" t="s">
        <v>330</v>
      </c>
      <c r="F1977" t="s">
        <v>11797</v>
      </c>
      <c r="G1977" t="s">
        <v>6159</v>
      </c>
      <c r="H1977" t="s">
        <v>11798</v>
      </c>
      <c r="I1977" t="s">
        <v>11799</v>
      </c>
      <c r="J1977" t="s">
        <v>11757</v>
      </c>
      <c r="K1977" t="s">
        <v>11357</v>
      </c>
      <c r="L1977" t="s">
        <v>11358</v>
      </c>
    </row>
    <row r="1978" spans="1:13" x14ac:dyDescent="0.25">
      <c r="A1978" t="s">
        <v>5766</v>
      </c>
      <c r="B1978" t="s">
        <v>5451</v>
      </c>
      <c r="C1978" s="1" t="s">
        <v>5472</v>
      </c>
      <c r="D1978" s="1" t="s">
        <v>11800</v>
      </c>
      <c r="E1978" t="s">
        <v>5473</v>
      </c>
      <c r="F1978" t="s">
        <v>8674</v>
      </c>
      <c r="G1978" t="s">
        <v>11801</v>
      </c>
      <c r="H1978" t="s">
        <v>11802</v>
      </c>
      <c r="I1978" t="s">
        <v>6540</v>
      </c>
      <c r="J1978" t="s">
        <v>11757</v>
      </c>
      <c r="K1978" t="s">
        <v>11357</v>
      </c>
      <c r="L1978" t="s">
        <v>11358</v>
      </c>
    </row>
    <row r="1979" spans="1:13" x14ac:dyDescent="0.25">
      <c r="A1979" t="s">
        <v>5766</v>
      </c>
      <c r="B1979" t="s">
        <v>5451</v>
      </c>
      <c r="C1979" s="1" t="s">
        <v>5475</v>
      </c>
      <c r="D1979" s="1" t="s">
        <v>11803</v>
      </c>
      <c r="E1979" t="s">
        <v>5476</v>
      </c>
      <c r="F1979" t="s">
        <v>11773</v>
      </c>
      <c r="G1979" t="s">
        <v>8635</v>
      </c>
      <c r="H1979" t="s">
        <v>11804</v>
      </c>
      <c r="I1979" t="s">
        <v>10963</v>
      </c>
      <c r="J1979" t="s">
        <v>11757</v>
      </c>
      <c r="K1979" t="s">
        <v>11357</v>
      </c>
      <c r="L1979" t="s">
        <v>11358</v>
      </c>
    </row>
    <row r="1980" spans="1:13" x14ac:dyDescent="0.25">
      <c r="A1980" t="s">
        <v>5766</v>
      </c>
      <c r="B1980" t="s">
        <v>5451</v>
      </c>
      <c r="C1980" s="1" t="s">
        <v>5478</v>
      </c>
      <c r="D1980" s="1" t="s">
        <v>11805</v>
      </c>
      <c r="E1980" t="s">
        <v>5479</v>
      </c>
      <c r="F1980" t="s">
        <v>11806</v>
      </c>
      <c r="G1980" t="s">
        <v>11807</v>
      </c>
      <c r="H1980" t="s">
        <v>11808</v>
      </c>
      <c r="I1980" t="s">
        <v>8840</v>
      </c>
      <c r="J1980" t="s">
        <v>11757</v>
      </c>
      <c r="K1980" t="s">
        <v>11357</v>
      </c>
      <c r="L1980" t="s">
        <v>11358</v>
      </c>
    </row>
    <row r="1981" spans="1:13" x14ac:dyDescent="0.25">
      <c r="A1981" t="s">
        <v>5766</v>
      </c>
      <c r="B1981" t="s">
        <v>5451</v>
      </c>
      <c r="C1981" s="1" t="s">
        <v>5481</v>
      </c>
      <c r="D1981" s="1" t="s">
        <v>11809</v>
      </c>
      <c r="E1981" t="s">
        <v>5482</v>
      </c>
      <c r="F1981" t="s">
        <v>6339</v>
      </c>
      <c r="G1981" t="s">
        <v>11810</v>
      </c>
      <c r="H1981" t="s">
        <v>11811</v>
      </c>
      <c r="I1981" t="s">
        <v>5947</v>
      </c>
      <c r="J1981" t="s">
        <v>11757</v>
      </c>
      <c r="K1981" t="s">
        <v>11357</v>
      </c>
      <c r="L1981" t="s">
        <v>11358</v>
      </c>
    </row>
    <row r="1982" spans="1:13" x14ac:dyDescent="0.25">
      <c r="A1982" t="s">
        <v>5766</v>
      </c>
      <c r="B1982" t="s">
        <v>5451</v>
      </c>
      <c r="C1982" s="1" t="s">
        <v>3543</v>
      </c>
      <c r="D1982" s="1" t="s">
        <v>9042</v>
      </c>
      <c r="E1982" t="s">
        <v>3544</v>
      </c>
      <c r="F1982" t="s">
        <v>11812</v>
      </c>
      <c r="G1982" t="s">
        <v>9043</v>
      </c>
      <c r="H1982" t="s">
        <v>11813</v>
      </c>
      <c r="I1982" t="s">
        <v>8840</v>
      </c>
      <c r="J1982" t="s">
        <v>11757</v>
      </c>
      <c r="K1982" t="s">
        <v>11357</v>
      </c>
      <c r="L1982" t="s">
        <v>11358</v>
      </c>
    </row>
    <row r="1983" spans="1:13" x14ac:dyDescent="0.25">
      <c r="A1983" t="s">
        <v>5766</v>
      </c>
      <c r="B1983" t="s">
        <v>5451</v>
      </c>
      <c r="C1983" s="1" t="s">
        <v>5484</v>
      </c>
      <c r="D1983" s="1" t="s">
        <v>11814</v>
      </c>
      <c r="E1983" t="s">
        <v>5485</v>
      </c>
      <c r="F1983" t="s">
        <v>9366</v>
      </c>
      <c r="G1983" t="s">
        <v>9406</v>
      </c>
      <c r="H1983" t="s">
        <v>11815</v>
      </c>
      <c r="I1983" t="s">
        <v>11126</v>
      </c>
      <c r="J1983" t="s">
        <v>11757</v>
      </c>
      <c r="K1983" t="s">
        <v>11357</v>
      </c>
      <c r="L1983" t="s">
        <v>11358</v>
      </c>
    </row>
    <row r="1984" spans="1:13" x14ac:dyDescent="0.25">
      <c r="A1984" t="s">
        <v>5766</v>
      </c>
      <c r="B1984" t="s">
        <v>5451</v>
      </c>
      <c r="C1984" s="1" t="s">
        <v>5487</v>
      </c>
      <c r="D1984" s="1" t="s">
        <v>11816</v>
      </c>
      <c r="E1984" t="s">
        <v>5488</v>
      </c>
      <c r="F1984" t="s">
        <v>11817</v>
      </c>
      <c r="G1984" t="s">
        <v>11818</v>
      </c>
      <c r="H1984" t="s">
        <v>11819</v>
      </c>
      <c r="I1984" t="s">
        <v>8258</v>
      </c>
      <c r="J1984" t="s">
        <v>11757</v>
      </c>
      <c r="K1984" t="s">
        <v>11357</v>
      </c>
      <c r="L1984" t="s">
        <v>11358</v>
      </c>
    </row>
    <row r="1985" spans="1:13" x14ac:dyDescent="0.25">
      <c r="A1985" t="s">
        <v>5766</v>
      </c>
      <c r="B1985" t="s">
        <v>5451</v>
      </c>
      <c r="C1985" s="1" t="s">
        <v>3549</v>
      </c>
      <c r="D1985" s="1" t="s">
        <v>9058</v>
      </c>
      <c r="E1985" t="s">
        <v>3550</v>
      </c>
      <c r="F1985" t="s">
        <v>11820</v>
      </c>
      <c r="G1985" t="s">
        <v>9060</v>
      </c>
      <c r="H1985" t="s">
        <v>11821</v>
      </c>
      <c r="I1985" t="s">
        <v>9057</v>
      </c>
      <c r="J1985" t="s">
        <v>11757</v>
      </c>
      <c r="K1985" t="s">
        <v>11357</v>
      </c>
      <c r="L1985" t="s">
        <v>11358</v>
      </c>
    </row>
    <row r="1986" spans="1:13" x14ac:dyDescent="0.25">
      <c r="A1986" t="s">
        <v>5766</v>
      </c>
      <c r="B1986" t="s">
        <v>5451</v>
      </c>
      <c r="C1986" s="1" t="s">
        <v>393</v>
      </c>
      <c r="D1986" s="1" t="s">
        <v>6239</v>
      </c>
      <c r="E1986" t="s">
        <v>394</v>
      </c>
      <c r="F1986" t="s">
        <v>9495</v>
      </c>
      <c r="G1986" t="s">
        <v>6240</v>
      </c>
      <c r="H1986" t="s">
        <v>11822</v>
      </c>
      <c r="I1986" t="s">
        <v>11386</v>
      </c>
      <c r="J1986" t="s">
        <v>11757</v>
      </c>
      <c r="K1986" t="s">
        <v>11357</v>
      </c>
      <c r="L1986" t="s">
        <v>11358</v>
      </c>
    </row>
    <row r="1987" spans="1:13" x14ac:dyDescent="0.25">
      <c r="A1987" t="s">
        <v>5766</v>
      </c>
      <c r="B1987" t="s">
        <v>5451</v>
      </c>
      <c r="C1987" s="1" t="s">
        <v>52</v>
      </c>
      <c r="D1987" s="1" t="s">
        <v>52</v>
      </c>
      <c r="E1987" t="s">
        <v>5767</v>
      </c>
      <c r="F1987" t="s">
        <v>11823</v>
      </c>
      <c r="G1987" t="s">
        <v>5769</v>
      </c>
      <c r="H1987" t="s">
        <v>11824</v>
      </c>
      <c r="I1987" t="s">
        <v>11825</v>
      </c>
      <c r="J1987" t="s">
        <v>11757</v>
      </c>
      <c r="K1987" t="s">
        <v>11357</v>
      </c>
      <c r="L1987" t="s">
        <v>11358</v>
      </c>
      <c r="M1987" t="s">
        <v>65</v>
      </c>
    </row>
    <row r="1988" spans="1:13" x14ac:dyDescent="0.25">
      <c r="A1988" t="s">
        <v>5766</v>
      </c>
      <c r="B1988" t="s">
        <v>5489</v>
      </c>
      <c r="C1988" s="1" t="s">
        <v>5491</v>
      </c>
      <c r="D1988" s="1" t="s">
        <v>5491</v>
      </c>
      <c r="E1988" t="s">
        <v>5492</v>
      </c>
      <c r="F1988" t="s">
        <v>11826</v>
      </c>
      <c r="G1988" t="s">
        <v>11827</v>
      </c>
      <c r="H1988" t="s">
        <v>5493</v>
      </c>
      <c r="I1988" t="s">
        <v>11828</v>
      </c>
      <c r="J1988" t="s">
        <v>11829</v>
      </c>
      <c r="K1988" t="s">
        <v>8772</v>
      </c>
      <c r="L1988" t="s">
        <v>8773</v>
      </c>
    </row>
    <row r="1989" spans="1:13" x14ac:dyDescent="0.25">
      <c r="A1989" t="s">
        <v>5766</v>
      </c>
      <c r="B1989" t="s">
        <v>5489</v>
      </c>
      <c r="C1989" s="1" t="s">
        <v>78</v>
      </c>
      <c r="D1989" s="1" t="s">
        <v>5780</v>
      </c>
      <c r="E1989" t="s">
        <v>5781</v>
      </c>
      <c r="F1989" t="s">
        <v>11830</v>
      </c>
      <c r="G1989" t="s">
        <v>5783</v>
      </c>
      <c r="H1989" t="s">
        <v>11831</v>
      </c>
      <c r="I1989" t="s">
        <v>11832</v>
      </c>
      <c r="J1989" t="s">
        <v>11829</v>
      </c>
      <c r="K1989" t="s">
        <v>8772</v>
      </c>
      <c r="L1989" t="s">
        <v>8773</v>
      </c>
      <c r="M1989" t="s">
        <v>65</v>
      </c>
    </row>
    <row r="1990" spans="1:13" x14ac:dyDescent="0.25">
      <c r="A1990" t="s">
        <v>5766</v>
      </c>
      <c r="B1990" t="s">
        <v>5489</v>
      </c>
      <c r="C1990" s="1" t="s">
        <v>52</v>
      </c>
      <c r="D1990" s="1" t="s">
        <v>52</v>
      </c>
      <c r="E1990" t="s">
        <v>5767</v>
      </c>
      <c r="F1990" t="s">
        <v>11833</v>
      </c>
      <c r="G1990" t="s">
        <v>5769</v>
      </c>
      <c r="H1990" t="s">
        <v>11834</v>
      </c>
      <c r="I1990" t="s">
        <v>11835</v>
      </c>
      <c r="J1990" t="s">
        <v>11829</v>
      </c>
      <c r="K1990" t="s">
        <v>8772</v>
      </c>
      <c r="L1990" t="s">
        <v>8773</v>
      </c>
      <c r="M1990" t="s">
        <v>65</v>
      </c>
    </row>
    <row r="1991" spans="1:13" x14ac:dyDescent="0.25">
      <c r="A1991" t="s">
        <v>5766</v>
      </c>
      <c r="B1991" t="s">
        <v>5497</v>
      </c>
      <c r="C1991" s="1" t="s">
        <v>5499</v>
      </c>
      <c r="D1991" s="1" t="s">
        <v>5499</v>
      </c>
      <c r="E1991" t="s">
        <v>5500</v>
      </c>
      <c r="F1991" t="s">
        <v>11836</v>
      </c>
      <c r="G1991" t="s">
        <v>11837</v>
      </c>
      <c r="H1991" t="s">
        <v>5501</v>
      </c>
      <c r="I1991" t="s">
        <v>11838</v>
      </c>
      <c r="J1991" t="s">
        <v>11839</v>
      </c>
      <c r="K1991" t="s">
        <v>6485</v>
      </c>
      <c r="L1991" t="s">
        <v>6486</v>
      </c>
    </row>
    <row r="1992" spans="1:13" x14ac:dyDescent="0.25">
      <c r="A1992" t="s">
        <v>5766</v>
      </c>
      <c r="B1992" t="s">
        <v>5497</v>
      </c>
      <c r="C1992" s="1" t="s">
        <v>78</v>
      </c>
      <c r="D1992" s="1" t="s">
        <v>5780</v>
      </c>
      <c r="E1992" t="s">
        <v>5781</v>
      </c>
      <c r="F1992" t="s">
        <v>11840</v>
      </c>
      <c r="G1992" t="s">
        <v>5783</v>
      </c>
      <c r="H1992" t="s">
        <v>11841</v>
      </c>
      <c r="I1992" t="s">
        <v>11842</v>
      </c>
      <c r="J1992" t="s">
        <v>11839</v>
      </c>
      <c r="K1992" t="s">
        <v>6485</v>
      </c>
      <c r="L1992" t="s">
        <v>6486</v>
      </c>
      <c r="M1992" t="s">
        <v>65</v>
      </c>
    </row>
    <row r="1993" spans="1:13" x14ac:dyDescent="0.25">
      <c r="A1993" t="s">
        <v>5766</v>
      </c>
      <c r="B1993" t="s">
        <v>5497</v>
      </c>
      <c r="C1993" s="1" t="s">
        <v>52</v>
      </c>
      <c r="D1993" s="1" t="s">
        <v>52</v>
      </c>
      <c r="E1993" t="s">
        <v>5767</v>
      </c>
      <c r="F1993" t="s">
        <v>11843</v>
      </c>
      <c r="G1993" t="s">
        <v>5769</v>
      </c>
      <c r="H1993" t="s">
        <v>11844</v>
      </c>
      <c r="I1993" t="s">
        <v>11845</v>
      </c>
      <c r="J1993" t="s">
        <v>11839</v>
      </c>
      <c r="K1993" t="s">
        <v>6485</v>
      </c>
      <c r="L1993" t="s">
        <v>6486</v>
      </c>
      <c r="M1993" t="s">
        <v>65</v>
      </c>
    </row>
    <row r="1994" spans="1:13" x14ac:dyDescent="0.25">
      <c r="A1994" t="s">
        <v>5766</v>
      </c>
      <c r="B1994" t="s">
        <v>5505</v>
      </c>
      <c r="C1994" s="1" t="s">
        <v>5507</v>
      </c>
      <c r="D1994" s="1" t="s">
        <v>5507</v>
      </c>
      <c r="E1994" t="s">
        <v>5508</v>
      </c>
      <c r="F1994" t="s">
        <v>11846</v>
      </c>
      <c r="G1994" t="s">
        <v>11847</v>
      </c>
      <c r="H1994" t="s">
        <v>5509</v>
      </c>
      <c r="I1994" t="s">
        <v>11848</v>
      </c>
      <c r="J1994" t="s">
        <v>11849</v>
      </c>
      <c r="K1994" t="s">
        <v>8772</v>
      </c>
      <c r="L1994" t="s">
        <v>8773</v>
      </c>
    </row>
    <row r="1995" spans="1:13" x14ac:dyDescent="0.25">
      <c r="A1995" t="s">
        <v>5766</v>
      </c>
      <c r="B1995" t="s">
        <v>5505</v>
      </c>
      <c r="C1995" s="1" t="s">
        <v>78</v>
      </c>
      <c r="D1995" s="1" t="s">
        <v>5780</v>
      </c>
      <c r="E1995" t="s">
        <v>5781</v>
      </c>
      <c r="F1995" t="s">
        <v>11850</v>
      </c>
      <c r="G1995" t="s">
        <v>5783</v>
      </c>
      <c r="H1995" t="s">
        <v>11851</v>
      </c>
      <c r="I1995" t="s">
        <v>11852</v>
      </c>
      <c r="J1995" t="s">
        <v>11849</v>
      </c>
      <c r="K1995" t="s">
        <v>8772</v>
      </c>
      <c r="L1995" t="s">
        <v>8773</v>
      </c>
      <c r="M1995" t="s">
        <v>65</v>
      </c>
    </row>
    <row r="1996" spans="1:13" x14ac:dyDescent="0.25">
      <c r="A1996" t="s">
        <v>5766</v>
      </c>
      <c r="B1996" t="s">
        <v>5505</v>
      </c>
      <c r="C1996" s="1" t="s">
        <v>52</v>
      </c>
      <c r="D1996" s="1" t="s">
        <v>52</v>
      </c>
      <c r="E1996" t="s">
        <v>5767</v>
      </c>
      <c r="F1996" t="s">
        <v>11853</v>
      </c>
      <c r="G1996" t="s">
        <v>5769</v>
      </c>
      <c r="H1996" t="s">
        <v>11854</v>
      </c>
      <c r="I1996" t="s">
        <v>11855</v>
      </c>
      <c r="J1996" t="s">
        <v>11849</v>
      </c>
      <c r="K1996" t="s">
        <v>8772</v>
      </c>
      <c r="L1996" t="s">
        <v>8773</v>
      </c>
      <c r="M1996" t="s">
        <v>65</v>
      </c>
    </row>
    <row r="1997" spans="1:13" x14ac:dyDescent="0.25">
      <c r="A1997" t="s">
        <v>5766</v>
      </c>
      <c r="B1997" t="s">
        <v>5513</v>
      </c>
      <c r="C1997" s="1" t="s">
        <v>5515</v>
      </c>
      <c r="D1997" s="1" t="s">
        <v>5515</v>
      </c>
      <c r="E1997" t="s">
        <v>5516</v>
      </c>
      <c r="F1997" t="s">
        <v>11856</v>
      </c>
      <c r="G1997" t="s">
        <v>11857</v>
      </c>
      <c r="H1997" t="s">
        <v>5517</v>
      </c>
      <c r="I1997" t="s">
        <v>11858</v>
      </c>
      <c r="J1997" t="s">
        <v>11859</v>
      </c>
      <c r="K1997" t="s">
        <v>8772</v>
      </c>
      <c r="L1997" t="s">
        <v>8773</v>
      </c>
    </row>
    <row r="1998" spans="1:13" x14ac:dyDescent="0.25">
      <c r="A1998" t="s">
        <v>5766</v>
      </c>
      <c r="B1998" t="s">
        <v>5513</v>
      </c>
      <c r="C1998" s="1" t="s">
        <v>78</v>
      </c>
      <c r="D1998" s="1" t="s">
        <v>5780</v>
      </c>
      <c r="E1998" t="s">
        <v>5781</v>
      </c>
      <c r="F1998" t="s">
        <v>11860</v>
      </c>
      <c r="G1998" t="s">
        <v>5783</v>
      </c>
      <c r="H1998" t="s">
        <v>11861</v>
      </c>
      <c r="I1998" t="s">
        <v>11862</v>
      </c>
      <c r="J1998" t="s">
        <v>11859</v>
      </c>
      <c r="K1998" t="s">
        <v>8772</v>
      </c>
      <c r="L1998" t="s">
        <v>8773</v>
      </c>
      <c r="M1998" t="s">
        <v>65</v>
      </c>
    </row>
    <row r="1999" spans="1:13" x14ac:dyDescent="0.25">
      <c r="A1999" t="s">
        <v>5766</v>
      </c>
      <c r="B1999" t="s">
        <v>5513</v>
      </c>
      <c r="C1999" s="1" t="s">
        <v>52</v>
      </c>
      <c r="D1999" s="1" t="s">
        <v>52</v>
      </c>
      <c r="E1999" t="s">
        <v>5767</v>
      </c>
      <c r="F1999" t="s">
        <v>11863</v>
      </c>
      <c r="G1999" t="s">
        <v>5769</v>
      </c>
      <c r="H1999" t="s">
        <v>11864</v>
      </c>
      <c r="I1999" t="s">
        <v>11865</v>
      </c>
      <c r="J1999" t="s">
        <v>11859</v>
      </c>
      <c r="K1999" t="s">
        <v>8772</v>
      </c>
      <c r="L1999" t="s">
        <v>8773</v>
      </c>
      <c r="M1999" t="s">
        <v>65</v>
      </c>
    </row>
    <row r="2000" spans="1:13" x14ac:dyDescent="0.25">
      <c r="A2000" t="s">
        <v>5766</v>
      </c>
      <c r="B2000" t="s">
        <v>5521</v>
      </c>
      <c r="C2000" s="1" t="s">
        <v>5523</v>
      </c>
      <c r="D2000" s="1" t="s">
        <v>5523</v>
      </c>
      <c r="E2000" t="s">
        <v>5524</v>
      </c>
      <c r="F2000" t="s">
        <v>11866</v>
      </c>
      <c r="G2000" t="s">
        <v>11867</v>
      </c>
      <c r="H2000" t="s">
        <v>5525</v>
      </c>
      <c r="I2000" t="s">
        <v>11868</v>
      </c>
      <c r="J2000" t="s">
        <v>11869</v>
      </c>
      <c r="K2000" t="s">
        <v>5778</v>
      </c>
      <c r="L2000" t="s">
        <v>5779</v>
      </c>
    </row>
    <row r="2001" spans="1:13" x14ac:dyDescent="0.25">
      <c r="A2001" t="s">
        <v>5766</v>
      </c>
      <c r="B2001" t="s">
        <v>5521</v>
      </c>
      <c r="C2001" s="1" t="s">
        <v>78</v>
      </c>
      <c r="D2001" s="1" t="s">
        <v>5780</v>
      </c>
      <c r="E2001" t="s">
        <v>5781</v>
      </c>
      <c r="F2001" t="s">
        <v>11870</v>
      </c>
      <c r="G2001" t="s">
        <v>5783</v>
      </c>
      <c r="H2001" t="s">
        <v>11871</v>
      </c>
      <c r="I2001" t="s">
        <v>11872</v>
      </c>
      <c r="J2001" t="s">
        <v>11869</v>
      </c>
      <c r="K2001" t="s">
        <v>5778</v>
      </c>
      <c r="L2001" t="s">
        <v>5779</v>
      </c>
      <c r="M2001" t="s">
        <v>65</v>
      </c>
    </row>
    <row r="2002" spans="1:13" x14ac:dyDescent="0.25">
      <c r="A2002" t="s">
        <v>5766</v>
      </c>
      <c r="B2002" t="s">
        <v>5521</v>
      </c>
      <c r="C2002" s="1" t="s">
        <v>52</v>
      </c>
      <c r="D2002" s="1" t="s">
        <v>52</v>
      </c>
      <c r="E2002" t="s">
        <v>5767</v>
      </c>
      <c r="F2002" t="s">
        <v>11873</v>
      </c>
      <c r="G2002" t="s">
        <v>5769</v>
      </c>
      <c r="H2002" t="s">
        <v>11874</v>
      </c>
      <c r="I2002" t="s">
        <v>11875</v>
      </c>
      <c r="J2002" t="s">
        <v>11869</v>
      </c>
      <c r="K2002" t="s">
        <v>5778</v>
      </c>
      <c r="L2002" t="s">
        <v>5779</v>
      </c>
      <c r="M2002" t="s">
        <v>65</v>
      </c>
    </row>
    <row r="2003" spans="1:13" x14ac:dyDescent="0.25">
      <c r="A2003" t="s">
        <v>5766</v>
      </c>
      <c r="B2003" t="s">
        <v>5529</v>
      </c>
      <c r="C2003" s="1" t="s">
        <v>5531</v>
      </c>
      <c r="D2003" s="1" t="s">
        <v>5531</v>
      </c>
      <c r="E2003" t="s">
        <v>5532</v>
      </c>
      <c r="F2003" t="s">
        <v>11876</v>
      </c>
      <c r="G2003" t="s">
        <v>11877</v>
      </c>
      <c r="H2003" t="s">
        <v>5533</v>
      </c>
      <c r="I2003" t="s">
        <v>11878</v>
      </c>
      <c r="J2003" t="s">
        <v>11879</v>
      </c>
      <c r="K2003" t="s">
        <v>6485</v>
      </c>
      <c r="L2003" t="s">
        <v>6486</v>
      </c>
    </row>
    <row r="2004" spans="1:13" x14ac:dyDescent="0.25">
      <c r="A2004" t="s">
        <v>5766</v>
      </c>
      <c r="B2004" t="s">
        <v>5529</v>
      </c>
      <c r="C2004" s="1" t="s">
        <v>78</v>
      </c>
      <c r="D2004" s="1" t="s">
        <v>5780</v>
      </c>
      <c r="E2004" t="s">
        <v>5781</v>
      </c>
      <c r="F2004" t="s">
        <v>11880</v>
      </c>
      <c r="G2004" t="s">
        <v>5783</v>
      </c>
      <c r="H2004" t="s">
        <v>11881</v>
      </c>
      <c r="I2004" t="s">
        <v>11882</v>
      </c>
      <c r="J2004" t="s">
        <v>11879</v>
      </c>
      <c r="K2004" t="s">
        <v>6485</v>
      </c>
      <c r="L2004" t="s">
        <v>6486</v>
      </c>
      <c r="M2004" t="s">
        <v>65</v>
      </c>
    </row>
    <row r="2005" spans="1:13" x14ac:dyDescent="0.25">
      <c r="A2005" t="s">
        <v>5766</v>
      </c>
      <c r="B2005" t="s">
        <v>5529</v>
      </c>
      <c r="C2005" s="1" t="s">
        <v>52</v>
      </c>
      <c r="D2005" s="1" t="s">
        <v>52</v>
      </c>
      <c r="E2005" t="s">
        <v>5767</v>
      </c>
      <c r="F2005" t="s">
        <v>11883</v>
      </c>
      <c r="G2005" t="s">
        <v>5769</v>
      </c>
      <c r="H2005" t="s">
        <v>11884</v>
      </c>
      <c r="I2005" t="s">
        <v>11885</v>
      </c>
      <c r="J2005" t="s">
        <v>11879</v>
      </c>
      <c r="K2005" t="s">
        <v>6485</v>
      </c>
      <c r="L2005" t="s">
        <v>6486</v>
      </c>
      <c r="M2005" t="s">
        <v>65</v>
      </c>
    </row>
    <row r="2006" spans="1:13" x14ac:dyDescent="0.25">
      <c r="A2006" t="s">
        <v>5766</v>
      </c>
      <c r="B2006" t="s">
        <v>5537</v>
      </c>
      <c r="C2006" s="1" t="s">
        <v>5539</v>
      </c>
      <c r="D2006" s="1" t="s">
        <v>5539</v>
      </c>
      <c r="E2006" t="s">
        <v>5540</v>
      </c>
      <c r="F2006" t="s">
        <v>11886</v>
      </c>
      <c r="G2006" t="s">
        <v>11887</v>
      </c>
      <c r="H2006" t="s">
        <v>5541</v>
      </c>
      <c r="I2006" t="s">
        <v>11888</v>
      </c>
      <c r="J2006" t="s">
        <v>11889</v>
      </c>
      <c r="K2006" t="s">
        <v>6485</v>
      </c>
      <c r="L2006" t="s">
        <v>6486</v>
      </c>
    </row>
    <row r="2007" spans="1:13" x14ac:dyDescent="0.25">
      <c r="A2007" t="s">
        <v>5766</v>
      </c>
      <c r="B2007" t="s">
        <v>5537</v>
      </c>
      <c r="C2007" s="1" t="s">
        <v>78</v>
      </c>
      <c r="D2007" s="1" t="s">
        <v>5780</v>
      </c>
      <c r="E2007" t="s">
        <v>5781</v>
      </c>
      <c r="F2007" t="s">
        <v>11890</v>
      </c>
      <c r="G2007" t="s">
        <v>5783</v>
      </c>
      <c r="H2007" t="s">
        <v>11891</v>
      </c>
      <c r="I2007" t="s">
        <v>11892</v>
      </c>
      <c r="J2007" t="s">
        <v>11889</v>
      </c>
      <c r="K2007" t="s">
        <v>6485</v>
      </c>
      <c r="L2007" t="s">
        <v>6486</v>
      </c>
      <c r="M2007" t="s">
        <v>65</v>
      </c>
    </row>
    <row r="2008" spans="1:13" x14ac:dyDescent="0.25">
      <c r="A2008" t="s">
        <v>5766</v>
      </c>
      <c r="B2008" t="s">
        <v>5537</v>
      </c>
      <c r="C2008" s="1" t="s">
        <v>52</v>
      </c>
      <c r="D2008" s="1" t="s">
        <v>52</v>
      </c>
      <c r="E2008" t="s">
        <v>5767</v>
      </c>
      <c r="F2008" t="s">
        <v>11893</v>
      </c>
      <c r="G2008" t="s">
        <v>5769</v>
      </c>
      <c r="H2008" t="s">
        <v>11894</v>
      </c>
      <c r="I2008" t="s">
        <v>11895</v>
      </c>
      <c r="J2008" t="s">
        <v>11889</v>
      </c>
      <c r="K2008" t="s">
        <v>6485</v>
      </c>
      <c r="L2008" t="s">
        <v>6486</v>
      </c>
      <c r="M2008" t="s">
        <v>65</v>
      </c>
    </row>
    <row r="2009" spans="1:13" x14ac:dyDescent="0.25">
      <c r="A2009" t="s">
        <v>5766</v>
      </c>
      <c r="B2009" t="s">
        <v>5545</v>
      </c>
      <c r="C2009" s="1" t="s">
        <v>5547</v>
      </c>
      <c r="D2009" s="1" t="s">
        <v>5547</v>
      </c>
      <c r="E2009" t="s">
        <v>5548</v>
      </c>
      <c r="F2009" t="s">
        <v>11896</v>
      </c>
      <c r="G2009" t="s">
        <v>11897</v>
      </c>
      <c r="H2009" t="s">
        <v>5549</v>
      </c>
      <c r="I2009" t="s">
        <v>11868</v>
      </c>
      <c r="J2009" t="s">
        <v>11898</v>
      </c>
      <c r="K2009" t="s">
        <v>11333</v>
      </c>
      <c r="L2009" t="s">
        <v>11334</v>
      </c>
    </row>
    <row r="2010" spans="1:13" x14ac:dyDescent="0.25">
      <c r="A2010" t="s">
        <v>5766</v>
      </c>
      <c r="B2010" t="s">
        <v>5545</v>
      </c>
      <c r="C2010" s="1" t="s">
        <v>78</v>
      </c>
      <c r="D2010" s="1" t="s">
        <v>5780</v>
      </c>
      <c r="E2010" t="s">
        <v>5781</v>
      </c>
      <c r="F2010" t="s">
        <v>11899</v>
      </c>
      <c r="G2010" t="s">
        <v>5783</v>
      </c>
      <c r="H2010" t="s">
        <v>11900</v>
      </c>
      <c r="I2010" t="s">
        <v>11901</v>
      </c>
      <c r="J2010" t="s">
        <v>11898</v>
      </c>
      <c r="K2010" t="s">
        <v>11333</v>
      </c>
      <c r="L2010" t="s">
        <v>11334</v>
      </c>
      <c r="M2010" t="s">
        <v>65</v>
      </c>
    </row>
    <row r="2011" spans="1:13" x14ac:dyDescent="0.25">
      <c r="A2011" t="s">
        <v>5766</v>
      </c>
      <c r="B2011" t="s">
        <v>5545</v>
      </c>
      <c r="C2011" s="1" t="s">
        <v>52</v>
      </c>
      <c r="D2011" s="1" t="s">
        <v>52</v>
      </c>
      <c r="E2011" t="s">
        <v>5767</v>
      </c>
      <c r="F2011" t="s">
        <v>11902</v>
      </c>
      <c r="G2011" t="s">
        <v>5769</v>
      </c>
      <c r="H2011" t="s">
        <v>11903</v>
      </c>
      <c r="I2011" t="s">
        <v>11904</v>
      </c>
      <c r="J2011" t="s">
        <v>11898</v>
      </c>
      <c r="K2011" t="s">
        <v>11333</v>
      </c>
      <c r="L2011" t="s">
        <v>11334</v>
      </c>
      <c r="M2011" t="s">
        <v>65</v>
      </c>
    </row>
    <row r="2012" spans="1:13" x14ac:dyDescent="0.25">
      <c r="A2012" t="s">
        <v>5766</v>
      </c>
      <c r="B2012" t="s">
        <v>5552</v>
      </c>
      <c r="C2012" s="1" t="s">
        <v>5554</v>
      </c>
      <c r="D2012" s="1" t="s">
        <v>5554</v>
      </c>
      <c r="E2012" t="s">
        <v>5555</v>
      </c>
      <c r="F2012" t="s">
        <v>11905</v>
      </c>
      <c r="G2012" t="s">
        <v>11906</v>
      </c>
      <c r="H2012" t="s">
        <v>5556</v>
      </c>
      <c r="I2012" t="s">
        <v>11907</v>
      </c>
      <c r="J2012" t="s">
        <v>11908</v>
      </c>
      <c r="K2012" t="s">
        <v>6485</v>
      </c>
      <c r="L2012" t="s">
        <v>6486</v>
      </c>
    </row>
    <row r="2013" spans="1:13" x14ac:dyDescent="0.25">
      <c r="A2013" t="s">
        <v>5766</v>
      </c>
      <c r="B2013" t="s">
        <v>5552</v>
      </c>
      <c r="C2013" s="1" t="s">
        <v>78</v>
      </c>
      <c r="D2013" s="1" t="s">
        <v>5780</v>
      </c>
      <c r="E2013" t="s">
        <v>5781</v>
      </c>
      <c r="F2013" t="s">
        <v>11909</v>
      </c>
      <c r="G2013" t="s">
        <v>5783</v>
      </c>
      <c r="H2013" t="s">
        <v>11910</v>
      </c>
      <c r="I2013" t="s">
        <v>11911</v>
      </c>
      <c r="J2013" t="s">
        <v>11908</v>
      </c>
      <c r="K2013" t="s">
        <v>6485</v>
      </c>
      <c r="L2013" t="s">
        <v>6486</v>
      </c>
      <c r="M2013" t="s">
        <v>65</v>
      </c>
    </row>
    <row r="2014" spans="1:13" x14ac:dyDescent="0.25">
      <c r="A2014" t="s">
        <v>5766</v>
      </c>
      <c r="B2014" t="s">
        <v>5552</v>
      </c>
      <c r="C2014" s="1" t="s">
        <v>52</v>
      </c>
      <c r="D2014" s="1" t="s">
        <v>52</v>
      </c>
      <c r="E2014" t="s">
        <v>5767</v>
      </c>
      <c r="F2014" t="s">
        <v>11912</v>
      </c>
      <c r="G2014" t="s">
        <v>5769</v>
      </c>
      <c r="H2014" t="s">
        <v>11913</v>
      </c>
      <c r="I2014" t="s">
        <v>11914</v>
      </c>
      <c r="J2014" t="s">
        <v>11908</v>
      </c>
      <c r="K2014" t="s">
        <v>6485</v>
      </c>
      <c r="L2014" t="s">
        <v>6486</v>
      </c>
      <c r="M2014" t="s">
        <v>65</v>
      </c>
    </row>
    <row r="2015" spans="1:13" x14ac:dyDescent="0.25">
      <c r="A2015" t="s">
        <v>5766</v>
      </c>
      <c r="B2015" t="s">
        <v>5560</v>
      </c>
      <c r="C2015" s="1" t="s">
        <v>5562</v>
      </c>
      <c r="D2015" s="1" t="s">
        <v>5562</v>
      </c>
      <c r="E2015" t="s">
        <v>5563</v>
      </c>
      <c r="F2015" t="s">
        <v>11915</v>
      </c>
      <c r="G2015" t="s">
        <v>11916</v>
      </c>
      <c r="H2015" t="s">
        <v>5564</v>
      </c>
      <c r="I2015" t="s">
        <v>11917</v>
      </c>
      <c r="J2015" t="s">
        <v>11918</v>
      </c>
      <c r="K2015" t="s">
        <v>11294</v>
      </c>
      <c r="L2015" t="s">
        <v>11295</v>
      </c>
    </row>
    <row r="2016" spans="1:13" x14ac:dyDescent="0.25">
      <c r="A2016" t="s">
        <v>5766</v>
      </c>
      <c r="B2016" t="s">
        <v>5560</v>
      </c>
      <c r="C2016" s="1" t="s">
        <v>78</v>
      </c>
      <c r="D2016" s="1" t="s">
        <v>5780</v>
      </c>
      <c r="E2016" t="s">
        <v>5781</v>
      </c>
      <c r="F2016" t="s">
        <v>11919</v>
      </c>
      <c r="G2016" t="s">
        <v>5783</v>
      </c>
      <c r="H2016" t="s">
        <v>11920</v>
      </c>
      <c r="I2016" t="s">
        <v>11921</v>
      </c>
      <c r="J2016" t="s">
        <v>11918</v>
      </c>
      <c r="K2016" t="s">
        <v>11294</v>
      </c>
      <c r="L2016" t="s">
        <v>11295</v>
      </c>
      <c r="M2016" t="s">
        <v>65</v>
      </c>
    </row>
    <row r="2017" spans="1:13" x14ac:dyDescent="0.25">
      <c r="A2017" t="s">
        <v>5766</v>
      </c>
      <c r="B2017" t="s">
        <v>5560</v>
      </c>
      <c r="C2017" s="1" t="s">
        <v>52</v>
      </c>
      <c r="D2017" s="1" t="s">
        <v>52</v>
      </c>
      <c r="E2017" t="s">
        <v>5767</v>
      </c>
      <c r="F2017" t="s">
        <v>11922</v>
      </c>
      <c r="G2017" t="s">
        <v>5769</v>
      </c>
      <c r="H2017" t="s">
        <v>11923</v>
      </c>
      <c r="I2017" t="s">
        <v>11924</v>
      </c>
      <c r="J2017" t="s">
        <v>11918</v>
      </c>
      <c r="K2017" t="s">
        <v>11294</v>
      </c>
      <c r="L2017" t="s">
        <v>11295</v>
      </c>
      <c r="M2017" t="s">
        <v>65</v>
      </c>
    </row>
    <row r="2018" spans="1:13" x14ac:dyDescent="0.25">
      <c r="A2018" t="s">
        <v>5766</v>
      </c>
      <c r="B2018" t="s">
        <v>5568</v>
      </c>
      <c r="C2018" s="1" t="s">
        <v>5570</v>
      </c>
      <c r="D2018" s="1" t="s">
        <v>5570</v>
      </c>
      <c r="E2018" t="s">
        <v>5571</v>
      </c>
      <c r="F2018" t="s">
        <v>11925</v>
      </c>
      <c r="G2018" t="s">
        <v>11926</v>
      </c>
      <c r="H2018" t="s">
        <v>5572</v>
      </c>
      <c r="I2018" t="s">
        <v>10318</v>
      </c>
      <c r="J2018" t="s">
        <v>11927</v>
      </c>
      <c r="K2018" t="s">
        <v>6485</v>
      </c>
      <c r="L2018" t="s">
        <v>6486</v>
      </c>
    </row>
    <row r="2019" spans="1:13" x14ac:dyDescent="0.25">
      <c r="A2019" t="s">
        <v>5766</v>
      </c>
      <c r="B2019" t="s">
        <v>5568</v>
      </c>
      <c r="C2019" s="1" t="s">
        <v>78</v>
      </c>
      <c r="D2019" s="1" t="s">
        <v>5780</v>
      </c>
      <c r="E2019" t="s">
        <v>5781</v>
      </c>
      <c r="F2019" t="s">
        <v>11928</v>
      </c>
      <c r="G2019" t="s">
        <v>5783</v>
      </c>
      <c r="H2019" t="s">
        <v>11929</v>
      </c>
      <c r="I2019" t="s">
        <v>11930</v>
      </c>
      <c r="J2019" t="s">
        <v>11927</v>
      </c>
      <c r="K2019" t="s">
        <v>6485</v>
      </c>
      <c r="L2019" t="s">
        <v>6486</v>
      </c>
      <c r="M2019" t="s">
        <v>65</v>
      </c>
    </row>
    <row r="2020" spans="1:13" x14ac:dyDescent="0.25">
      <c r="A2020" t="s">
        <v>5766</v>
      </c>
      <c r="B2020" t="s">
        <v>5568</v>
      </c>
      <c r="C2020" s="1" t="s">
        <v>52</v>
      </c>
      <c r="D2020" s="1" t="s">
        <v>52</v>
      </c>
      <c r="E2020" t="s">
        <v>5767</v>
      </c>
      <c r="F2020" t="s">
        <v>11931</v>
      </c>
      <c r="G2020" t="s">
        <v>5769</v>
      </c>
      <c r="H2020" t="s">
        <v>11932</v>
      </c>
      <c r="I2020" t="s">
        <v>11933</v>
      </c>
      <c r="J2020" t="s">
        <v>11927</v>
      </c>
      <c r="K2020" t="s">
        <v>6485</v>
      </c>
      <c r="L2020" t="s">
        <v>6486</v>
      </c>
      <c r="M2020" t="s">
        <v>65</v>
      </c>
    </row>
    <row r="2021" spans="1:13" x14ac:dyDescent="0.25">
      <c r="A2021" t="s">
        <v>5766</v>
      </c>
      <c r="B2021" t="s">
        <v>5575</v>
      </c>
      <c r="C2021" s="1" t="s">
        <v>5577</v>
      </c>
      <c r="D2021" s="1" t="s">
        <v>5577</v>
      </c>
      <c r="E2021" t="s">
        <v>5578</v>
      </c>
      <c r="F2021" t="s">
        <v>11934</v>
      </c>
      <c r="G2021" t="s">
        <v>11935</v>
      </c>
      <c r="H2021" t="s">
        <v>5579</v>
      </c>
      <c r="I2021" t="s">
        <v>11936</v>
      </c>
      <c r="J2021" t="s">
        <v>11937</v>
      </c>
      <c r="K2021" t="s">
        <v>11344</v>
      </c>
      <c r="L2021" t="s">
        <v>11345</v>
      </c>
    </row>
    <row r="2022" spans="1:13" x14ac:dyDescent="0.25">
      <c r="A2022" t="s">
        <v>5766</v>
      </c>
      <c r="B2022" t="s">
        <v>5575</v>
      </c>
      <c r="C2022" s="1" t="s">
        <v>78</v>
      </c>
      <c r="D2022" s="1" t="s">
        <v>5780</v>
      </c>
      <c r="E2022" t="s">
        <v>5781</v>
      </c>
      <c r="F2022" t="s">
        <v>11938</v>
      </c>
      <c r="G2022" t="s">
        <v>5783</v>
      </c>
      <c r="H2022" t="s">
        <v>11939</v>
      </c>
      <c r="I2022" t="s">
        <v>11940</v>
      </c>
      <c r="J2022" t="s">
        <v>11937</v>
      </c>
      <c r="K2022" t="s">
        <v>11344</v>
      </c>
      <c r="L2022" t="s">
        <v>11345</v>
      </c>
      <c r="M2022" t="s">
        <v>65</v>
      </c>
    </row>
    <row r="2023" spans="1:13" x14ac:dyDescent="0.25">
      <c r="A2023" t="s">
        <v>5766</v>
      </c>
      <c r="B2023" t="s">
        <v>5575</v>
      </c>
      <c r="C2023" s="1" t="s">
        <v>52</v>
      </c>
      <c r="D2023" s="1" t="s">
        <v>52</v>
      </c>
      <c r="E2023" t="s">
        <v>5767</v>
      </c>
      <c r="F2023" t="s">
        <v>11941</v>
      </c>
      <c r="G2023" t="s">
        <v>5769</v>
      </c>
      <c r="H2023" t="s">
        <v>11942</v>
      </c>
      <c r="I2023" t="s">
        <v>11943</v>
      </c>
      <c r="J2023" t="s">
        <v>11937</v>
      </c>
      <c r="K2023" t="s">
        <v>11344</v>
      </c>
      <c r="L2023" t="s">
        <v>11345</v>
      </c>
      <c r="M2023" t="s">
        <v>65</v>
      </c>
    </row>
    <row r="2024" spans="1:13" x14ac:dyDescent="0.25">
      <c r="A2024" t="s">
        <v>5766</v>
      </c>
      <c r="B2024" t="s">
        <v>5583</v>
      </c>
      <c r="C2024" s="1" t="s">
        <v>5585</v>
      </c>
      <c r="D2024" s="1" t="s">
        <v>5585</v>
      </c>
      <c r="E2024" t="s">
        <v>5586</v>
      </c>
      <c r="F2024" t="s">
        <v>11944</v>
      </c>
      <c r="G2024" t="s">
        <v>11945</v>
      </c>
      <c r="H2024" t="s">
        <v>5587</v>
      </c>
      <c r="I2024" t="s">
        <v>11946</v>
      </c>
      <c r="J2024" t="s">
        <v>11947</v>
      </c>
      <c r="K2024" t="s">
        <v>11294</v>
      </c>
      <c r="L2024" t="s">
        <v>11295</v>
      </c>
    </row>
    <row r="2025" spans="1:13" x14ac:dyDescent="0.25">
      <c r="A2025" t="s">
        <v>5766</v>
      </c>
      <c r="B2025" t="s">
        <v>5583</v>
      </c>
      <c r="C2025" s="1" t="s">
        <v>78</v>
      </c>
      <c r="D2025" s="1" t="s">
        <v>5780</v>
      </c>
      <c r="E2025" t="s">
        <v>5781</v>
      </c>
      <c r="F2025" t="s">
        <v>11948</v>
      </c>
      <c r="G2025" t="s">
        <v>5783</v>
      </c>
      <c r="H2025" t="s">
        <v>11949</v>
      </c>
      <c r="I2025" t="s">
        <v>11325</v>
      </c>
      <c r="J2025" t="s">
        <v>11947</v>
      </c>
      <c r="K2025" t="s">
        <v>11294</v>
      </c>
      <c r="L2025" t="s">
        <v>11295</v>
      </c>
      <c r="M2025" t="s">
        <v>65</v>
      </c>
    </row>
    <row r="2026" spans="1:13" x14ac:dyDescent="0.25">
      <c r="A2026" t="s">
        <v>5766</v>
      </c>
      <c r="B2026" t="s">
        <v>5583</v>
      </c>
      <c r="C2026" s="1" t="s">
        <v>52</v>
      </c>
      <c r="D2026" s="1" t="s">
        <v>52</v>
      </c>
      <c r="E2026" t="s">
        <v>5767</v>
      </c>
      <c r="F2026" t="s">
        <v>11950</v>
      </c>
      <c r="G2026" t="s">
        <v>5769</v>
      </c>
      <c r="H2026" t="s">
        <v>11951</v>
      </c>
      <c r="I2026" t="s">
        <v>11952</v>
      </c>
      <c r="J2026" t="s">
        <v>11947</v>
      </c>
      <c r="K2026" t="s">
        <v>11294</v>
      </c>
      <c r="L2026" t="s">
        <v>11295</v>
      </c>
      <c r="M2026" t="s">
        <v>65</v>
      </c>
    </row>
    <row r="2027" spans="1:13" x14ac:dyDescent="0.25">
      <c r="A2027" t="s">
        <v>5766</v>
      </c>
      <c r="B2027" t="s">
        <v>5591</v>
      </c>
      <c r="C2027" s="1" t="s">
        <v>5593</v>
      </c>
      <c r="D2027" s="1" t="s">
        <v>5593</v>
      </c>
      <c r="E2027" t="s">
        <v>5594</v>
      </c>
      <c r="F2027" t="s">
        <v>11953</v>
      </c>
      <c r="G2027" t="s">
        <v>11954</v>
      </c>
      <c r="H2027" t="s">
        <v>5595</v>
      </c>
      <c r="I2027" t="s">
        <v>11955</v>
      </c>
      <c r="J2027" t="s">
        <v>11956</v>
      </c>
      <c r="K2027" t="s">
        <v>8772</v>
      </c>
      <c r="L2027" t="s">
        <v>8773</v>
      </c>
    </row>
    <row r="2028" spans="1:13" x14ac:dyDescent="0.25">
      <c r="A2028" t="s">
        <v>5766</v>
      </c>
      <c r="B2028" t="s">
        <v>5591</v>
      </c>
      <c r="C2028" s="1" t="s">
        <v>78</v>
      </c>
      <c r="D2028" s="1" t="s">
        <v>5780</v>
      </c>
      <c r="E2028" t="s">
        <v>5781</v>
      </c>
      <c r="F2028" t="s">
        <v>11957</v>
      </c>
      <c r="G2028" t="s">
        <v>5783</v>
      </c>
      <c r="H2028" t="s">
        <v>11958</v>
      </c>
      <c r="I2028" t="s">
        <v>11959</v>
      </c>
      <c r="J2028" t="s">
        <v>11956</v>
      </c>
      <c r="K2028" t="s">
        <v>8772</v>
      </c>
      <c r="L2028" t="s">
        <v>8773</v>
      </c>
      <c r="M2028" t="s">
        <v>65</v>
      </c>
    </row>
    <row r="2029" spans="1:13" x14ac:dyDescent="0.25">
      <c r="A2029" t="s">
        <v>5766</v>
      </c>
      <c r="B2029" t="s">
        <v>5591</v>
      </c>
      <c r="C2029" s="1" t="s">
        <v>52</v>
      </c>
      <c r="D2029" s="1" t="s">
        <v>52</v>
      </c>
      <c r="E2029" t="s">
        <v>5767</v>
      </c>
      <c r="F2029" t="s">
        <v>11960</v>
      </c>
      <c r="G2029" t="s">
        <v>5769</v>
      </c>
      <c r="H2029" t="s">
        <v>11961</v>
      </c>
      <c r="I2029" t="s">
        <v>11962</v>
      </c>
      <c r="J2029" t="s">
        <v>11956</v>
      </c>
      <c r="K2029" t="s">
        <v>8772</v>
      </c>
      <c r="L2029" t="s">
        <v>8773</v>
      </c>
      <c r="M2029" t="s">
        <v>65</v>
      </c>
    </row>
    <row r="2030" spans="1:13" x14ac:dyDescent="0.25">
      <c r="A2030" t="s">
        <v>5766</v>
      </c>
      <c r="B2030" t="s">
        <v>5599</v>
      </c>
      <c r="C2030" s="1" t="s">
        <v>5601</v>
      </c>
      <c r="D2030" s="1" t="s">
        <v>5601</v>
      </c>
      <c r="E2030" t="s">
        <v>5602</v>
      </c>
      <c r="F2030" t="s">
        <v>11963</v>
      </c>
      <c r="G2030" t="s">
        <v>11964</v>
      </c>
      <c r="H2030" t="s">
        <v>5603</v>
      </c>
      <c r="I2030" t="s">
        <v>11965</v>
      </c>
      <c r="J2030" t="s">
        <v>11966</v>
      </c>
      <c r="K2030" t="s">
        <v>8772</v>
      </c>
      <c r="L2030" t="s">
        <v>8773</v>
      </c>
    </row>
    <row r="2031" spans="1:13" x14ac:dyDescent="0.25">
      <c r="A2031" t="s">
        <v>5766</v>
      </c>
      <c r="B2031" t="s">
        <v>5599</v>
      </c>
      <c r="C2031" s="1" t="s">
        <v>78</v>
      </c>
      <c r="D2031" s="1" t="s">
        <v>5780</v>
      </c>
      <c r="E2031" t="s">
        <v>5781</v>
      </c>
      <c r="F2031" t="s">
        <v>11967</v>
      </c>
      <c r="G2031" t="s">
        <v>5783</v>
      </c>
      <c r="H2031" t="s">
        <v>11968</v>
      </c>
      <c r="I2031" t="s">
        <v>11969</v>
      </c>
      <c r="J2031" t="s">
        <v>11966</v>
      </c>
      <c r="K2031" t="s">
        <v>8772</v>
      </c>
      <c r="L2031" t="s">
        <v>8773</v>
      </c>
      <c r="M2031" t="s">
        <v>65</v>
      </c>
    </row>
    <row r="2032" spans="1:13" x14ac:dyDescent="0.25">
      <c r="A2032" t="s">
        <v>5766</v>
      </c>
      <c r="B2032" t="s">
        <v>5599</v>
      </c>
      <c r="C2032" s="1" t="s">
        <v>52</v>
      </c>
      <c r="D2032" s="1" t="s">
        <v>52</v>
      </c>
      <c r="E2032" t="s">
        <v>5767</v>
      </c>
      <c r="F2032" t="s">
        <v>11970</v>
      </c>
      <c r="G2032" t="s">
        <v>5769</v>
      </c>
      <c r="H2032" t="s">
        <v>11971</v>
      </c>
      <c r="I2032" t="s">
        <v>11972</v>
      </c>
      <c r="J2032" t="s">
        <v>11966</v>
      </c>
      <c r="K2032" t="s">
        <v>8772</v>
      </c>
      <c r="L2032" t="s">
        <v>8773</v>
      </c>
      <c r="M2032" t="s">
        <v>65</v>
      </c>
    </row>
    <row r="2033" spans="1:13" x14ac:dyDescent="0.25">
      <c r="A2033" t="s">
        <v>5766</v>
      </c>
      <c r="B2033" t="s">
        <v>5607</v>
      </c>
      <c r="C2033" s="1" t="s">
        <v>5609</v>
      </c>
      <c r="D2033" s="1" t="s">
        <v>5609</v>
      </c>
      <c r="E2033" t="s">
        <v>5610</v>
      </c>
      <c r="F2033" t="s">
        <v>11973</v>
      </c>
      <c r="G2033" t="s">
        <v>11974</v>
      </c>
      <c r="H2033" t="s">
        <v>5611</v>
      </c>
      <c r="I2033" t="s">
        <v>11858</v>
      </c>
      <c r="J2033" t="s">
        <v>11975</v>
      </c>
      <c r="K2033" t="s">
        <v>6485</v>
      </c>
      <c r="L2033" t="s">
        <v>6486</v>
      </c>
    </row>
    <row r="2034" spans="1:13" x14ac:dyDescent="0.25">
      <c r="A2034" t="s">
        <v>5766</v>
      </c>
      <c r="B2034" t="s">
        <v>5607</v>
      </c>
      <c r="C2034" s="1" t="s">
        <v>78</v>
      </c>
      <c r="D2034" s="1" t="s">
        <v>5780</v>
      </c>
      <c r="E2034" t="s">
        <v>5781</v>
      </c>
      <c r="F2034" t="s">
        <v>11976</v>
      </c>
      <c r="G2034" t="s">
        <v>5783</v>
      </c>
      <c r="H2034" t="s">
        <v>11977</v>
      </c>
      <c r="I2034" t="s">
        <v>11978</v>
      </c>
      <c r="J2034" t="s">
        <v>11975</v>
      </c>
      <c r="K2034" t="s">
        <v>6485</v>
      </c>
      <c r="L2034" t="s">
        <v>6486</v>
      </c>
      <c r="M2034" t="s">
        <v>65</v>
      </c>
    </row>
    <row r="2035" spans="1:13" x14ac:dyDescent="0.25">
      <c r="A2035" t="s">
        <v>5766</v>
      </c>
      <c r="B2035" t="s">
        <v>5607</v>
      </c>
      <c r="C2035" s="1" t="s">
        <v>52</v>
      </c>
      <c r="D2035" s="1" t="s">
        <v>52</v>
      </c>
      <c r="E2035" t="s">
        <v>5767</v>
      </c>
      <c r="F2035" t="s">
        <v>11979</v>
      </c>
      <c r="G2035" t="s">
        <v>5769</v>
      </c>
      <c r="H2035" t="s">
        <v>11980</v>
      </c>
      <c r="I2035" t="s">
        <v>11981</v>
      </c>
      <c r="J2035" t="s">
        <v>11975</v>
      </c>
      <c r="K2035" t="s">
        <v>6485</v>
      </c>
      <c r="L2035" t="s">
        <v>6486</v>
      </c>
      <c r="M2035" t="s">
        <v>65</v>
      </c>
    </row>
    <row r="2036" spans="1:13" x14ac:dyDescent="0.25">
      <c r="A2036" t="s">
        <v>5766</v>
      </c>
      <c r="B2036" t="s">
        <v>5614</v>
      </c>
      <c r="C2036" s="1" t="s">
        <v>5616</v>
      </c>
      <c r="D2036" s="1" t="s">
        <v>5616</v>
      </c>
      <c r="E2036" t="s">
        <v>5617</v>
      </c>
      <c r="F2036" t="s">
        <v>11982</v>
      </c>
      <c r="G2036" t="s">
        <v>11983</v>
      </c>
      <c r="H2036" t="s">
        <v>5618</v>
      </c>
      <c r="I2036" t="s">
        <v>11965</v>
      </c>
      <c r="J2036" t="s">
        <v>11984</v>
      </c>
      <c r="K2036" t="s">
        <v>5778</v>
      </c>
      <c r="L2036" t="s">
        <v>5779</v>
      </c>
    </row>
    <row r="2037" spans="1:13" x14ac:dyDescent="0.25">
      <c r="A2037" t="s">
        <v>5766</v>
      </c>
      <c r="B2037" t="s">
        <v>5614</v>
      </c>
      <c r="C2037" s="1" t="s">
        <v>78</v>
      </c>
      <c r="D2037" s="1" t="s">
        <v>5780</v>
      </c>
      <c r="E2037" t="s">
        <v>5781</v>
      </c>
      <c r="F2037" t="s">
        <v>11985</v>
      </c>
      <c r="G2037" t="s">
        <v>5783</v>
      </c>
      <c r="H2037" t="s">
        <v>11986</v>
      </c>
      <c r="I2037" t="s">
        <v>11987</v>
      </c>
      <c r="J2037" t="s">
        <v>11984</v>
      </c>
      <c r="K2037" t="s">
        <v>5778</v>
      </c>
      <c r="L2037" t="s">
        <v>5779</v>
      </c>
      <c r="M2037" t="s">
        <v>65</v>
      </c>
    </row>
    <row r="2038" spans="1:13" x14ac:dyDescent="0.25">
      <c r="A2038" t="s">
        <v>5766</v>
      </c>
      <c r="B2038" t="s">
        <v>5614</v>
      </c>
      <c r="C2038" s="1" t="s">
        <v>52</v>
      </c>
      <c r="D2038" s="1" t="s">
        <v>52</v>
      </c>
      <c r="E2038" t="s">
        <v>5767</v>
      </c>
      <c r="F2038" t="s">
        <v>11988</v>
      </c>
      <c r="G2038" t="s">
        <v>5769</v>
      </c>
      <c r="H2038" t="s">
        <v>11989</v>
      </c>
      <c r="I2038" t="s">
        <v>11990</v>
      </c>
      <c r="J2038" t="s">
        <v>11984</v>
      </c>
      <c r="K2038" t="s">
        <v>5778</v>
      </c>
      <c r="L2038" t="s">
        <v>5779</v>
      </c>
      <c r="M2038" t="s">
        <v>65</v>
      </c>
    </row>
    <row r="2039" spans="1:13" x14ac:dyDescent="0.25">
      <c r="A2039" t="s">
        <v>5766</v>
      </c>
      <c r="B2039" t="s">
        <v>5621</v>
      </c>
      <c r="C2039" s="1" t="s">
        <v>5623</v>
      </c>
      <c r="D2039" s="1" t="s">
        <v>5623</v>
      </c>
      <c r="E2039" t="s">
        <v>5624</v>
      </c>
      <c r="F2039" t="s">
        <v>11991</v>
      </c>
      <c r="G2039" t="s">
        <v>11992</v>
      </c>
      <c r="H2039" t="s">
        <v>5625</v>
      </c>
      <c r="I2039" t="s">
        <v>11993</v>
      </c>
      <c r="J2039" t="s">
        <v>11994</v>
      </c>
      <c r="K2039" t="s">
        <v>11294</v>
      </c>
      <c r="L2039" t="s">
        <v>11295</v>
      </c>
    </row>
    <row r="2040" spans="1:13" x14ac:dyDescent="0.25">
      <c r="A2040" t="s">
        <v>5766</v>
      </c>
      <c r="B2040" t="s">
        <v>5621</v>
      </c>
      <c r="C2040" s="1" t="s">
        <v>78</v>
      </c>
      <c r="D2040" s="1" t="s">
        <v>5780</v>
      </c>
      <c r="E2040" t="s">
        <v>5781</v>
      </c>
      <c r="F2040" t="s">
        <v>11995</v>
      </c>
      <c r="G2040" t="s">
        <v>5783</v>
      </c>
      <c r="H2040" t="s">
        <v>11996</v>
      </c>
      <c r="I2040" t="s">
        <v>11997</v>
      </c>
      <c r="J2040" t="s">
        <v>11994</v>
      </c>
      <c r="K2040" t="s">
        <v>11294</v>
      </c>
      <c r="L2040" t="s">
        <v>11295</v>
      </c>
      <c r="M2040" t="s">
        <v>65</v>
      </c>
    </row>
    <row r="2041" spans="1:13" x14ac:dyDescent="0.25">
      <c r="A2041" t="s">
        <v>5766</v>
      </c>
      <c r="B2041" t="s">
        <v>5621</v>
      </c>
      <c r="C2041" s="1" t="s">
        <v>52</v>
      </c>
      <c r="D2041" s="1" t="s">
        <v>52</v>
      </c>
      <c r="E2041" t="s">
        <v>5767</v>
      </c>
      <c r="F2041" t="s">
        <v>11998</v>
      </c>
      <c r="G2041" t="s">
        <v>5769</v>
      </c>
      <c r="H2041" t="s">
        <v>11999</v>
      </c>
      <c r="I2041" t="s">
        <v>12000</v>
      </c>
      <c r="J2041" t="s">
        <v>11994</v>
      </c>
      <c r="K2041" t="s">
        <v>11294</v>
      </c>
      <c r="L2041" t="s">
        <v>11295</v>
      </c>
      <c r="M2041" t="s">
        <v>65</v>
      </c>
    </row>
    <row r="2042" spans="1:13" x14ac:dyDescent="0.25">
      <c r="A2042" t="s">
        <v>5766</v>
      </c>
      <c r="B2042" t="s">
        <v>5629</v>
      </c>
      <c r="C2042" s="1" t="s">
        <v>5631</v>
      </c>
      <c r="D2042" s="1" t="s">
        <v>5631</v>
      </c>
      <c r="E2042" t="s">
        <v>5632</v>
      </c>
      <c r="F2042" t="s">
        <v>9154</v>
      </c>
      <c r="G2042" t="s">
        <v>12001</v>
      </c>
      <c r="H2042" t="s">
        <v>5633</v>
      </c>
      <c r="I2042" t="s">
        <v>11063</v>
      </c>
      <c r="J2042" t="s">
        <v>12002</v>
      </c>
      <c r="K2042" t="s">
        <v>11294</v>
      </c>
      <c r="L2042" t="s">
        <v>11295</v>
      </c>
    </row>
    <row r="2043" spans="1:13" x14ac:dyDescent="0.25">
      <c r="A2043" t="s">
        <v>5766</v>
      </c>
      <c r="B2043" t="s">
        <v>5629</v>
      </c>
      <c r="C2043" s="1" t="s">
        <v>78</v>
      </c>
      <c r="D2043" s="1" t="s">
        <v>5780</v>
      </c>
      <c r="E2043" t="s">
        <v>5781</v>
      </c>
      <c r="F2043" t="s">
        <v>12003</v>
      </c>
      <c r="G2043" t="s">
        <v>5783</v>
      </c>
      <c r="H2043" t="s">
        <v>12004</v>
      </c>
      <c r="I2043" t="s">
        <v>12005</v>
      </c>
      <c r="J2043" t="s">
        <v>12002</v>
      </c>
      <c r="K2043" t="s">
        <v>11294</v>
      </c>
      <c r="L2043" t="s">
        <v>11295</v>
      </c>
      <c r="M2043" t="s">
        <v>65</v>
      </c>
    </row>
    <row r="2044" spans="1:13" x14ac:dyDescent="0.25">
      <c r="A2044" t="s">
        <v>5766</v>
      </c>
      <c r="B2044" t="s">
        <v>5629</v>
      </c>
      <c r="C2044" s="1" t="s">
        <v>52</v>
      </c>
      <c r="D2044" s="1" t="s">
        <v>52</v>
      </c>
      <c r="E2044" t="s">
        <v>5767</v>
      </c>
      <c r="F2044" t="s">
        <v>12006</v>
      </c>
      <c r="G2044" t="s">
        <v>5769</v>
      </c>
      <c r="H2044" t="s">
        <v>12007</v>
      </c>
      <c r="I2044" t="s">
        <v>12008</v>
      </c>
      <c r="J2044" t="s">
        <v>12002</v>
      </c>
      <c r="K2044" t="s">
        <v>11294</v>
      </c>
      <c r="L2044" t="s">
        <v>11295</v>
      </c>
      <c r="M2044" t="s">
        <v>65</v>
      </c>
    </row>
    <row r="2045" spans="1:13" x14ac:dyDescent="0.25">
      <c r="A2045" t="s">
        <v>5766</v>
      </c>
      <c r="B2045" t="s">
        <v>5636</v>
      </c>
      <c r="C2045" s="1" t="s">
        <v>5638</v>
      </c>
      <c r="D2045" s="1" t="s">
        <v>5638</v>
      </c>
      <c r="E2045" t="s">
        <v>5639</v>
      </c>
      <c r="F2045" t="s">
        <v>12009</v>
      </c>
      <c r="G2045" t="s">
        <v>12010</v>
      </c>
      <c r="H2045" t="s">
        <v>5640</v>
      </c>
      <c r="I2045" t="s">
        <v>12011</v>
      </c>
      <c r="J2045" t="s">
        <v>12012</v>
      </c>
      <c r="K2045" t="s">
        <v>8772</v>
      </c>
      <c r="L2045" t="s">
        <v>8773</v>
      </c>
    </row>
    <row r="2046" spans="1:13" x14ac:dyDescent="0.25">
      <c r="A2046" t="s">
        <v>5766</v>
      </c>
      <c r="B2046" t="s">
        <v>5636</v>
      </c>
      <c r="C2046" s="1" t="s">
        <v>78</v>
      </c>
      <c r="D2046" s="1" t="s">
        <v>5780</v>
      </c>
      <c r="E2046" t="s">
        <v>5781</v>
      </c>
      <c r="F2046" t="s">
        <v>12013</v>
      </c>
      <c r="G2046" t="s">
        <v>5783</v>
      </c>
      <c r="H2046" t="s">
        <v>12014</v>
      </c>
      <c r="I2046" t="s">
        <v>12015</v>
      </c>
      <c r="J2046" t="s">
        <v>12012</v>
      </c>
      <c r="K2046" t="s">
        <v>8772</v>
      </c>
      <c r="L2046" t="s">
        <v>8773</v>
      </c>
      <c r="M2046" t="s">
        <v>65</v>
      </c>
    </row>
    <row r="2047" spans="1:13" x14ac:dyDescent="0.25">
      <c r="A2047" t="s">
        <v>5766</v>
      </c>
      <c r="B2047" t="s">
        <v>5636</v>
      </c>
      <c r="C2047" s="1" t="s">
        <v>52</v>
      </c>
      <c r="D2047" s="1" t="s">
        <v>52</v>
      </c>
      <c r="E2047" t="s">
        <v>5767</v>
      </c>
      <c r="F2047" t="s">
        <v>12016</v>
      </c>
      <c r="G2047" t="s">
        <v>5769</v>
      </c>
      <c r="H2047" t="s">
        <v>12017</v>
      </c>
      <c r="I2047" t="s">
        <v>12018</v>
      </c>
      <c r="J2047" t="s">
        <v>12012</v>
      </c>
      <c r="K2047" t="s">
        <v>8772</v>
      </c>
      <c r="L2047" t="s">
        <v>8773</v>
      </c>
      <c r="M2047" t="s">
        <v>65</v>
      </c>
    </row>
    <row r="2048" spans="1:13" x14ac:dyDescent="0.25">
      <c r="A2048" t="s">
        <v>5766</v>
      </c>
      <c r="B2048" t="s">
        <v>5644</v>
      </c>
      <c r="C2048" s="1" t="s">
        <v>5646</v>
      </c>
      <c r="D2048" s="1" t="s">
        <v>5646</v>
      </c>
      <c r="E2048" t="s">
        <v>5647</v>
      </c>
      <c r="F2048" t="s">
        <v>12019</v>
      </c>
      <c r="G2048" t="s">
        <v>12020</v>
      </c>
      <c r="H2048" t="s">
        <v>5648</v>
      </c>
      <c r="I2048" t="s">
        <v>12021</v>
      </c>
      <c r="J2048" t="s">
        <v>12022</v>
      </c>
      <c r="K2048" t="s">
        <v>6485</v>
      </c>
      <c r="L2048" t="s">
        <v>6486</v>
      </c>
    </row>
    <row r="2049" spans="1:13" x14ac:dyDescent="0.25">
      <c r="A2049" t="s">
        <v>5766</v>
      </c>
      <c r="B2049" t="s">
        <v>5644</v>
      </c>
      <c r="C2049" s="1" t="s">
        <v>78</v>
      </c>
      <c r="D2049" s="1" t="s">
        <v>5780</v>
      </c>
      <c r="E2049" t="s">
        <v>5781</v>
      </c>
      <c r="F2049" t="s">
        <v>12023</v>
      </c>
      <c r="G2049" t="s">
        <v>5783</v>
      </c>
      <c r="H2049" t="s">
        <v>12024</v>
      </c>
      <c r="I2049" t="s">
        <v>12025</v>
      </c>
      <c r="J2049" t="s">
        <v>12022</v>
      </c>
      <c r="K2049" t="s">
        <v>6485</v>
      </c>
      <c r="L2049" t="s">
        <v>6486</v>
      </c>
      <c r="M2049" t="s">
        <v>65</v>
      </c>
    </row>
    <row r="2050" spans="1:13" x14ac:dyDescent="0.25">
      <c r="A2050" t="s">
        <v>5766</v>
      </c>
      <c r="B2050" t="s">
        <v>5644</v>
      </c>
      <c r="C2050" s="1" t="s">
        <v>52</v>
      </c>
      <c r="D2050" s="1" t="s">
        <v>52</v>
      </c>
      <c r="E2050" t="s">
        <v>5767</v>
      </c>
      <c r="F2050" t="s">
        <v>12026</v>
      </c>
      <c r="G2050" t="s">
        <v>5769</v>
      </c>
      <c r="H2050" t="s">
        <v>12027</v>
      </c>
      <c r="I2050" t="s">
        <v>12028</v>
      </c>
      <c r="J2050" t="s">
        <v>12022</v>
      </c>
      <c r="K2050" t="s">
        <v>6485</v>
      </c>
      <c r="L2050" t="s">
        <v>6486</v>
      </c>
      <c r="M2050" t="s">
        <v>65</v>
      </c>
    </row>
    <row r="2051" spans="1:13" x14ac:dyDescent="0.25">
      <c r="A2051" t="s">
        <v>5766</v>
      </c>
      <c r="B2051" t="s">
        <v>5652</v>
      </c>
      <c r="C2051" s="1" t="s">
        <v>5654</v>
      </c>
      <c r="D2051" s="1" t="s">
        <v>5654</v>
      </c>
      <c r="E2051" t="s">
        <v>5655</v>
      </c>
      <c r="F2051" t="s">
        <v>12029</v>
      </c>
      <c r="G2051" t="s">
        <v>12030</v>
      </c>
      <c r="H2051" t="s">
        <v>5656</v>
      </c>
      <c r="I2051" t="s">
        <v>12011</v>
      </c>
      <c r="J2051" t="s">
        <v>12031</v>
      </c>
      <c r="K2051" t="s">
        <v>5778</v>
      </c>
      <c r="L2051" t="s">
        <v>5779</v>
      </c>
    </row>
    <row r="2052" spans="1:13" x14ac:dyDescent="0.25">
      <c r="A2052" t="s">
        <v>5766</v>
      </c>
      <c r="B2052" t="s">
        <v>5652</v>
      </c>
      <c r="C2052" s="1" t="s">
        <v>78</v>
      </c>
      <c r="D2052" s="1" t="s">
        <v>5780</v>
      </c>
      <c r="E2052" t="s">
        <v>5781</v>
      </c>
      <c r="F2052" t="s">
        <v>12032</v>
      </c>
      <c r="G2052" t="s">
        <v>5783</v>
      </c>
      <c r="H2052" t="s">
        <v>12033</v>
      </c>
      <c r="I2052" t="s">
        <v>12034</v>
      </c>
      <c r="J2052" t="s">
        <v>12031</v>
      </c>
      <c r="K2052" t="s">
        <v>5778</v>
      </c>
      <c r="L2052" t="s">
        <v>5779</v>
      </c>
      <c r="M2052" t="s">
        <v>65</v>
      </c>
    </row>
    <row r="2053" spans="1:13" x14ac:dyDescent="0.25">
      <c r="A2053" t="s">
        <v>5766</v>
      </c>
      <c r="B2053" t="s">
        <v>5652</v>
      </c>
      <c r="C2053" s="1" t="s">
        <v>52</v>
      </c>
      <c r="D2053" s="1" t="s">
        <v>52</v>
      </c>
      <c r="E2053" t="s">
        <v>5767</v>
      </c>
      <c r="F2053" t="s">
        <v>12035</v>
      </c>
      <c r="G2053" t="s">
        <v>5769</v>
      </c>
      <c r="H2053" t="s">
        <v>12036</v>
      </c>
      <c r="I2053" t="s">
        <v>12037</v>
      </c>
      <c r="J2053" t="s">
        <v>12031</v>
      </c>
      <c r="K2053" t="s">
        <v>5778</v>
      </c>
      <c r="L2053" t="s">
        <v>5779</v>
      </c>
      <c r="M2053" t="s">
        <v>65</v>
      </c>
    </row>
    <row r="2054" spans="1:13" x14ac:dyDescent="0.25">
      <c r="A2054" t="s">
        <v>5766</v>
      </c>
      <c r="B2054" t="s">
        <v>5659</v>
      </c>
      <c r="C2054" s="1" t="s">
        <v>5661</v>
      </c>
      <c r="D2054" s="1" t="s">
        <v>12038</v>
      </c>
      <c r="E2054" t="s">
        <v>5662</v>
      </c>
      <c r="F2054" t="s">
        <v>11538</v>
      </c>
      <c r="G2054" t="s">
        <v>12039</v>
      </c>
      <c r="H2054" t="s">
        <v>12040</v>
      </c>
      <c r="I2054" t="s">
        <v>9047</v>
      </c>
      <c r="J2054" t="s">
        <v>12041</v>
      </c>
      <c r="K2054" t="s">
        <v>7993</v>
      </c>
      <c r="L2054" t="s">
        <v>7994</v>
      </c>
    </row>
    <row r="2055" spans="1:13" x14ac:dyDescent="0.25">
      <c r="A2055" t="s">
        <v>5766</v>
      </c>
      <c r="B2055" t="s">
        <v>5659</v>
      </c>
      <c r="C2055" s="1" t="s">
        <v>5664</v>
      </c>
      <c r="D2055" s="1" t="s">
        <v>12042</v>
      </c>
      <c r="E2055" t="s">
        <v>5665</v>
      </c>
      <c r="F2055" t="s">
        <v>9491</v>
      </c>
      <c r="G2055" t="s">
        <v>12043</v>
      </c>
      <c r="H2055" t="s">
        <v>12044</v>
      </c>
      <c r="I2055" t="s">
        <v>9152</v>
      </c>
      <c r="J2055" t="s">
        <v>12041</v>
      </c>
      <c r="K2055" t="s">
        <v>7993</v>
      </c>
      <c r="L2055" t="s">
        <v>7994</v>
      </c>
    </row>
    <row r="2056" spans="1:13" x14ac:dyDescent="0.25">
      <c r="A2056" t="s">
        <v>5766</v>
      </c>
      <c r="B2056" t="s">
        <v>5659</v>
      </c>
      <c r="C2056" s="1" t="s">
        <v>5667</v>
      </c>
      <c r="D2056" s="1" t="s">
        <v>12045</v>
      </c>
      <c r="E2056" t="s">
        <v>5668</v>
      </c>
      <c r="F2056" t="s">
        <v>11550</v>
      </c>
      <c r="G2056" t="s">
        <v>12046</v>
      </c>
      <c r="H2056" t="s">
        <v>12047</v>
      </c>
      <c r="I2056" t="s">
        <v>9124</v>
      </c>
      <c r="J2056" t="s">
        <v>12041</v>
      </c>
      <c r="K2056" t="s">
        <v>7993</v>
      </c>
      <c r="L2056" t="s">
        <v>7994</v>
      </c>
    </row>
    <row r="2057" spans="1:13" x14ac:dyDescent="0.25">
      <c r="A2057" t="s">
        <v>5766</v>
      </c>
      <c r="B2057" t="s">
        <v>5659</v>
      </c>
      <c r="C2057" s="1" t="s">
        <v>5670</v>
      </c>
      <c r="D2057" s="1" t="s">
        <v>12048</v>
      </c>
      <c r="E2057" t="s">
        <v>5671</v>
      </c>
      <c r="F2057" t="s">
        <v>6297</v>
      </c>
      <c r="G2057" t="s">
        <v>12049</v>
      </c>
      <c r="H2057" t="s">
        <v>12050</v>
      </c>
      <c r="I2057" t="s">
        <v>6125</v>
      </c>
      <c r="J2057" t="s">
        <v>12041</v>
      </c>
      <c r="K2057" t="s">
        <v>7993</v>
      </c>
      <c r="L2057" t="s">
        <v>7994</v>
      </c>
    </row>
    <row r="2058" spans="1:13" x14ac:dyDescent="0.25">
      <c r="A2058" t="s">
        <v>5766</v>
      </c>
      <c r="B2058" t="s">
        <v>5659</v>
      </c>
      <c r="C2058" s="1" t="s">
        <v>5673</v>
      </c>
      <c r="D2058" s="1" t="s">
        <v>12051</v>
      </c>
      <c r="E2058" t="s">
        <v>5674</v>
      </c>
      <c r="F2058" t="s">
        <v>12052</v>
      </c>
      <c r="G2058" t="s">
        <v>12053</v>
      </c>
      <c r="H2058" t="s">
        <v>12054</v>
      </c>
      <c r="I2058" t="s">
        <v>8853</v>
      </c>
      <c r="J2058" t="s">
        <v>12041</v>
      </c>
      <c r="K2058" t="s">
        <v>7993</v>
      </c>
      <c r="L2058" t="s">
        <v>7994</v>
      </c>
    </row>
    <row r="2059" spans="1:13" x14ac:dyDescent="0.25">
      <c r="A2059" t="s">
        <v>5766</v>
      </c>
      <c r="B2059" t="s">
        <v>5659</v>
      </c>
      <c r="C2059" s="1" t="s">
        <v>5252</v>
      </c>
      <c r="D2059" s="1" t="s">
        <v>11463</v>
      </c>
      <c r="E2059" t="s">
        <v>5253</v>
      </c>
      <c r="F2059" t="s">
        <v>9356</v>
      </c>
      <c r="G2059" t="s">
        <v>11464</v>
      </c>
      <c r="H2059" t="s">
        <v>11465</v>
      </c>
      <c r="I2059" t="s">
        <v>12055</v>
      </c>
      <c r="J2059" t="s">
        <v>12041</v>
      </c>
      <c r="K2059" t="s">
        <v>7993</v>
      </c>
      <c r="L2059" t="s">
        <v>7994</v>
      </c>
    </row>
    <row r="2060" spans="1:13" x14ac:dyDescent="0.25">
      <c r="A2060" t="s">
        <v>5766</v>
      </c>
      <c r="B2060" t="s">
        <v>5659</v>
      </c>
      <c r="C2060" s="1" t="s">
        <v>5676</v>
      </c>
      <c r="D2060" s="1" t="s">
        <v>12056</v>
      </c>
      <c r="E2060" t="s">
        <v>5678</v>
      </c>
      <c r="F2060" t="s">
        <v>12057</v>
      </c>
      <c r="G2060" t="s">
        <v>12058</v>
      </c>
      <c r="H2060" t="s">
        <v>12059</v>
      </c>
      <c r="I2060" t="s">
        <v>8920</v>
      </c>
      <c r="J2060" t="s">
        <v>12041</v>
      </c>
      <c r="K2060" t="s">
        <v>7993</v>
      </c>
      <c r="L2060" t="s">
        <v>7994</v>
      </c>
    </row>
    <row r="2061" spans="1:13" x14ac:dyDescent="0.25">
      <c r="A2061" t="s">
        <v>5766</v>
      </c>
      <c r="B2061" t="s">
        <v>5659</v>
      </c>
      <c r="C2061" s="1" t="s">
        <v>5680</v>
      </c>
      <c r="D2061" s="1" t="s">
        <v>12060</v>
      </c>
      <c r="E2061" t="s">
        <v>5681</v>
      </c>
      <c r="F2061" t="s">
        <v>9384</v>
      </c>
      <c r="G2061" t="s">
        <v>12061</v>
      </c>
      <c r="H2061" t="s">
        <v>12062</v>
      </c>
      <c r="I2061" t="s">
        <v>7510</v>
      </c>
      <c r="J2061" t="s">
        <v>12041</v>
      </c>
      <c r="K2061" t="s">
        <v>7993</v>
      </c>
      <c r="L2061" t="s">
        <v>7994</v>
      </c>
    </row>
    <row r="2062" spans="1:13" x14ac:dyDescent="0.25">
      <c r="A2062" t="s">
        <v>5766</v>
      </c>
      <c r="B2062" t="s">
        <v>5659</v>
      </c>
      <c r="C2062" s="1" t="s">
        <v>4674</v>
      </c>
      <c r="D2062" s="1" t="s">
        <v>10696</v>
      </c>
      <c r="E2062" t="s">
        <v>4675</v>
      </c>
      <c r="F2062" t="s">
        <v>12063</v>
      </c>
      <c r="G2062" t="s">
        <v>10698</v>
      </c>
      <c r="H2062" t="s">
        <v>12064</v>
      </c>
      <c r="I2062" t="s">
        <v>5957</v>
      </c>
      <c r="J2062" t="s">
        <v>12041</v>
      </c>
      <c r="K2062" t="s">
        <v>7993</v>
      </c>
      <c r="L2062" t="s">
        <v>7994</v>
      </c>
    </row>
    <row r="2063" spans="1:13" x14ac:dyDescent="0.25">
      <c r="A2063" t="s">
        <v>5766</v>
      </c>
      <c r="B2063" t="s">
        <v>5659</v>
      </c>
      <c r="C2063" s="1" t="s">
        <v>260</v>
      </c>
      <c r="D2063" s="1" t="s">
        <v>6058</v>
      </c>
      <c r="E2063" t="s">
        <v>261</v>
      </c>
      <c r="F2063" t="s">
        <v>9545</v>
      </c>
      <c r="G2063" t="s">
        <v>6059</v>
      </c>
      <c r="H2063" t="s">
        <v>12065</v>
      </c>
      <c r="I2063" t="s">
        <v>10036</v>
      </c>
      <c r="J2063" t="s">
        <v>12041</v>
      </c>
      <c r="K2063" t="s">
        <v>7993</v>
      </c>
      <c r="L2063" t="s">
        <v>7994</v>
      </c>
    </row>
    <row r="2064" spans="1:13" x14ac:dyDescent="0.25">
      <c r="A2064" t="s">
        <v>5766</v>
      </c>
      <c r="B2064" t="s">
        <v>5659</v>
      </c>
      <c r="C2064" s="1" t="s">
        <v>132</v>
      </c>
      <c r="D2064" s="1" t="s">
        <v>5855</v>
      </c>
      <c r="E2064" t="s">
        <v>133</v>
      </c>
      <c r="F2064" t="s">
        <v>5949</v>
      </c>
      <c r="G2064" t="s">
        <v>5857</v>
      </c>
      <c r="H2064" t="s">
        <v>12066</v>
      </c>
      <c r="I2064" t="s">
        <v>6347</v>
      </c>
      <c r="J2064" t="s">
        <v>12041</v>
      </c>
      <c r="K2064" t="s">
        <v>7993</v>
      </c>
      <c r="L2064" t="s">
        <v>7994</v>
      </c>
    </row>
    <row r="2065" spans="1:13" x14ac:dyDescent="0.25">
      <c r="A2065" t="s">
        <v>5766</v>
      </c>
      <c r="B2065" t="s">
        <v>5659</v>
      </c>
      <c r="C2065" s="1" t="s">
        <v>5683</v>
      </c>
      <c r="D2065" s="1" t="s">
        <v>12067</v>
      </c>
      <c r="E2065" t="s">
        <v>5684</v>
      </c>
      <c r="F2065" t="s">
        <v>11538</v>
      </c>
      <c r="G2065" t="s">
        <v>12068</v>
      </c>
      <c r="H2065" t="s">
        <v>12069</v>
      </c>
      <c r="I2065" t="s">
        <v>6893</v>
      </c>
      <c r="J2065" t="s">
        <v>12041</v>
      </c>
      <c r="K2065" t="s">
        <v>7993</v>
      </c>
      <c r="L2065" t="s">
        <v>7994</v>
      </c>
    </row>
    <row r="2066" spans="1:13" x14ac:dyDescent="0.25">
      <c r="A2066" t="s">
        <v>5766</v>
      </c>
      <c r="B2066" t="s">
        <v>5659</v>
      </c>
      <c r="C2066" s="1" t="s">
        <v>5686</v>
      </c>
      <c r="D2066" s="1" t="s">
        <v>12070</v>
      </c>
      <c r="E2066" t="s">
        <v>5687</v>
      </c>
      <c r="F2066" t="s">
        <v>9689</v>
      </c>
      <c r="G2066" t="s">
        <v>12071</v>
      </c>
      <c r="H2066" t="s">
        <v>12072</v>
      </c>
      <c r="I2066" t="s">
        <v>8999</v>
      </c>
      <c r="J2066" t="s">
        <v>12041</v>
      </c>
      <c r="K2066" t="s">
        <v>7993</v>
      </c>
      <c r="L2066" t="s">
        <v>7994</v>
      </c>
    </row>
    <row r="2067" spans="1:13" x14ac:dyDescent="0.25">
      <c r="A2067" t="s">
        <v>5766</v>
      </c>
      <c r="B2067" t="s">
        <v>5659</v>
      </c>
      <c r="C2067" s="1" t="s">
        <v>5689</v>
      </c>
      <c r="D2067" s="1" t="s">
        <v>12073</v>
      </c>
      <c r="E2067" t="s">
        <v>5690</v>
      </c>
      <c r="F2067" t="s">
        <v>10192</v>
      </c>
      <c r="G2067" t="s">
        <v>12074</v>
      </c>
      <c r="H2067" t="s">
        <v>12075</v>
      </c>
      <c r="I2067" t="s">
        <v>7494</v>
      </c>
      <c r="J2067" t="s">
        <v>12041</v>
      </c>
      <c r="K2067" t="s">
        <v>7993</v>
      </c>
      <c r="L2067" t="s">
        <v>7994</v>
      </c>
    </row>
    <row r="2068" spans="1:13" x14ac:dyDescent="0.25">
      <c r="A2068" t="s">
        <v>5766</v>
      </c>
      <c r="B2068" t="s">
        <v>5659</v>
      </c>
      <c r="C2068" s="1" t="s">
        <v>5692</v>
      </c>
      <c r="D2068" s="1" t="s">
        <v>12076</v>
      </c>
      <c r="E2068" t="s">
        <v>5693</v>
      </c>
      <c r="F2068" t="s">
        <v>9361</v>
      </c>
      <c r="G2068" t="s">
        <v>12077</v>
      </c>
      <c r="H2068" t="s">
        <v>12078</v>
      </c>
      <c r="I2068" t="s">
        <v>6061</v>
      </c>
      <c r="J2068" t="s">
        <v>12041</v>
      </c>
      <c r="K2068" t="s">
        <v>7993</v>
      </c>
      <c r="L2068" t="s">
        <v>7994</v>
      </c>
    </row>
    <row r="2069" spans="1:13" x14ac:dyDescent="0.25">
      <c r="A2069" t="s">
        <v>5766</v>
      </c>
      <c r="B2069" t="s">
        <v>5659</v>
      </c>
      <c r="C2069" s="1" t="s">
        <v>78</v>
      </c>
      <c r="D2069" s="1" t="s">
        <v>5780</v>
      </c>
      <c r="E2069" t="s">
        <v>5781</v>
      </c>
      <c r="F2069" t="s">
        <v>12079</v>
      </c>
      <c r="G2069" t="s">
        <v>5783</v>
      </c>
      <c r="H2069" t="s">
        <v>12080</v>
      </c>
      <c r="I2069" t="s">
        <v>6071</v>
      </c>
      <c r="J2069" t="s">
        <v>12041</v>
      </c>
      <c r="K2069" t="s">
        <v>7993</v>
      </c>
      <c r="L2069" t="s">
        <v>7994</v>
      </c>
      <c r="M2069" t="s">
        <v>65</v>
      </c>
    </row>
    <row r="2070" spans="1:13" x14ac:dyDescent="0.25">
      <c r="A2070" t="s">
        <v>5766</v>
      </c>
      <c r="B2070" t="s">
        <v>5659</v>
      </c>
      <c r="C2070" s="1" t="s">
        <v>5695</v>
      </c>
      <c r="D2070" s="1" t="s">
        <v>12081</v>
      </c>
      <c r="E2070" t="s">
        <v>5696</v>
      </c>
      <c r="F2070" t="s">
        <v>10192</v>
      </c>
      <c r="G2070" t="s">
        <v>12082</v>
      </c>
      <c r="H2070" t="s">
        <v>12083</v>
      </c>
      <c r="I2070" t="s">
        <v>5816</v>
      </c>
      <c r="J2070" t="s">
        <v>12041</v>
      </c>
      <c r="K2070" t="s">
        <v>7993</v>
      </c>
      <c r="L2070" t="s">
        <v>7994</v>
      </c>
    </row>
    <row r="2071" spans="1:13" x14ac:dyDescent="0.25">
      <c r="A2071" t="s">
        <v>5766</v>
      </c>
      <c r="B2071" t="s">
        <v>5659</v>
      </c>
      <c r="C2071" s="1" t="s">
        <v>5274</v>
      </c>
      <c r="D2071" s="1" t="s">
        <v>11500</v>
      </c>
      <c r="E2071" t="s">
        <v>5275</v>
      </c>
      <c r="F2071" t="s">
        <v>10894</v>
      </c>
      <c r="G2071" t="s">
        <v>11501</v>
      </c>
      <c r="H2071" t="s">
        <v>12084</v>
      </c>
      <c r="I2071" t="s">
        <v>6075</v>
      </c>
      <c r="J2071" t="s">
        <v>12041</v>
      </c>
      <c r="K2071" t="s">
        <v>7993</v>
      </c>
      <c r="L2071" t="s">
        <v>7994</v>
      </c>
    </row>
    <row r="2072" spans="1:13" x14ac:dyDescent="0.25">
      <c r="A2072" t="s">
        <v>5766</v>
      </c>
      <c r="B2072" t="s">
        <v>5659</v>
      </c>
      <c r="C2072" s="1" t="s">
        <v>3740</v>
      </c>
      <c r="D2072" s="1" t="s">
        <v>9409</v>
      </c>
      <c r="E2072" t="s">
        <v>3741</v>
      </c>
      <c r="F2072" t="s">
        <v>10919</v>
      </c>
      <c r="G2072" t="s">
        <v>9411</v>
      </c>
      <c r="H2072" t="s">
        <v>12085</v>
      </c>
      <c r="I2072" t="s">
        <v>8334</v>
      </c>
      <c r="J2072" t="s">
        <v>12041</v>
      </c>
      <c r="K2072" t="s">
        <v>7993</v>
      </c>
      <c r="L2072" t="s">
        <v>7994</v>
      </c>
    </row>
    <row r="2073" spans="1:13" x14ac:dyDescent="0.25">
      <c r="A2073" t="s">
        <v>5766</v>
      </c>
      <c r="B2073" t="s">
        <v>5659</v>
      </c>
      <c r="C2073" s="1" t="s">
        <v>4707</v>
      </c>
      <c r="D2073" s="1" t="s">
        <v>10764</v>
      </c>
      <c r="E2073" t="s">
        <v>4708</v>
      </c>
      <c r="F2073" t="s">
        <v>11503</v>
      </c>
      <c r="G2073" t="s">
        <v>10766</v>
      </c>
      <c r="H2073" t="s">
        <v>11504</v>
      </c>
      <c r="I2073" t="s">
        <v>12086</v>
      </c>
      <c r="J2073" t="s">
        <v>12041</v>
      </c>
      <c r="K2073" t="s">
        <v>7993</v>
      </c>
      <c r="L2073" t="s">
        <v>7994</v>
      </c>
    </row>
    <row r="2074" spans="1:13" x14ac:dyDescent="0.25">
      <c r="A2074" t="s">
        <v>5766</v>
      </c>
      <c r="B2074" t="s">
        <v>5659</v>
      </c>
      <c r="C2074" s="1" t="s">
        <v>5698</v>
      </c>
      <c r="D2074" s="1" t="s">
        <v>12087</v>
      </c>
      <c r="E2074" t="s">
        <v>5699</v>
      </c>
      <c r="F2074" t="s">
        <v>6127</v>
      </c>
      <c r="G2074" t="s">
        <v>12088</v>
      </c>
      <c r="H2074" t="s">
        <v>12089</v>
      </c>
      <c r="I2074" t="s">
        <v>12090</v>
      </c>
      <c r="J2074" t="s">
        <v>12041</v>
      </c>
      <c r="K2074" t="s">
        <v>7993</v>
      </c>
      <c r="L2074" t="s">
        <v>7994</v>
      </c>
    </row>
    <row r="2075" spans="1:13" x14ac:dyDescent="0.25">
      <c r="A2075" t="s">
        <v>5766</v>
      </c>
      <c r="B2075" t="s">
        <v>5659</v>
      </c>
      <c r="C2075" s="1" t="s">
        <v>5290</v>
      </c>
      <c r="D2075" s="1" t="s">
        <v>11521</v>
      </c>
      <c r="E2075" t="s">
        <v>5292</v>
      </c>
      <c r="F2075" t="s">
        <v>9491</v>
      </c>
      <c r="G2075" t="s">
        <v>11522</v>
      </c>
      <c r="H2075" t="s">
        <v>12091</v>
      </c>
      <c r="I2075" t="s">
        <v>6192</v>
      </c>
      <c r="J2075" t="s">
        <v>12041</v>
      </c>
      <c r="K2075" t="s">
        <v>7993</v>
      </c>
      <c r="L2075" t="s">
        <v>7994</v>
      </c>
    </row>
    <row r="2076" spans="1:13" x14ac:dyDescent="0.25">
      <c r="A2076" t="s">
        <v>5766</v>
      </c>
      <c r="B2076" t="s">
        <v>5659</v>
      </c>
      <c r="C2076" s="1" t="s">
        <v>4716</v>
      </c>
      <c r="D2076" s="1" t="s">
        <v>10788</v>
      </c>
      <c r="E2076" t="s">
        <v>4717</v>
      </c>
      <c r="F2076" t="s">
        <v>12092</v>
      </c>
      <c r="G2076" t="s">
        <v>10790</v>
      </c>
      <c r="H2076" t="s">
        <v>12093</v>
      </c>
      <c r="I2076" t="s">
        <v>9730</v>
      </c>
      <c r="J2076" t="s">
        <v>12041</v>
      </c>
      <c r="K2076" t="s">
        <v>7993</v>
      </c>
      <c r="L2076" t="s">
        <v>7994</v>
      </c>
    </row>
    <row r="2077" spans="1:13" x14ac:dyDescent="0.25">
      <c r="A2077" t="s">
        <v>5766</v>
      </c>
      <c r="B2077" t="s">
        <v>5659</v>
      </c>
      <c r="C2077" s="1" t="s">
        <v>5701</v>
      </c>
      <c r="D2077" s="1" t="s">
        <v>12094</v>
      </c>
      <c r="E2077" t="s">
        <v>5702</v>
      </c>
      <c r="F2077" t="s">
        <v>11542</v>
      </c>
      <c r="G2077" t="s">
        <v>12095</v>
      </c>
      <c r="H2077" t="s">
        <v>12096</v>
      </c>
      <c r="I2077" t="s">
        <v>9047</v>
      </c>
      <c r="J2077" t="s">
        <v>12041</v>
      </c>
      <c r="K2077" t="s">
        <v>7993</v>
      </c>
      <c r="L2077" t="s">
        <v>7994</v>
      </c>
    </row>
    <row r="2078" spans="1:13" x14ac:dyDescent="0.25">
      <c r="A2078" t="s">
        <v>5766</v>
      </c>
      <c r="B2078" t="s">
        <v>5659</v>
      </c>
      <c r="C2078" s="1" t="s">
        <v>5704</v>
      </c>
      <c r="D2078" s="1" t="s">
        <v>12097</v>
      </c>
      <c r="E2078" t="s">
        <v>5705</v>
      </c>
      <c r="F2078" t="s">
        <v>9685</v>
      </c>
      <c r="G2078" t="s">
        <v>12098</v>
      </c>
      <c r="H2078" t="s">
        <v>12099</v>
      </c>
      <c r="I2078" t="s">
        <v>9157</v>
      </c>
      <c r="J2078" t="s">
        <v>12041</v>
      </c>
      <c r="K2078" t="s">
        <v>7993</v>
      </c>
      <c r="L2078" t="s">
        <v>7994</v>
      </c>
    </row>
    <row r="2079" spans="1:13" x14ac:dyDescent="0.25">
      <c r="A2079" t="s">
        <v>5766</v>
      </c>
      <c r="B2079" t="s">
        <v>5659</v>
      </c>
      <c r="C2079" s="1" t="s">
        <v>177</v>
      </c>
      <c r="D2079" s="1" t="s">
        <v>5930</v>
      </c>
      <c r="E2079" t="s">
        <v>178</v>
      </c>
      <c r="F2079" t="s">
        <v>9384</v>
      </c>
      <c r="G2079" t="s">
        <v>5932</v>
      </c>
      <c r="H2079" t="s">
        <v>12100</v>
      </c>
      <c r="I2079" t="s">
        <v>12101</v>
      </c>
      <c r="J2079" t="s">
        <v>12041</v>
      </c>
      <c r="K2079" t="s">
        <v>7993</v>
      </c>
      <c r="L2079" t="s">
        <v>7994</v>
      </c>
    </row>
    <row r="2080" spans="1:13" x14ac:dyDescent="0.25">
      <c r="A2080" t="s">
        <v>5766</v>
      </c>
      <c r="B2080" t="s">
        <v>5659</v>
      </c>
      <c r="C2080" s="1" t="s">
        <v>4722</v>
      </c>
      <c r="D2080" s="1" t="s">
        <v>10797</v>
      </c>
      <c r="E2080" t="s">
        <v>4723</v>
      </c>
      <c r="F2080" t="s">
        <v>6127</v>
      </c>
      <c r="G2080" t="s">
        <v>10799</v>
      </c>
      <c r="H2080" t="s">
        <v>11531</v>
      </c>
      <c r="I2080" t="s">
        <v>6525</v>
      </c>
      <c r="J2080" t="s">
        <v>12041</v>
      </c>
      <c r="K2080" t="s">
        <v>7993</v>
      </c>
      <c r="L2080" t="s">
        <v>7994</v>
      </c>
    </row>
    <row r="2081" spans="1:12" x14ac:dyDescent="0.25">
      <c r="A2081" t="s">
        <v>5766</v>
      </c>
      <c r="B2081" t="s">
        <v>5659</v>
      </c>
      <c r="C2081" s="1" t="s">
        <v>5707</v>
      </c>
      <c r="D2081" s="1" t="s">
        <v>12102</v>
      </c>
      <c r="E2081" t="s">
        <v>5708</v>
      </c>
      <c r="F2081" t="s">
        <v>9482</v>
      </c>
      <c r="G2081" t="s">
        <v>12103</v>
      </c>
      <c r="H2081" t="s">
        <v>12104</v>
      </c>
      <c r="I2081" t="s">
        <v>6337</v>
      </c>
      <c r="J2081" t="s">
        <v>12041</v>
      </c>
      <c r="K2081" t="s">
        <v>7993</v>
      </c>
      <c r="L2081" t="s">
        <v>7994</v>
      </c>
    </row>
    <row r="2082" spans="1:12" x14ac:dyDescent="0.25">
      <c r="A2082" t="s">
        <v>5766</v>
      </c>
      <c r="B2082" t="s">
        <v>5659</v>
      </c>
      <c r="C2082" s="1" t="s">
        <v>5710</v>
      </c>
      <c r="D2082" s="1" t="s">
        <v>12105</v>
      </c>
      <c r="E2082" t="s">
        <v>5711</v>
      </c>
      <c r="F2082" t="s">
        <v>11591</v>
      </c>
      <c r="G2082" t="s">
        <v>12106</v>
      </c>
      <c r="H2082" t="s">
        <v>12107</v>
      </c>
      <c r="I2082" t="s">
        <v>8102</v>
      </c>
      <c r="J2082" t="s">
        <v>12041</v>
      </c>
      <c r="K2082" t="s">
        <v>7993</v>
      </c>
      <c r="L2082" t="s">
        <v>7994</v>
      </c>
    </row>
    <row r="2083" spans="1:12" x14ac:dyDescent="0.25">
      <c r="A2083" t="s">
        <v>5766</v>
      </c>
      <c r="B2083" t="s">
        <v>5659</v>
      </c>
      <c r="C2083" s="1" t="s">
        <v>5713</v>
      </c>
      <c r="D2083" s="1" t="s">
        <v>12108</v>
      </c>
      <c r="E2083" t="s">
        <v>5714</v>
      </c>
      <c r="F2083" t="s">
        <v>11517</v>
      </c>
      <c r="G2083" t="s">
        <v>12109</v>
      </c>
      <c r="H2083" t="s">
        <v>12110</v>
      </c>
      <c r="I2083" t="s">
        <v>7549</v>
      </c>
      <c r="J2083" t="s">
        <v>12041</v>
      </c>
      <c r="K2083" t="s">
        <v>7993</v>
      </c>
      <c r="L2083" t="s">
        <v>7994</v>
      </c>
    </row>
    <row r="2084" spans="1:12" x14ac:dyDescent="0.25">
      <c r="A2084" t="s">
        <v>5766</v>
      </c>
      <c r="B2084" t="s">
        <v>5659</v>
      </c>
      <c r="C2084" s="1" t="s">
        <v>5306</v>
      </c>
      <c r="D2084" s="1" t="s">
        <v>11545</v>
      </c>
      <c r="E2084" t="s">
        <v>5308</v>
      </c>
      <c r="F2084" t="s">
        <v>12111</v>
      </c>
      <c r="G2084" t="s">
        <v>11546</v>
      </c>
      <c r="H2084" t="s">
        <v>12112</v>
      </c>
      <c r="I2084" t="s">
        <v>5901</v>
      </c>
      <c r="J2084" t="s">
        <v>12041</v>
      </c>
      <c r="K2084" t="s">
        <v>7993</v>
      </c>
      <c r="L2084" t="s">
        <v>7994</v>
      </c>
    </row>
    <row r="2085" spans="1:12" x14ac:dyDescent="0.25">
      <c r="A2085" t="s">
        <v>5766</v>
      </c>
      <c r="B2085" t="s">
        <v>5659</v>
      </c>
      <c r="C2085" s="1" t="s">
        <v>5716</v>
      </c>
      <c r="D2085" s="1" t="s">
        <v>12113</v>
      </c>
      <c r="E2085" t="s">
        <v>5717</v>
      </c>
      <c r="F2085" t="s">
        <v>10666</v>
      </c>
      <c r="G2085" t="s">
        <v>12114</v>
      </c>
      <c r="H2085" t="s">
        <v>12115</v>
      </c>
      <c r="I2085" t="s">
        <v>6234</v>
      </c>
      <c r="J2085" t="s">
        <v>12041</v>
      </c>
      <c r="K2085" t="s">
        <v>7993</v>
      </c>
      <c r="L2085" t="s">
        <v>7994</v>
      </c>
    </row>
    <row r="2086" spans="1:12" x14ac:dyDescent="0.25">
      <c r="A2086" t="s">
        <v>5766</v>
      </c>
      <c r="B2086" t="s">
        <v>5659</v>
      </c>
      <c r="C2086" s="1" t="s">
        <v>5719</v>
      </c>
      <c r="D2086" s="1" t="s">
        <v>12116</v>
      </c>
      <c r="E2086" t="s">
        <v>5720</v>
      </c>
      <c r="F2086" t="s">
        <v>11517</v>
      </c>
      <c r="G2086" t="s">
        <v>12117</v>
      </c>
      <c r="H2086" t="s">
        <v>12118</v>
      </c>
      <c r="I2086" t="s">
        <v>6075</v>
      </c>
      <c r="J2086" t="s">
        <v>12041</v>
      </c>
      <c r="K2086" t="s">
        <v>7993</v>
      </c>
      <c r="L2086" t="s">
        <v>7994</v>
      </c>
    </row>
    <row r="2087" spans="1:12" x14ac:dyDescent="0.25">
      <c r="A2087" t="s">
        <v>5766</v>
      </c>
      <c r="B2087" t="s">
        <v>5659</v>
      </c>
      <c r="C2087" s="1" t="s">
        <v>5722</v>
      </c>
      <c r="D2087" s="1" t="s">
        <v>12119</v>
      </c>
      <c r="E2087" t="s">
        <v>5723</v>
      </c>
      <c r="F2087" t="s">
        <v>12120</v>
      </c>
      <c r="G2087" t="s">
        <v>12121</v>
      </c>
      <c r="H2087" t="s">
        <v>12122</v>
      </c>
      <c r="I2087" t="s">
        <v>6003</v>
      </c>
      <c r="J2087" t="s">
        <v>12041</v>
      </c>
      <c r="K2087" t="s">
        <v>7993</v>
      </c>
      <c r="L2087" t="s">
        <v>7994</v>
      </c>
    </row>
    <row r="2088" spans="1:12" x14ac:dyDescent="0.25">
      <c r="A2088" t="s">
        <v>5766</v>
      </c>
      <c r="B2088" t="s">
        <v>5659</v>
      </c>
      <c r="C2088" s="1" t="s">
        <v>5725</v>
      </c>
      <c r="D2088" s="1" t="s">
        <v>12123</v>
      </c>
      <c r="E2088" t="s">
        <v>5726</v>
      </c>
      <c r="F2088" t="s">
        <v>9685</v>
      </c>
      <c r="G2088" t="s">
        <v>12124</v>
      </c>
      <c r="H2088" t="s">
        <v>12125</v>
      </c>
      <c r="I2088" t="s">
        <v>9461</v>
      </c>
      <c r="J2088" t="s">
        <v>12041</v>
      </c>
      <c r="K2088" t="s">
        <v>7993</v>
      </c>
      <c r="L2088" t="s">
        <v>7994</v>
      </c>
    </row>
    <row r="2089" spans="1:12" x14ac:dyDescent="0.25">
      <c r="A2089" t="s">
        <v>5766</v>
      </c>
      <c r="B2089" t="s">
        <v>5659</v>
      </c>
      <c r="C2089" s="1" t="s">
        <v>5728</v>
      </c>
      <c r="D2089" s="1" t="s">
        <v>12126</v>
      </c>
      <c r="E2089" t="s">
        <v>5729</v>
      </c>
      <c r="F2089" t="s">
        <v>11542</v>
      </c>
      <c r="G2089" t="s">
        <v>12127</v>
      </c>
      <c r="H2089" t="s">
        <v>12128</v>
      </c>
      <c r="I2089" t="s">
        <v>6173</v>
      </c>
      <c r="J2089" t="s">
        <v>12041</v>
      </c>
      <c r="K2089" t="s">
        <v>7993</v>
      </c>
      <c r="L2089" t="s">
        <v>7994</v>
      </c>
    </row>
    <row r="2090" spans="1:12" x14ac:dyDescent="0.25">
      <c r="A2090" t="s">
        <v>5766</v>
      </c>
      <c r="B2090" t="s">
        <v>5659</v>
      </c>
      <c r="C2090" s="1" t="s">
        <v>5731</v>
      </c>
      <c r="D2090" s="1" t="s">
        <v>12129</v>
      </c>
      <c r="E2090" t="s">
        <v>5732</v>
      </c>
      <c r="F2090" t="s">
        <v>12130</v>
      </c>
      <c r="G2090" t="s">
        <v>12131</v>
      </c>
      <c r="H2090" t="s">
        <v>12132</v>
      </c>
      <c r="I2090" t="s">
        <v>6013</v>
      </c>
      <c r="J2090" t="s">
        <v>12041</v>
      </c>
      <c r="K2090" t="s">
        <v>7993</v>
      </c>
      <c r="L2090" t="s">
        <v>7994</v>
      </c>
    </row>
    <row r="2091" spans="1:12" x14ac:dyDescent="0.25">
      <c r="A2091" t="s">
        <v>5766</v>
      </c>
      <c r="B2091" t="s">
        <v>5659</v>
      </c>
      <c r="C2091" s="1" t="s">
        <v>4734</v>
      </c>
      <c r="D2091" s="1" t="s">
        <v>10831</v>
      </c>
      <c r="E2091" t="s">
        <v>4735</v>
      </c>
      <c r="F2091" t="s">
        <v>10899</v>
      </c>
      <c r="G2091" t="s">
        <v>10832</v>
      </c>
      <c r="H2091" t="s">
        <v>12133</v>
      </c>
      <c r="I2091" t="s">
        <v>6360</v>
      </c>
      <c r="J2091" t="s">
        <v>12041</v>
      </c>
      <c r="K2091" t="s">
        <v>7993</v>
      </c>
      <c r="L2091" t="s">
        <v>7994</v>
      </c>
    </row>
    <row r="2092" spans="1:12" x14ac:dyDescent="0.25">
      <c r="A2092" t="s">
        <v>5766</v>
      </c>
      <c r="B2092" t="s">
        <v>5659</v>
      </c>
      <c r="C2092" s="1" t="s">
        <v>5734</v>
      </c>
      <c r="D2092" s="1" t="s">
        <v>12134</v>
      </c>
      <c r="E2092" t="s">
        <v>5735</v>
      </c>
      <c r="F2092" t="s">
        <v>10894</v>
      </c>
      <c r="G2092" t="s">
        <v>12135</v>
      </c>
      <c r="H2092" t="s">
        <v>12136</v>
      </c>
      <c r="I2092" t="s">
        <v>8390</v>
      </c>
      <c r="J2092" t="s">
        <v>12041</v>
      </c>
      <c r="K2092" t="s">
        <v>7993</v>
      </c>
      <c r="L2092" t="s">
        <v>7994</v>
      </c>
    </row>
    <row r="2093" spans="1:12" x14ac:dyDescent="0.25">
      <c r="A2093" t="s">
        <v>5766</v>
      </c>
      <c r="B2093" t="s">
        <v>5659</v>
      </c>
      <c r="C2093" s="1" t="s">
        <v>5737</v>
      </c>
      <c r="D2093" s="1" t="s">
        <v>12137</v>
      </c>
      <c r="E2093" t="s">
        <v>5738</v>
      </c>
      <c r="F2093" t="s">
        <v>10952</v>
      </c>
      <c r="G2093" t="s">
        <v>12138</v>
      </c>
      <c r="H2093" t="s">
        <v>12139</v>
      </c>
      <c r="I2093" t="s">
        <v>5821</v>
      </c>
      <c r="J2093" t="s">
        <v>12041</v>
      </c>
      <c r="K2093" t="s">
        <v>7993</v>
      </c>
      <c r="L2093" t="s">
        <v>7994</v>
      </c>
    </row>
    <row r="2094" spans="1:12" x14ac:dyDescent="0.25">
      <c r="A2094" t="s">
        <v>5766</v>
      </c>
      <c r="B2094" t="s">
        <v>5659</v>
      </c>
      <c r="C2094" s="1" t="s">
        <v>5740</v>
      </c>
      <c r="D2094" s="1" t="s">
        <v>12140</v>
      </c>
      <c r="E2094" t="s">
        <v>5741</v>
      </c>
      <c r="F2094" t="s">
        <v>9619</v>
      </c>
      <c r="G2094" t="s">
        <v>12141</v>
      </c>
      <c r="H2094" t="s">
        <v>12142</v>
      </c>
      <c r="I2094" t="s">
        <v>7439</v>
      </c>
      <c r="J2094" t="s">
        <v>12041</v>
      </c>
      <c r="K2094" t="s">
        <v>7993</v>
      </c>
      <c r="L2094" t="s">
        <v>7994</v>
      </c>
    </row>
    <row r="2095" spans="1:12" x14ac:dyDescent="0.25">
      <c r="A2095" t="s">
        <v>5766</v>
      </c>
      <c r="B2095" t="s">
        <v>5659</v>
      </c>
      <c r="C2095" s="1" t="s">
        <v>5329</v>
      </c>
      <c r="D2095" s="1" t="s">
        <v>11573</v>
      </c>
      <c r="E2095" t="s">
        <v>5330</v>
      </c>
      <c r="F2095" t="s">
        <v>10952</v>
      </c>
      <c r="G2095" t="s">
        <v>11574</v>
      </c>
      <c r="H2095" t="s">
        <v>12143</v>
      </c>
      <c r="I2095" t="s">
        <v>6125</v>
      </c>
      <c r="J2095" t="s">
        <v>12041</v>
      </c>
      <c r="K2095" t="s">
        <v>7993</v>
      </c>
      <c r="L2095" t="s">
        <v>7994</v>
      </c>
    </row>
    <row r="2096" spans="1:12" x14ac:dyDescent="0.25">
      <c r="A2096" t="s">
        <v>5766</v>
      </c>
      <c r="B2096" t="s">
        <v>5659</v>
      </c>
      <c r="C2096" s="1" t="s">
        <v>205</v>
      </c>
      <c r="D2096" s="1" t="s">
        <v>5970</v>
      </c>
      <c r="E2096" t="s">
        <v>206</v>
      </c>
      <c r="F2096" t="s">
        <v>12057</v>
      </c>
      <c r="G2096" t="s">
        <v>5972</v>
      </c>
      <c r="H2096" t="s">
        <v>12144</v>
      </c>
      <c r="I2096" t="s">
        <v>12145</v>
      </c>
      <c r="J2096" t="s">
        <v>12041</v>
      </c>
      <c r="K2096" t="s">
        <v>7993</v>
      </c>
      <c r="L2096" t="s">
        <v>7994</v>
      </c>
    </row>
    <row r="2097" spans="1:13" x14ac:dyDescent="0.25">
      <c r="A2097" t="s">
        <v>5766</v>
      </c>
      <c r="B2097" t="s">
        <v>5659</v>
      </c>
      <c r="C2097" s="1" t="s">
        <v>5339</v>
      </c>
      <c r="D2097" s="1" t="s">
        <v>11585</v>
      </c>
      <c r="E2097" t="s">
        <v>5340</v>
      </c>
      <c r="F2097" t="s">
        <v>9645</v>
      </c>
      <c r="G2097" t="s">
        <v>11587</v>
      </c>
      <c r="H2097" t="s">
        <v>12146</v>
      </c>
      <c r="I2097" t="s">
        <v>9067</v>
      </c>
      <c r="J2097" t="s">
        <v>12041</v>
      </c>
      <c r="K2097" t="s">
        <v>7993</v>
      </c>
      <c r="L2097" t="s">
        <v>7994</v>
      </c>
    </row>
    <row r="2098" spans="1:13" x14ac:dyDescent="0.25">
      <c r="A2098" t="s">
        <v>5766</v>
      </c>
      <c r="B2098" t="s">
        <v>5659</v>
      </c>
      <c r="C2098" s="1" t="s">
        <v>5743</v>
      </c>
      <c r="D2098" s="1" t="s">
        <v>12147</v>
      </c>
      <c r="E2098" t="s">
        <v>5744</v>
      </c>
      <c r="F2098" t="s">
        <v>10984</v>
      </c>
      <c r="G2098" t="s">
        <v>12148</v>
      </c>
      <c r="H2098" t="s">
        <v>12149</v>
      </c>
      <c r="I2098" t="s">
        <v>8387</v>
      </c>
      <c r="J2098" t="s">
        <v>12041</v>
      </c>
      <c r="K2098" t="s">
        <v>7993</v>
      </c>
      <c r="L2098" t="s">
        <v>7994</v>
      </c>
    </row>
    <row r="2099" spans="1:13" x14ac:dyDescent="0.25">
      <c r="A2099" t="s">
        <v>5766</v>
      </c>
      <c r="B2099" t="s">
        <v>5659</v>
      </c>
      <c r="C2099" s="1" t="s">
        <v>5746</v>
      </c>
      <c r="D2099" s="1" t="s">
        <v>12150</v>
      </c>
      <c r="E2099" t="s">
        <v>5747</v>
      </c>
      <c r="F2099" t="s">
        <v>9361</v>
      </c>
      <c r="G2099" t="s">
        <v>12151</v>
      </c>
      <c r="H2099" t="s">
        <v>12152</v>
      </c>
      <c r="I2099" t="s">
        <v>12153</v>
      </c>
      <c r="J2099" t="s">
        <v>12041</v>
      </c>
      <c r="K2099" t="s">
        <v>7993</v>
      </c>
      <c r="L2099" t="s">
        <v>7994</v>
      </c>
    </row>
    <row r="2100" spans="1:13" x14ac:dyDescent="0.25">
      <c r="A2100" t="s">
        <v>5766</v>
      </c>
      <c r="B2100" t="s">
        <v>5659</v>
      </c>
      <c r="C2100" s="1" t="s">
        <v>5749</v>
      </c>
      <c r="D2100" s="1" t="s">
        <v>12154</v>
      </c>
      <c r="E2100" t="s">
        <v>5750</v>
      </c>
      <c r="F2100" t="s">
        <v>12155</v>
      </c>
      <c r="G2100" t="s">
        <v>12156</v>
      </c>
      <c r="H2100" t="s">
        <v>12157</v>
      </c>
      <c r="I2100" t="s">
        <v>6811</v>
      </c>
      <c r="J2100" t="s">
        <v>12041</v>
      </c>
      <c r="K2100" t="s">
        <v>7993</v>
      </c>
      <c r="L2100" t="s">
        <v>7994</v>
      </c>
    </row>
    <row r="2101" spans="1:13" x14ac:dyDescent="0.25">
      <c r="A2101" t="s">
        <v>5766</v>
      </c>
      <c r="B2101" t="s">
        <v>5659</v>
      </c>
      <c r="C2101" s="1" t="s">
        <v>5752</v>
      </c>
      <c r="D2101" s="1" t="s">
        <v>12158</v>
      </c>
      <c r="E2101" t="s">
        <v>5753</v>
      </c>
      <c r="F2101" t="s">
        <v>12159</v>
      </c>
      <c r="G2101" t="s">
        <v>12160</v>
      </c>
      <c r="H2101" t="s">
        <v>12161</v>
      </c>
      <c r="I2101" t="s">
        <v>7848</v>
      </c>
      <c r="J2101" t="s">
        <v>12041</v>
      </c>
      <c r="K2101" t="s">
        <v>7993</v>
      </c>
      <c r="L2101" t="s">
        <v>7994</v>
      </c>
    </row>
    <row r="2102" spans="1:13" x14ac:dyDescent="0.25">
      <c r="A2102" t="s">
        <v>5766</v>
      </c>
      <c r="B2102" t="s">
        <v>5659</v>
      </c>
      <c r="C2102" s="1" t="s">
        <v>52</v>
      </c>
      <c r="D2102" s="1" t="s">
        <v>52</v>
      </c>
      <c r="E2102" t="s">
        <v>5767</v>
      </c>
      <c r="F2102" t="s">
        <v>12162</v>
      </c>
      <c r="G2102" t="s">
        <v>5769</v>
      </c>
      <c r="H2102" t="s">
        <v>12163</v>
      </c>
      <c r="I2102" t="s">
        <v>9464</v>
      </c>
      <c r="J2102" t="s">
        <v>12041</v>
      </c>
      <c r="K2102" t="s">
        <v>7993</v>
      </c>
      <c r="L2102" t="s">
        <v>7994</v>
      </c>
      <c r="M2102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custodian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damien@corgi.insure</cp:lastModifiedBy>
  <dcterms:created xsi:type="dcterms:W3CDTF">2026-06-25T18:21:03Z</dcterms:created>
  <dcterms:modified xsi:type="dcterms:W3CDTF">2026-06-30T19:12:11Z</dcterms:modified>
</cp:coreProperties>
</file>